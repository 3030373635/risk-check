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mc:AlternateContent xmlns:mc="http://schemas.openxmlformats.org/markup-compatibility/2006">
    <mc:Choice Requires="x15">
      <x15ac:absPath xmlns:x15ac="http://schemas.microsoft.com/office/spreadsheetml/2010/11/ac" url="D:\腾讯workbuddy\湖南风控矩阵审核\湖南公司审核前期资料9.11更新\第一批省公司通用版本整合9.4（0818下发版本，员工报账矩阵9.2修改了)\第一批省公司通用版本整合9.4\08 数字化与研发投入\"/>
    </mc:Choice>
  </mc:AlternateContent>
  <bookViews>
    <workbookView windowWidth="23040" windowHeight="8615" tabRatio="936" firstSheet="2" activeTab="2"/>
  </bookViews>
  <sheets>
    <sheet name="业务流程" sheetId="3" state="hidden" r:id="rId1"/>
    <sheet name="流程图" sheetId="19" state="hidden" r:id="rId2"/>
    <sheet name="数字化与研发投入（0818）" sheetId="24" r:id="rId3"/>
    <sheet name="数字化与研发投入 (核对过程7.29)" sheetId="29" state="hidden" r:id="rId4"/>
    <sheet name="Sheet1" sheetId="28" state="hidden" r:id="rId5"/>
    <sheet name="数字化与研发投入 (下发版本核对过程7.27)" sheetId="27" state="hidden" r:id="rId6"/>
    <sheet name="数字化与研发投入 (核对过程7.24数字化部分)" sheetId="26" state="hidden" r:id="rId7"/>
    <sheet name="意见建议" sheetId="25" state="hidden" r:id="rId8"/>
    <sheet name="WpsReserved_CellImgList" sheetId="21" state="veryHidden" r:id="rId9"/>
  </sheets>
  <externalReferences>
    <externalReference r:id="rId10"/>
    <externalReference r:id="rId11"/>
  </externalReferences>
  <definedNames>
    <definedName name="_xlnm._FilterDatabase" localSheetId="2" hidden="1">'数字化与研发投入（0818）'!$A$3:$AL$47</definedName>
    <definedName name="_xlnm._FilterDatabase" localSheetId="4" hidden="1">Sheet1!$A$6:$G$16</definedName>
    <definedName name="_xlnm._FilterDatabase" localSheetId="7" hidden="1">意见建议!$A$2:$AN$3</definedName>
    <definedName name="_xlnm.Print_Area" localSheetId="2">'数字化与研发投入（0818）'!$A$1:$AL$27</definedName>
    <definedName name="_xlnm.Print_Area" localSheetId="7">意见建议!$A$1:$AR$3</definedName>
    <definedName name="_xlnm.Print_Titles" localSheetId="2">'数字化与研发投入（0818）'!$2:$3</definedName>
    <definedName name="_xlnm.Print_Titles" localSheetId="7">意见建议!$1:$2</definedName>
    <definedName name="_xlnm._FilterDatabase" localSheetId="6" hidden="1">'数字化与研发投入 (核对过程7.24数字化部分)'!$3:$48</definedName>
    <definedName name="_xlnm.Print_Area" localSheetId="6">'数字化与研发投入 (核对过程7.24数字化部分)'!$A$1:$AL$27</definedName>
    <definedName name="_xlnm.Print_Titles" localSheetId="6">'数字化与研发投入 (核对过程7.24数字化部分)'!$2:$3</definedName>
    <definedName name="_xlnm._FilterDatabase" localSheetId="5" hidden="1">'数字化与研发投入 (下发版本核对过程7.27)'!$A$3:$AM$47</definedName>
    <definedName name="_xlnm.Print_Area" localSheetId="5">'数字化与研发投入 (下发版本核对过程7.27)'!$A$1:$AL$27</definedName>
    <definedName name="_xlnm.Print_Titles" localSheetId="5">'数字化与研发投入 (下发版本核对过程7.27)'!$2:$3</definedName>
    <definedName name="_xlnm._FilterDatabase" localSheetId="3" hidden="1">'数字化与研发投入 (核对过程7.29)'!$A$3:$BX$47</definedName>
    <definedName name="_xlnm.Print_Area" localSheetId="3">'数字化与研发投入 (核对过程7.29)'!$A$1:$AL$27</definedName>
    <definedName name="_xlnm.Print_Titles" localSheetId="3">'数字化与研发投入 (核对过程7.29)'!$2:$3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hbpc</author>
  </authors>
  <commentList>
    <comment ref="H1" authorId="0">
      <text>
        <r>
          <rPr>
            <b/>
            <sz val="9"/>
            <rFont val="宋体"/>
            <charset val="134"/>
          </rPr>
          <t>hbpc:</t>
        </r>
        <r>
          <rPr>
            <sz val="9"/>
            <rFont val="宋体"/>
            <charset val="134"/>
          </rPr>
          <t xml:space="preserve">
拆分</t>
        </r>
      </text>
    </comment>
  </commentList>
</comments>
</file>

<file path=xl/sharedStrings.xml><?xml version="1.0" encoding="utf-8"?>
<sst xmlns="http://schemas.openxmlformats.org/spreadsheetml/2006/main" count="4227" uniqueCount="839">
  <si>
    <t>一级流程</t>
  </si>
  <si>
    <t>二级流程</t>
  </si>
  <si>
    <t>三级流程</t>
  </si>
  <si>
    <t>末级流程编号</t>
  </si>
  <si>
    <t>末级流程名称</t>
  </si>
  <si>
    <t>涉及价值管控风险的流程</t>
  </si>
  <si>
    <t>市场营销</t>
  </si>
  <si>
    <t>电力市场营销管理</t>
  </si>
  <si>
    <t>有序用电管理</t>
  </si>
  <si>
    <t>YX-01-01-01</t>
  </si>
  <si>
    <t>有序用电基础信息管理流程</t>
  </si>
  <si>
    <t>YX-01-01-02</t>
  </si>
  <si>
    <t>有序用电方案制定流程</t>
  </si>
  <si>
    <t>YX-01-01-03</t>
  </si>
  <si>
    <t>有序用电预警管理流程</t>
  </si>
  <si>
    <t>YX-01-01-04</t>
  </si>
  <si>
    <t>有序用电方案实施流程</t>
  </si>
  <si>
    <t>YX-01-01-05</t>
  </si>
  <si>
    <t>有序用电监督检查管理流程</t>
  </si>
  <si>
    <t>YX-01-01-06</t>
  </si>
  <si>
    <t>有序用电统计分析管理流程</t>
  </si>
  <si>
    <t>市场分析预测管理</t>
  </si>
  <si>
    <t>YX-01-02-01</t>
  </si>
  <si>
    <t>短期电力市场分析预测管理流程</t>
  </si>
  <si>
    <t>YX-01-02-02</t>
  </si>
  <si>
    <t>迎峰度夏（冬）电力供需分析预测管理流程</t>
  </si>
  <si>
    <t>能效服务管理</t>
  </si>
  <si>
    <t>YX-01-03-01</t>
  </si>
  <si>
    <t>能效服务网络建设运行管理流程</t>
  </si>
  <si>
    <t>YX-01-03-02</t>
  </si>
  <si>
    <t>能效服务指标管理流程</t>
  </si>
  <si>
    <t>YX-01-03-03</t>
  </si>
  <si>
    <t>能效服务项目管理流程</t>
  </si>
  <si>
    <t>综合能源管理</t>
  </si>
  <si>
    <t>YX-01-04-01</t>
  </si>
  <si>
    <t>综合能源服务管理流程</t>
  </si>
  <si>
    <t>√</t>
  </si>
  <si>
    <t>YX-01-04-02</t>
  </si>
  <si>
    <t>需求侧响应管理流程</t>
  </si>
  <si>
    <t>自备电厂管理</t>
  </si>
  <si>
    <t>自备电厂机组并网与电力供应协议管理流程</t>
  </si>
  <si>
    <t>智能用电管理</t>
  </si>
  <si>
    <t>YX-01-05-01</t>
  </si>
  <si>
    <t>智能充换电服务网络建设项目实施管理流程</t>
  </si>
  <si>
    <t>YX-01-05-02</t>
  </si>
  <si>
    <t>智能充换电服务网络运营服务管理流程</t>
  </si>
  <si>
    <t>YX-01-05-03</t>
  </si>
  <si>
    <t>智能充换电服务网络充电设施缺陷管理流程</t>
  </si>
  <si>
    <t>营业管理</t>
  </si>
  <si>
    <t>供电营业区管理</t>
  </si>
  <si>
    <t>YX-02-01-01</t>
  </si>
  <si>
    <t>供电营业区域管理流程</t>
  </si>
  <si>
    <t>YX-02-01-02</t>
  </si>
  <si>
    <t>供电营业许可证管理流程</t>
  </si>
  <si>
    <t>业扩报装</t>
  </si>
  <si>
    <t>YX-02-02-01</t>
  </si>
  <si>
    <t>业扩报装流程与服务要求制定流程</t>
  </si>
  <si>
    <t>YX-02-02-02</t>
  </si>
  <si>
    <t>220kV及以上业扩报装管理流程</t>
  </si>
  <si>
    <t>YX-02-02-03</t>
  </si>
  <si>
    <t>110kV业扩报装管理流程</t>
  </si>
  <si>
    <t>YX-02-02-04</t>
  </si>
  <si>
    <t>35kV业扩报装管理流程</t>
  </si>
  <si>
    <t>YX-02-02-05</t>
  </si>
  <si>
    <t>10kV业扩报装管理流程</t>
  </si>
  <si>
    <t>YX-02-02-06</t>
  </si>
  <si>
    <t>低压业扩报装管理流程</t>
  </si>
  <si>
    <t>YX-02-02-07</t>
  </si>
  <si>
    <t>国家重点工程业扩报装协调管理流程</t>
  </si>
  <si>
    <t>变更用电管理</t>
  </si>
  <si>
    <t>YX-02-03-01</t>
  </si>
  <si>
    <t>减容管理流程</t>
  </si>
  <si>
    <t>YX-02-03-02</t>
  </si>
  <si>
    <t>减容恢复管理流程</t>
  </si>
  <si>
    <t>YX-02-03-03</t>
  </si>
  <si>
    <t>暂停管理流程</t>
  </si>
  <si>
    <t>YX-02-03-04</t>
  </si>
  <si>
    <t>暂停恢复管理流程</t>
  </si>
  <si>
    <t>YX-02-03-05</t>
  </si>
  <si>
    <t>暂拆管理流程</t>
  </si>
  <si>
    <t>YX-02-03-06</t>
  </si>
  <si>
    <t>暂拆复装管理流程</t>
  </si>
  <si>
    <t>YX-02-03-07</t>
  </si>
  <si>
    <t>暂换管理流程</t>
  </si>
  <si>
    <t>YX-02-03-08</t>
  </si>
  <si>
    <t>暂换恢复管理流程</t>
  </si>
  <si>
    <t>YX-02-03-09</t>
  </si>
  <si>
    <t>迁址管理流程</t>
  </si>
  <si>
    <t>YX-02-03-10</t>
  </si>
  <si>
    <t>移表管理流程</t>
  </si>
  <si>
    <t>YX-02-03-11</t>
  </si>
  <si>
    <t>销户管理流程</t>
  </si>
  <si>
    <t>YX-02-03-12</t>
  </si>
  <si>
    <t>过户管理流程</t>
  </si>
  <si>
    <t>YX-02-03-13</t>
  </si>
  <si>
    <t>更名管理流程</t>
  </si>
  <si>
    <t>YX-02-03-14</t>
  </si>
  <si>
    <t>改压管理流程</t>
  </si>
  <si>
    <t>YX-02-03-15</t>
  </si>
  <si>
    <t>改类管理流程</t>
  </si>
  <si>
    <t>YX-02-03-16</t>
  </si>
  <si>
    <t>分户管理流程</t>
  </si>
  <si>
    <t>YX-02-03-17</t>
  </si>
  <si>
    <t>并户管理流程</t>
  </si>
  <si>
    <t>YX-02-03-18</t>
  </si>
  <si>
    <t>申请校验管理流程</t>
  </si>
  <si>
    <t>YX-02-03-19</t>
  </si>
  <si>
    <t>批量更改线路台区管理流程</t>
  </si>
  <si>
    <t>YX-02-03-20</t>
  </si>
  <si>
    <t>计量装置故障管理流程</t>
  </si>
  <si>
    <t>供用电合同管理</t>
  </si>
  <si>
    <t>YX-02-04-01</t>
  </si>
  <si>
    <t>供用电合同参考文本管理流程</t>
  </si>
  <si>
    <t>YX-02-04-02</t>
  </si>
  <si>
    <t>供用电合同签订管理流程</t>
  </si>
  <si>
    <t>YX-02-04-03</t>
  </si>
  <si>
    <t>供用电合同变更管理流程</t>
  </si>
  <si>
    <t>YX-02-04-04</t>
  </si>
  <si>
    <t>供用电合同纠纷处理流程</t>
  </si>
  <si>
    <t>电费抄核收管理</t>
  </si>
  <si>
    <t>YX-02-05-01</t>
  </si>
  <si>
    <t>抄表段管理流程</t>
  </si>
  <si>
    <t>YX-02-05-02</t>
  </si>
  <si>
    <t>抄表管理流程</t>
  </si>
  <si>
    <t>YX-02-05-03</t>
  </si>
  <si>
    <t>抄表设备管理流程</t>
  </si>
  <si>
    <t>YX-02-05-04</t>
  </si>
  <si>
    <t>电费核算管理流程</t>
  </si>
  <si>
    <t>YX-02-05-05</t>
  </si>
  <si>
    <t>电费退补电量电费管理流程</t>
  </si>
  <si>
    <t>YX-02-05-06</t>
  </si>
  <si>
    <t>业务费收费管理流程</t>
  </si>
  <si>
    <t>YX-02-05-07</t>
  </si>
  <si>
    <t>电费收费管理流程</t>
  </si>
  <si>
    <t>YX-02-05-08</t>
  </si>
  <si>
    <t>电费充值卡管理流程</t>
  </si>
  <si>
    <t>YX-02-05-09</t>
  </si>
  <si>
    <t>预购电费管理流程</t>
  </si>
  <si>
    <t>YX-02-05-10</t>
  </si>
  <si>
    <t>金融机构代收电费协议管理流程</t>
  </si>
  <si>
    <t>YX-02-05-11</t>
  </si>
  <si>
    <t>非金融机构代收网点协议管理流程</t>
  </si>
  <si>
    <t>YX-02-05-12</t>
  </si>
  <si>
    <t>供电企业自助售电缴费设备管理流程</t>
  </si>
  <si>
    <t>YX-02-05-13</t>
  </si>
  <si>
    <t>电费分次划拨管理流程</t>
  </si>
  <si>
    <t>YX-02-05-14</t>
  </si>
  <si>
    <t>电费分次结算管理流程</t>
  </si>
  <si>
    <t>YX-02-05-15</t>
  </si>
  <si>
    <t>业务费退费管理流程</t>
  </si>
  <si>
    <t>YX-02-05-16</t>
  </si>
  <si>
    <t>电费票据使用管理</t>
  </si>
  <si>
    <t>YX-02-05-17</t>
  </si>
  <si>
    <t>票据、印章保管</t>
  </si>
  <si>
    <t>YX-02-05-18</t>
  </si>
  <si>
    <t>应收电费账务管理流程</t>
  </si>
  <si>
    <t>YX-02-05-19</t>
  </si>
  <si>
    <t>账单管理流程</t>
  </si>
  <si>
    <t>YX-02-05-20</t>
  </si>
  <si>
    <t>实收电费账务管理流程</t>
  </si>
  <si>
    <t>YX-02-05-21</t>
  </si>
  <si>
    <t>对账及凭证管理流程</t>
  </si>
  <si>
    <t>YX-02-05-22</t>
  </si>
  <si>
    <t>电费催费管理流程</t>
  </si>
  <si>
    <t>YX-02-05-23</t>
  </si>
  <si>
    <t>电费欠费停电管理流程</t>
  </si>
  <si>
    <t>YX-02-05-24</t>
  </si>
  <si>
    <t>电费违约金管理流程</t>
  </si>
  <si>
    <t>YX-02-05-25</t>
  </si>
  <si>
    <t>电费回收风险控制管理流程</t>
  </si>
  <si>
    <t>YX-02-05-26</t>
  </si>
  <si>
    <t>电费呆坏账管理流程</t>
  </si>
  <si>
    <t>YX-02-05-27</t>
  </si>
  <si>
    <t>核销电费账销案存管理流程</t>
  </si>
  <si>
    <t>YX-02-05-28</t>
  </si>
  <si>
    <t>缴费渠道管理流程</t>
  </si>
  <si>
    <t>YX-02-05-29</t>
  </si>
  <si>
    <t>电费电价管理与执行分析流程</t>
  </si>
  <si>
    <t>YX-02-05-30</t>
  </si>
  <si>
    <t>电费结清复电管理流程</t>
  </si>
  <si>
    <t>YX-02-05-31</t>
  </si>
  <si>
    <t>抄表工作质量管理流程</t>
  </si>
  <si>
    <t>YX-02-05-32</t>
  </si>
  <si>
    <t>电费计费参数管理流程</t>
  </si>
  <si>
    <t>YX-02-05-33</t>
  </si>
  <si>
    <t>交费方式管理流程</t>
  </si>
  <si>
    <t>YX-02-05-34</t>
  </si>
  <si>
    <t>电费退费管理流程</t>
  </si>
  <si>
    <t>销售电价管理</t>
  </si>
  <si>
    <t>YX-02-06-01</t>
  </si>
  <si>
    <t>销售电价检查管理流程</t>
  </si>
  <si>
    <t>YX-02-06-02</t>
  </si>
  <si>
    <t>电价、电费标准调整管理流程</t>
  </si>
  <si>
    <t>管理线损执行</t>
  </si>
  <si>
    <t>YX-02-07-01</t>
  </si>
  <si>
    <t>管理线损执行流程</t>
  </si>
  <si>
    <t>供电营业窗口管理</t>
  </si>
  <si>
    <t>YX-02-08-01</t>
  </si>
  <si>
    <t>供电营业窗口标准化建设管理流程</t>
  </si>
  <si>
    <t>YX-02-08-02</t>
  </si>
  <si>
    <t>供电营业窗口服务规范化建设管理流程</t>
  </si>
  <si>
    <t>营销信息系统管理</t>
  </si>
  <si>
    <t>YX-02-09-01</t>
  </si>
  <si>
    <t>营销信息系统需求管理流程</t>
  </si>
  <si>
    <t>YX-02-09-02</t>
  </si>
  <si>
    <t>营销信息系统数据质量管理流程</t>
  </si>
  <si>
    <t>分布式电源管理</t>
  </si>
  <si>
    <t>YX-02-10-01</t>
  </si>
  <si>
    <t>分布式电源并网服务管理流程</t>
  </si>
  <si>
    <t>YX-02-10-02</t>
  </si>
  <si>
    <t>分布式电源发用电合同管理流程</t>
  </si>
  <si>
    <t>客户档案管理</t>
  </si>
  <si>
    <t>YX-02-11-01</t>
  </si>
  <si>
    <t>客户档案标准化管理流程</t>
  </si>
  <si>
    <t>YX-02-11-02</t>
  </si>
  <si>
    <t>客户档案建档管理流程</t>
  </si>
  <si>
    <t>YX-02-11-03</t>
  </si>
  <si>
    <t>客户档案保管管理流程</t>
  </si>
  <si>
    <t>YX-02-11-04</t>
  </si>
  <si>
    <t>客户档案借阅管理流程</t>
  </si>
  <si>
    <t>YX-02-11-05</t>
  </si>
  <si>
    <t>客户档案销毁管理流程</t>
  </si>
  <si>
    <t>无表临时用电管理</t>
  </si>
  <si>
    <t>YX-02-12-01</t>
  </si>
  <si>
    <t>无表临时用电新装管理流程</t>
  </si>
  <si>
    <t>YX-02-12-02</t>
  </si>
  <si>
    <t>无表临时用电延期管理流程</t>
  </si>
  <si>
    <t>YX-02-12-03</t>
  </si>
  <si>
    <t>无表临时用电终止管理流程</t>
  </si>
  <si>
    <t>线上渠道运营管理</t>
  </si>
  <si>
    <t>YX-02-13-01</t>
  </si>
  <si>
    <t>线上渠道内容管理流程</t>
  </si>
  <si>
    <t>YX-02-13-02</t>
  </si>
  <si>
    <t>线上渠道活动管理流程</t>
  </si>
  <si>
    <t>YX-02-13-03</t>
  </si>
  <si>
    <t>线上渠道产品发版管理流程</t>
  </si>
  <si>
    <t>购电业务管理</t>
  </si>
  <si>
    <t>YX-02-14-01</t>
  </si>
  <si>
    <t>电网企业代理购电管理流程</t>
  </si>
  <si>
    <t>电能计量</t>
  </si>
  <si>
    <t>计量标准管理</t>
  </si>
  <si>
    <t>YX-03-01-01</t>
  </si>
  <si>
    <t>计量标准需求审核管理流程</t>
  </si>
  <si>
    <t>YX-03-01-02</t>
  </si>
  <si>
    <t>计量标准建标管理流程</t>
  </si>
  <si>
    <t>YX-03-01-03</t>
  </si>
  <si>
    <t>计量标准复查管理流程</t>
  </si>
  <si>
    <t>YX-03-01-04</t>
  </si>
  <si>
    <t>计量标准封存（撤销）管理流程</t>
  </si>
  <si>
    <t>YX-03-01-05</t>
  </si>
  <si>
    <t>计量标准更换管理流程</t>
  </si>
  <si>
    <t>YX-03-01-06</t>
  </si>
  <si>
    <t>计量标准量值溯源管理流程</t>
  </si>
  <si>
    <t>YX-03-01-07</t>
  </si>
  <si>
    <t>计量标准报废管理流程</t>
  </si>
  <si>
    <t>YX-03-01-08</t>
  </si>
  <si>
    <t>计量标准运维维护管理流程</t>
  </si>
  <si>
    <t>YX-03-01-09</t>
  </si>
  <si>
    <t>计量标准期间核查管理流程</t>
  </si>
  <si>
    <t>YX-03-01-10</t>
  </si>
  <si>
    <t>计量自动化生产系统运维管理流程</t>
  </si>
  <si>
    <t>YX-03-01-11</t>
  </si>
  <si>
    <t>计量自动化生产系统应急管理流程</t>
  </si>
  <si>
    <t>YX-03-01-12</t>
  </si>
  <si>
    <t>计量标准档案管理流程</t>
  </si>
  <si>
    <t>计量安全防护体系管理</t>
  </si>
  <si>
    <t>YX-03-02-01</t>
  </si>
  <si>
    <t>密钥系统维护管理流程</t>
  </si>
  <si>
    <t>YX-03-02-02</t>
  </si>
  <si>
    <t>密钥介质管理流程</t>
  </si>
  <si>
    <t>YX-03-02-03</t>
  </si>
  <si>
    <t>现场服务终端管理流程</t>
  </si>
  <si>
    <t>用电信息采集系统管理</t>
  </si>
  <si>
    <t>YX-03-03-01</t>
  </si>
  <si>
    <t>用电信息采集系统建设管理流程</t>
  </si>
  <si>
    <t>YX-03-03-02</t>
  </si>
  <si>
    <t>用电信息采集系统运行维护管理流程</t>
  </si>
  <si>
    <t>YX-03-03-03</t>
  </si>
  <si>
    <t>用电信息采集系统终端设备巡视管理流程</t>
  </si>
  <si>
    <t>YX-03-03-04</t>
  </si>
  <si>
    <t>用电信息采集系统主站设备新增、更换管理流程</t>
  </si>
  <si>
    <t>YX-03-03-05</t>
  </si>
  <si>
    <t>用电信息采集系统专变终端调试管理流程</t>
  </si>
  <si>
    <t>YX-03-03-06</t>
  </si>
  <si>
    <t>用电信息采集系统专变终端检修管理流程</t>
  </si>
  <si>
    <t>YX-03-03-07</t>
  </si>
  <si>
    <t>用电信息采集系统主站设备消缺管理流程</t>
  </si>
  <si>
    <t>YX-03-03-08</t>
  </si>
  <si>
    <t>用电信息采集系统终端设备消缺管理流程</t>
  </si>
  <si>
    <t>YX-03-03-09</t>
  </si>
  <si>
    <t>用电信息采集系统终端设备更换管理流程</t>
  </si>
  <si>
    <t>电能计量器具采集终端资产管理</t>
  </si>
  <si>
    <t>YX-03-04-01</t>
  </si>
  <si>
    <t>电能计量器具采集终端资产需求审核管理流程</t>
  </si>
  <si>
    <t>YX-03-04-02</t>
  </si>
  <si>
    <t>电能表选购管理流程</t>
  </si>
  <si>
    <t>YX-03-04-03</t>
  </si>
  <si>
    <t>电能计量器具采集终端资产入库管理流程</t>
  </si>
  <si>
    <t>YX-03-04-04</t>
  </si>
  <si>
    <t>电能计量器具采集终端资产出库管理流程</t>
  </si>
  <si>
    <t>YX-03-04-05</t>
  </si>
  <si>
    <t>电能计量器具采集终端资产库存预警处置管理流程</t>
  </si>
  <si>
    <t>YX-03-04-06</t>
  </si>
  <si>
    <t>电能计量器具采集终端资产配送管理流程</t>
  </si>
  <si>
    <t>YX-03-04-07</t>
  </si>
  <si>
    <t>电能计量器具采集终端资产淘汰管理流程</t>
  </si>
  <si>
    <t>YX-03-04-08</t>
  </si>
  <si>
    <t>电能计量器具采集终端资产盘点（丢失）管理流程</t>
  </si>
  <si>
    <t>YX-03-04-09</t>
  </si>
  <si>
    <t>电能计量器具采集终端资产报废管理流程</t>
  </si>
  <si>
    <t>计量点管理</t>
  </si>
  <si>
    <t>YX-03-05-01</t>
  </si>
  <si>
    <t>电能计量装置设计审查管理流程</t>
  </si>
  <si>
    <t>YX-03-05-02</t>
  </si>
  <si>
    <t>关口电能计量装置竣工验收管理流程</t>
  </si>
  <si>
    <t>YX-03-05-03</t>
  </si>
  <si>
    <t>用户电能计量装置竣工验收管理流程</t>
  </si>
  <si>
    <t>YX-03-05-04</t>
  </si>
  <si>
    <t>电能计量装置首次检验管理流程</t>
  </si>
  <si>
    <t>YX-03-05-05</t>
  </si>
  <si>
    <t>电能计量装置周期检验管理流程</t>
  </si>
  <si>
    <t>YX-03-05-06</t>
  </si>
  <si>
    <t>电能计量装置临时检验管理流程</t>
  </si>
  <si>
    <t>YX-03-05-07</t>
  </si>
  <si>
    <t>电能计量装置改造管理流程</t>
  </si>
  <si>
    <t>YX-03-05-08</t>
  </si>
  <si>
    <t>电能计量装置轮换管理流程</t>
  </si>
  <si>
    <t>YX-03-05-09</t>
  </si>
  <si>
    <t>电能计量装置故障及差错调查处理管理流程</t>
  </si>
  <si>
    <t>检定检测管理</t>
  </si>
  <si>
    <t>YX-03-06-01</t>
  </si>
  <si>
    <t>电能表及采集终端质量监督管理流程</t>
  </si>
  <si>
    <t>YX-03-06-02</t>
  </si>
  <si>
    <t>电能表样品比对管理流程</t>
  </si>
  <si>
    <t>YX-03-06-03</t>
  </si>
  <si>
    <t>电能表供货前全性能试验管理流程</t>
  </si>
  <si>
    <t>YX-03-06-04</t>
  </si>
  <si>
    <t>电能表检定、校准及检验管理流程</t>
  </si>
  <si>
    <t>YX-03-06-05</t>
  </si>
  <si>
    <t>电能计量封印管理流程</t>
  </si>
  <si>
    <t>YX-03-06-06</t>
  </si>
  <si>
    <t>电能计量器具申校检定管理流程</t>
  </si>
  <si>
    <t>客户服务管理</t>
  </si>
  <si>
    <t>服务品质管理</t>
  </si>
  <si>
    <t>YX-04-01-01</t>
  </si>
  <si>
    <t>供电优质服务品牌实施管理流程</t>
  </si>
  <si>
    <t>YX-04-01-02</t>
  </si>
  <si>
    <t>满意度管理流程</t>
  </si>
  <si>
    <t>YX-04-01-03</t>
  </si>
  <si>
    <t>客户价值管理流程</t>
  </si>
  <si>
    <t>YX-04-01-04</t>
  </si>
  <si>
    <t>供电服务品质评价管理流程</t>
  </si>
  <si>
    <t>95598业务管理</t>
  </si>
  <si>
    <t>YX-04-02-01</t>
  </si>
  <si>
    <t>95598服务质量监督评价考核管理流程</t>
  </si>
  <si>
    <t>YX-04-02-02</t>
  </si>
  <si>
    <t>95598供电服务分析及发布管理流程</t>
  </si>
  <si>
    <t>YX-04-02-03</t>
  </si>
  <si>
    <t>95598客户投诉管理流程</t>
  </si>
  <si>
    <t>YX-04-02-04</t>
  </si>
  <si>
    <t>95598投诉业务处理流程</t>
  </si>
  <si>
    <t>YX-04-02-05</t>
  </si>
  <si>
    <t>95598举报（行风问题线索移交）业务处理流程</t>
  </si>
  <si>
    <t>YX-04-02-06</t>
  </si>
  <si>
    <t>95598意见（建议）业务处理流程</t>
  </si>
  <si>
    <t>YX-04-02-07</t>
  </si>
  <si>
    <t>95598业务申请处理流程</t>
  </si>
  <si>
    <t>YX-04-02-08</t>
  </si>
  <si>
    <t>95598查询咨询业务处理流程</t>
  </si>
  <si>
    <t>YX-04-02-09</t>
  </si>
  <si>
    <t>95598线上办电审核业务处理流程</t>
  </si>
  <si>
    <t>YX-04-02-10</t>
  </si>
  <si>
    <t>95598故障报修业务处理流程</t>
  </si>
  <si>
    <t>YX-04-02-11</t>
  </si>
  <si>
    <t>95598订阅服务管理流程</t>
  </si>
  <si>
    <t>YX-04-02-12</t>
  </si>
  <si>
    <t>95598故障报修回访管理流程</t>
  </si>
  <si>
    <t>客户关系管理</t>
  </si>
  <si>
    <t>YX-04-03-01</t>
  </si>
  <si>
    <t>失信客户管理流程</t>
  </si>
  <si>
    <t>YX-04-03-02</t>
  </si>
  <si>
    <t>客户交费信用等级评价管理流程</t>
  </si>
  <si>
    <t>违约用电及反窃电管理</t>
  </si>
  <si>
    <t>YX-04-05-01</t>
  </si>
  <si>
    <t>违约用电查处管理流程</t>
  </si>
  <si>
    <t>YX-04-05-02</t>
  </si>
  <si>
    <t>窃电查处管理流程</t>
  </si>
  <si>
    <t>重大活动客户侧用电管理</t>
  </si>
  <si>
    <t>YX-04-06-01</t>
  </si>
  <si>
    <t>重大活动客户侧保供电方案制定流程</t>
  </si>
  <si>
    <t>营销稽查</t>
  </si>
  <si>
    <t>YX-04-07-01</t>
  </si>
  <si>
    <t>营销关键业务在线稽查监控管理流程</t>
  </si>
  <si>
    <t>YX-04-07-02</t>
  </si>
  <si>
    <t>营销关键业务专项稽查监控管理流程</t>
  </si>
  <si>
    <t>YX-04-07-03</t>
  </si>
  <si>
    <t>营销现场稽查流程</t>
  </si>
  <si>
    <t>YX-04-07-04</t>
  </si>
  <si>
    <t>营销业务管控主题管理流程</t>
  </si>
  <si>
    <t>YX-04-07-05</t>
  </si>
  <si>
    <t>营销业务管控白名单申请管理流程</t>
  </si>
  <si>
    <t>营销项目</t>
  </si>
  <si>
    <t>项目储备与计划管理</t>
  </si>
  <si>
    <t>YX-05-01-01</t>
  </si>
  <si>
    <t>营销项目计划管理</t>
  </si>
  <si>
    <t>YX-05-01-02</t>
  </si>
  <si>
    <t>营销项目储备管理</t>
  </si>
  <si>
    <t>YX-05-01-03</t>
  </si>
  <si>
    <t>营销项目实施管理</t>
  </si>
  <si>
    <t>YX-05-01-04</t>
  </si>
  <si>
    <t>营销项目验收管理</t>
  </si>
  <si>
    <t>乡村振兴管理</t>
  </si>
  <si>
    <t>捐赠项目管理</t>
  </si>
  <si>
    <t>YX-06-01-01</t>
  </si>
  <si>
    <t>总部定点扶贫工作管理流程</t>
  </si>
  <si>
    <t>风控矩阵-数字化与研发投入</t>
  </si>
  <si>
    <t>业务条线</t>
  </si>
  <si>
    <t>业务领域</t>
  </si>
  <si>
    <t>控制目标</t>
  </si>
  <si>
    <t>业务流程步骤</t>
  </si>
  <si>
    <t>经营风险</t>
  </si>
  <si>
    <t>典型问题</t>
  </si>
  <si>
    <t>关键控制点</t>
  </si>
  <si>
    <t>控制要求</t>
  </si>
  <si>
    <t>控制措施编号</t>
  </si>
  <si>
    <t>控制措施</t>
  </si>
  <si>
    <t>控制措施分类</t>
  </si>
  <si>
    <t>控制方式</t>
  </si>
  <si>
    <t>控制系统</t>
  </si>
  <si>
    <t>控制载体</t>
  </si>
  <si>
    <t>责任主体</t>
  </si>
  <si>
    <t>业务自评价</t>
  </si>
  <si>
    <t>集团监督评价</t>
  </si>
  <si>
    <t>数字化监督场景</t>
  </si>
  <si>
    <t>现有制度及文件落实情况</t>
  </si>
  <si>
    <t>总部审核部门</t>
  </si>
  <si>
    <t>矩阵变化内容说明</t>
  </si>
  <si>
    <t>不相容岗位</t>
  </si>
  <si>
    <t>分级授权</t>
  </si>
  <si>
    <t>业务真实性控制</t>
  </si>
  <si>
    <t>预算管控</t>
  </si>
  <si>
    <t>合同控制</t>
  </si>
  <si>
    <t>收付控制</t>
  </si>
  <si>
    <t>会计监督</t>
  </si>
  <si>
    <t>财产保护</t>
  </si>
  <si>
    <t>分析与评价</t>
  </si>
  <si>
    <t>评价频率</t>
  </si>
  <si>
    <t>评价范围</t>
  </si>
  <si>
    <t>评价结论</t>
  </si>
  <si>
    <t>是否已要求</t>
  </si>
  <si>
    <t>是否满足要求</t>
  </si>
  <si>
    <t>对应制度及文件名称</t>
  </si>
  <si>
    <t>数字化项目管理业务</t>
  </si>
  <si>
    <t>一、项目立项管理</t>
  </si>
  <si>
    <t>资金资产安全</t>
  </si>
  <si>
    <t>储备及立项</t>
  </si>
  <si>
    <t>不符合公司数字化建设规划和统一技术路线，缺乏必要性和可行性，造成重复建设、资源浪费、投资回报低下风险。</t>
  </si>
  <si>
    <t>1.储备立项的程序控制</t>
  </si>
  <si>
    <t>符合公司数字化建设规划和统一技术路线，具备经济性、可行性和必要性。</t>
  </si>
  <si>
    <t>数字化项目管理业务-1.储备立项的程序控制-控制措施01</t>
  </si>
  <si>
    <t>需求提报部门建立历史项目比对机制，避免重复需求提报和立项。</t>
  </si>
  <si>
    <r>
      <rPr>
        <strike/>
        <sz val="10"/>
        <rFont val="方正仿宋_GBK"/>
        <charset val="134"/>
      </rPr>
      <t xml:space="preserve">系统待建
</t>
    </r>
    <r>
      <rPr>
        <sz val="10"/>
        <color rgb="FFFF0000"/>
        <rFont val="方正仿宋_GBK"/>
        <charset val="134"/>
      </rPr>
      <t>系统已建</t>
    </r>
  </si>
  <si>
    <r>
      <rPr>
        <sz val="10"/>
        <rFont val="方正仿宋_GBK"/>
        <charset val="134"/>
      </rPr>
      <t>数字化项目管理微应用</t>
    </r>
    <r>
      <rPr>
        <sz val="10"/>
        <color rgb="FFFF0000"/>
        <rFont val="方正仿宋_GBK"/>
        <charset val="134"/>
      </rPr>
      <t>、数字化项目智慧管控平台</t>
    </r>
  </si>
  <si>
    <r>
      <rPr>
        <sz val="10"/>
        <rFont val="方正仿宋_GBK"/>
        <charset val="134"/>
      </rPr>
      <t xml:space="preserve">1.需求报告；
2.历史项目应用评价；
</t>
    </r>
    <r>
      <rPr>
        <sz val="10"/>
        <color rgb="FFFF0000"/>
        <rFont val="方正仿宋_GBK"/>
        <charset val="134"/>
      </rPr>
      <t>3.需求查重清单</t>
    </r>
    <r>
      <rPr>
        <sz val="10"/>
        <rFont val="方正仿宋_GBK"/>
        <charset val="134"/>
      </rPr>
      <t xml:space="preserve">
4.数字化项目统筹清单。</t>
    </r>
  </si>
  <si>
    <r>
      <rPr>
        <sz val="10"/>
        <rFont val="方正仿宋_GBK"/>
        <charset val="134"/>
      </rPr>
      <t>各级单位-项目需求部门-需求提报人、各级单位-项目需求部门-负责人、各级单位-归口管理部门-项目管理人员、各级单位-归口管理部门-负责人、</t>
    </r>
    <r>
      <rPr>
        <strike/>
        <sz val="10"/>
        <rFont val="方正仿宋_GBK"/>
        <charset val="134"/>
      </rPr>
      <t xml:space="preserve">
</t>
    </r>
    <r>
      <rPr>
        <sz val="10"/>
        <color rgb="FFFF0000"/>
        <rFont val="方正仿宋_GBK"/>
        <charset val="134"/>
      </rPr>
      <t xml:space="preserve">省公司-项目管理中心-项目储备管控专责、省公司-数字化部-规划技术处处长
</t>
    </r>
  </si>
  <si>
    <t>每季度</t>
  </si>
  <si>
    <t>抽查</t>
  </si>
  <si>
    <t>年度</t>
  </si>
  <si>
    <t>需求查重监督场景</t>
  </si>
  <si>
    <t>是</t>
  </si>
  <si>
    <r>
      <rPr>
        <sz val="10"/>
        <rFont val="方正仿宋_GBK"/>
        <charset val="134"/>
      </rPr>
      <t xml:space="preserve">《国家电网有限公司关于优化调整公司数字化建设投入管理的通知》（国家电网数字〔2025〕17号）
《国家电网有限公司电网数字化建设管理办法》（国家电网企管〔2020〕849号） </t>
    </r>
    <r>
      <rPr>
        <sz val="10"/>
        <color rgb="FFFF0000"/>
        <rFont val="方正仿宋_GBK"/>
        <charset val="134"/>
      </rPr>
      <t>《国网湖南省电力有限公司数字化项目管理实施细则》（湘电公司数字〔2024〕447号 ）</t>
    </r>
  </si>
  <si>
    <t>国网数字化部</t>
  </si>
  <si>
    <t xml:space="preserve">
 增加对应制度及文件名称</t>
  </si>
  <si>
    <t>数字化项目管理业务-1.储备立项的程序控制-控制措施02</t>
  </si>
  <si>
    <t>归口管理部门建立“谁主管、谁负责”机制，开展可研经济性、立项合规性分析，获取可研批复后方可立项。</t>
  </si>
  <si>
    <t>线下管控</t>
  </si>
  <si>
    <t>1.各级评审意见文件；
2.总部科研报告批复文件。</t>
  </si>
  <si>
    <r>
      <rPr>
        <sz val="10"/>
        <rFont val="方正仿宋_GBK"/>
        <charset val="134"/>
      </rPr>
      <t>各级单位-项目需求部门-需求提报人、各级单位-项目需求部门-负责人、各级单位-归口管理部门-项目管理人员、各级单位-归口管理部门-负责人、</t>
    </r>
    <r>
      <rPr>
        <strike/>
        <sz val="10"/>
        <rFont val="方正仿宋_GBK"/>
        <charset val="134"/>
      </rPr>
      <t xml:space="preserve">
</t>
    </r>
    <r>
      <rPr>
        <sz val="10"/>
        <color rgb="FFFF0000"/>
        <rFont val="方正仿宋_GBK"/>
        <charset val="134"/>
      </rPr>
      <t>省公司-数字化部-规划技术处处长</t>
    </r>
  </si>
  <si>
    <r>
      <rPr>
        <sz val="10"/>
        <rFont val="方正仿宋_GBK"/>
        <charset val="134"/>
      </rPr>
      <t>《国家电网有限公司关于优化调整公司数字化建设投入管理的通知》（国家电网数字〔2025〕17号）
《国家电网有限公司电网数字化建设管理办法》（国家电网企管〔2020〕849号）</t>
    </r>
    <r>
      <rPr>
        <sz val="10"/>
        <color rgb="FFFF0000"/>
        <rFont val="方正仿宋_GBK"/>
        <charset val="134"/>
      </rPr>
      <t>《国网湖南省电力有限公司数字化项目管理实施细则》（湘电公司数字〔2024〕447号 ）</t>
    </r>
  </si>
  <si>
    <t>数字化项目管理业务-1.储备立项的程序控制-控制措施03</t>
  </si>
  <si>
    <t>归口管理部门开展项目投入后评估，基于评价结果优化后续项目安排。</t>
  </si>
  <si>
    <t>历史项目应用评价资料 （数字化综合绩效评估、管理规范问题清单等）。</t>
  </si>
  <si>
    <r>
      <rPr>
        <sz val="10"/>
        <rFont val="方正仿宋_GBK"/>
        <charset val="134"/>
      </rPr>
      <t>各级单位-项目承担部门-项目负责人、各级单位-项目承担部门-负责人、各级单位-归口管理部门-项目管理人员、各级单位-归口管理部门-负责人、</t>
    </r>
    <r>
      <rPr>
        <sz val="10"/>
        <color rgb="FFFF0000"/>
        <rFont val="方正仿宋_GBK"/>
        <charset val="134"/>
      </rPr>
      <t>省公司-数字化部-数字化项目管理中心项目储备管控专责、省公司-数字化部-规划技术处处长</t>
    </r>
  </si>
  <si>
    <r>
      <rPr>
        <sz val="10"/>
        <rFont val="方正仿宋_GBK"/>
        <charset val="134"/>
      </rPr>
      <t xml:space="preserve">《国家电网有限公司关于优化调整公司数字化建设投入管理的通知》（国家电网数字〔2025〕17号）
《国家电网有限公司电网数字化建设管理办法》（国家电网企管〔2020〕849号）
《国家电网公司信息系统深化应用管理办法》国家电网企管〔2014〕1216号
</t>
    </r>
    <r>
      <rPr>
        <sz val="10"/>
        <color rgb="FFFF0000"/>
        <rFont val="方正仿宋_GBK"/>
        <charset val="134"/>
      </rPr>
      <t>《国网湖南省电力有限公司数字化项目管理实施细则》（湘电公司数字〔2024〕447号 ）</t>
    </r>
  </si>
  <si>
    <t>数字化项目管理业务-1.储备立项的程序控制-控制措施04</t>
  </si>
  <si>
    <t>强化立项不相容控制，落实评审与复核责任。</t>
  </si>
  <si>
    <t>项目评审意见。</t>
  </si>
  <si>
    <r>
      <rPr>
        <sz val="10"/>
        <rFont val="方正仿宋_GBK"/>
        <charset val="134"/>
      </rPr>
      <t>各级单位-项目需求部门-需求提报人、各级单位-项目需求部门-负责人、各级单位-归口管理部门-项目管理人员、各级单位-归口管理部门-负责人、</t>
    </r>
    <r>
      <rPr>
        <sz val="10"/>
        <color rgb="FFFF0000"/>
        <rFont val="方正仿宋_GBK"/>
        <charset val="134"/>
      </rPr>
      <t>经研院-项目投资管理中心（评审中心）-非基建项目评审专责</t>
    </r>
  </si>
  <si>
    <t xml:space="preserve">
一是建设成效不足，普遍采用“提升效率”等模糊词汇描述预期成果，实际项目未对公司财务提质增效、机构编制精干、减员增效等方面产生实质性效益；二是建设依据不足，所依据的文件与本项目的建设内容缺乏直接关联，难以支撑立项合理性；三是跨专业协同不足，各部门仅从自身视角提出需求，忽视了与其他系统的数据贯通与流程衔接，导致重复建设与数据孤岛问题。</t>
  </si>
  <si>
    <t>数字化项目管理业务-1.储备立项的程序控制-控制措施05</t>
  </si>
  <si>
    <t>归口管理部门对需求统筹进行评审。新建信息系统（功能模块）的设计开发类需求需进行需求论证</t>
  </si>
  <si>
    <t>1.需求统筹意见
2.公司级需求论证意见（新建开发类需求）</t>
  </si>
  <si>
    <t>各级单位-项目需求部门-需求提报人、各级单位-项目需求部门-负责人、省公司-数字化部-规划技术处处长</t>
  </si>
  <si>
    <t>《国网湖南省电力有限公司关于加强
数字化项目前期管理的指导意见（试行）》</t>
  </si>
  <si>
    <t>新增控制措施及对增加对应制度及文件名称</t>
  </si>
  <si>
    <t>计划和预算安排</t>
  </si>
  <si>
    <t>项目计划预算安排不合理、调整不及时，未根据项目实际情况进行计划分解和调整，导致提前或滞后确认成本，引发合规风险。</t>
  </si>
  <si>
    <t>2.计划预算安排合规性</t>
  </si>
  <si>
    <t>项目计划预算安排与项目实际进度的一致性控制。</t>
  </si>
  <si>
    <t>数字化项目管理业务-2.计划预算安排合规性-控制措施01</t>
  </si>
  <si>
    <t>归口管理部门对项目储备金额建立计划与预算的复核机制，按实际预估周期安排年度计划和预算。</t>
  </si>
  <si>
    <t>1.项目储备资料；
2.计划调整文件；
3.预算下达文件。</t>
  </si>
  <si>
    <r>
      <rPr>
        <sz val="10"/>
        <rFont val="方正仿宋_GBK"/>
        <charset val="134"/>
      </rPr>
      <t>各级单位-项目承担部门-项目负责人、各级单位-项目承担部门-负责人、各级单位-归口管理部门-</t>
    </r>
    <r>
      <rPr>
        <strike/>
        <sz val="10"/>
        <rFont val="方正仿宋_GBK"/>
        <charset val="134"/>
      </rPr>
      <t>计划管理人员</t>
    </r>
    <r>
      <rPr>
        <sz val="10"/>
        <color rgb="FFFF0000"/>
        <rFont val="方正仿宋_GBK"/>
        <charset val="134"/>
      </rPr>
      <t>项目管理人员</t>
    </r>
    <r>
      <rPr>
        <sz val="10"/>
        <rFont val="方正仿宋_GBK"/>
        <charset val="134"/>
      </rPr>
      <t>、各级单位-归口管理部门-负责人、各级单位-财务部门-预算管理人员、各级单位-财务部门-负责人</t>
    </r>
  </si>
  <si>
    <t>每月</t>
  </si>
  <si>
    <r>
      <rPr>
        <sz val="10"/>
        <rFont val="方正仿宋_GBK"/>
        <charset val="134"/>
      </rPr>
      <t xml:space="preserve">《国家电网有限公司工程财务管理办法》（国家电网企管〔2023〕28号）
《国家电网有限公司全面预算管理办法》（国家电网企管〔2026〕101号）
</t>
    </r>
    <r>
      <rPr>
        <sz val="10"/>
        <color rgb="FFFF0000"/>
        <rFont val="方正仿宋_GBK"/>
        <charset val="134"/>
      </rPr>
      <t>《国网湖南省电力有限公司数字化项目管理实施细则》（湘电公司数字〔2024〕447号 ）</t>
    </r>
  </si>
  <si>
    <t xml:space="preserve">
 增加对应制度及文件名称
</t>
  </si>
  <si>
    <t>数字化项目管理业务-2.计划预算安排合规性-控制措施02</t>
  </si>
  <si>
    <t>年中增补项目分年度下达计划和预算。</t>
  </si>
  <si>
    <t>1.可研资料；
2.项目立项文件；
3.进度确认材料；
4.项目采购文件；
5.合同；
6.预算下达文件；
7.预算计划调整文件。</t>
  </si>
  <si>
    <r>
      <rPr>
        <sz val="10"/>
        <rFont val="方正仿宋_GBK"/>
        <charset val="134"/>
      </rPr>
      <t>各级单位-项目承担部门-项目负责人、各级单位-项目承担部门-负责人、各级单位-归口管理部门-</t>
    </r>
    <r>
      <rPr>
        <strike/>
        <sz val="10"/>
        <rFont val="方正仿宋_GBK"/>
        <charset val="134"/>
      </rPr>
      <t>计划管理人员</t>
    </r>
    <r>
      <rPr>
        <sz val="10"/>
        <color rgb="FFFF0000"/>
        <rFont val="方正仿宋_GBK"/>
        <charset val="134"/>
      </rPr>
      <t>项目管理人员</t>
    </r>
    <r>
      <rPr>
        <sz val="10"/>
        <rFont val="方正仿宋_GBK"/>
        <charset val="134"/>
      </rPr>
      <t>、各级单位-归口管理部门-负责人、各级单位-财务部门-预算管理人员、各级单位-财务部门-负责人、各级单位-发展部门-综合计划管理人员、各级单位-发展部门-负责人、</t>
    </r>
    <r>
      <rPr>
        <sz val="10"/>
        <color rgb="FFFF0000"/>
        <rFont val="方正仿宋_GBK"/>
        <charset val="134"/>
      </rPr>
      <t>省公司-数字化部-项目管理专责</t>
    </r>
  </si>
  <si>
    <r>
      <rPr>
        <sz val="10"/>
        <rFont val="方正仿宋_GBK"/>
        <charset val="134"/>
      </rPr>
      <t>《国家电网有限公司电网数字化建设管理办法》（国家电网企管〔2020〕849号）
《国家电网有限公司工程财务管理办法》（国家电网企管〔2023〕28号）
《国家电网有限公司全面预算管理办法》（国家电网企管〔2026〕101号）</t>
    </r>
    <r>
      <rPr>
        <sz val="10"/>
        <color rgb="FFFF0000"/>
        <rFont val="方正仿宋_GBK"/>
        <charset val="134"/>
      </rPr>
      <t xml:space="preserve">
《国网湖南省电力有限公司数字化项目管理实施细则》（湘电公司数字〔2024〕447号 ）</t>
    </r>
  </si>
  <si>
    <t>数字化项目管理业务-2.计划预算安排合规性-控制措施03</t>
  </si>
  <si>
    <t>根据外部环境和项目本身变化，及时调整计划和预算。</t>
  </si>
  <si>
    <t>1.可研资料；
2.项目立项文件；
3.项目采购文件；
4.综合计划；
5.预算下达文件；
6.进度确认材料；
7.调整文件；
8.合同。</t>
  </si>
  <si>
    <r>
      <rPr>
        <sz val="10"/>
        <rFont val="方正仿宋_GBK"/>
        <charset val="134"/>
      </rPr>
      <t>各级单位-项目承担部门-项目负责人、各级单位-项目承担部门-负责人、各级单位-归口管理部门-</t>
    </r>
    <r>
      <rPr>
        <strike/>
        <sz val="10"/>
        <rFont val="方正仿宋_GBK"/>
        <charset val="134"/>
      </rPr>
      <t>计划管理人员</t>
    </r>
    <r>
      <rPr>
        <sz val="10"/>
        <color rgb="FFFF0000"/>
        <rFont val="方正仿宋_GBK"/>
        <charset val="134"/>
      </rPr>
      <t>项目管理人员</t>
    </r>
    <r>
      <rPr>
        <sz val="10"/>
        <rFont val="方正仿宋_GBK"/>
        <charset val="134"/>
      </rPr>
      <t>、各级单位-归口管理部门-负责人、各级单位-财务部门-预算管理人员、各级单位-财务部门-负责人、各级单位-发展部门-综合计划管理人员、各级单位-发展部门-负责人、</t>
    </r>
    <r>
      <rPr>
        <sz val="10"/>
        <color rgb="FFFF0000"/>
        <rFont val="方正仿宋_GBK"/>
        <charset val="134"/>
      </rPr>
      <t>省公司-数字化部-计划建设处处长</t>
    </r>
  </si>
  <si>
    <r>
      <rPr>
        <sz val="10"/>
        <rFont val="方正仿宋_GBK"/>
        <charset val="134"/>
      </rPr>
      <t xml:space="preserve">《国家电网有限公司电网数字化建设管理办法》（国家电网企管〔2020〕849号）
《国家电网有限公司工程财务管理办法》（国家电网企管〔2023〕28号）
《国家电网有限公司全面预算管理办法》（国家电网企管〔2026〕101号）
</t>
    </r>
    <r>
      <rPr>
        <sz val="10"/>
        <color rgb="FFFF0000"/>
        <rFont val="方正仿宋_GBK"/>
        <charset val="134"/>
      </rPr>
      <t>《国网湖南省电力有限公司数字化项目管理实施细则》（湘电公司数字〔2024〕447号 ）</t>
    </r>
  </si>
  <si>
    <t>二、项目实施管理</t>
  </si>
  <si>
    <t>会计信息真实完整</t>
  </si>
  <si>
    <t>成本入账</t>
  </si>
  <si>
    <t>成本入账与进度结算金额不符，项目审核缺位，易引发虚列研发成本、提前确认项目成本风险。</t>
  </si>
  <si>
    <r>
      <rPr>
        <b/>
        <sz val="10"/>
        <rFont val="方正仿宋_GBK"/>
        <charset val="134"/>
      </rPr>
      <t>5.会计信息不准确：</t>
    </r>
    <r>
      <rPr>
        <sz val="10"/>
        <rFont val="方正仿宋_GBK"/>
        <charset val="134"/>
      </rPr>
      <t>存在虚增隐瞒收入，虚增减成本费用；隐瞒负债，少计应付账款或借款；收入成本不匹配；收入、成本确认不及时、不准确等问题。</t>
    </r>
    <r>
      <rPr>
        <b/>
        <sz val="10"/>
        <rFont val="方正仿宋_GBK"/>
        <charset val="134"/>
      </rPr>
      <t xml:space="preserve">
25.结算不准确，多结算工程款：</t>
    </r>
    <r>
      <rPr>
        <sz val="10"/>
        <rFont val="方正仿宋_GBK"/>
        <charset val="134"/>
      </rPr>
      <t>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等问题。</t>
    </r>
  </si>
  <si>
    <t>3.入账成本准确性</t>
  </si>
  <si>
    <t>入账金额准确性、成本支出真实性控制。</t>
  </si>
  <si>
    <t>数字化项目管理业务-3.入账成本准确性-控制措施01</t>
  </si>
  <si>
    <t>项目承担部门严格按合同约定管控项目执行进度，审核是否存在违约行为，根据实际进度收取发票、填写报账单。</t>
  </si>
  <si>
    <t>1.项目费用支出明细清单及相关资料； 
2.合同；
3.项目进度报审表；
4.项目人员备案表。</t>
  </si>
  <si>
    <t>各级单位-项目承担部门-项目负责人、各级单位-项目承担部门-负责人</t>
  </si>
  <si>
    <t>每年</t>
  </si>
  <si>
    <r>
      <rPr>
        <sz val="10"/>
        <rFont val="方正仿宋_GBK"/>
        <charset val="134"/>
      </rPr>
      <t>《国家电网有限公司电网数字化建设管理办法》（国家电网企管〔2020〕849号）</t>
    </r>
    <r>
      <rPr>
        <sz val="10"/>
        <color rgb="FFFF0000"/>
        <rFont val="方正仿宋_GBK"/>
        <charset val="134"/>
      </rPr>
      <t>《国网湖南省电力有限公司数字化项目管理实施细则》（湘电公司数字〔2024〕447号 ）</t>
    </r>
  </si>
  <si>
    <t>数字化项目管理业务-3.入账成本准确性-控制措施02</t>
  </si>
  <si>
    <t>归口管理部门复核项目完成情况、项目人员备案表等材料的完整性和合规性。</t>
  </si>
  <si>
    <t>1.项目费用支出明细清单及相关资料；  
2.合同；
3.项目人员备案表；
4.项目进度材料。</t>
  </si>
  <si>
    <r>
      <rPr>
        <sz val="10"/>
        <rFont val="方正仿宋_GBK"/>
        <charset val="134"/>
      </rPr>
      <t>各级单位-归口管理部门-项目管理人员、各级单位-归口管理部门-负责人、</t>
    </r>
    <r>
      <rPr>
        <sz val="10"/>
        <color rgb="FFFF0000"/>
        <rFont val="方正仿宋_GBK"/>
        <charset val="134"/>
      </rPr>
      <t>省公司-数字化部-项目管理专责、省公司-项目管理中心-进度管控专责</t>
    </r>
  </si>
  <si>
    <t>数字化项目管理业务-3.入账成本准确性-控制措施03</t>
  </si>
  <si>
    <t>财务部门对成本报账单金额与结算金额、发票金额一致性、准确性进行审核。</t>
  </si>
  <si>
    <t>系统已建</t>
  </si>
  <si>
    <t>智慧共享财务平台</t>
  </si>
  <si>
    <t>1.发票；
2.报账单；  
3.合同；
4.项目进度报审表。</t>
  </si>
  <si>
    <t>各级单位-财务部门-成本管理人员、各级单位-财务部门-负责人</t>
  </si>
  <si>
    <t>成本入账监督场景</t>
  </si>
  <si>
    <t>全量检查</t>
  </si>
  <si>
    <t>《国家电网有限公司电网数字化建设管理办法》（国家电网企管〔2020〕849号）</t>
  </si>
  <si>
    <t>1.无变化，直接引用</t>
  </si>
  <si>
    <t>专业分包</t>
  </si>
  <si>
    <t>分包超范围、超比例，易致信息系统建设质量失控，滋生虚增成本、套取资金等风险。</t>
  </si>
  <si>
    <r>
      <rPr>
        <b/>
        <sz val="10"/>
        <rFont val="方正仿宋_GBK"/>
        <charset val="134"/>
      </rPr>
      <t>45.数字化项目建设环节管控不严：</t>
    </r>
    <r>
      <rPr>
        <sz val="10"/>
        <rFont val="方正仿宋_GBK"/>
        <charset val="134"/>
      </rPr>
      <t>存在项目建设内容发生变更未按规定履行审批程序；系统开发环境、测试环境和运行环境未进行分离；承建单位专业分包比例过高等问题。</t>
    </r>
    <r>
      <rPr>
        <b/>
        <sz val="10"/>
        <rFont val="方正仿宋_GBK"/>
        <charset val="134"/>
      </rPr>
      <t xml:space="preserve">
5.会计信息不准确：</t>
    </r>
    <r>
      <rPr>
        <sz val="10"/>
        <rFont val="方正仿宋_GBK"/>
        <charset val="134"/>
      </rPr>
      <t>存在虚增隐瞒收入，虚增减成本费用；隐瞒负债，少计应付账款或借款；收入成本不匹配；收入、成本确认不及时、不准确等问题。</t>
    </r>
  </si>
  <si>
    <t>4.专业分包比例合规性</t>
  </si>
  <si>
    <t>专业分包链路穿透与比例合规性控制。</t>
  </si>
  <si>
    <t>数字化项目管理业务-4.专业分包比例合规性-控制措施01</t>
  </si>
  <si>
    <t>项目承担部门对分包内容备案、分包人员台账、实际分包比例进行检查，不得将核心业务分包、超出规定比例分包等。</t>
  </si>
  <si>
    <t>1.合同；
2.分包备案资料；
3.可研资料；
4.技术规范书。</t>
  </si>
  <si>
    <t>《国网信通部关于进一步规范和加强信息化建设分包管理工作的通知》（信通计划〔2018〕20号）
《国家电网有限公司电网数字化项目技术管理办法》（国网（信息/3）287-2021）
《国家电网有限公司电网数字化项目分包管理规范（试行）》（国家电网数字〔2024〕81 号 ）</t>
  </si>
  <si>
    <t>数字化项目管理业务-4.专业分包比例合规性-控制措施02</t>
  </si>
  <si>
    <t>项目承担部门建立分包台账，定期排查分包情况，禁止超比例分包、层层分包。</t>
  </si>
  <si>
    <t>数字化项目管理业务-4.专业分包比例合规性-控制措施03</t>
  </si>
  <si>
    <r>
      <rPr>
        <strike/>
        <sz val="10"/>
        <color rgb="FF000000"/>
        <rFont val="方正仿宋_GBK"/>
        <charset val="134"/>
      </rPr>
      <t>归口管理部门建立“总包-分包”合同穿透链路，通过合同与项目的关联查看总包单位为系统内单位的业主单位、总包单位、分包单位的对应关系。</t>
    </r>
    <r>
      <rPr>
        <sz val="10"/>
        <color rgb="FFFF0000"/>
        <rFont val="方正仿宋_GBK"/>
        <charset val="134"/>
      </rPr>
      <t xml:space="preserve">
数字化部负责落实公司电网数字化项目分包管理制度，建立健全本单位电网数字化项目分包管理机制。</t>
    </r>
  </si>
  <si>
    <t>系统待建</t>
  </si>
  <si>
    <t>数字化法治企业建设平台</t>
  </si>
  <si>
    <r>
      <rPr>
        <sz val="10"/>
        <rFont val="方正仿宋_GBK"/>
        <charset val="134"/>
      </rPr>
      <t>各级单位-归口管理部门-项目管理人员、各级单位-归口管理部门-负责人、</t>
    </r>
    <r>
      <rPr>
        <sz val="10"/>
        <color rgb="FFFF0000"/>
        <rFont val="方正仿宋_GBK"/>
        <charset val="134"/>
      </rPr>
      <t>省公司-数字化部-项目管理专责</t>
    </r>
  </si>
  <si>
    <t>项目分包管理监督场景</t>
  </si>
  <si>
    <t>修改了控制措施</t>
  </si>
  <si>
    <t>数字化项目管理业务-4.专业分包比例合规性-控制措施04</t>
  </si>
  <si>
    <r>
      <rPr>
        <strike/>
        <sz val="10"/>
        <rFont val="方正仿宋_GBK"/>
        <charset val="134"/>
      </rPr>
      <t>归口管理部门建立“总包-分包”人员的穿透链路，核查总包单位为系统内单位的项目团队成员单位信息，分析人员隶属是否遵循合同约定。</t>
    </r>
    <r>
      <rPr>
        <sz val="10"/>
        <color rgb="FFFF0000"/>
        <rFont val="方正仿宋_GBK"/>
        <charset val="134"/>
      </rPr>
      <t xml:space="preserve">
数字化部负责本单位电网数字化项目分包工作的督导和检查。</t>
    </r>
  </si>
  <si>
    <t>数字化项目管理业务-4.专业分包比例合规性-控制措施05</t>
  </si>
  <si>
    <t>财务部门构建“总包-分包”资金支付穿透链路，分析总包单位为系统内单位的资金流向是否符合合同主体穿透控制要求。</t>
  </si>
  <si>
    <t>各级单位-财务部门-工程管理人员、各级单位-财务部门-负责人</t>
  </si>
  <si>
    <t>三、竣工验收转资</t>
  </si>
  <si>
    <t>现场资产盘点</t>
  </si>
  <si>
    <t>资产卡片信息与合同信息、研发及信息系统设备台账、设备实物不符，资产管理不规范，存在资产流失风险。</t>
  </si>
  <si>
    <r>
      <rPr>
        <b/>
        <sz val="10"/>
        <rFont val="方正仿宋_GBK"/>
        <charset val="134"/>
      </rPr>
      <t>46.数字化项目验收管控不严：</t>
    </r>
    <r>
      <rPr>
        <sz val="10"/>
        <rFont val="方正仿宋_GBK"/>
        <charset val="134"/>
      </rPr>
      <t>存在部分数字化项目合同约定的交付物雷同或内容不实；部分功能未实现；未履行测试或验证；验收人员组成不合理，业务部门未参与验收等问题。</t>
    </r>
  </si>
  <si>
    <t>5.资产信息真实性</t>
  </si>
  <si>
    <t>账卡物一致性控制。</t>
  </si>
  <si>
    <t>数字化项目管理业务-5.资产信息真实性-控制措施01</t>
  </si>
  <si>
    <t>使用保管部门规范保管、使用资产，不得未经审批处置。</t>
  </si>
  <si>
    <t>智慧共享财务平台（目前ERP）</t>
  </si>
  <si>
    <t>1.资产卡片清单；
2.I6000台账。</t>
  </si>
  <si>
    <t>各级单位-使用保管部门-使用保管人员、各级单位-使用保管部门-负责人</t>
  </si>
  <si>
    <t>资产建卡与赋值监督场景</t>
  </si>
  <si>
    <t>《国家电网公司固定资产管理办法》国网（财/2）593-2023（通用）
《国家电网公司无形资产管理办法》国网（财/2）205-2014</t>
  </si>
  <si>
    <t>数字化项目管理业务-5.资产信息真实性-控制措施02</t>
  </si>
  <si>
    <r>
      <rPr>
        <strike/>
        <sz val="10"/>
        <rFont val="方正仿宋_GBK"/>
        <charset val="134"/>
      </rPr>
      <t>实物管理部门</t>
    </r>
    <r>
      <rPr>
        <sz val="10"/>
        <color rgb="FFFF0000"/>
        <rFont val="方正仿宋_GBK"/>
        <charset val="134"/>
      </rPr>
      <t>数字化部</t>
    </r>
    <r>
      <rPr>
        <sz val="10"/>
        <rFont val="方正仿宋_GBK"/>
        <charset val="134"/>
      </rPr>
      <t>定期开展实物盘点，核对设备台账与现场实物的一致性。</t>
    </r>
  </si>
  <si>
    <t>I6000台账。</t>
  </si>
  <si>
    <r>
      <rPr>
        <strike/>
        <sz val="10"/>
        <rFont val="方正仿宋_GBK"/>
        <charset val="134"/>
      </rPr>
      <t>各级单位-使用保管部门-使用保管人员、各级单位-使用保管部门-负责人、各级单位-实物管理部门-设备管理人员、各级单位-实物管理部门-负责人、</t>
    </r>
    <r>
      <rPr>
        <sz val="10"/>
        <color rgb="FFFF0000"/>
        <rFont val="方正仿宋_GBK"/>
        <charset val="134"/>
      </rPr>
      <t>各级单位-使用保管单位-综合计划管理人员、省公司-数字化部-信息运行专责</t>
    </r>
  </si>
  <si>
    <t>修改责任主体</t>
  </si>
  <si>
    <t>数字化项目管理业务-5.资产信息真实性-控制措施03</t>
  </si>
  <si>
    <t>财务部门对固定资产购置价值信息与决算金额一致性进行检查。</t>
  </si>
  <si>
    <t>1.合同；
2.资产卡片清单；
3.转资信息表；
4.验收盘点表；
5.竣工决算报告。</t>
  </si>
  <si>
    <t>各级单位-财务部门-工程财务人员、各级单位-财务部门-负责人</t>
  </si>
  <si>
    <t>项目验收</t>
  </si>
  <si>
    <t>合同交付物雷同或内容不实，验收人员组成不合理，未发现项目存在的问题，造成资源浪费风险。</t>
  </si>
  <si>
    <t>6.项目验收质量</t>
  </si>
  <si>
    <t>验收流程规范性、人员组成合规性、资料准确完整性控制</t>
  </si>
  <si>
    <t>数字化项目管理业务-6.项目验收质量-控制措施01</t>
  </si>
  <si>
    <t>归口管理部门规范验收流程，实行内部交叉验收机制，相互监督制约。</t>
  </si>
  <si>
    <t>1.验收计划；
2.验收报告。</t>
  </si>
  <si>
    <r>
      <rPr>
        <strike/>
        <sz val="10"/>
        <rFont val="方正仿宋_GBK"/>
        <charset val="134"/>
      </rPr>
      <t>各级单位-归口管理部门-项目管理人员、各级单位-归口管理部门-负责人</t>
    </r>
    <r>
      <rPr>
        <sz val="10"/>
        <color rgb="FFFF0000"/>
        <rFont val="方正仿宋_GBK"/>
        <charset val="134"/>
      </rPr>
      <t>、省公司-项目管理中心-项目评审管理专责、省公司-数字化部-项目管理专责</t>
    </r>
  </si>
  <si>
    <r>
      <rPr>
        <sz val="10"/>
        <rFont val="方正仿宋_GBK"/>
        <charset val="134"/>
      </rPr>
      <t>《国家电网有限公司电网数字化项目竣工验收管理规范》（试行）数字计划〔2025〕13号
《国网数字化部关于进一步加强信息系统上下线及检修管理的通知》数字运行〔2024〕54 号</t>
    </r>
    <r>
      <rPr>
        <sz val="10"/>
        <color rgb="FFFF0000"/>
        <rFont val="方正仿宋_GBK"/>
        <charset val="134"/>
      </rPr>
      <t>《国网湖南省电力有限公司数字化项目管理实施细则》（湘电公司数字〔2024〕447号 ）</t>
    </r>
  </si>
  <si>
    <t>增加对应制度及文件名称：《国网湖南省电力有限公司数字化项目管理实施细则》（湘电公司数字〔2024〕447号 ）、《关于进一步加强数字化项目验收管理的通知（试行）》</t>
  </si>
  <si>
    <t>数字化项目管理业务-6.项目验收质量-控制措施02</t>
  </si>
  <si>
    <t>归口管理部门根据项目可研和合同等资料，对项目成果进行审核。</t>
  </si>
  <si>
    <t>1.验收计划；
2.验收报告；
3.项目可研及合同；
4.项目档案资料。</t>
  </si>
  <si>
    <r>
      <rPr>
        <sz val="10"/>
        <rFont val="方正仿宋_GBK"/>
        <charset val="134"/>
      </rPr>
      <t>各级单位-项目承担部门-项目负责人、各级单位-项目承担部门-负责人、各级单位-归口管理部门-</t>
    </r>
    <r>
      <rPr>
        <strike/>
        <sz val="10"/>
        <rFont val="方正仿宋_GBK"/>
        <charset val="134"/>
      </rPr>
      <t>管理部门人员</t>
    </r>
    <r>
      <rPr>
        <sz val="10"/>
        <color rgb="FFFF0000"/>
        <rFont val="方正仿宋_GBK"/>
        <charset val="134"/>
      </rPr>
      <t>项目管理人员</t>
    </r>
    <r>
      <rPr>
        <sz val="10"/>
        <rFont val="方正仿宋_GBK"/>
        <charset val="134"/>
      </rPr>
      <t>、各级单位-归口管理部门-负责人、</t>
    </r>
    <r>
      <rPr>
        <sz val="10"/>
        <color rgb="FFFF0000"/>
        <rFont val="方正仿宋_GBK"/>
        <charset val="134"/>
      </rPr>
      <t>省公司-项目管理中心-评审管理专责</t>
    </r>
  </si>
  <si>
    <r>
      <rPr>
        <sz val="10"/>
        <rFont val="方正仿宋_GBK"/>
        <charset val="134"/>
      </rPr>
      <t xml:space="preserve">《国家电网有限公司电网数字化项目竣工验收管理规范》（试行）数字计划〔2025〕13号
《国网数字化部关于进一步加强信息系统上下线及检修管理的通知》数字运行〔2024〕54 号
</t>
    </r>
    <r>
      <rPr>
        <sz val="10"/>
        <color rgb="FFFF0000"/>
        <rFont val="方正仿宋_GBK"/>
        <charset val="134"/>
      </rPr>
      <t>《国网湖南省电力有限公司数字化项目管理实施细则》（湘电公司数字〔2024〕447号 ）</t>
    </r>
    <r>
      <rPr>
        <sz val="10"/>
        <rFont val="方正仿宋_GBK"/>
        <charset val="134"/>
      </rPr>
      <t xml:space="preserve">
</t>
    </r>
    <r>
      <rPr>
        <sz val="10"/>
        <color rgb="FFFF0000"/>
        <rFont val="方正仿宋_GBK"/>
        <charset val="134"/>
      </rPr>
      <t>《关于进一步加强数字化项目验收管理的通知（试行）》</t>
    </r>
  </si>
  <si>
    <t>增加对应制度及文件、修改主体</t>
  </si>
  <si>
    <t>数字化项目管理业务-6.项目验收质量-控制措施03</t>
  </si>
  <si>
    <t>归口管理部门复核验收组构成合理性，检查业务部门参与。</t>
  </si>
  <si>
    <t>1.验收计划；
2.验收报告（重点查阅验收意见及专家签到表）。</t>
  </si>
  <si>
    <r>
      <rPr>
        <sz val="10"/>
        <rFont val="方正仿宋_GBK"/>
        <charset val="134"/>
      </rPr>
      <t>各级单位-归口管理部门-项目管理人员、各级单位-归口管理部门-负责人、</t>
    </r>
    <r>
      <rPr>
        <sz val="10"/>
        <color rgb="FFFF0000"/>
        <rFont val="方正仿宋_GBK"/>
        <charset val="134"/>
      </rPr>
      <t>省公司-项目管理中心-评审管理专责</t>
    </r>
  </si>
  <si>
    <r>
      <rPr>
        <sz val="10"/>
        <rFont val="方正仿宋_GBK"/>
        <charset val="134"/>
      </rPr>
      <t xml:space="preserve">《国家电网有限公司电网数字化建设管理办法》（国家电网企管〔2020〕849号）
《国家电网有限公司电网数字化项目竣工验收管理规范》（试行）数字计划〔2025〕13号
</t>
    </r>
    <r>
      <rPr>
        <sz val="10"/>
        <color rgb="FFFF0000"/>
        <rFont val="方正仿宋_GBK"/>
        <charset val="134"/>
      </rPr>
      <t>《国网湖南省电力有限公司数字化项目管理实施细则》（湘电公司数字〔2024〕447号 ）</t>
    </r>
  </si>
  <si>
    <t>增加对应制度及文件名称</t>
  </si>
  <si>
    <t>资金资产安全、税务合规</t>
  </si>
  <si>
    <t>项目转资</t>
  </si>
  <si>
    <t>未及时完成转资，造成资产折旧计提延迟，进而引发当期利润虚增、资产账面价值不实及税务合规风险。</t>
  </si>
  <si>
    <t>7.项目转资合规性</t>
  </si>
  <si>
    <t>项目转资及时性，折旧计提准确性控制。</t>
  </si>
  <si>
    <t>数字化项目管理业务-7.项目转资合规性-控制措施01</t>
  </si>
  <si>
    <t>归口管理部门对转资及时性、竣工验收资料完整性和审批流程合规性进行检查。</t>
  </si>
  <si>
    <t>1.合同；
2.项目验收意见。</t>
  </si>
  <si>
    <t>各级单位-归口管理部门-项目管理人员、各级单位-归口管理部门-负责人</t>
  </si>
  <si>
    <t>《国家电网有限公司电网数字化项目竣工验收管理规范（试行）》（数字计划〔2025〕13号）
《国家电网有限公司工程财务管理办法》（国家电网企管〔2023〕28号）</t>
  </si>
  <si>
    <t>数字化项目管理业务-7.项目转资合规性-控制措施02</t>
  </si>
  <si>
    <t>财务部门负责资产卡片计提折旧的检查。</t>
  </si>
  <si>
    <t>1.固定资产卡片清单。</t>
  </si>
  <si>
    <t>各级单位-财务部门-资产管理人员、各级单位-财务部门-负责人</t>
  </si>
  <si>
    <t>科技项目管理业务</t>
  </si>
  <si>
    <t>项目储备及立项</t>
  </si>
  <si>
    <t>未依据科技规划及公司实际需求，项目储备存在偏离主业与战略方向，重复立项风险。</t>
  </si>
  <si>
    <r>
      <rPr>
        <b/>
        <sz val="10"/>
        <rFont val="方正仿宋_GBK"/>
        <charset val="134"/>
      </rPr>
      <t>42.研究开发项目管理不规范：</t>
    </r>
    <r>
      <rPr>
        <sz val="10"/>
        <rFont val="方正仿宋_GBK"/>
        <charset val="134"/>
      </rPr>
      <t>存在专利申请时间早于项目开始时间；复用以前年度科技项目的研究内容。</t>
    </r>
  </si>
  <si>
    <t>8.储备立项的程序</t>
  </si>
  <si>
    <t>项目储备规范化、精益化。</t>
  </si>
  <si>
    <t>科技项目管理业务-8.储备立项的程序-控制措施01</t>
  </si>
  <si>
    <t>科技部门建立项目查重机制，避免重复储备和立项。</t>
  </si>
  <si>
    <t>科技项目管理系统（一体化创新平台）</t>
  </si>
  <si>
    <t>1.项目库；
2.可研报告/项目建议书；
3.评审意见表。</t>
  </si>
  <si>
    <t>各级单位-科技部门-管理人员</t>
  </si>
  <si>
    <t>全量</t>
  </si>
  <si>
    <r>
      <rPr>
        <sz val="10"/>
        <rFont val="方正仿宋_GBK"/>
        <charset val="134"/>
      </rPr>
      <t xml:space="preserve">《国家电网有限公司科技项目管理办法》国家电网企管〔2024〕71号
《国家电网有限公司科技项目储备库管理细则》国家电网企管〔2019〕429号
</t>
    </r>
    <r>
      <rPr>
        <sz val="10"/>
        <color rgb="FFFF0000"/>
        <rFont val="方正仿宋_GBK"/>
        <charset val="134"/>
      </rPr>
      <t xml:space="preserve">《国网湖南省电力有限公司关于印发进一步加强科技项目全过程管理具体举措》湘电公司科〔2025〕239号 </t>
    </r>
  </si>
  <si>
    <t>国网科技部</t>
  </si>
  <si>
    <t>科技项目管理业务-8.储备立项的程序-控制措施02</t>
  </si>
  <si>
    <t>科技部门建立项目论证机制，避免项目偏离主业和战略方向。</t>
  </si>
  <si>
    <t>1.项目库；
2.可研报告；
3.可研评审意见以及批复。</t>
  </si>
  <si>
    <t>各级单位-科技部门-负责人</t>
  </si>
  <si>
    <t>项目计划未根据项目实际进展情况及时调整，导致合同执行不到位等合规风险。</t>
  </si>
  <si>
    <t>9.计划调整及时性</t>
  </si>
  <si>
    <t>项目计划预算安排与项目实际进度的一致性。</t>
  </si>
  <si>
    <t>科技项目管理业务-9.计划调整及时性-控制措施01</t>
  </si>
  <si>
    <t>科技项目承担部门根据外部环境和项目实施情况，及时申请调整。</t>
  </si>
  <si>
    <t>1.项目实施材料；
2.合同；
3.项目立项文件；
4.经费变更申请表、科技项目责任书、科技项目变更申请表等调整文件。</t>
  </si>
  <si>
    <t>各级单位-科技项目承担部门-项目负责人、各级单位-科技项目承担部门-负责人、各级单位-科技部门-管理人员、各级单位-科技部门-负责人、各级单位-发展部门-管理人员、各级单位-发展部门-负责人、各级单位-财务部门-预算管理人员、各级单位-财务部门-负责人</t>
  </si>
  <si>
    <t>预算编制及调整</t>
  </si>
  <si>
    <r>
      <rPr>
        <sz val="10"/>
        <rFont val="方正仿宋_GBK"/>
        <charset val="134"/>
      </rPr>
      <t xml:space="preserve">《国家电网有限公司科技项目管理办法》国家电网企管〔2024〕71号    
《国家电网公司科技项目预算编制实施细则》国家电网企管〔2017〕1066号
《国家电网有限公司总部管理科技项目实施及验收管理细则》国家电网企管〔2024〕71号
</t>
    </r>
    <r>
      <rPr>
        <sz val="10"/>
        <color rgb="FFFF0000"/>
        <rFont val="方正仿宋_GBK"/>
        <charset val="134"/>
      </rPr>
      <t xml:space="preserve">《国网湖南省电力有限公司关于印发进一步加强科技项目全过程管理具体举措》湘电公司科〔2025〕239号 </t>
    </r>
  </si>
  <si>
    <t>科技项目管理业务-9.计划调整及时性-控制措施02</t>
  </si>
  <si>
    <t>外部环境和项目本身情况发生重大变化，未按规定及时调整投资方案并采取止损措施的，按照中央企业违规经营管理办法追究责任。</t>
  </si>
  <si>
    <t>1.项目实施材料；
2.合同；
3.项目立项文件；
4.调整文件。</t>
  </si>
  <si>
    <t>各级单位-科技项目承担部门-项目负责人、各级单位-科技项目承担部门-负责人、各级单位-科技部门-管理人员、各级单位-科技部门-负责人</t>
  </si>
  <si>
    <r>
      <rPr>
        <sz val="10"/>
        <rFont val="方正仿宋_GBK"/>
        <charset val="134"/>
      </rPr>
      <t xml:space="preserve">《国家电网有限公司科技项目管理办法》国家电网企管〔2024〕71号    
《国家电网有限公司总部管理科技项目实施工作指南(2026年版)》
《国家电网有限公司总部管理科技项目实施及验收管理细则》国家电网企管〔2024〕71号
《中央企业违规经营投资责任追究实施办法》国务院国资委令第46号
</t>
    </r>
    <r>
      <rPr>
        <sz val="10"/>
        <color rgb="FFFF0000"/>
        <rFont val="方正仿宋_GBK"/>
        <charset val="134"/>
      </rPr>
      <t xml:space="preserve">《国网湖南省电力有限公司关于印发进一步加强科技项目全过程管理具体举措》湘电公司科〔2025〕239号 </t>
    </r>
  </si>
  <si>
    <t>成本入账与进度结算金额不符，项目审核缺位，易引发提前或滞后确认项目成本风险。</t>
  </si>
  <si>
    <r>
      <rPr>
        <b/>
        <sz val="10"/>
        <rFont val="方正仿宋_GBK"/>
        <charset val="134"/>
      </rPr>
      <t>5.会计信息不准确：</t>
    </r>
    <r>
      <rPr>
        <sz val="10"/>
        <rFont val="方正仿宋_GBK"/>
        <charset val="134"/>
      </rPr>
      <t>存在虚增隐瞒收入、虚增减成本费用、隐瞒负债、少计应付账款或借款、收入成本不匹配、收入和成本确认不及时或不准确等问题。</t>
    </r>
    <r>
      <rPr>
        <b/>
        <sz val="10"/>
        <rFont val="方正仿宋_GBK"/>
        <charset val="134"/>
      </rPr>
      <t xml:space="preserve">
25.结算不准确，多结算工程款：</t>
    </r>
    <r>
      <rPr>
        <sz val="10"/>
        <rFont val="方正仿宋_GBK"/>
        <charset val="134"/>
      </rPr>
      <t>存在费用多计（甲供物资、施工费、监理费、监造费、设计费、其他费用及税金等定额套用错误）、工程保险费等费用重复计列、部分服务内容（可研、设计、结算等）未全部开展但全额计列费用、无正当理由变更初始合同计价规则并调增劳务分包费、重复结算人工费用、超标准列支人工费和外委研究支出等问题。</t>
    </r>
  </si>
  <si>
    <t>10.入账成本准确性</t>
  </si>
  <si>
    <t>报账金额准确性、成本支出真实性</t>
  </si>
  <si>
    <t>科技项目管理业务-10.入账成本准确性-控制措施01</t>
  </si>
  <si>
    <t>项目承担部门严格按合同约定管控项目执行进度，根据实际进度办理入账流程。</t>
  </si>
  <si>
    <r>
      <rPr>
        <sz val="10"/>
        <rFont val="方正仿宋_GBK"/>
        <charset val="134"/>
      </rPr>
      <t>1.报账单；  
2.合同；</t>
    </r>
    <r>
      <rPr>
        <strike/>
        <sz val="10"/>
        <rFont val="方正仿宋_GBK"/>
        <charset val="134"/>
      </rPr>
      <t xml:space="preserve">
</t>
    </r>
    <r>
      <rPr>
        <sz val="10"/>
        <rFont val="方正仿宋_GBK"/>
        <charset val="134"/>
      </rPr>
      <t>3.进度确认单；
4.技术合同相关登记、认定材料。</t>
    </r>
  </si>
  <si>
    <t>各级单位-科技项目承担部门-项目负责人、各级单位-科技项目承担部门-负责人、各级单位-科技部门-管理人员、各级单位-科技部门-负责人、各级单位-财务部门-成本管理人员、各级单位-财务部门-负责人</t>
  </si>
  <si>
    <t>在报账单提交环节，检查报账金额与项目实际结算金额、发票金额是否一致；若不一致，系统自动预警并反馈经办人，经办人修改后可重新提交。</t>
  </si>
  <si>
    <t>实时</t>
  </si>
  <si>
    <r>
      <rPr>
        <sz val="10"/>
        <rFont val="方正仿宋_GBK"/>
        <charset val="134"/>
      </rPr>
      <t xml:space="preserve">《研发经费投入统计与核算管理规范》国家电网财〔2025〕25 号
《国家电网公司研究开发费财务管理办法》国家电网企管〔2014〕742号
《国家电网公司科技预算项目实施细则》国家电网企管（2017）1066号
</t>
    </r>
    <r>
      <rPr>
        <sz val="10"/>
        <color rgb="FFFF0000"/>
        <rFont val="方正仿宋_GBK"/>
        <charset val="134"/>
      </rPr>
      <t xml:space="preserve">《国网湖南省电力有限公司关于印发进一步加强科技项目全过程管理具体举措》湘电公司科〔2025〕239号 </t>
    </r>
  </si>
  <si>
    <t>国网科技部、国网
财务部</t>
  </si>
  <si>
    <t>科技项目管理业务-10.入账成本准确性-控制措施02</t>
  </si>
  <si>
    <t>项目承担部门负责核查研发费用明细，杜绝研发费用与日常经费混淆列支、规范专家咨询费等人工成本按标准列支、审核专利费用承担主体与合同约定完全一致。</t>
  </si>
  <si>
    <t>项目费用支出明细清单及相关资料。</t>
  </si>
  <si>
    <t>科技项目管理业务-10.入账成本准确性-控制措施03</t>
  </si>
  <si>
    <t>财务部门对成本报账单金额与结算金额、发票金额一致性、合规性，列支范围准确性进行审核。</t>
  </si>
  <si>
    <t>发票、报账单、合同、服务确认单。</t>
  </si>
  <si>
    <t>各级单位-科技项目承担部门-项目负责人、各级单位-科技项目承担部门-负责人、各级单位-科技部门-管理人员、各级单位-财务部门-成本管理人员</t>
  </si>
  <si>
    <t>在报账单入账审核环节，检查报账金额与项目实际结算金额、发票金额是否一致；若不一致，系统自动预警并反馈经办人，经办人修改后可重新提交。</t>
  </si>
  <si>
    <t>研发加计扣除</t>
  </si>
  <si>
    <t>加计扣除项目界定不准确，导致公司面临税务合规风险。</t>
  </si>
  <si>
    <t>11.研发项目加计扣除合规性</t>
  </si>
  <si>
    <t>研发支出加计扣除准确性、合规性。</t>
  </si>
  <si>
    <t>科技项目管理业务-11.研发项目加计扣除合规性-控制措施01</t>
  </si>
  <si>
    <t>项目承担部门对项目是否属于新技术、新产品、新工艺等符合条件的研发活动进行判断，为准确申报研发费用加计扣除提供依据。</t>
  </si>
  <si>
    <t>1.任务书；
2.合同；
3.发票；
4.技术合同相关登记、认定材料；
5.研发成果佐证资料；
6.关联交易明细账。</t>
  </si>
  <si>
    <t>各级单位-科技项目承担部门-项目负责人、各级单位-科技部门-管理人员</t>
  </si>
  <si>
    <r>
      <rPr>
        <sz val="10"/>
        <rFont val="方正仿宋_GBK"/>
        <charset val="134"/>
      </rPr>
      <t xml:space="preserve">《研发费用加计扣除政策执行指引（2.0版）》
《国家电网公司研究开发费财务管理办法》国家电网企管〔2014〕742号
</t>
    </r>
    <r>
      <rPr>
        <sz val="10"/>
        <color rgb="FFFF0000"/>
        <rFont val="方正仿宋_GBK"/>
        <charset val="134"/>
      </rPr>
      <t>《国网湖南电力科网部关于加强研究开发项目合同认定登记工作的通知》</t>
    </r>
  </si>
  <si>
    <t>科技项目管理业务-11.研发项目加计扣除合规性-控制措施02</t>
  </si>
  <si>
    <t>项目承担部门负责提供研发成果佐证资料和技术合同相关登记、认定材料。</t>
  </si>
  <si>
    <t>各级单位-科技项目承担部门-项目负责人</t>
  </si>
  <si>
    <t>科技项目管理业务-11.研发项目加计扣除合规性-控制措施03</t>
  </si>
  <si>
    <t>财务部门根据政府科技主管部门出具的技术合同相关登记、认定材料和第三方审计机构出具的专项鉴定报告，对研发加计扣除金额进行复核计算。</t>
  </si>
  <si>
    <t>各级单位-财务部门-税务管理人员、各级单位-财务部门-负责人</t>
  </si>
  <si>
    <t>建立研发项目准确合规享受加计扣除监督场景，加计扣除整体情况及明细进行监督展示。</t>
  </si>
  <si>
    <t>《研发费用加计扣除政策执行指引（2.0版）》
《国家电网公司研究开发费财务管理办法》国家电网企管〔2014〕742号</t>
  </si>
  <si>
    <t>研发投入统计</t>
  </si>
  <si>
    <t>研发费用与生产、管理费用边界模糊，未通过“研发支出”科目核算，存在研发投入统计不准确风险。</t>
  </si>
  <si>
    <r>
      <rPr>
        <b/>
        <sz val="10"/>
        <rFont val="方正仿宋_GBK"/>
        <charset val="134"/>
      </rPr>
      <t>43.研究开发项目关键环节管控不严：</t>
    </r>
    <r>
      <rPr>
        <sz val="10"/>
        <rFont val="方正仿宋_GBK"/>
        <charset val="134"/>
      </rPr>
      <t>存在研究开发项目项目自主度不高，外委比例过高；研发经费统计不精准；科研经费列支不正确；采取组装、集成、套牌贴牌等手段，虚假完成攻关任务等问题。</t>
    </r>
  </si>
  <si>
    <t>12.研发费用核算与分摊准确性</t>
  </si>
  <si>
    <t>研发投入核算准确性、规范性。</t>
  </si>
  <si>
    <t>科技项目管理业务-12.研发费用核算与分摊准确性-控制措施01</t>
  </si>
  <si>
    <t>各项目承担部门根据项目立项信息及实际情况，负责识别本专业管理项目的研发属性，并对合理性负责，维护“研发项目分类”“学科领域及研究方向”数据标签。</t>
  </si>
  <si>
    <t>智慧共享财务平台
科技创新综合服务管理平台</t>
  </si>
  <si>
    <t>1.各类项目清单；
2.项目建议书或可研报告；
3.任务书。</t>
  </si>
  <si>
    <t>预算发布校验研发投入相关字段必填性。</t>
  </si>
  <si>
    <r>
      <rPr>
        <sz val="10"/>
        <rFont val="方正仿宋_GBK"/>
        <charset val="134"/>
      </rPr>
      <t xml:space="preserve">《研发经费投入统计与核算管理规范》国家电网财〔2025〕25 号
《中央企业违规经营投资责任追究实施办法》国务院国资委令第46号
</t>
    </r>
    <r>
      <rPr>
        <sz val="10"/>
        <color rgb="FFFF0000"/>
        <rFont val="方正仿宋_GBK"/>
        <charset val="134"/>
      </rPr>
      <t>《国网湖南省电力有限公司关于进一步做好研发经费投入统计与核算管理工作》湘电公司财〔2025〕126号　</t>
    </r>
  </si>
  <si>
    <t>科技项目管理业务-12.研发费用核算与分摊准确性-控制措施02</t>
  </si>
  <si>
    <t>对项目管理部门科技研发投入统计不实，虚列虚报研发投入的，依照中央企业违规经营投资管理办法追究责任。</t>
  </si>
  <si>
    <t>各级单位-科技部门-管理人员、各级单位-科技部门-负责人</t>
  </si>
  <si>
    <t>研发项目核算</t>
  </si>
  <si>
    <t>各级统一管理的科技项目，牵头方、受托方、委托方项目信息不一致，可能导致项目投入统计不准确。</t>
  </si>
  <si>
    <t>13.内部受托研发项目三方信息一致性控制</t>
  </si>
  <si>
    <t>内部受托项目牵头方、委托方、受托方项目信息的一致性。</t>
  </si>
  <si>
    <t>科技项目管理业务-13.内部受托研发项目三方信息一致性-控制措施01</t>
  </si>
  <si>
    <t>牵头方单位负责牵头创建内部受委托项目，并建立内部项目管理共享机制，项目同步传递至受托方并系统控制，受托方不再单独建项。</t>
  </si>
  <si>
    <t>科技创新综合服务管理平台</t>
  </si>
  <si>
    <t>1.科技创新综合服务管理平台项目台账；
2.项目可研批复；
3.项目任务书及合同。</t>
  </si>
  <si>
    <t>建立内部受委托方项目关联关系，通过牵头方项目可穿透查询受委托方项目及项目的结算、牵头方项目编码自动关联形成协同单据及凭证，对项目信息的一致性进行提示。</t>
  </si>
  <si>
    <r>
      <rPr>
        <sz val="10"/>
        <rFont val="方正仿宋_GBK"/>
        <charset val="134"/>
      </rPr>
      <t xml:space="preserve">《研发经费投入统计与核算管理规范》国家电网财〔2025〕25 号
</t>
    </r>
    <r>
      <rPr>
        <sz val="10"/>
        <color rgb="FFFF0000"/>
        <rFont val="方正仿宋_GBK"/>
        <charset val="134"/>
      </rPr>
      <t>《国网湖南省电力有限公司关于进一步做好研发经费投入统计与核算管理工作》湘电公司财〔2025〕126号　</t>
    </r>
  </si>
  <si>
    <t>验收不规范，存在研究开发项目未按期完成，未按项目任务书约定取得相关成果的风险。</t>
  </si>
  <si>
    <t>14.项目验收质量</t>
  </si>
  <si>
    <t>验收流程规范及项目质量。</t>
  </si>
  <si>
    <t>科技项目管理业务-14项目验收质量-控制措施01</t>
  </si>
  <si>
    <t>项目承担部门按规定履行项目验收程序，依据计划开展验收。</t>
  </si>
  <si>
    <t>验收计划。</t>
  </si>
  <si>
    <r>
      <rPr>
        <sz val="10"/>
        <rFont val="方正仿宋_GBK"/>
        <charset val="134"/>
      </rPr>
      <t xml:space="preserve">《国家电网有限公司总部管理科技项目实施及验收管理细则》国家电网企管〔2024〕71号
</t>
    </r>
    <r>
      <rPr>
        <sz val="10"/>
        <color rgb="FFFF0000"/>
        <rFont val="方正仿宋_GBK"/>
        <charset val="134"/>
      </rPr>
      <t xml:space="preserve">《国网湖南省电力有限公司关于印发进一步加强科技项目全过程管理具体举措》湘电公司科〔2025〕239号 </t>
    </r>
  </si>
  <si>
    <t>科技项目管理业务-14项目验收质量-控制措施02</t>
  </si>
  <si>
    <t>科技部门组织对项目完成情况进行审核。</t>
  </si>
  <si>
    <t>1.验收报告；
2.项目任务书及合同。</t>
  </si>
  <si>
    <t>科技项目管理业务-14项目验收质量-控制措施03</t>
  </si>
  <si>
    <t>科技部门负责选取评审专家、审核专家资质并实施不相容岗位控制。</t>
  </si>
  <si>
    <t>验收专家名单。</t>
  </si>
  <si>
    <t>专家推荐</t>
  </si>
  <si>
    <t>科技成果转化</t>
  </si>
  <si>
    <t>联合研发、外委研发中对知识产权归属界定不清晰，研发成果转化程序不合规，导致研发成果流失。</t>
  </si>
  <si>
    <r>
      <rPr>
        <b/>
        <sz val="10"/>
        <rFont val="方正仿宋_GBK"/>
        <charset val="134"/>
      </rPr>
      <t>41.科技成果转化应用机制和知识产权对外保护机制落实不到位：</t>
    </r>
    <r>
      <rPr>
        <sz val="10"/>
        <rFont val="方正仿宋_GBK"/>
        <charset val="134"/>
      </rPr>
      <t>存在部分单位对公司促进科技成果转化的部署要求落实不到位、未按规定收取研究开发项目成果转化收益、未经许可擅自允许分包商作为共同专利权人、知识产权变更缺少管控等问题。</t>
    </r>
    <r>
      <rPr>
        <b/>
        <sz val="10"/>
        <rFont val="方正仿宋_GBK"/>
        <charset val="134"/>
      </rPr>
      <t xml:space="preserve">
44.知识产权对外保护机制落实不到位：</t>
    </r>
    <r>
      <rPr>
        <sz val="10"/>
        <rFont val="方正仿宋_GBK"/>
        <charset val="134"/>
      </rPr>
      <t>存在未经许可擅自允许分包商作为共同专利权人、知识产权变更缺少管控等问题。</t>
    </r>
    <r>
      <rPr>
        <b/>
        <sz val="10"/>
        <rFont val="方正仿宋_GBK"/>
        <charset val="134"/>
      </rPr>
      <t xml:space="preserve">
51.项目专利未得到有效保护：</t>
    </r>
    <r>
      <rPr>
        <sz val="10"/>
        <rFont val="方正仿宋_GBK"/>
        <charset val="134"/>
      </rPr>
      <t>存在未严格管控合作方注册专利、未经许可擅自允许分包商参与专利申请等问题。</t>
    </r>
  </si>
  <si>
    <t>15.科研成果权属保护有效性</t>
  </si>
  <si>
    <t>知识产权归属及成果转化价值。</t>
  </si>
  <si>
    <t>科技项目管理业务-15科研成果权属保护有效性-控制措施01</t>
  </si>
  <si>
    <t>项目承担部门在合同签订时明确知识产权、专利技术等科技成果权属，做好科研成果的保护。</t>
  </si>
  <si>
    <t>1.转化协议及收益收取等材料；
2.专利授权文本。</t>
  </si>
  <si>
    <r>
      <rPr>
        <sz val="10"/>
        <rFont val="方正仿宋_GBK"/>
        <charset val="134"/>
      </rPr>
      <t xml:space="preserve">《国家电网公司知识产权管理办法》国网（科/2）418-2022
《国家电网公司科技成果转化管理办法》国网（科/2）419-2022
</t>
    </r>
    <r>
      <rPr>
        <sz val="10"/>
        <color rgb="FFFF0000"/>
        <rFont val="方正仿宋_GBK"/>
        <charset val="134"/>
      </rPr>
      <t>《国网湖南省电力有限公司创新成果转化及应用管理实施细则》湘电公司科〔2024〕431号</t>
    </r>
  </si>
  <si>
    <t>科技项目管理业务-15科研成果权属保护有效性-控制措施02</t>
  </si>
  <si>
    <t>项目承担部门严格落实科技成果转化合同有关条款，避免相关收益流失。</t>
  </si>
  <si>
    <t>科技项目管理业务-15科研成果权属保护有效性-控制措施03</t>
  </si>
  <si>
    <t>科技部门对知识产权归属及成果转化价值进行评价和监督。</t>
  </si>
  <si>
    <t>科技项目管理业务-15科研成果权属保护有效性-控制措施04</t>
  </si>
  <si>
    <t>科技部门对知识产权的价值进行定期评估，对低价值专利定期放弃维护。</t>
  </si>
  <si>
    <t xml:space="preserve">
1.专利评估结果</t>
  </si>
  <si>
    <t>《国家电网公司知识产权管理办法》国网（科/2）418-2022
《国家电网公司科技成果转化管理办法》国网（科/2）419-2022</t>
  </si>
  <si>
    <t>新增控制措施</t>
  </si>
  <si>
    <t xml:space="preserve">
 增加对应制度及文件名称：《国网湖南省电力有限公司数字化项目管理实施细则》（湘电公司数字〔2024〕447号 ）</t>
  </si>
  <si>
    <t>修改控制方式，修改控制系统，修改控制载体，修改责任主体，补充制度，数字化监督场景</t>
  </si>
  <si>
    <t>修改责任主体，补充制度</t>
  </si>
  <si>
    <t xml:space="preserve">
 增加对应制度及文件名称：《国网湖南省电力有限公司数字化项目管理实施细则》（湘电公司数字〔2024〕447号 ）
</t>
  </si>
  <si>
    <t>需求论证会发现的典型问题有：（对应新增控制措施1-05）
一是建设成效不足，普遍采用“提升效率”等模糊词汇描述预期成果，实际项目未对公司财务提质增效、机构编制精干、减员增效等方面产生实质性效益；二是建设依据不足，所依据的文件与本项目的建设内容缺乏直接关联，难以支撑立项合理性；三是跨专业协同不足，各部门仅从自身视角提出需求，忽视了与其他系统的数据贯通与流程衔接，导致重复建设与数据孤岛问题。</t>
  </si>
  <si>
    <t>新增控制措施及对增加对应制度及文件名称：《国网湖南省电力有限公司关于加强
数字化项目前期管理的指导意见（试行）》</t>
  </si>
  <si>
    <r>
      <rPr>
        <sz val="10"/>
        <rFont val="方正仿宋_GBK"/>
        <charset val="134"/>
      </rPr>
      <t>各级单位-项目承担部门-项目负责人、各级单位-项目承担部门-负责人、各级单位-归口管理部门-计划管理人员、各级单位-归口管理部门-负责人、各级单位-财务部门-预算管理人员、各级单位-财务部门-负责人、</t>
    </r>
    <r>
      <rPr>
        <strike/>
        <sz val="10"/>
        <color rgb="FF00B0F0"/>
        <rFont val="方正仿宋_GBK"/>
        <charset val="134"/>
      </rPr>
      <t>省公司-数字化部-规划技术处处长</t>
    </r>
  </si>
  <si>
    <r>
      <rPr>
        <sz val="10"/>
        <rFont val="方正仿宋_GBK"/>
        <charset val="134"/>
      </rPr>
      <t>各级单位-项目承担部门-项目负责人、各级单位-项目承担部门-负责人、各级单位-归口管理部门-计划管理人员、各级单位-归口管理部门-负责人、各级单位-财务部门-预算管理人员、各级单位-财务部门-负责人、各级单位-发展部门-综合计划管理人员、各级单位-发展部门-负责人、</t>
    </r>
    <r>
      <rPr>
        <sz val="10"/>
        <color rgb="FFFF0000"/>
        <rFont val="方正仿宋_GBK"/>
        <charset val="134"/>
      </rPr>
      <t>省公司-数字化部-项目管理专责</t>
    </r>
  </si>
  <si>
    <r>
      <rPr>
        <sz val="10"/>
        <rFont val="方正仿宋_GBK"/>
        <charset val="134"/>
      </rPr>
      <t>各级单位-项目承担部门-项目负责人、各级单位-项目承担部门-负责人、各级单位-归口管理部门-计划管理人员、各级单位-归口管理部门-负责人、各级单位-财务部门-预算管理人员、各级单位-财务部门-负责人、各级单位-发展部门-综合计划管理人员、各级单位-发展部门-负责人、</t>
    </r>
    <r>
      <rPr>
        <sz val="10"/>
        <color rgb="FFFF0000"/>
        <rFont val="方正仿宋_GBK"/>
        <charset val="134"/>
      </rPr>
      <t>省公司-数字化部-计划建设处处长</t>
    </r>
  </si>
  <si>
    <t>增加对应制度及文件名称：《国网湖南省电力有限公司数字化项目管理实施细则》（湘电公司数字〔2024〕447号 ）、《国网湖南信通公司数字化项目发票入账与资金支付操作手册》（湘电信通函〔2025〕22号）</t>
  </si>
  <si>
    <t>补充制度</t>
  </si>
  <si>
    <t>增加对应制度及文件名称：《国网湖南省电力有限公司数字化项目管理实施细则》（湘电公司数字〔2024〕447号 ）</t>
  </si>
  <si>
    <t>修改控制措施，修改责任主体</t>
  </si>
  <si>
    <r>
      <rPr>
        <sz val="10"/>
        <rFont val="方正仿宋_GBK"/>
        <charset val="134"/>
      </rPr>
      <t>各级单位-使用保管部门-使用保管人员、各级单位-使用保管部门-负责人、各级单位-实物管理部门-设备管理人员、各级单位-实物管理部门-负责人、</t>
    </r>
    <r>
      <rPr>
        <sz val="10"/>
        <color rgb="FFFF0000"/>
        <rFont val="方正仿宋_GBK"/>
        <charset val="134"/>
      </rPr>
      <t>省公司-数字化部-信息运行专责</t>
    </r>
  </si>
  <si>
    <r>
      <rPr>
        <sz val="10"/>
        <rFont val="方正仿宋_GBK"/>
        <charset val="134"/>
      </rPr>
      <t>各级单位-归口管理部门-项目管理人员、各级单位-归口管理部门-负责人</t>
    </r>
    <r>
      <rPr>
        <sz val="10"/>
        <color rgb="FFFF0000"/>
        <rFont val="方正仿宋_GBK"/>
        <charset val="134"/>
      </rPr>
      <t>、省公司-数字化部-项目管理专责</t>
    </r>
  </si>
  <si>
    <r>
      <rPr>
        <sz val="10"/>
        <rFont val="方正仿宋_GBK"/>
        <charset val="134"/>
      </rPr>
      <t>各级单位-项目承担部门-项目负责人、各级单位-项目承担部门-负责人、各级单位-归口管理部门-管理部门人员、各级单位-归口管理部门-负责人、</t>
    </r>
    <r>
      <rPr>
        <sz val="10"/>
        <color rgb="FFFF0000"/>
        <rFont val="方正仿宋_GBK"/>
        <charset val="134"/>
      </rPr>
      <t>省公司-项目管理中心-评审管理专责</t>
    </r>
  </si>
  <si>
    <r>
      <rPr>
        <sz val="10"/>
        <rFont val="方正仿宋_GBK"/>
        <charset val="134"/>
      </rPr>
      <t>各级单位-归口管理部门-项目管理人员、各级单位-归口管理部门-负责人、</t>
    </r>
    <r>
      <rPr>
        <sz val="10"/>
        <color rgb="FFFF0000"/>
        <rFont val="方正仿宋_GBK"/>
        <charset val="134"/>
      </rPr>
      <t>省公司-项目管理中心项目-评审管理专责（200万元及以上项目）</t>
    </r>
  </si>
  <si>
    <t>1、</t>
  </si>
  <si>
    <t>1、数字化项目管理业务-1.储备立项的程序控制-控制措施05归口管理部门对需求统筹进行评审。新建信息系统（功能模块）的设计开发类需求需进行需求论证
2、科技项目管理业务-15科研成果权属保护有效性-控制措施04科技部门对知识产权的价值进行定期评估，对低价值专利定期放弃维护。</t>
  </si>
  <si>
    <t>2、</t>
  </si>
  <si>
    <t>A</t>
  </si>
  <si>
    <t>3、</t>
  </si>
  <si>
    <t>6、</t>
  </si>
  <si>
    <t>《国网湖南省电力有限公司数字化项目管理实施细则》（湘电公司数字〔2024〕447号 ）</t>
  </si>
  <si>
    <t>1、《国网湖南省电力有限公司数字化项目管理实施细则》（湘电公司数字〔2024〕447号 ）
2、《关于进一步加强数字化项目验收管理的通知（试行）》
3、《国网湖南省电力有限公司关于加强
数字化项目前期管理的指导意见（试行）》
4、
5、
6、
7、
8、
9、</t>
  </si>
  <si>
    <t>12、</t>
  </si>
  <si>
    <t>《关于进一步加强数字化项目验收管理的通知（试行）》</t>
  </si>
  <si>
    <t>5、</t>
  </si>
  <si>
    <t>4、</t>
  </si>
  <si>
    <t>9、</t>
  </si>
  <si>
    <t>7、</t>
  </si>
  <si>
    <t>10、</t>
  </si>
  <si>
    <t>8、</t>
  </si>
  <si>
    <t>11、</t>
  </si>
  <si>
    <t>1、数字化项目管理业务-4.专业分包比例合规性-控制措施03归口管理部门建立“总包-分包”合同穿透链路，通过合同与项目的关联查看总包单位为系统内单位的业主单位、总包单位、分包单位的对应关系。
数字化部负责落实公司电网数字化项目分包管理制度，建立健全本单位电网数字化项目分包管理机制。
2、数字化项目管理业务-4.专业分包比例合规性-控制措施04归口管理部门建立“总包-分包”人员的穿透链路，核查总包单位为系统内单位的项目团队成员单位信息，分析人员隶属是否遵循合同约定。
数字化部负责本单位电网数字化项目分包工作的督导和检查。
3、数字化项目管理业务-5.资产信息真实性-控制措施02实物管理部门数字化部定期开展实物盘点，核对设备台账与现场实物的一致性。</t>
  </si>
  <si>
    <t>数字化项目管理微应用</t>
  </si>
  <si>
    <t>1.需求报告；
2.历史项目应用评价；
3.数字化项目统筹清单。</t>
  </si>
  <si>
    <r>
      <rPr>
        <sz val="10"/>
        <rFont val="方正仿宋_GBK"/>
        <charset val="134"/>
      </rPr>
      <t>各级单位-项目承担部门-项目负责人、各级单位-项目承担部门-负责人、各级单位-归口管理部门-项目管理人员、各级单位-归口管理部门-负责人、</t>
    </r>
    <r>
      <rPr>
        <sz val="10"/>
        <color rgb="FFFF0000"/>
        <rFont val="方正仿宋_GBK"/>
        <charset val="134"/>
      </rPr>
      <t>省公司-数字化部-规划技术处处长</t>
    </r>
  </si>
  <si>
    <r>
      <rPr>
        <sz val="10"/>
        <rFont val="方正仿宋_GBK"/>
        <charset val="134"/>
      </rPr>
      <t xml:space="preserve">各级单位-项目需求部门-需求提报人、各级单位-项目需求部门-负责人、各级单位-归口管理部门-项目管理人员、各级单位-归口管理部门-负责人、
</t>
    </r>
    <r>
      <rPr>
        <sz val="10"/>
        <color rgb="FFFF0000"/>
        <rFont val="方正仿宋_GBK"/>
        <charset val="134"/>
      </rPr>
      <t>省公司-数字化部-规划技术处处长</t>
    </r>
  </si>
  <si>
    <r>
      <rPr>
        <sz val="10"/>
        <rFont val="方正仿宋_GBK"/>
        <charset val="134"/>
      </rPr>
      <t>各级单位-项目承担部门-项目负责人、各级单位-项目承担部门-负责人、各级单位-归口管理部门-计划管理人员、各级单位-归口管理部门-负责人、各级单位-财务部门-预算管理人员、各级单位-财务部门-负责人、</t>
    </r>
    <r>
      <rPr>
        <sz val="10"/>
        <color rgb="FFFF0000"/>
        <rFont val="方正仿宋_GBK"/>
        <charset val="134"/>
      </rPr>
      <t>省公司-数字化部-规划技术处处长</t>
    </r>
  </si>
  <si>
    <r>
      <rPr>
        <sz val="10"/>
        <rFont val="方正仿宋_GBK"/>
        <charset val="134"/>
      </rPr>
      <t>各级单位-项目承担部门-项目负责人、各级单位-项目承担部门-负责人、各级单位-归口管理部门-管理部门人员、各级单位-归口管理部门-负责人、</t>
    </r>
    <r>
      <rPr>
        <sz val="10"/>
        <color rgb="FFFF0000"/>
        <rFont val="方正仿宋_GBK"/>
        <charset val="134"/>
      </rPr>
      <t>省公司-数字化部-项目管理专责</t>
    </r>
  </si>
  <si>
    <r>
      <rPr>
        <sz val="10"/>
        <rFont val="方正仿宋_GBK"/>
        <charset val="134"/>
      </rPr>
      <t>各级单位-归口管理部门-项目管理人员、各级单位-归口管理部门-负责人、</t>
    </r>
    <r>
      <rPr>
        <sz val="10"/>
        <color rgb="FFFF0000"/>
        <rFont val="方正仿宋_GBK"/>
        <charset val="134"/>
      </rPr>
      <t>省公司-数字化部-数字化项目管理中心项目评审管理专责（200万元及以上项目）</t>
    </r>
  </si>
  <si>
    <t>各级单位-项目需求部门-需求提报人、各级单位-项目需求部门-负责人、各级单位-归口管理部门-项目管理人员、各级单位-归口管理部门-负责人</t>
  </si>
  <si>
    <t>各级单位-项目承担部门-项目负责人、各级单位-项目承担部门-负责人、各级单位-归口管理部门-项目管理人员、各级单位-归口管理部门-负责人</t>
  </si>
  <si>
    <t>各级单位-项目需求部门-需求提报人、各级单位-项目需求部门-负责人</t>
  </si>
  <si>
    <t>各级单位-项目承担部门-项目负责人、各级单位-项目承担部门-负责人、各级单位-归口管理部门-计划管理人员、各级单位-归口管理部门-负责人、各级单位-财务部门-预算管理人员、各级单位-财务部门-负责人</t>
  </si>
  <si>
    <t>各级单位-项目承担部门-项目负责人、各级单位-项目承担部门-负责人、各级单位-归口管理部门-计划管理人员、各级单位-归口管理部门-负责人、各级单位-财务部门-预算管理人员、各级单位-财务部门-负责人、各级单位-发展部门-综合计划管理人员、各级单位-发展部门-负责人</t>
  </si>
  <si>
    <t xml:space="preserve">
 增加对应制度及文件名称：《国网湖南省电力有限公司数字化项目管理实施细则》（湘电公司数字〔2024〕447号 ）、《国网湖南信通公司数字化项目发票入账与资金支付操作手册》（湘电信通函〔2025〕22号）</t>
  </si>
  <si>
    <t xml:space="preserve"> 增加对应制度及文件名称：《国网湖南省电力有限公司数字化项目管理实施细则》（湘电公司数字〔2024〕447号 ）</t>
  </si>
  <si>
    <t xml:space="preserve">
1.无变化，直接引用
</t>
  </si>
  <si>
    <t xml:space="preserve">
修改了控制措施
</t>
  </si>
  <si>
    <t>修改控制措施</t>
  </si>
  <si>
    <t>各级单位-使用保管部门-使用保管人员、各级单位-使用保管部门-负责人、各级单位-实物管理部门-设备管理人员、各级单位-实物管理部门-负责人</t>
  </si>
  <si>
    <t xml:space="preserve">
 增加对应制度及文件名称：《国网湖南省电力有限公司数字化项目管理实施细则》（湘电公司数字〔2024〕447号 ）、《关于进一步加强数字化项目验收管理的通知（试行）》</t>
  </si>
  <si>
    <t>各级单位-项目承担部门-项目负责人、各级单位-项目承担部门-负责人、各级单位-归口管理部门-管理部门人员、各级单位-归口管理部门-负责人</t>
  </si>
  <si>
    <t xml:space="preserve">
 增加对应制度及文件名称：《国网湖南省电力有限公司数字化项目管理实施细则》（湘电公司数字〔2024〕447号 ）、《关于进一步加强数字化项目验收管理的通知（试行）》
</t>
  </si>
  <si>
    <t>删除载体（需核实），补充制度</t>
  </si>
  <si>
    <t>《国家电网有限公司科技项目管理办法》国家电网企管〔2024〕71号
《国家电网有限公司科技项目储备库管理细则》国家电网企管〔2019〕429号</t>
  </si>
  <si>
    <t>《国家电网有限公司科技项目管理办法》国家电网企管〔2024〕71号    
《国家电网公司科技项目预算编制实施细则》国家电网企管〔2017〕1066号
《国家电网有限公司总部管理科技项目实施及验收管理细则》国家电网企管〔2024〕71号</t>
  </si>
  <si>
    <t>《国家电网有限公司科技项目管理办法》国家电网企管〔2024〕71号    
《国家电网有限公司总部管理科技项目实施工作指南(2026年版)》
《国家电网有限公司总部管理科技项目实施及验收管理细则》国家电网企管〔2024〕71号
《中央企业违规经营投资责任追究实施办法》国务院国资委令第46号</t>
  </si>
  <si>
    <t>《研发经费投入统计与核算管理规范》国家电网财〔2025〕25 号
《国家电网公司研究开发费财务管理办法》国家电网企管〔2014〕742号
《国家电网公司科技预算项目实施细则》国家电网企管（2017）1066号</t>
  </si>
  <si>
    <t>《研发经费投入统计与核算管理规范》国家电网财〔2025〕25 号
《中央企业违规经营投资责任追究实施办法》国务院国资委令第46号</t>
  </si>
  <si>
    <t>《研发经费投入统计与核算管理规范》国家电网财〔2025〕25 号</t>
  </si>
  <si>
    <t>《国家电网有限公司总部管理科技项目实施及验收管理细则》国家电网企管〔2024〕71号</t>
  </si>
  <si>
    <t>对应典型问题</t>
  </si>
  <si>
    <t>控制方式（枚举值）</t>
  </si>
  <si>
    <t>内控载体</t>
  </si>
  <si>
    <t>系统控制层次</t>
  </si>
  <si>
    <t>意见建议</t>
  </si>
  <si>
    <t>业务真实性校验</t>
  </si>
  <si>
    <r>
      <rPr>
        <b/>
        <sz val="14"/>
        <color rgb="FF000000"/>
        <rFont val="微软雅黑"/>
        <charset val="134"/>
      </rPr>
      <t xml:space="preserve">系统类别（一级部署系统/各单位自建系统）
</t>
    </r>
    <r>
      <rPr>
        <sz val="14"/>
        <color rgb="FF2D529F"/>
        <rFont val="微软雅黑"/>
        <charset val="134"/>
      </rPr>
      <t>（如F列为“系统已有”或“系统待建”，则填写）</t>
    </r>
  </si>
  <si>
    <r>
      <rPr>
        <b/>
        <sz val="14"/>
        <color rgb="FF000000"/>
        <rFont val="微软雅黑"/>
        <charset val="134"/>
      </rPr>
      <t xml:space="preserve">系统管理层级（总部/二级单位/三级单位）
</t>
    </r>
    <r>
      <rPr>
        <sz val="14"/>
        <color rgb="FF2D529F"/>
        <rFont val="微软雅黑"/>
        <charset val="134"/>
      </rPr>
      <t>（如F列为“系统已有”或“系统待建”，则填写）</t>
    </r>
  </si>
  <si>
    <r>
      <rPr>
        <b/>
        <sz val="14"/>
        <color rgb="FF000000"/>
        <rFont val="微软雅黑"/>
        <charset val="134"/>
      </rPr>
      <t xml:space="preserve">总部管理部门
</t>
    </r>
    <r>
      <rPr>
        <sz val="14"/>
        <color rgb="FF2D529F"/>
        <rFont val="微软雅黑"/>
        <charset val="134"/>
      </rPr>
      <t>（如k列为“总部”，则填写）</t>
    </r>
  </si>
  <si>
    <t>员
工
报
账
业
务</t>
  </si>
  <si>
    <t>二、通用报账</t>
  </si>
  <si>
    <t>税务合规</t>
  </si>
  <si>
    <t>青苗赔偿资金申
请支付</t>
  </si>
  <si>
    <t>与赔付人实际不一致，虚列套取资金，造成青苗赔偿费多付、错付。</t>
  </si>
  <si>
    <t>随便列举：8.违规发放薪酬：存在企业负责人违规发放薪酬；员工惩处结果执行不到位,未扣减相应薪酬等问题。</t>
  </si>
  <si>
    <t>22.青苗赔偿支付对象的确定</t>
  </si>
  <si>
    <t>青苗赔付资金支付对象与现场一致。</t>
  </si>
  <si>
    <t>1.归口管理部门对资金支付与补偿协议支付条款进行校验；</t>
  </si>
  <si>
    <t>营销售电业务-1.系统客户信息创建-控制措施01</t>
  </si>
  <si>
    <r>
      <rPr>
        <b/>
        <sz val="16"/>
        <rFont val="方正仿宋_GBK"/>
        <charset val="134"/>
      </rPr>
      <t xml:space="preserve">
</t>
    </r>
    <r>
      <rPr>
        <sz val="16"/>
        <rFont val="方正仿宋_GBK"/>
        <charset val="134"/>
      </rPr>
      <t xml:space="preserve">1.用地批复文件；
2.地方补偿标准文件；
</t>
    </r>
  </si>
  <si>
    <t>一级部署系统</t>
  </si>
  <si>
    <t>总部</t>
  </si>
  <si>
    <t>财务部</t>
  </si>
  <si>
    <t>各级单位-各部门-报账人员、各级单位-各部门-负责人、各级单位-项目归口管理部门-负责人</t>
  </si>
  <si>
    <t>青苗赔偿费监督场景</t>
  </si>
  <si>
    <t>《国家电网有限公司会计基础管理办法》（国家电网企管〔2019〕132号）附件：电网企业经济业务审核手册</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</si>
</sst>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45">
    <font>
      <sz val="11"/>
      <color theme="1"/>
      <name val="等线"/>
      <charset val="134"/>
      <scheme val="minor"/>
    </font>
    <font>
      <sz val="16"/>
      <name val="方正仿宋_GBK"/>
      <charset val="134"/>
    </font>
    <font>
      <b/>
      <sz val="16"/>
      <name val="方正仿宋_GBK"/>
      <charset val="134"/>
    </font>
    <font>
      <b/>
      <sz val="14"/>
      <color rgb="FF000000"/>
      <name val="微软雅黑"/>
      <charset val="134"/>
    </font>
    <font>
      <sz val="14"/>
      <color rgb="FF000000"/>
      <name val="微软雅黑"/>
      <charset val="134"/>
    </font>
    <font>
      <sz val="16"/>
      <name val="微软雅黑"/>
      <charset val="134"/>
    </font>
    <font>
      <sz val="16"/>
      <color rgb="FFFF0000"/>
      <name val="微软雅黑"/>
      <charset val="134"/>
    </font>
    <font>
      <sz val="12"/>
      <name val="方正仿宋_GBK"/>
      <charset val="134"/>
    </font>
    <font>
      <b/>
      <sz val="30"/>
      <name val="方正仿宋_GBK"/>
      <charset val="134"/>
    </font>
    <font>
      <b/>
      <sz val="10"/>
      <name val="方正仿宋_GBK"/>
      <charset val="134"/>
    </font>
    <font>
      <sz val="10"/>
      <name val="方正仿宋_GBK"/>
      <charset val="134"/>
    </font>
    <font>
      <strike/>
      <sz val="10"/>
      <name val="方正仿宋_GBK"/>
      <charset val="134"/>
    </font>
    <font>
      <sz val="10"/>
      <color rgb="FFFF0000"/>
      <name val="方正仿宋_GBK"/>
      <charset val="134"/>
    </font>
    <font>
      <b/>
      <sz val="10"/>
      <color rgb="FFFF0000"/>
      <name val="方正仿宋_GBK"/>
      <charset val="134"/>
    </font>
    <font>
      <strike/>
      <sz val="10"/>
      <color rgb="FFFF0000"/>
      <name val="方正仿宋_GBK"/>
      <charset val="134"/>
    </font>
    <font>
      <sz val="16"/>
      <color rgb="FFFF0000"/>
      <name val="方正仿宋_GBK"/>
      <charset val="134"/>
    </font>
    <font>
      <strike/>
      <sz val="10"/>
      <color rgb="FF000000"/>
      <name val="方正仿宋_GBK"/>
      <charset val="134"/>
    </font>
    <font>
      <b/>
      <sz val="16"/>
      <color rgb="FFFF0000"/>
      <name val="方正仿宋_GBK"/>
      <charset val="134"/>
    </font>
    <font>
      <b/>
      <sz val="10.5"/>
      <color rgb="FF000000"/>
      <name val="仿宋_GB2312"/>
      <charset val="134"/>
    </font>
    <font>
      <sz val="10.5"/>
      <color theme="1"/>
      <name val="仿宋_GB2312"/>
      <charset val="134"/>
    </font>
    <font>
      <sz val="11"/>
      <color theme="1"/>
      <name val="仿宋_GB2312"/>
      <charset val="134"/>
    </font>
    <font>
      <sz val="10.5"/>
      <color rgb="FF000000"/>
      <name val="仿宋_GB2312"/>
      <charset val="134"/>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strike/>
      <sz val="10"/>
      <color rgb="FF00B0F0"/>
      <name val="方正仿宋_GBK"/>
      <charset val="134"/>
    </font>
    <font>
      <sz val="14"/>
      <color rgb="FF2D529F"/>
      <name val="微软雅黑"/>
      <charset val="134"/>
    </font>
    <font>
      <sz val="9"/>
      <name val="宋体"/>
      <charset val="134"/>
    </font>
    <font>
      <b/>
      <sz val="9"/>
      <name val="宋体"/>
      <charset val="134"/>
    </font>
  </fonts>
  <fills count="36">
    <fill>
      <patternFill patternType="none"/>
    </fill>
    <fill>
      <patternFill patternType="gray125"/>
    </fill>
    <fill>
      <patternFill patternType="solid">
        <fgColor theme="9" tint="0.599993896298105"/>
        <bgColor indexed="64"/>
      </patternFill>
    </fill>
    <fill>
      <patternFill patternType="solid">
        <fgColor theme="9" tint="0.399884029663991"/>
        <bgColor indexed="64"/>
      </patternFill>
    </fill>
    <fill>
      <patternFill patternType="solid">
        <fgColor rgb="FFFFFF00"/>
        <bgColor indexed="64"/>
      </patternFill>
    </fill>
    <fill>
      <patternFill patternType="solid">
        <fgColor theme="4" tint="0.79943235572374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23">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top/>
      <bottom style="thin">
        <color auto="1"/>
      </bottom>
      <diagonal/>
    </border>
    <border>
      <left style="thin">
        <color auto="1"/>
      </left>
      <right/>
      <top style="thin">
        <color auto="1"/>
      </top>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2" fillId="0" borderId="0" applyNumberFormat="0" applyFill="0" applyBorder="0" applyAlignment="0" applyProtection="0">
      <alignment vertical="center"/>
    </xf>
    <xf numFmtId="0" fontId="23" fillId="0" borderId="0" applyNumberFormat="0" applyFill="0" applyBorder="0" applyAlignment="0" applyProtection="0">
      <alignment vertical="center"/>
    </xf>
    <xf numFmtId="0" fontId="0" fillId="6" borderId="15" applyNumberFormat="0" applyFont="0" applyAlignment="0" applyProtection="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xf numFmtId="0" fontId="26" fillId="0" borderId="0" applyNumberFormat="0" applyFill="0" applyBorder="0" applyAlignment="0" applyProtection="0">
      <alignment vertical="center"/>
    </xf>
    <xf numFmtId="0" fontId="27" fillId="0" borderId="16" applyNumberFormat="0" applyFill="0" applyAlignment="0" applyProtection="0">
      <alignment vertical="center"/>
    </xf>
    <xf numFmtId="0" fontId="28" fillId="0" borderId="16" applyNumberFormat="0" applyFill="0" applyAlignment="0" applyProtection="0">
      <alignment vertical="center"/>
    </xf>
    <xf numFmtId="0" fontId="29" fillId="0" borderId="17" applyNumberFormat="0" applyFill="0" applyAlignment="0" applyProtection="0">
      <alignment vertical="center"/>
    </xf>
    <xf numFmtId="0" fontId="29" fillId="0" borderId="0" applyNumberFormat="0" applyFill="0" applyBorder="0" applyAlignment="0" applyProtection="0">
      <alignment vertical="center"/>
    </xf>
    <xf numFmtId="0" fontId="30" fillId="7" borderId="18" applyNumberFormat="0" applyAlignment="0" applyProtection="0">
      <alignment vertical="center"/>
    </xf>
    <xf numFmtId="0" fontId="31" fillId="8" borderId="19" applyNumberFormat="0" applyAlignment="0" applyProtection="0">
      <alignment vertical="center"/>
    </xf>
    <xf numFmtId="0" fontId="32" fillId="8" borderId="18" applyNumberFormat="0" applyAlignment="0" applyProtection="0">
      <alignment vertical="center"/>
    </xf>
    <xf numFmtId="0" fontId="33" fillId="9" borderId="20" applyNumberFormat="0" applyAlignment="0" applyProtection="0">
      <alignment vertical="center"/>
    </xf>
    <xf numFmtId="0" fontId="34" fillId="0" borderId="21" applyNumberFormat="0" applyFill="0" applyAlignment="0" applyProtection="0">
      <alignment vertical="center"/>
    </xf>
    <xf numFmtId="0" fontId="35" fillId="0" borderId="22" applyNumberFormat="0" applyFill="0" applyAlignment="0" applyProtection="0">
      <alignment vertical="center"/>
    </xf>
    <xf numFmtId="0" fontId="36" fillId="10" borderId="0" applyNumberFormat="0" applyBorder="0" applyAlignment="0" applyProtection="0">
      <alignment vertical="center"/>
    </xf>
    <xf numFmtId="0" fontId="37" fillId="11" borderId="0" applyNumberFormat="0" applyBorder="0" applyAlignment="0" applyProtection="0">
      <alignment vertical="center"/>
    </xf>
    <xf numFmtId="0" fontId="38" fillId="12" borderId="0" applyNumberFormat="0" applyBorder="0" applyAlignment="0" applyProtection="0">
      <alignment vertical="center"/>
    </xf>
    <xf numFmtId="0" fontId="39" fillId="13" borderId="0" applyNumberFormat="0" applyBorder="0" applyAlignment="0" applyProtection="0">
      <alignment vertical="center"/>
    </xf>
    <xf numFmtId="0" fontId="40" fillId="14" borderId="0" applyNumberFormat="0" applyBorder="0" applyAlignment="0" applyProtection="0">
      <alignment vertical="center"/>
    </xf>
    <xf numFmtId="0" fontId="40" fillId="15" borderId="0" applyNumberFormat="0" applyBorder="0" applyAlignment="0" applyProtection="0">
      <alignment vertical="center"/>
    </xf>
    <xf numFmtId="0" fontId="39" fillId="16" borderId="0" applyNumberFormat="0" applyBorder="0" applyAlignment="0" applyProtection="0">
      <alignment vertical="center"/>
    </xf>
    <xf numFmtId="0" fontId="39" fillId="17" borderId="0" applyNumberFormat="0" applyBorder="0" applyAlignment="0" applyProtection="0">
      <alignment vertical="center"/>
    </xf>
    <xf numFmtId="0" fontId="40" fillId="18" borderId="0" applyNumberFormat="0" applyBorder="0" applyAlignment="0" applyProtection="0">
      <alignment vertical="center"/>
    </xf>
    <xf numFmtId="0" fontId="40" fillId="19" borderId="0" applyNumberFormat="0" applyBorder="0" applyAlignment="0" applyProtection="0">
      <alignment vertical="center"/>
    </xf>
    <xf numFmtId="0" fontId="39" fillId="20" borderId="0" applyNumberFormat="0" applyBorder="0" applyAlignment="0" applyProtection="0">
      <alignment vertical="center"/>
    </xf>
    <xf numFmtId="0" fontId="39" fillId="21" borderId="0" applyNumberFormat="0" applyBorder="0" applyAlignment="0" applyProtection="0">
      <alignment vertical="center"/>
    </xf>
    <xf numFmtId="0" fontId="40" fillId="22" borderId="0" applyNumberFormat="0" applyBorder="0" applyAlignment="0" applyProtection="0">
      <alignment vertical="center"/>
    </xf>
    <xf numFmtId="0" fontId="40" fillId="23" borderId="0" applyNumberFormat="0" applyBorder="0" applyAlignment="0" applyProtection="0">
      <alignment vertical="center"/>
    </xf>
    <xf numFmtId="0" fontId="39" fillId="24" borderId="0" applyNumberFormat="0" applyBorder="0" applyAlignment="0" applyProtection="0">
      <alignment vertical="center"/>
    </xf>
    <xf numFmtId="0" fontId="39" fillId="25" borderId="0" applyNumberFormat="0" applyBorder="0" applyAlignment="0" applyProtection="0">
      <alignment vertical="center"/>
    </xf>
    <xf numFmtId="0" fontId="40" fillId="26" borderId="0" applyNumberFormat="0" applyBorder="0" applyAlignment="0" applyProtection="0">
      <alignment vertical="center"/>
    </xf>
    <xf numFmtId="0" fontId="40" fillId="27" borderId="0" applyNumberFormat="0" applyBorder="0" applyAlignment="0" applyProtection="0">
      <alignment vertical="center"/>
    </xf>
    <xf numFmtId="0" fontId="39" fillId="28" borderId="0" applyNumberFormat="0" applyBorder="0" applyAlignment="0" applyProtection="0">
      <alignment vertical="center"/>
    </xf>
    <xf numFmtId="0" fontId="39" fillId="29" borderId="0" applyNumberFormat="0" applyBorder="0" applyAlignment="0" applyProtection="0">
      <alignment vertical="center"/>
    </xf>
    <xf numFmtId="0" fontId="40" fillId="30" borderId="0" applyNumberFormat="0" applyBorder="0" applyAlignment="0" applyProtection="0">
      <alignment vertical="center"/>
    </xf>
    <xf numFmtId="0" fontId="40" fillId="31" borderId="0" applyNumberFormat="0" applyBorder="0" applyAlignment="0" applyProtection="0">
      <alignment vertical="center"/>
    </xf>
    <xf numFmtId="0" fontId="39" fillId="32" borderId="0" applyNumberFormat="0" applyBorder="0" applyAlignment="0" applyProtection="0">
      <alignment vertical="center"/>
    </xf>
    <xf numFmtId="0" fontId="39" fillId="33" borderId="0" applyNumberFormat="0" applyBorder="0" applyAlignment="0" applyProtection="0">
      <alignment vertical="center"/>
    </xf>
    <xf numFmtId="0" fontId="40" fillId="34" borderId="0" applyNumberFormat="0" applyBorder="0" applyAlignment="0" applyProtection="0">
      <alignment vertical="center"/>
    </xf>
    <xf numFmtId="0" fontId="40" fillId="2" borderId="0" applyNumberFormat="0" applyBorder="0" applyAlignment="0" applyProtection="0">
      <alignment vertical="center"/>
    </xf>
    <xf numFmtId="0" fontId="39" fillId="35" borderId="0" applyNumberFormat="0" applyBorder="0" applyAlignment="0" applyProtection="0">
      <alignment vertical="center"/>
    </xf>
    <xf numFmtId="0" fontId="0" fillId="0" borderId="0"/>
  </cellStyleXfs>
  <cellXfs count="132">
    <xf numFmtId="0" fontId="0" fillId="0" borderId="0" xfId="0"/>
    <xf numFmtId="0" fontId="1" fillId="0" borderId="0" xfId="49" applyFont="1" applyFill="1" applyBorder="1" applyAlignment="1">
      <alignment horizontal="center" vertical="center" wrapText="1"/>
    </xf>
    <xf numFmtId="0" fontId="2" fillId="0" borderId="0" xfId="49" applyFont="1" applyFill="1" applyBorder="1" applyAlignment="1">
      <alignment horizontal="center" vertical="center" wrapText="1"/>
    </xf>
    <xf numFmtId="0" fontId="1" fillId="0" borderId="0" xfId="49" applyFont="1" applyFill="1" applyBorder="1" applyAlignment="1">
      <alignment horizontal="center" vertical="center"/>
    </xf>
    <xf numFmtId="0" fontId="1" fillId="0" borderId="0" xfId="49" applyFont="1" applyFill="1" applyBorder="1" applyAlignment="1">
      <alignment horizontal="left" vertical="center"/>
    </xf>
    <xf numFmtId="0" fontId="1" fillId="0" borderId="0" xfId="49" applyFont="1" applyFill="1" applyBorder="1" applyAlignment="1">
      <alignment horizontal="left" vertical="center" wrapText="1"/>
    </xf>
    <xf numFmtId="0" fontId="1" fillId="0" borderId="0" xfId="49" applyFont="1" applyFill="1" applyBorder="1" applyAlignment="1">
      <alignment vertical="center"/>
    </xf>
    <xf numFmtId="0" fontId="1" fillId="2" borderId="0" xfId="49" applyFont="1" applyFill="1" applyBorder="1" applyAlignment="1">
      <alignment vertical="center"/>
    </xf>
    <xf numFmtId="0" fontId="2" fillId="0" borderId="1" xfId="49" applyFont="1" applyFill="1" applyBorder="1" applyAlignment="1">
      <alignment horizontal="center" vertical="center" wrapText="1"/>
    </xf>
    <xf numFmtId="0" fontId="2" fillId="3" borderId="2" xfId="49" applyFont="1" applyFill="1" applyBorder="1" applyAlignment="1">
      <alignment horizontal="center" vertical="center" wrapText="1"/>
    </xf>
    <xf numFmtId="0" fontId="2" fillId="3" borderId="1" xfId="49" applyFont="1" applyFill="1" applyBorder="1" applyAlignment="1">
      <alignment horizontal="center" vertical="center" wrapText="1"/>
    </xf>
    <xf numFmtId="0" fontId="2" fillId="3" borderId="3" xfId="49" applyFont="1" applyFill="1" applyBorder="1" applyAlignment="1">
      <alignment horizontal="center" vertical="center" wrapText="1"/>
    </xf>
    <xf numFmtId="0" fontId="2" fillId="3" borderId="4" xfId="49" applyFont="1" applyFill="1" applyBorder="1" applyAlignment="1">
      <alignment horizontal="center" vertical="center" wrapText="1"/>
    </xf>
    <xf numFmtId="0" fontId="2" fillId="3" borderId="5" xfId="49" applyFont="1" applyFill="1" applyBorder="1" applyAlignment="1">
      <alignment horizontal="center" vertical="center" wrapText="1"/>
    </xf>
    <xf numFmtId="0" fontId="2" fillId="3" borderId="6" xfId="49" applyFont="1" applyFill="1" applyBorder="1" applyAlignment="1">
      <alignment horizontal="center" vertical="center" wrapText="1"/>
    </xf>
    <xf numFmtId="0" fontId="2" fillId="3" borderId="7" xfId="49" applyFont="1" applyFill="1" applyBorder="1" applyAlignment="1">
      <alignment horizontal="center" vertical="center" wrapText="1"/>
    </xf>
    <xf numFmtId="0" fontId="2" fillId="0" borderId="3" xfId="49" applyFont="1" applyFill="1" applyBorder="1" applyAlignment="1">
      <alignment horizontal="center" vertical="center" wrapText="1"/>
    </xf>
    <xf numFmtId="0" fontId="2" fillId="3" borderId="8" xfId="49" applyFont="1" applyFill="1" applyBorder="1" applyAlignment="1">
      <alignment horizontal="center" vertical="center" wrapText="1"/>
    </xf>
    <xf numFmtId="0" fontId="3" fillId="3" borderId="1" xfId="0" applyFont="1" applyFill="1" applyBorder="1" applyAlignment="1">
      <alignment horizontal="center" vertical="center" wrapText="1"/>
    </xf>
    <xf numFmtId="0" fontId="2" fillId="0" borderId="9" xfId="49" applyFont="1" applyFill="1" applyBorder="1" applyAlignment="1">
      <alignment horizontal="center" vertical="center" wrapText="1"/>
    </xf>
    <xf numFmtId="0" fontId="2" fillId="0" borderId="1" xfId="0" applyFont="1" applyFill="1" applyBorder="1" applyAlignment="1">
      <alignment horizontal="center" vertical="center" wrapText="1"/>
    </xf>
    <xf numFmtId="0" fontId="1" fillId="0" borderId="1" xfId="0" applyFont="1" applyFill="1" applyBorder="1" applyAlignment="1">
      <alignment vertical="center" wrapText="1"/>
    </xf>
    <xf numFmtId="0" fontId="1" fillId="0" borderId="1" xfId="49" applyFont="1" applyFill="1" applyBorder="1" applyAlignment="1">
      <alignment horizontal="center" vertical="center" wrapText="1"/>
    </xf>
    <xf numFmtId="0" fontId="1" fillId="0" borderId="1" xfId="49" applyFont="1" applyFill="1" applyBorder="1" applyAlignment="1">
      <alignment horizontal="left" vertical="center" wrapText="1"/>
    </xf>
    <xf numFmtId="0" fontId="1" fillId="0" borderId="1" xfId="0" applyFont="1" applyFill="1" applyBorder="1" applyAlignment="1">
      <alignment horizontal="center" vertical="center" wrapText="1"/>
    </xf>
    <xf numFmtId="0" fontId="1" fillId="0" borderId="1" xfId="0" applyFont="1" applyFill="1" applyBorder="1" applyAlignment="1">
      <alignment horizontal="center"/>
    </xf>
    <xf numFmtId="0" fontId="2" fillId="0" borderId="1" xfId="0" applyFont="1" applyFill="1" applyBorder="1" applyAlignment="1">
      <alignment horizontal="justify" vertical="center" wrapText="1"/>
    </xf>
    <xf numFmtId="0" fontId="4" fillId="0" borderId="1" xfId="0" applyFont="1" applyFill="1" applyBorder="1" applyAlignment="1">
      <alignment horizontal="center" vertical="center" wrapText="1"/>
    </xf>
    <xf numFmtId="0" fontId="1" fillId="0" borderId="1" xfId="49" applyFont="1" applyFill="1" applyBorder="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left" vertical="center" wrapText="1"/>
    </xf>
    <xf numFmtId="0" fontId="5" fillId="0" borderId="0" xfId="49" applyFont="1" applyFill="1" applyBorder="1" applyAlignment="1">
      <alignment horizontal="left" vertical="center"/>
    </xf>
    <xf numFmtId="0" fontId="6" fillId="0" borderId="0" xfId="49" applyFont="1" applyFill="1" applyBorder="1" applyAlignment="1">
      <alignment horizontal="left" vertical="center"/>
    </xf>
    <xf numFmtId="0" fontId="1" fillId="0" borderId="0" xfId="49" applyFont="1" applyFill="1" applyBorder="1" applyAlignment="1" applyProtection="1">
      <alignment horizontal="left" vertical="center"/>
    </xf>
    <xf numFmtId="0" fontId="1" fillId="0" borderId="0" xfId="49" applyFont="1" applyFill="1" applyBorder="1" applyAlignment="1" applyProtection="1">
      <alignment horizontal="center" vertical="center"/>
    </xf>
    <xf numFmtId="0" fontId="2" fillId="0" borderId="0" xfId="49" applyFont="1" applyFill="1" applyBorder="1" applyAlignment="1">
      <alignment horizontal="left" vertical="center" wrapText="1"/>
    </xf>
    <xf numFmtId="0" fontId="7" fillId="0" borderId="0" xfId="49" applyFont="1" applyFill="1" applyBorder="1" applyAlignment="1">
      <alignment horizontal="center" vertical="center"/>
    </xf>
    <xf numFmtId="0" fontId="2" fillId="0" borderId="0" xfId="49" applyFont="1" applyFill="1" applyAlignment="1">
      <alignment horizontal="center" vertical="center" wrapText="1"/>
    </xf>
    <xf numFmtId="0" fontId="8" fillId="0" borderId="0" xfId="49" applyFont="1" applyFill="1" applyAlignment="1">
      <alignment horizontal="center" vertical="center" wrapText="1"/>
    </xf>
    <xf numFmtId="0" fontId="8" fillId="0" borderId="0" xfId="49" applyFont="1" applyFill="1" applyAlignment="1">
      <alignment horizontal="left" vertical="center" wrapText="1"/>
    </xf>
    <xf numFmtId="0" fontId="9" fillId="0" borderId="1" xfId="49" applyFont="1" applyFill="1" applyBorder="1" applyAlignment="1">
      <alignment horizontal="center" vertical="center" wrapText="1"/>
    </xf>
    <xf numFmtId="0" fontId="9" fillId="0" borderId="5" xfId="49" applyFont="1" applyFill="1" applyBorder="1" applyAlignment="1">
      <alignment horizontal="center" vertical="center"/>
    </xf>
    <xf numFmtId="0" fontId="10" fillId="0" borderId="2" xfId="49" applyFont="1" applyFill="1" applyBorder="1" applyAlignment="1">
      <alignment horizontal="center" vertical="center" wrapText="1"/>
    </xf>
    <xf numFmtId="0" fontId="10" fillId="0" borderId="10" xfId="49" applyFont="1" applyFill="1" applyBorder="1" applyAlignment="1">
      <alignment horizontal="left" vertical="center" wrapText="1"/>
    </xf>
    <xf numFmtId="0" fontId="5" fillId="0" borderId="0" xfId="49" applyFont="1" applyFill="1" applyAlignment="1">
      <alignment horizontal="center" vertical="center"/>
    </xf>
    <xf numFmtId="0" fontId="10" fillId="0" borderId="4" xfId="49" applyFont="1" applyFill="1" applyBorder="1" applyAlignment="1">
      <alignment horizontal="center" vertical="center" wrapText="1"/>
    </xf>
    <xf numFmtId="0" fontId="10" fillId="0" borderId="1" xfId="49" applyFont="1" applyFill="1" applyBorder="1" applyAlignment="1">
      <alignment horizontal="left"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horizontal="center" wrapText="1"/>
    </xf>
    <xf numFmtId="0" fontId="10" fillId="0" borderId="1" xfId="0" applyFont="1" applyFill="1" applyBorder="1" applyAlignment="1">
      <alignment horizontal="center" vertical="center" wrapText="1"/>
    </xf>
    <xf numFmtId="0" fontId="11" fillId="0" borderId="1" xfId="0" applyFont="1" applyFill="1" applyBorder="1" applyAlignment="1">
      <alignment horizontal="left" vertical="center" wrapText="1"/>
    </xf>
    <xf numFmtId="0" fontId="11" fillId="0" borderId="1" xfId="0" applyFont="1" applyFill="1" applyBorder="1" applyAlignment="1">
      <alignment horizontal="center" vertical="center" wrapText="1"/>
    </xf>
    <xf numFmtId="0" fontId="10" fillId="0" borderId="1" xfId="49" applyFont="1" applyFill="1" applyBorder="1" applyAlignment="1">
      <alignment horizontal="center" vertical="center" wrapText="1"/>
    </xf>
    <xf numFmtId="0" fontId="12" fillId="0" borderId="5" xfId="49" applyFont="1" applyFill="1" applyBorder="1" applyAlignment="1">
      <alignment horizontal="left" vertical="center" wrapText="1"/>
    </xf>
    <xf numFmtId="0" fontId="7" fillId="0" borderId="0" xfId="49" applyFont="1" applyFill="1" applyBorder="1" applyAlignment="1">
      <alignment horizontal="left" vertical="center" wrapText="1"/>
    </xf>
    <xf numFmtId="0" fontId="10" fillId="0" borderId="11" xfId="49" applyFont="1" applyFill="1" applyBorder="1" applyAlignment="1">
      <alignment horizontal="center" vertical="center" wrapText="1"/>
    </xf>
    <xf numFmtId="0" fontId="10" fillId="0" borderId="12" xfId="49" applyFont="1" applyFill="1" applyBorder="1" applyAlignment="1">
      <alignment horizontal="left" vertical="center" wrapText="1"/>
    </xf>
    <xf numFmtId="0" fontId="10" fillId="0" borderId="13" xfId="49" applyFont="1" applyFill="1" applyBorder="1" applyAlignment="1">
      <alignment horizontal="center" vertical="center" wrapText="1"/>
    </xf>
    <xf numFmtId="0" fontId="10" fillId="0" borderId="8" xfId="49" applyFont="1" applyFill="1" applyBorder="1" applyAlignment="1">
      <alignment horizontal="center" vertical="center" wrapText="1"/>
    </xf>
    <xf numFmtId="0" fontId="10" fillId="0" borderId="14" xfId="49" applyFont="1" applyFill="1" applyBorder="1" applyAlignment="1">
      <alignment horizontal="left" vertical="center" wrapText="1"/>
    </xf>
    <xf numFmtId="0" fontId="10" fillId="0" borderId="1" xfId="0" applyNumberFormat="1" applyFont="1" applyFill="1" applyBorder="1" applyAlignment="1">
      <alignment horizontal="center" vertical="center" wrapText="1"/>
    </xf>
    <xf numFmtId="0" fontId="13" fillId="0" borderId="1" xfId="49" applyFont="1" applyFill="1" applyBorder="1" applyAlignment="1">
      <alignment horizontal="center" vertical="center" wrapText="1"/>
    </xf>
    <xf numFmtId="0" fontId="12" fillId="0" borderId="11" xfId="49" applyFont="1" applyFill="1" applyBorder="1" applyAlignment="1">
      <alignment horizontal="center" vertical="center" wrapText="1"/>
    </xf>
    <xf numFmtId="0" fontId="12" fillId="0" borderId="11" xfId="0" applyFont="1" applyFill="1" applyBorder="1" applyAlignment="1">
      <alignment horizontal="center" vertical="center" wrapText="1"/>
    </xf>
    <xf numFmtId="0" fontId="12" fillId="0" borderId="11" xfId="0" applyFont="1" applyFill="1" applyBorder="1" applyAlignment="1">
      <alignment horizontal="left" vertical="center" wrapText="1"/>
    </xf>
    <xf numFmtId="0" fontId="12" fillId="0" borderId="1" xfId="49" applyFont="1" applyFill="1" applyBorder="1" applyAlignment="1">
      <alignment vertical="center" wrapText="1"/>
    </xf>
    <xf numFmtId="0" fontId="12" fillId="0" borderId="1" xfId="49" applyFont="1" applyFill="1" applyBorder="1" applyAlignment="1">
      <alignment horizontal="left" vertical="center" wrapText="1"/>
    </xf>
    <xf numFmtId="0" fontId="12" fillId="0" borderId="1" xfId="0" applyFont="1" applyFill="1" applyBorder="1" applyAlignment="1">
      <alignment horizontal="left" vertical="center" wrapText="1"/>
    </xf>
    <xf numFmtId="0" fontId="14" fillId="0" borderId="1" xfId="0" applyNumberFormat="1" applyFont="1" applyFill="1" applyBorder="1" applyAlignment="1">
      <alignment horizontal="center" vertical="center" wrapText="1"/>
    </xf>
    <xf numFmtId="0" fontId="12" fillId="0" borderId="1" xfId="0" applyFont="1" applyFill="1" applyBorder="1" applyAlignment="1">
      <alignment horizontal="center" vertical="center" wrapText="1"/>
    </xf>
    <xf numFmtId="0" fontId="12" fillId="0" borderId="1" xfId="0" applyFont="1" applyFill="1" applyBorder="1" applyAlignment="1">
      <alignment horizontal="center" wrapText="1"/>
    </xf>
    <xf numFmtId="0" fontId="12" fillId="0" borderId="1" xfId="49" applyFont="1" applyFill="1" applyBorder="1" applyAlignment="1">
      <alignment horizontal="center" vertical="center" wrapText="1"/>
    </xf>
    <xf numFmtId="0" fontId="15" fillId="0" borderId="0" xfId="49" applyFont="1" applyFill="1" applyBorder="1" applyAlignment="1">
      <alignment horizontal="center" vertical="center"/>
    </xf>
    <xf numFmtId="0" fontId="10" fillId="0" borderId="2" xfId="0" applyFont="1" applyFill="1" applyBorder="1" applyAlignment="1">
      <alignment horizontal="center" vertical="center" wrapText="1"/>
    </xf>
    <xf numFmtId="0" fontId="10" fillId="0" borderId="2" xfId="0" applyFont="1" applyFill="1" applyBorder="1" applyAlignment="1">
      <alignment horizontal="left" vertical="center" wrapText="1"/>
    </xf>
    <xf numFmtId="0" fontId="9" fillId="0" borderId="2" xfId="49" applyFont="1" applyFill="1" applyBorder="1" applyAlignment="1">
      <alignment horizontal="center" vertical="center" wrapText="1"/>
    </xf>
    <xf numFmtId="0" fontId="10" fillId="0" borderId="2" xfId="49" applyFont="1" applyFill="1" applyBorder="1" applyAlignment="1">
      <alignment horizontal="left" vertical="center" wrapText="1"/>
    </xf>
    <xf numFmtId="0" fontId="11" fillId="0" borderId="1" xfId="0" applyNumberFormat="1" applyFont="1" applyFill="1" applyBorder="1" applyAlignment="1">
      <alignment horizontal="center" vertical="center" wrapText="1"/>
    </xf>
    <xf numFmtId="0" fontId="10" fillId="0" borderId="11" xfId="0" applyFont="1" applyFill="1" applyBorder="1" applyAlignment="1">
      <alignment horizontal="center" vertical="center" wrapText="1"/>
    </xf>
    <xf numFmtId="0" fontId="10" fillId="0" borderId="11" xfId="0" applyFont="1" applyFill="1" applyBorder="1" applyAlignment="1">
      <alignment horizontal="left" vertical="center" wrapText="1"/>
    </xf>
    <xf numFmtId="0" fontId="9" fillId="0" borderId="11" xfId="49" applyFont="1" applyFill="1" applyBorder="1" applyAlignment="1">
      <alignment horizontal="center" vertical="center" wrapText="1"/>
    </xf>
    <xf numFmtId="0" fontId="10" fillId="0" borderId="11" xfId="49" applyFont="1" applyFill="1" applyBorder="1" applyAlignment="1">
      <alignment horizontal="left" vertical="center" wrapText="1"/>
    </xf>
    <xf numFmtId="0" fontId="10" fillId="0" borderId="8" xfId="0" applyFont="1" applyFill="1" applyBorder="1" applyAlignment="1">
      <alignment horizontal="center" vertical="center" wrapText="1"/>
    </xf>
    <xf numFmtId="0" fontId="10" fillId="0" borderId="8" xfId="0" applyFont="1" applyFill="1" applyBorder="1" applyAlignment="1">
      <alignment horizontal="left" vertical="center" wrapText="1"/>
    </xf>
    <xf numFmtId="0" fontId="9" fillId="0" borderId="8" xfId="49" applyFont="1" applyFill="1" applyBorder="1" applyAlignment="1">
      <alignment horizontal="center" vertical="center" wrapText="1"/>
    </xf>
    <xf numFmtId="0" fontId="10" fillId="0" borderId="8" xfId="49" applyFont="1" applyFill="1" applyBorder="1" applyAlignment="1">
      <alignment horizontal="left" vertical="center" wrapText="1"/>
    </xf>
    <xf numFmtId="0" fontId="9" fillId="0" borderId="2" xfId="0" applyFont="1" applyFill="1" applyBorder="1" applyAlignment="1">
      <alignment horizontal="left" vertical="center" wrapText="1"/>
    </xf>
    <xf numFmtId="0" fontId="9" fillId="0" borderId="11" xfId="0" applyFont="1" applyFill="1" applyBorder="1" applyAlignment="1">
      <alignment horizontal="center" vertical="center" wrapText="1"/>
    </xf>
    <xf numFmtId="0" fontId="9" fillId="0" borderId="8" xfId="0" applyFont="1" applyFill="1" applyBorder="1" applyAlignment="1">
      <alignment horizontal="center" vertical="center" wrapText="1"/>
    </xf>
    <xf numFmtId="0" fontId="9" fillId="0" borderId="2" xfId="49" applyFont="1" applyFill="1" applyBorder="1" applyAlignment="1">
      <alignment horizontal="left" vertical="center" wrapText="1"/>
    </xf>
    <xf numFmtId="0" fontId="16" fillId="0" borderId="1" xfId="0" applyFont="1" applyFill="1" applyBorder="1" applyAlignment="1">
      <alignment horizontal="left" vertical="center" wrapText="1"/>
    </xf>
    <xf numFmtId="0" fontId="9" fillId="0" borderId="2" xfId="0" applyFont="1" applyFill="1" applyBorder="1" applyAlignment="1">
      <alignment horizontal="center" vertical="center" wrapText="1"/>
    </xf>
    <xf numFmtId="0" fontId="9" fillId="0" borderId="1" xfId="49" applyFont="1" applyFill="1" applyBorder="1" applyAlignment="1" applyProtection="1">
      <alignment horizontal="center" vertical="center" wrapText="1"/>
    </xf>
    <xf numFmtId="0" fontId="9" fillId="0" borderId="1" xfId="49" applyFont="1" applyFill="1" applyBorder="1" applyAlignment="1" applyProtection="1">
      <alignment horizontal="left" vertical="center" wrapText="1"/>
    </xf>
    <xf numFmtId="0" fontId="10" fillId="0" borderId="1" xfId="49" applyFont="1" applyFill="1" applyBorder="1" applyAlignment="1" applyProtection="1">
      <alignment horizontal="center" vertical="center" wrapText="1"/>
    </xf>
    <xf numFmtId="0" fontId="10" fillId="0" borderId="1" xfId="49" applyFont="1" applyFill="1" applyBorder="1" applyAlignment="1" applyProtection="1">
      <alignment horizontal="left" vertical="center" wrapText="1"/>
    </xf>
    <xf numFmtId="0" fontId="10" fillId="0" borderId="1" xfId="49" applyFont="1" applyFill="1" applyBorder="1" applyAlignment="1" applyProtection="1">
      <alignment vertical="center" wrapText="1"/>
    </xf>
    <xf numFmtId="0" fontId="1" fillId="0" borderId="0" xfId="49" applyFont="1" applyFill="1" applyAlignment="1" applyProtection="1">
      <alignment horizontal="left" vertical="center"/>
    </xf>
    <xf numFmtId="0" fontId="11" fillId="0" borderId="1" xfId="49" applyFont="1" applyFill="1" applyBorder="1" applyAlignment="1" applyProtection="1">
      <alignment horizontal="center" vertical="center" wrapText="1"/>
    </xf>
    <xf numFmtId="0" fontId="9" fillId="0" borderId="1" xfId="49" applyFont="1" applyFill="1" applyBorder="1" applyAlignment="1" applyProtection="1">
      <alignment vertical="center" wrapText="1"/>
    </xf>
    <xf numFmtId="0" fontId="9" fillId="4" borderId="1" xfId="49" applyFont="1" applyFill="1" applyBorder="1" applyAlignment="1" applyProtection="1">
      <alignment horizontal="center" vertical="center" wrapText="1"/>
    </xf>
    <xf numFmtId="0" fontId="10" fillId="4" borderId="1" xfId="49" applyFont="1" applyFill="1" applyBorder="1" applyAlignment="1" applyProtection="1">
      <alignment horizontal="center" vertical="center" wrapText="1"/>
    </xf>
    <xf numFmtId="0" fontId="12" fillId="4" borderId="1" xfId="49" applyFont="1" applyFill="1" applyBorder="1" applyAlignment="1" applyProtection="1">
      <alignment horizontal="left" vertical="center" wrapText="1"/>
    </xf>
    <xf numFmtId="0" fontId="17" fillId="4" borderId="1" xfId="49" applyFont="1" applyFill="1" applyBorder="1" applyAlignment="1" applyProtection="1">
      <alignment horizontal="center" vertical="center" wrapText="1"/>
    </xf>
    <xf numFmtId="0" fontId="12" fillId="0" borderId="1" xfId="49" applyFont="1" applyFill="1" applyBorder="1" applyAlignment="1" applyProtection="1">
      <alignment horizontal="center" vertical="center" wrapText="1"/>
    </xf>
    <xf numFmtId="0" fontId="12" fillId="4" borderId="1" xfId="49" applyFont="1" applyFill="1" applyBorder="1" applyAlignment="1" applyProtection="1">
      <alignment horizontal="center" vertical="center" wrapText="1"/>
    </xf>
    <xf numFmtId="0" fontId="15" fillId="4" borderId="1" xfId="49" applyFont="1" applyFill="1" applyBorder="1" applyAlignment="1" applyProtection="1">
      <alignment horizontal="center" vertical="center" wrapText="1"/>
    </xf>
    <xf numFmtId="0" fontId="1" fillId="4" borderId="0" xfId="49" applyFont="1" applyFill="1" applyBorder="1" applyAlignment="1" applyProtection="1">
      <alignment horizontal="center" vertical="center" wrapText="1"/>
    </xf>
    <xf numFmtId="0" fontId="10" fillId="4" borderId="1" xfId="49" applyFont="1" applyFill="1" applyBorder="1" applyAlignment="1">
      <alignment horizontal="left" vertical="center" wrapText="1"/>
    </xf>
    <xf numFmtId="0" fontId="12" fillId="0" borderId="1" xfId="49" applyFont="1" applyFill="1" applyBorder="1" applyAlignment="1" applyProtection="1">
      <alignment horizontal="left" vertical="center" wrapText="1"/>
    </xf>
    <xf numFmtId="0" fontId="17" fillId="0" borderId="1" xfId="49" applyFont="1" applyFill="1" applyBorder="1" applyAlignment="1" applyProtection="1">
      <alignment horizontal="center" vertical="center" wrapText="1"/>
    </xf>
    <xf numFmtId="0" fontId="15" fillId="0" borderId="1" xfId="49" applyFont="1" applyFill="1" applyBorder="1" applyAlignment="1" applyProtection="1">
      <alignment horizontal="center" vertical="center" wrapText="1"/>
    </xf>
    <xf numFmtId="0" fontId="7" fillId="0" borderId="0" xfId="49" applyFont="1" applyFill="1" applyBorder="1" applyAlignment="1" applyProtection="1">
      <alignment horizontal="center" vertical="center" wrapText="1"/>
    </xf>
    <xf numFmtId="0" fontId="0" fillId="0" borderId="0" xfId="0" applyAlignment="1">
      <alignment wrapText="1"/>
    </xf>
    <xf numFmtId="0" fontId="9" fillId="0" borderId="1" xfId="49" applyFont="1" applyFill="1" applyBorder="1" applyAlignment="1">
      <alignment horizontal="center" vertical="center"/>
    </xf>
    <xf numFmtId="0" fontId="5" fillId="0" borderId="1" xfId="49" applyFont="1" applyFill="1" applyBorder="1" applyAlignment="1">
      <alignment horizontal="center" vertical="center"/>
    </xf>
    <xf numFmtId="0" fontId="11" fillId="0" borderId="1" xfId="49" applyFont="1" applyFill="1" applyBorder="1" applyAlignment="1">
      <alignment horizontal="left" vertical="center" wrapText="1"/>
    </xf>
    <xf numFmtId="0" fontId="1" fillId="0" borderId="1" xfId="49" applyFont="1" applyFill="1" applyBorder="1" applyAlignment="1" applyProtection="1">
      <alignment horizontal="left" vertical="center"/>
    </xf>
    <xf numFmtId="0" fontId="1" fillId="0" borderId="1" xfId="49" applyFont="1" applyFill="1" applyBorder="1" applyAlignment="1" applyProtection="1">
      <alignment horizontal="center" vertical="center"/>
    </xf>
    <xf numFmtId="0" fontId="0" fillId="0" borderId="0" xfId="0" applyAlignment="1">
      <alignment horizontal="center"/>
    </xf>
    <xf numFmtId="0" fontId="18" fillId="0" borderId="1" xfId="0" applyFont="1" applyBorder="1" applyAlignment="1">
      <alignment horizontal="center" vertical="center" wrapText="1"/>
    </xf>
    <xf numFmtId="0" fontId="19" fillId="0" borderId="1" xfId="0" applyFont="1" applyBorder="1" applyAlignment="1">
      <alignment horizontal="center" vertical="center" wrapText="1"/>
    </xf>
    <xf numFmtId="0" fontId="19" fillId="0" borderId="1" xfId="0" applyFont="1" applyBorder="1" applyAlignment="1">
      <alignment horizontal="left" vertical="center" wrapText="1"/>
    </xf>
    <xf numFmtId="0" fontId="20" fillId="0" borderId="1" xfId="0" applyFont="1" applyBorder="1" applyAlignment="1">
      <alignment horizontal="center"/>
    </xf>
    <xf numFmtId="0" fontId="19" fillId="5" borderId="2" xfId="0" applyFont="1" applyFill="1" applyBorder="1" applyAlignment="1">
      <alignment horizontal="center" vertical="center" wrapText="1"/>
    </xf>
    <xf numFmtId="0" fontId="19" fillId="5" borderId="1" xfId="0" applyFont="1" applyFill="1" applyBorder="1" applyAlignment="1">
      <alignment horizontal="left" vertical="center" wrapText="1"/>
    </xf>
    <xf numFmtId="0" fontId="20" fillId="5" borderId="2" xfId="0" applyFont="1" applyFill="1" applyBorder="1" applyAlignment="1">
      <alignment horizontal="center" vertical="center"/>
    </xf>
    <xf numFmtId="0" fontId="19" fillId="5" borderId="8" xfId="0" applyFont="1" applyFill="1" applyBorder="1" applyAlignment="1">
      <alignment horizontal="center" vertical="center" wrapText="1"/>
    </xf>
    <xf numFmtId="0" fontId="20" fillId="5" borderId="8" xfId="0" applyFont="1" applyFill="1" applyBorder="1" applyAlignment="1">
      <alignment horizontal="center" vertical="center"/>
    </xf>
    <xf numFmtId="0" fontId="19" fillId="5" borderId="1" xfId="0" applyFont="1" applyFill="1" applyBorder="1" applyAlignment="1">
      <alignment horizontal="center" vertical="center" wrapText="1"/>
    </xf>
    <xf numFmtId="0" fontId="21" fillId="5" borderId="1" xfId="0" applyFont="1" applyFill="1" applyBorder="1" applyAlignment="1">
      <alignment horizontal="left" vertical="center" wrapText="1"/>
    </xf>
    <xf numFmtId="0" fontId="20" fillId="5" borderId="11" xfId="0" applyFont="1" applyFill="1" applyBorder="1" applyAlignment="1">
      <alignment horizontal="center" vertical="center"/>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dxfs count="1">
    <dxf>
      <fill>
        <patternFill patternType="solid">
          <bgColor rgb="FFFF9900"/>
        </patternFill>
      </fill>
    </dxf>
  </dxfs>
  <tableStyles count="0" defaultTableStyle="TableStyleMedium2" defaultPivotStyle="PivotStyleLight16"/>
  <colors>
    <mruColors>
      <color rgb="00FFC000"/>
      <color rgb="00FFFF00"/>
      <color rgb="00FF0000"/>
      <color rgb="0000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4" Type="http://schemas.openxmlformats.org/officeDocument/2006/relationships/styles" Target="styles.xml"/><Relationship Id="rId13" Type="http://schemas.openxmlformats.org/officeDocument/2006/relationships/sharedStrings" Target="sharedStrings.xml"/><Relationship Id="rId12" Type="http://schemas.openxmlformats.org/officeDocument/2006/relationships/theme" Target="theme/theme1.xml"/><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0</xdr:col>
      <xdr:colOff>0</xdr:colOff>
      <xdr:row>0</xdr:row>
      <xdr:rowOff>0</xdr:rowOff>
    </xdr:from>
    <xdr:to>
      <xdr:col>17</xdr:col>
      <xdr:colOff>24765</xdr:colOff>
      <xdr:row>2</xdr:row>
      <xdr:rowOff>59055</xdr:rowOff>
    </xdr:to>
    <xdr:sp>
      <xdr:nvSpPr>
        <xdr:cNvPr id="2" name="矩形 1"/>
        <xdr:cNvSpPr/>
      </xdr:nvSpPr>
      <xdr:spPr>
        <a:xfrm>
          <a:off x="0" y="0"/>
          <a:ext cx="10517505" cy="409575"/>
        </a:xfrm>
        <a:prstGeom prst="rect">
          <a:avLst/>
        </a:prstGeom>
        <a:solidFill>
          <a:srgbClr val="009999"/>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marR="0" lvl="0" indent="0" defTabSz="792480" rtl="0" eaLnBrk="0" fontAlgn="auto" latinLnBrk="0" hangingPunct="0">
            <a:lnSpc>
              <a:spcPct val="100000"/>
            </a:lnSpc>
            <a:spcBef>
              <a:spcPts val="0"/>
            </a:spcBef>
            <a:spcAft>
              <a:spcPts val="0"/>
            </a:spcAft>
            <a:buClrTx/>
            <a:buSzTx/>
            <a:buFontTx/>
            <a:buNone/>
            <a:defRPr/>
          </a:pPr>
          <a:r>
            <a:rPr kumimoji="0" lang="en-US" altLang="zh-CN"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BP01 </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营销业务   </a:t>
          </a:r>
          <a:r>
            <a:rPr lang="zh-CN" altLang="en-US" b="1" kern="0" dirty="0">
              <a:solidFill>
                <a:srgbClr val="FFFFFF"/>
              </a:solidFill>
              <a:latin typeface="微软雅黑" panose="020B0503020204020204" pitchFamily="34" charset="-122"/>
              <a:ea typeface="微软雅黑" panose="020B0503020204020204" pitchFamily="34" charset="-122"/>
            </a:rPr>
            <a:t>共计</a:t>
          </a:r>
          <a:r>
            <a:rPr lang="en-US" altLang="zh-CN" b="1" kern="0" dirty="0">
              <a:solidFill>
                <a:srgbClr val="FFFFFF"/>
              </a:solidFill>
              <a:latin typeface="微软雅黑" panose="020B0503020204020204" pitchFamily="34" charset="-122"/>
              <a:ea typeface="微软雅黑" panose="020B0503020204020204" pitchFamily="34" charset="-122"/>
            </a:rPr>
            <a:t>8</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个重点业务领域，</a:t>
          </a:r>
          <a:r>
            <a:rPr lang="en-US" altLang="zh-CN" b="1" kern="0" dirty="0">
              <a:solidFill>
                <a:srgbClr val="FFFFFF"/>
              </a:solidFill>
              <a:latin typeface="微软雅黑" panose="020B0503020204020204" pitchFamily="34" charset="-122"/>
              <a:ea typeface="微软雅黑" panose="020B0503020204020204" pitchFamily="34" charset="-122"/>
            </a:rPr>
            <a:t>23</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个关键风险控制环节，</a:t>
          </a:r>
          <a:r>
            <a:rPr lang="en-US" altLang="zh-CN" b="1" kern="0" dirty="0">
              <a:solidFill>
                <a:srgbClr val="FFFFFF"/>
              </a:solidFill>
              <a:latin typeface="微软雅黑" panose="020B0503020204020204" pitchFamily="34" charset="-122"/>
              <a:ea typeface="微软雅黑" panose="020B0503020204020204" pitchFamily="34" charset="-122"/>
            </a:rPr>
            <a:t>46</a:t>
          </a:r>
          <a:r>
            <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rPr>
            <a:t>项风险控制要点及防控措施</a:t>
          </a:r>
          <a:endParaRPr kumimoji="0" lang="zh-CN" altLang="en-US" sz="1800" b="1" i="0" u="none" strike="noStrike" kern="0" cap="none" spc="0" normalizeH="0" baseline="0" noProof="0" dirty="0">
            <a:ln>
              <a:noFill/>
            </a:ln>
            <a:solidFill>
              <a:srgbClr val="FFFFFF"/>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173990</xdr:colOff>
      <xdr:row>6</xdr:row>
      <xdr:rowOff>74295</xdr:rowOff>
    </xdr:from>
    <xdr:to>
      <xdr:col>16</xdr:col>
      <xdr:colOff>438785</xdr:colOff>
      <xdr:row>8</xdr:row>
      <xdr:rowOff>154305</xdr:rowOff>
    </xdr:to>
    <xdr:sp>
      <xdr:nvSpPr>
        <xdr:cNvPr id="3" name="矩形 1"/>
        <xdr:cNvSpPr/>
      </xdr:nvSpPr>
      <xdr:spPr>
        <a:xfrm>
          <a:off x="173990" y="1125855"/>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7</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10</xdr:row>
      <xdr:rowOff>94615</xdr:rowOff>
    </xdr:from>
    <xdr:to>
      <xdr:col>2</xdr:col>
      <xdr:colOff>294005</xdr:colOff>
      <xdr:row>15</xdr:row>
      <xdr:rowOff>163195</xdr:rowOff>
    </xdr:to>
    <xdr:sp>
      <xdr:nvSpPr>
        <xdr:cNvPr id="4" name="箭头: 五边形 571"/>
        <xdr:cNvSpPr/>
      </xdr:nvSpPr>
      <xdr:spPr>
        <a:xfrm>
          <a:off x="189865" y="1847215"/>
          <a:ext cx="133858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业扩申请受理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3</xdr:row>
      <xdr:rowOff>157480</xdr:rowOff>
    </xdr:from>
    <xdr:to>
      <xdr:col>4</xdr:col>
      <xdr:colOff>359410</xdr:colOff>
      <xdr:row>6</xdr:row>
      <xdr:rowOff>12065</xdr:rowOff>
    </xdr:to>
    <xdr:sp>
      <xdr:nvSpPr>
        <xdr:cNvPr id="5" name="TextBox 71"/>
        <xdr:cNvSpPr txBox="1"/>
      </xdr:nvSpPr>
      <xdr:spPr>
        <a:xfrm>
          <a:off x="83185" y="683260"/>
          <a:ext cx="2745105" cy="38036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一、业扩报装管理</a:t>
          </a:r>
          <a:endParaRPr lang="zh-CN" altLang="en-US" dirty="0">
            <a:solidFill>
              <a:srgbClr val="009999"/>
            </a:solidFill>
          </a:endParaRPr>
        </a:p>
      </xdr:txBody>
    </xdr:sp>
    <xdr:clientData/>
  </xdr:twoCellAnchor>
  <xdr:twoCellAnchor>
    <xdr:from>
      <xdr:col>2</xdr:col>
      <xdr:colOff>622935</xdr:colOff>
      <xdr:row>10</xdr:row>
      <xdr:rowOff>94615</xdr:rowOff>
    </xdr:from>
    <xdr:to>
      <xdr:col>5</xdr:col>
      <xdr:colOff>5080</xdr:colOff>
      <xdr:row>15</xdr:row>
      <xdr:rowOff>163195</xdr:rowOff>
    </xdr:to>
    <xdr:sp>
      <xdr:nvSpPr>
        <xdr:cNvPr id="6" name="箭头: 五边形 571"/>
        <xdr:cNvSpPr/>
      </xdr:nvSpPr>
      <xdr:spPr>
        <a:xfrm>
          <a:off x="1851660" y="1847215"/>
          <a:ext cx="123952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供电方案确定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8</xdr:col>
      <xdr:colOff>254000</xdr:colOff>
      <xdr:row>10</xdr:row>
      <xdr:rowOff>94615</xdr:rowOff>
    </xdr:from>
    <xdr:to>
      <xdr:col>10</xdr:col>
      <xdr:colOff>511810</xdr:colOff>
      <xdr:row>15</xdr:row>
      <xdr:rowOff>163195</xdr:rowOff>
    </xdr:to>
    <xdr:sp>
      <xdr:nvSpPr>
        <xdr:cNvPr id="7" name="箭头: 五边形 571"/>
        <xdr:cNvSpPr/>
      </xdr:nvSpPr>
      <xdr:spPr>
        <a:xfrm>
          <a:off x="5191760" y="1847215"/>
          <a:ext cx="14922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供用电合同签订</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11</xdr:col>
      <xdr:colOff>155575</xdr:colOff>
      <xdr:row>10</xdr:row>
      <xdr:rowOff>94615</xdr:rowOff>
    </xdr:from>
    <xdr:to>
      <xdr:col>12</xdr:col>
      <xdr:colOff>543560</xdr:colOff>
      <xdr:row>15</xdr:row>
      <xdr:rowOff>163195</xdr:rowOff>
    </xdr:to>
    <xdr:sp>
      <xdr:nvSpPr>
        <xdr:cNvPr id="8" name="箭头: 五边形 571"/>
        <xdr:cNvSpPr/>
      </xdr:nvSpPr>
      <xdr:spPr>
        <a:xfrm>
          <a:off x="6944995" y="1847215"/>
          <a:ext cx="100520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装表送电</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655955</xdr:colOff>
      <xdr:row>10</xdr:row>
      <xdr:rowOff>90805</xdr:rowOff>
    </xdr:from>
    <xdr:to>
      <xdr:col>2</xdr:col>
      <xdr:colOff>299720</xdr:colOff>
      <xdr:row>11</xdr:row>
      <xdr:rowOff>135255</xdr:rowOff>
    </xdr:to>
    <xdr:sp>
      <xdr:nvSpPr>
        <xdr:cNvPr id="9" name="Rectangle 24"/>
        <xdr:cNvSpPr/>
      </xdr:nvSpPr>
      <xdr:spPr>
        <a:xfrm>
          <a:off x="1234440" y="1843405"/>
          <a:ext cx="29972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182245</xdr:colOff>
      <xdr:row>10</xdr:row>
      <xdr:rowOff>90805</xdr:rowOff>
    </xdr:from>
    <xdr:to>
      <xdr:col>10</xdr:col>
      <xdr:colOff>506095</xdr:colOff>
      <xdr:row>11</xdr:row>
      <xdr:rowOff>135255</xdr:rowOff>
    </xdr:to>
    <xdr:sp>
      <xdr:nvSpPr>
        <xdr:cNvPr id="10" name="Rectangle 46"/>
        <xdr:cNvSpPr/>
      </xdr:nvSpPr>
      <xdr:spPr>
        <a:xfrm>
          <a:off x="6354445" y="184340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13</xdr:col>
      <xdr:colOff>121920</xdr:colOff>
      <xdr:row>10</xdr:row>
      <xdr:rowOff>94615</xdr:rowOff>
    </xdr:from>
    <xdr:to>
      <xdr:col>14</xdr:col>
      <xdr:colOff>509905</xdr:colOff>
      <xdr:row>15</xdr:row>
      <xdr:rowOff>163195</xdr:rowOff>
    </xdr:to>
    <xdr:sp>
      <xdr:nvSpPr>
        <xdr:cNvPr id="11" name="箭头: 五边形 571"/>
        <xdr:cNvSpPr/>
      </xdr:nvSpPr>
      <xdr:spPr>
        <a:xfrm>
          <a:off x="8145780" y="1847215"/>
          <a:ext cx="100520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档案归档</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334645</xdr:colOff>
      <xdr:row>10</xdr:row>
      <xdr:rowOff>94615</xdr:rowOff>
    </xdr:from>
    <xdr:to>
      <xdr:col>7</xdr:col>
      <xdr:colOff>610870</xdr:colOff>
      <xdr:row>15</xdr:row>
      <xdr:rowOff>163195</xdr:rowOff>
    </xdr:to>
    <xdr:sp>
      <xdr:nvSpPr>
        <xdr:cNvPr id="12" name="箭头: 五边形 571"/>
        <xdr:cNvSpPr/>
      </xdr:nvSpPr>
      <xdr:spPr>
        <a:xfrm>
          <a:off x="3420745" y="1847215"/>
          <a:ext cx="151066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工程设计及收费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4</xdr:col>
      <xdr:colOff>367030</xdr:colOff>
      <xdr:row>10</xdr:row>
      <xdr:rowOff>90805</xdr:rowOff>
    </xdr:from>
    <xdr:to>
      <xdr:col>5</xdr:col>
      <xdr:colOff>5080</xdr:colOff>
      <xdr:row>11</xdr:row>
      <xdr:rowOff>135255</xdr:rowOff>
    </xdr:to>
    <xdr:sp>
      <xdr:nvSpPr>
        <xdr:cNvPr id="13" name="Rectangle 61"/>
        <xdr:cNvSpPr/>
      </xdr:nvSpPr>
      <xdr:spPr>
        <a:xfrm>
          <a:off x="2835910" y="184340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173990</xdr:colOff>
      <xdr:row>16</xdr:row>
      <xdr:rowOff>109855</xdr:rowOff>
    </xdr:from>
    <xdr:to>
      <xdr:col>2</xdr:col>
      <xdr:colOff>314325</xdr:colOff>
      <xdr:row>23</xdr:row>
      <xdr:rowOff>83185</xdr:rowOff>
    </xdr:to>
    <xdr:sp>
      <xdr:nvSpPr>
        <xdr:cNvPr id="14" name="Rectangle 83"/>
        <xdr:cNvSpPr/>
      </xdr:nvSpPr>
      <xdr:spPr>
        <a:xfrm>
          <a:off x="173990" y="2914015"/>
          <a:ext cx="137477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227330</xdr:colOff>
      <xdr:row>17</xdr:row>
      <xdr:rowOff>29210</xdr:rowOff>
    </xdr:from>
    <xdr:to>
      <xdr:col>2</xdr:col>
      <xdr:colOff>259715</xdr:colOff>
      <xdr:row>19</xdr:row>
      <xdr:rowOff>118110</xdr:rowOff>
    </xdr:to>
    <xdr:sp>
      <xdr:nvSpPr>
        <xdr:cNvPr id="15" name="Rectangle 84"/>
        <xdr:cNvSpPr/>
      </xdr:nvSpPr>
      <xdr:spPr>
        <a:xfrm>
          <a:off x="227330" y="3008630"/>
          <a:ext cx="126682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严格客户信息创建管理</a:t>
          </a:r>
          <a:endParaRPr lang="en-US" altLang="zh-CN"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227330</xdr:colOff>
      <xdr:row>20</xdr:row>
      <xdr:rowOff>50800</xdr:rowOff>
    </xdr:from>
    <xdr:to>
      <xdr:col>2</xdr:col>
      <xdr:colOff>259715</xdr:colOff>
      <xdr:row>22</xdr:row>
      <xdr:rowOff>139700</xdr:rowOff>
    </xdr:to>
    <xdr:sp>
      <xdr:nvSpPr>
        <xdr:cNvPr id="16" name="Rectangle 85"/>
        <xdr:cNvSpPr/>
      </xdr:nvSpPr>
      <xdr:spPr>
        <a:xfrm>
          <a:off x="227330" y="3556000"/>
          <a:ext cx="126682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严格客户信息变更管理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601345</xdr:colOff>
      <xdr:row>16</xdr:row>
      <xdr:rowOff>109855</xdr:rowOff>
    </xdr:from>
    <xdr:to>
      <xdr:col>5</xdr:col>
      <xdr:colOff>55880</xdr:colOff>
      <xdr:row>20</xdr:row>
      <xdr:rowOff>50800</xdr:rowOff>
    </xdr:to>
    <xdr:sp>
      <xdr:nvSpPr>
        <xdr:cNvPr id="17" name="Rectangle 92"/>
        <xdr:cNvSpPr/>
      </xdr:nvSpPr>
      <xdr:spPr>
        <a:xfrm>
          <a:off x="1835785" y="2914015"/>
          <a:ext cx="1306195" cy="641985"/>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2</xdr:col>
      <xdr:colOff>653415</xdr:colOff>
      <xdr:row>17</xdr:row>
      <xdr:rowOff>18415</xdr:rowOff>
    </xdr:from>
    <xdr:to>
      <xdr:col>5</xdr:col>
      <xdr:colOff>0</xdr:colOff>
      <xdr:row>19</xdr:row>
      <xdr:rowOff>107315</xdr:rowOff>
    </xdr:to>
    <xdr:sp>
      <xdr:nvSpPr>
        <xdr:cNvPr id="18" name="Rectangle 93"/>
        <xdr:cNvSpPr/>
      </xdr:nvSpPr>
      <xdr:spPr>
        <a:xfrm>
          <a:off x="1851660" y="2997835"/>
          <a:ext cx="123444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严格报装资料审查</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232410</xdr:colOff>
      <xdr:row>16</xdr:row>
      <xdr:rowOff>109855</xdr:rowOff>
    </xdr:from>
    <xdr:to>
      <xdr:col>10</xdr:col>
      <xdr:colOff>624205</xdr:colOff>
      <xdr:row>23</xdr:row>
      <xdr:rowOff>83185</xdr:rowOff>
    </xdr:to>
    <xdr:sp>
      <xdr:nvSpPr>
        <xdr:cNvPr id="19" name="Rectangle 94"/>
        <xdr:cNvSpPr/>
      </xdr:nvSpPr>
      <xdr:spPr>
        <a:xfrm>
          <a:off x="5170170" y="2914015"/>
          <a:ext cx="16192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8</xdr:col>
      <xdr:colOff>285750</xdr:colOff>
      <xdr:row>17</xdr:row>
      <xdr:rowOff>18415</xdr:rowOff>
    </xdr:from>
    <xdr:to>
      <xdr:col>10</xdr:col>
      <xdr:colOff>569595</xdr:colOff>
      <xdr:row>18</xdr:row>
      <xdr:rowOff>62865</xdr:rowOff>
    </xdr:to>
    <xdr:sp>
      <xdr:nvSpPr>
        <xdr:cNvPr id="20" name="Rectangle 95"/>
        <xdr:cNvSpPr/>
      </xdr:nvSpPr>
      <xdr:spPr>
        <a:xfrm>
          <a:off x="5223510" y="2997835"/>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严格合同文本管理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18</xdr:row>
      <xdr:rowOff>114300</xdr:rowOff>
    </xdr:from>
    <xdr:to>
      <xdr:col>10</xdr:col>
      <xdr:colOff>569595</xdr:colOff>
      <xdr:row>19</xdr:row>
      <xdr:rowOff>158750</xdr:rowOff>
    </xdr:to>
    <xdr:sp>
      <xdr:nvSpPr>
        <xdr:cNvPr id="21" name="Rectangle 96"/>
        <xdr:cNvSpPr/>
      </xdr:nvSpPr>
      <xdr:spPr>
        <a:xfrm>
          <a:off x="5223510" y="3268980"/>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严格特殊约定事项管理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20</xdr:row>
      <xdr:rowOff>38735</xdr:rowOff>
    </xdr:from>
    <xdr:to>
      <xdr:col>10</xdr:col>
      <xdr:colOff>569595</xdr:colOff>
      <xdr:row>21</xdr:row>
      <xdr:rowOff>83185</xdr:rowOff>
    </xdr:to>
    <xdr:sp>
      <xdr:nvSpPr>
        <xdr:cNvPr id="22" name="Rectangle 97"/>
        <xdr:cNvSpPr/>
      </xdr:nvSpPr>
      <xdr:spPr>
        <a:xfrm>
          <a:off x="5223510" y="3543935"/>
          <a:ext cx="151828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严格合同线上线下核对</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285750</xdr:colOff>
      <xdr:row>21</xdr:row>
      <xdr:rowOff>135255</xdr:rowOff>
    </xdr:from>
    <xdr:to>
      <xdr:col>10</xdr:col>
      <xdr:colOff>569595</xdr:colOff>
      <xdr:row>23</xdr:row>
      <xdr:rowOff>8255</xdr:rowOff>
    </xdr:to>
    <xdr:sp>
      <xdr:nvSpPr>
        <xdr:cNvPr id="23" name="Rectangle 98"/>
        <xdr:cNvSpPr/>
      </xdr:nvSpPr>
      <xdr:spPr>
        <a:xfrm>
          <a:off x="5223510" y="3815715"/>
          <a:ext cx="151828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严格合同信息管理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294005</xdr:colOff>
      <xdr:row>13</xdr:row>
      <xdr:rowOff>43815</xdr:rowOff>
    </xdr:from>
    <xdr:to>
      <xdr:col>2</xdr:col>
      <xdr:colOff>622935</xdr:colOff>
      <xdr:row>13</xdr:row>
      <xdr:rowOff>43815</xdr:rowOff>
    </xdr:to>
    <xdr:cxnSp>
      <xdr:nvCxnSpPr>
        <xdr:cNvPr id="24" name="Straight Arrow Connector 101"/>
        <xdr:cNvCxnSpPr>
          <a:stCxn id="4" idx="3"/>
          <a:endCxn id="6" idx="1"/>
        </xdr:cNvCxnSpPr>
      </xdr:nvCxnSpPr>
      <xdr:spPr>
        <a:xfrm>
          <a:off x="1528445" y="2322195"/>
          <a:ext cx="3232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5715</xdr:colOff>
      <xdr:row>13</xdr:row>
      <xdr:rowOff>43815</xdr:rowOff>
    </xdr:from>
    <xdr:to>
      <xdr:col>5</xdr:col>
      <xdr:colOff>334645</xdr:colOff>
      <xdr:row>13</xdr:row>
      <xdr:rowOff>43815</xdr:rowOff>
    </xdr:to>
    <xdr:cxnSp>
      <xdr:nvCxnSpPr>
        <xdr:cNvPr id="25" name="Straight Arrow Connector 101"/>
        <xdr:cNvCxnSpPr>
          <a:stCxn id="6" idx="3"/>
          <a:endCxn id="12" idx="1"/>
        </xdr:cNvCxnSpPr>
      </xdr:nvCxnSpPr>
      <xdr:spPr>
        <a:xfrm>
          <a:off x="3091815" y="2322195"/>
          <a:ext cx="32893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610870</xdr:colOff>
      <xdr:row>13</xdr:row>
      <xdr:rowOff>43815</xdr:rowOff>
    </xdr:from>
    <xdr:to>
      <xdr:col>8</xdr:col>
      <xdr:colOff>254000</xdr:colOff>
      <xdr:row>13</xdr:row>
      <xdr:rowOff>43815</xdr:rowOff>
    </xdr:to>
    <xdr:cxnSp>
      <xdr:nvCxnSpPr>
        <xdr:cNvPr id="26" name="Straight Arrow Connector 101"/>
        <xdr:cNvCxnSpPr>
          <a:stCxn id="12" idx="3"/>
          <a:endCxn id="7" idx="1"/>
        </xdr:cNvCxnSpPr>
      </xdr:nvCxnSpPr>
      <xdr:spPr>
        <a:xfrm>
          <a:off x="4931410" y="2322195"/>
          <a:ext cx="26035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512445</xdr:colOff>
      <xdr:row>13</xdr:row>
      <xdr:rowOff>43815</xdr:rowOff>
    </xdr:from>
    <xdr:to>
      <xdr:col>11</xdr:col>
      <xdr:colOff>155575</xdr:colOff>
      <xdr:row>13</xdr:row>
      <xdr:rowOff>43815</xdr:rowOff>
    </xdr:to>
    <xdr:cxnSp>
      <xdr:nvCxnSpPr>
        <xdr:cNvPr id="27" name="Straight Arrow Connector 101"/>
        <xdr:cNvCxnSpPr>
          <a:stCxn id="7" idx="3"/>
          <a:endCxn id="8" idx="1"/>
        </xdr:cNvCxnSpPr>
      </xdr:nvCxnSpPr>
      <xdr:spPr>
        <a:xfrm>
          <a:off x="6684645" y="2322195"/>
          <a:ext cx="26035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544195</xdr:colOff>
      <xdr:row>13</xdr:row>
      <xdr:rowOff>43815</xdr:rowOff>
    </xdr:from>
    <xdr:to>
      <xdr:col>13</xdr:col>
      <xdr:colOff>121920</xdr:colOff>
      <xdr:row>13</xdr:row>
      <xdr:rowOff>43815</xdr:rowOff>
    </xdr:to>
    <xdr:cxnSp>
      <xdr:nvCxnSpPr>
        <xdr:cNvPr id="28" name="Straight Arrow Connector 101"/>
        <xdr:cNvCxnSpPr>
          <a:stCxn id="8" idx="3"/>
          <a:endCxn id="11" idx="1"/>
        </xdr:cNvCxnSpPr>
      </xdr:nvCxnSpPr>
      <xdr:spPr>
        <a:xfrm>
          <a:off x="7950835" y="2322195"/>
          <a:ext cx="1949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3</xdr:row>
      <xdr:rowOff>41275</xdr:rowOff>
    </xdr:from>
    <xdr:to>
      <xdr:col>17</xdr:col>
      <xdr:colOff>24765</xdr:colOff>
      <xdr:row>25</xdr:row>
      <xdr:rowOff>76835</xdr:rowOff>
    </xdr:to>
    <xdr:sp>
      <xdr:nvSpPr>
        <xdr:cNvPr id="29" name="Rectangle 56"/>
        <xdr:cNvSpPr/>
      </xdr:nvSpPr>
      <xdr:spPr>
        <a:xfrm>
          <a:off x="69215" y="567055"/>
          <a:ext cx="1044829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15</xdr:col>
      <xdr:colOff>117475</xdr:colOff>
      <xdr:row>10</xdr:row>
      <xdr:rowOff>94615</xdr:rowOff>
    </xdr:from>
    <xdr:to>
      <xdr:col>16</xdr:col>
      <xdr:colOff>505460</xdr:colOff>
      <xdr:row>15</xdr:row>
      <xdr:rowOff>163195</xdr:rowOff>
    </xdr:to>
    <xdr:sp>
      <xdr:nvSpPr>
        <xdr:cNvPr id="30" name="箭头: 五边形 571"/>
        <xdr:cNvSpPr/>
      </xdr:nvSpPr>
      <xdr:spPr>
        <a:xfrm>
          <a:off x="9375775" y="1847215"/>
          <a:ext cx="100520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14</xdr:col>
      <xdr:colOff>510540</xdr:colOff>
      <xdr:row>13</xdr:row>
      <xdr:rowOff>43815</xdr:rowOff>
    </xdr:from>
    <xdr:to>
      <xdr:col>15</xdr:col>
      <xdr:colOff>116840</xdr:colOff>
      <xdr:row>13</xdr:row>
      <xdr:rowOff>43815</xdr:rowOff>
    </xdr:to>
    <xdr:cxnSp>
      <xdr:nvCxnSpPr>
        <xdr:cNvPr id="31" name="Straight Arrow Connector 101"/>
        <xdr:cNvCxnSpPr>
          <a:stCxn id="11" idx="3"/>
          <a:endCxn id="30" idx="1"/>
        </xdr:cNvCxnSpPr>
      </xdr:nvCxnSpPr>
      <xdr:spPr>
        <a:xfrm>
          <a:off x="9151620" y="2322195"/>
          <a:ext cx="22352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xdr:col>
      <xdr:colOff>3810</xdr:colOff>
      <xdr:row>9</xdr:row>
      <xdr:rowOff>5080</xdr:rowOff>
    </xdr:from>
    <xdr:to>
      <xdr:col>1</xdr:col>
      <xdr:colOff>543560</xdr:colOff>
      <xdr:row>12</xdr:row>
      <xdr:rowOff>30480</xdr:rowOff>
    </xdr:to>
    <xdr:pic>
      <xdr:nvPicPr>
        <xdr:cNvPr id="32"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621030" y="1582420"/>
          <a:ext cx="539750" cy="551180"/>
        </a:xfrm>
        <a:prstGeom prst="rect">
          <a:avLst/>
        </a:prstGeom>
      </xdr:spPr>
    </xdr:pic>
    <xdr:clientData/>
  </xdr:twoCellAnchor>
  <xdr:twoCellAnchor>
    <xdr:from>
      <xdr:col>3</xdr:col>
      <xdr:colOff>415925</xdr:colOff>
      <xdr:row>9</xdr:row>
      <xdr:rowOff>5080</xdr:rowOff>
    </xdr:from>
    <xdr:to>
      <xdr:col>4</xdr:col>
      <xdr:colOff>269875</xdr:colOff>
      <xdr:row>12</xdr:row>
      <xdr:rowOff>30480</xdr:rowOff>
    </xdr:to>
    <xdr:pic>
      <xdr:nvPicPr>
        <xdr:cNvPr id="3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267585" y="1582420"/>
          <a:ext cx="471170" cy="551180"/>
        </a:xfrm>
        <a:prstGeom prst="rect">
          <a:avLst/>
        </a:prstGeom>
      </xdr:spPr>
    </xdr:pic>
    <xdr:clientData/>
  </xdr:twoCellAnchor>
  <xdr:twoCellAnchor>
    <xdr:from>
      <xdr:col>9</xdr:col>
      <xdr:colOff>198755</xdr:colOff>
      <xdr:row>9</xdr:row>
      <xdr:rowOff>5080</xdr:rowOff>
    </xdr:from>
    <xdr:to>
      <xdr:col>10</xdr:col>
      <xdr:colOff>52705</xdr:colOff>
      <xdr:row>12</xdr:row>
      <xdr:rowOff>30480</xdr:rowOff>
    </xdr:to>
    <xdr:pic>
      <xdr:nvPicPr>
        <xdr:cNvPr id="3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5753735" y="1582420"/>
          <a:ext cx="471170" cy="551180"/>
        </a:xfrm>
        <a:prstGeom prst="rect">
          <a:avLst/>
        </a:prstGeom>
      </xdr:spPr>
    </xdr:pic>
    <xdr:clientData/>
  </xdr:twoCellAnchor>
  <xdr:twoCellAnchor>
    <xdr:from>
      <xdr:col>1</xdr:col>
      <xdr:colOff>241935</xdr:colOff>
      <xdr:row>15</xdr:row>
      <xdr:rowOff>108585</xdr:rowOff>
    </xdr:from>
    <xdr:to>
      <xdr:col>1</xdr:col>
      <xdr:colOff>241935</xdr:colOff>
      <xdr:row>16</xdr:row>
      <xdr:rowOff>109220</xdr:rowOff>
    </xdr:to>
    <xdr:cxnSp>
      <xdr:nvCxnSpPr>
        <xdr:cNvPr id="35" name="直接连接符 34"/>
        <xdr:cNvCxnSpPr/>
      </xdr:nvCxnSpPr>
      <xdr:spPr>
        <a:xfrm>
          <a:off x="859155" y="273748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672465</xdr:colOff>
      <xdr:row>15</xdr:row>
      <xdr:rowOff>104775</xdr:rowOff>
    </xdr:from>
    <xdr:to>
      <xdr:col>3</xdr:col>
      <xdr:colOff>672465</xdr:colOff>
      <xdr:row>16</xdr:row>
      <xdr:rowOff>105410</xdr:rowOff>
    </xdr:to>
    <xdr:cxnSp>
      <xdr:nvCxnSpPr>
        <xdr:cNvPr id="36" name="直接连接符 35"/>
        <xdr:cNvCxnSpPr/>
      </xdr:nvCxnSpPr>
      <xdr:spPr>
        <a:xfrm>
          <a:off x="2468880" y="273367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427355</xdr:colOff>
      <xdr:row>15</xdr:row>
      <xdr:rowOff>100330</xdr:rowOff>
    </xdr:from>
    <xdr:to>
      <xdr:col>9</xdr:col>
      <xdr:colOff>427355</xdr:colOff>
      <xdr:row>16</xdr:row>
      <xdr:rowOff>100965</xdr:rowOff>
    </xdr:to>
    <xdr:cxnSp>
      <xdr:nvCxnSpPr>
        <xdr:cNvPr id="37" name="直接连接符 36"/>
        <xdr:cNvCxnSpPr/>
      </xdr:nvCxnSpPr>
      <xdr:spPr>
        <a:xfrm>
          <a:off x="5982335" y="272923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582930</xdr:colOff>
      <xdr:row>21</xdr:row>
      <xdr:rowOff>135890</xdr:rowOff>
    </xdr:from>
    <xdr:to>
      <xdr:col>16</xdr:col>
      <xdr:colOff>635000</xdr:colOff>
      <xdr:row>24</xdr:row>
      <xdr:rowOff>161290</xdr:rowOff>
    </xdr:to>
    <xdr:grpSp>
      <xdr:nvGrpSpPr>
        <xdr:cNvPr id="38" name="Group 5"/>
        <xdr:cNvGrpSpPr/>
      </xdr:nvGrpSpPr>
      <xdr:grpSpPr>
        <a:xfrm>
          <a:off x="9224010" y="3816350"/>
          <a:ext cx="1268730" cy="551180"/>
          <a:chOff x="10435887" y="4098377"/>
          <a:chExt cx="1424247" cy="540000"/>
        </a:xfrm>
      </xdr:grpSpPr>
      <xdr:pic>
        <xdr:nvPicPr>
          <xdr:cNvPr id="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40" name="文本框 3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173990</xdr:colOff>
      <xdr:row>32</xdr:row>
      <xdr:rowOff>74295</xdr:rowOff>
    </xdr:from>
    <xdr:to>
      <xdr:col>16</xdr:col>
      <xdr:colOff>438785</xdr:colOff>
      <xdr:row>34</xdr:row>
      <xdr:rowOff>154305</xdr:rowOff>
    </xdr:to>
    <xdr:sp>
      <xdr:nvSpPr>
        <xdr:cNvPr id="42" name="矩形 1"/>
        <xdr:cNvSpPr/>
      </xdr:nvSpPr>
      <xdr:spPr>
        <a:xfrm>
          <a:off x="173990" y="5682615"/>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189865</xdr:colOff>
      <xdr:row>36</xdr:row>
      <xdr:rowOff>94615</xdr:rowOff>
    </xdr:from>
    <xdr:to>
      <xdr:col>2</xdr:col>
      <xdr:colOff>617855</xdr:colOff>
      <xdr:row>41</xdr:row>
      <xdr:rowOff>163195</xdr:rowOff>
    </xdr:to>
    <xdr:sp>
      <xdr:nvSpPr>
        <xdr:cNvPr id="43" name="箭头: 五边形 571"/>
        <xdr:cNvSpPr/>
      </xdr:nvSpPr>
      <xdr:spPr>
        <a:xfrm>
          <a:off x="189865" y="6403975"/>
          <a:ext cx="166179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价格政策下发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83185</xdr:colOff>
      <xdr:row>29</xdr:row>
      <xdr:rowOff>157480</xdr:rowOff>
    </xdr:from>
    <xdr:to>
      <xdr:col>4</xdr:col>
      <xdr:colOff>359410</xdr:colOff>
      <xdr:row>32</xdr:row>
      <xdr:rowOff>12065</xdr:rowOff>
    </xdr:to>
    <xdr:sp>
      <xdr:nvSpPr>
        <xdr:cNvPr id="44" name="TextBox 71"/>
        <xdr:cNvSpPr txBox="1"/>
      </xdr:nvSpPr>
      <xdr:spPr>
        <a:xfrm>
          <a:off x="83185" y="5240020"/>
          <a:ext cx="2745105" cy="38036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二、电价码管理</a:t>
          </a:r>
          <a:endParaRPr lang="zh-CN" altLang="en-US" dirty="0">
            <a:solidFill>
              <a:srgbClr val="009999"/>
            </a:solidFill>
          </a:endParaRPr>
        </a:p>
      </xdr:txBody>
    </xdr:sp>
    <xdr:clientData/>
  </xdr:twoCellAnchor>
  <xdr:twoCellAnchor>
    <xdr:from>
      <xdr:col>3</xdr:col>
      <xdr:colOff>508635</xdr:colOff>
      <xdr:row>36</xdr:row>
      <xdr:rowOff>94615</xdr:rowOff>
    </xdr:from>
    <xdr:to>
      <xdr:col>6</xdr:col>
      <xdr:colOff>250825</xdr:colOff>
      <xdr:row>41</xdr:row>
      <xdr:rowOff>163195</xdr:rowOff>
    </xdr:to>
    <xdr:sp>
      <xdr:nvSpPr>
        <xdr:cNvPr id="45" name="箭头: 五边形 571"/>
        <xdr:cNvSpPr/>
      </xdr:nvSpPr>
      <xdr:spPr>
        <a:xfrm>
          <a:off x="2360295" y="6403975"/>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电价标准制定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141605</xdr:colOff>
      <xdr:row>36</xdr:row>
      <xdr:rowOff>94615</xdr:rowOff>
    </xdr:from>
    <xdr:to>
      <xdr:col>9</xdr:col>
      <xdr:colOff>569595</xdr:colOff>
      <xdr:row>41</xdr:row>
      <xdr:rowOff>163195</xdr:rowOff>
    </xdr:to>
    <xdr:sp>
      <xdr:nvSpPr>
        <xdr:cNvPr id="46" name="箭头: 五边形 571"/>
        <xdr:cNvSpPr/>
      </xdr:nvSpPr>
      <xdr:spPr>
        <a:xfrm>
          <a:off x="4462145" y="6403975"/>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电价码维护</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460375</xdr:colOff>
      <xdr:row>36</xdr:row>
      <xdr:rowOff>94615</xdr:rowOff>
    </xdr:from>
    <xdr:to>
      <xdr:col>13</xdr:col>
      <xdr:colOff>275590</xdr:colOff>
      <xdr:row>41</xdr:row>
      <xdr:rowOff>163195</xdr:rowOff>
    </xdr:to>
    <xdr:sp>
      <xdr:nvSpPr>
        <xdr:cNvPr id="47" name="箭头: 五边形 571"/>
        <xdr:cNvSpPr/>
      </xdr:nvSpPr>
      <xdr:spPr>
        <a:xfrm>
          <a:off x="6632575" y="6403975"/>
          <a:ext cx="16668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电价码下发与使用</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236855</xdr:colOff>
      <xdr:row>36</xdr:row>
      <xdr:rowOff>90805</xdr:rowOff>
    </xdr:from>
    <xdr:to>
      <xdr:col>9</xdr:col>
      <xdr:colOff>560705</xdr:colOff>
      <xdr:row>37</xdr:row>
      <xdr:rowOff>135255</xdr:rowOff>
    </xdr:to>
    <xdr:sp>
      <xdr:nvSpPr>
        <xdr:cNvPr id="48" name="Rectangle 46"/>
        <xdr:cNvSpPr/>
      </xdr:nvSpPr>
      <xdr:spPr>
        <a:xfrm>
          <a:off x="5791835" y="640016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607060</xdr:colOff>
      <xdr:row>36</xdr:row>
      <xdr:rowOff>90805</xdr:rowOff>
    </xdr:from>
    <xdr:to>
      <xdr:col>6</xdr:col>
      <xdr:colOff>245110</xdr:colOff>
      <xdr:row>37</xdr:row>
      <xdr:rowOff>135255</xdr:rowOff>
    </xdr:to>
    <xdr:sp>
      <xdr:nvSpPr>
        <xdr:cNvPr id="49" name="Rectangle 61"/>
        <xdr:cNvSpPr/>
      </xdr:nvSpPr>
      <xdr:spPr>
        <a:xfrm>
          <a:off x="3693160" y="640016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494030</xdr:colOff>
      <xdr:row>42</xdr:row>
      <xdr:rowOff>109855</xdr:rowOff>
    </xdr:from>
    <xdr:to>
      <xdr:col>6</xdr:col>
      <xdr:colOff>251460</xdr:colOff>
      <xdr:row>46</xdr:row>
      <xdr:rowOff>50165</xdr:rowOff>
    </xdr:to>
    <xdr:sp>
      <xdr:nvSpPr>
        <xdr:cNvPr id="50" name="Rectangle 92"/>
        <xdr:cNvSpPr/>
      </xdr:nvSpPr>
      <xdr:spPr>
        <a:xfrm>
          <a:off x="2345690" y="7470775"/>
          <a:ext cx="1609090"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561340</xdr:colOff>
      <xdr:row>43</xdr:row>
      <xdr:rowOff>29210</xdr:rowOff>
    </xdr:from>
    <xdr:to>
      <xdr:col>6</xdr:col>
      <xdr:colOff>189230</xdr:colOff>
      <xdr:row>45</xdr:row>
      <xdr:rowOff>118110</xdr:rowOff>
    </xdr:to>
    <xdr:sp>
      <xdr:nvSpPr>
        <xdr:cNvPr id="51" name="Rectangle 93"/>
        <xdr:cNvSpPr/>
      </xdr:nvSpPr>
      <xdr:spPr>
        <a:xfrm>
          <a:off x="2413000" y="7565390"/>
          <a:ext cx="147955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强化电价码标准管理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167005</xdr:colOff>
      <xdr:row>42</xdr:row>
      <xdr:rowOff>109855</xdr:rowOff>
    </xdr:from>
    <xdr:to>
      <xdr:col>9</xdr:col>
      <xdr:colOff>558800</xdr:colOff>
      <xdr:row>46</xdr:row>
      <xdr:rowOff>50165</xdr:rowOff>
    </xdr:to>
    <xdr:sp>
      <xdr:nvSpPr>
        <xdr:cNvPr id="52" name="Rectangle 94"/>
        <xdr:cNvSpPr/>
      </xdr:nvSpPr>
      <xdr:spPr>
        <a:xfrm>
          <a:off x="4487545" y="7470775"/>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220345</xdr:colOff>
      <xdr:row>43</xdr:row>
      <xdr:rowOff>29210</xdr:rowOff>
    </xdr:from>
    <xdr:to>
      <xdr:col>9</xdr:col>
      <xdr:colOff>504190</xdr:colOff>
      <xdr:row>45</xdr:row>
      <xdr:rowOff>118110</xdr:rowOff>
    </xdr:to>
    <xdr:sp>
      <xdr:nvSpPr>
        <xdr:cNvPr id="53" name="Rectangle 95"/>
        <xdr:cNvSpPr/>
      </xdr:nvSpPr>
      <xdr:spPr>
        <a:xfrm>
          <a:off x="4540885" y="7565390"/>
          <a:ext cx="151828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建立电价码调整业财联合管控机制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617855</xdr:colOff>
      <xdr:row>39</xdr:row>
      <xdr:rowOff>43815</xdr:rowOff>
    </xdr:from>
    <xdr:to>
      <xdr:col>3</xdr:col>
      <xdr:colOff>508000</xdr:colOff>
      <xdr:row>39</xdr:row>
      <xdr:rowOff>43815</xdr:rowOff>
    </xdr:to>
    <xdr:cxnSp>
      <xdr:nvCxnSpPr>
        <xdr:cNvPr id="54" name="Straight Arrow Connector 101"/>
        <xdr:cNvCxnSpPr>
          <a:stCxn id="43" idx="3"/>
          <a:endCxn id="45" idx="1"/>
        </xdr:cNvCxnSpPr>
      </xdr:nvCxnSpPr>
      <xdr:spPr>
        <a:xfrm>
          <a:off x="1851660" y="6878955"/>
          <a:ext cx="50800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250825</xdr:colOff>
      <xdr:row>39</xdr:row>
      <xdr:rowOff>43815</xdr:rowOff>
    </xdr:from>
    <xdr:to>
      <xdr:col>7</xdr:col>
      <xdr:colOff>140970</xdr:colOff>
      <xdr:row>39</xdr:row>
      <xdr:rowOff>43815</xdr:rowOff>
    </xdr:to>
    <xdr:cxnSp>
      <xdr:nvCxnSpPr>
        <xdr:cNvPr id="55" name="Straight Arrow Connector 101"/>
        <xdr:cNvCxnSpPr>
          <a:stCxn id="45" idx="3"/>
          <a:endCxn id="46" idx="1"/>
        </xdr:cNvCxnSpPr>
      </xdr:nvCxnSpPr>
      <xdr:spPr>
        <a:xfrm>
          <a:off x="3954145" y="687895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569595</xdr:colOff>
      <xdr:row>39</xdr:row>
      <xdr:rowOff>43815</xdr:rowOff>
    </xdr:from>
    <xdr:to>
      <xdr:col>10</xdr:col>
      <xdr:colOff>459740</xdr:colOff>
      <xdr:row>39</xdr:row>
      <xdr:rowOff>43815</xdr:rowOff>
    </xdr:to>
    <xdr:cxnSp>
      <xdr:nvCxnSpPr>
        <xdr:cNvPr id="56" name="Straight Arrow Connector 101"/>
        <xdr:cNvCxnSpPr>
          <a:stCxn id="46" idx="3"/>
          <a:endCxn id="47" idx="1"/>
        </xdr:cNvCxnSpPr>
      </xdr:nvCxnSpPr>
      <xdr:spPr>
        <a:xfrm>
          <a:off x="6124575" y="687895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69215</xdr:colOff>
      <xdr:row>29</xdr:row>
      <xdr:rowOff>41275</xdr:rowOff>
    </xdr:from>
    <xdr:to>
      <xdr:col>17</xdr:col>
      <xdr:colOff>24765</xdr:colOff>
      <xdr:row>51</xdr:row>
      <xdr:rowOff>76835</xdr:rowOff>
    </xdr:to>
    <xdr:sp>
      <xdr:nvSpPr>
        <xdr:cNvPr id="57" name="Rectangle 56"/>
        <xdr:cNvSpPr/>
      </xdr:nvSpPr>
      <xdr:spPr>
        <a:xfrm>
          <a:off x="69215" y="5123815"/>
          <a:ext cx="1044829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93345</xdr:colOff>
      <xdr:row>36</xdr:row>
      <xdr:rowOff>94615</xdr:rowOff>
    </xdr:from>
    <xdr:to>
      <xdr:col>16</xdr:col>
      <xdr:colOff>439420</xdr:colOff>
      <xdr:row>41</xdr:row>
      <xdr:rowOff>163195</xdr:rowOff>
    </xdr:to>
    <xdr:sp>
      <xdr:nvSpPr>
        <xdr:cNvPr id="58" name="箭头: 五边形 571"/>
        <xdr:cNvSpPr/>
      </xdr:nvSpPr>
      <xdr:spPr>
        <a:xfrm>
          <a:off x="8734425" y="6403975"/>
          <a:ext cx="158051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275590</xdr:colOff>
      <xdr:row>39</xdr:row>
      <xdr:rowOff>43815</xdr:rowOff>
    </xdr:from>
    <xdr:to>
      <xdr:col>14</xdr:col>
      <xdr:colOff>92710</xdr:colOff>
      <xdr:row>39</xdr:row>
      <xdr:rowOff>43815</xdr:rowOff>
    </xdr:to>
    <xdr:cxnSp>
      <xdr:nvCxnSpPr>
        <xdr:cNvPr id="59" name="Straight Arrow Connector 101"/>
        <xdr:cNvCxnSpPr>
          <a:stCxn id="47" idx="3"/>
          <a:endCxn id="58" idx="1"/>
        </xdr:cNvCxnSpPr>
      </xdr:nvCxnSpPr>
      <xdr:spPr>
        <a:xfrm>
          <a:off x="8299450" y="6878955"/>
          <a:ext cx="434340"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480695</xdr:colOff>
      <xdr:row>35</xdr:row>
      <xdr:rowOff>5080</xdr:rowOff>
    </xdr:from>
    <xdr:to>
      <xdr:col>5</xdr:col>
      <xdr:colOff>334645</xdr:colOff>
      <xdr:row>38</xdr:row>
      <xdr:rowOff>30480</xdr:rowOff>
    </xdr:to>
    <xdr:pic>
      <xdr:nvPicPr>
        <xdr:cNvPr id="6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949575" y="6139180"/>
          <a:ext cx="471170" cy="551180"/>
        </a:xfrm>
        <a:prstGeom prst="rect">
          <a:avLst/>
        </a:prstGeom>
      </xdr:spPr>
    </xdr:pic>
    <xdr:clientData/>
  </xdr:twoCellAnchor>
  <xdr:twoCellAnchor>
    <xdr:from>
      <xdr:col>8</xdr:col>
      <xdr:colOff>89535</xdr:colOff>
      <xdr:row>35</xdr:row>
      <xdr:rowOff>5080</xdr:rowOff>
    </xdr:from>
    <xdr:to>
      <xdr:col>8</xdr:col>
      <xdr:colOff>629285</xdr:colOff>
      <xdr:row>38</xdr:row>
      <xdr:rowOff>30480</xdr:rowOff>
    </xdr:to>
    <xdr:pic>
      <xdr:nvPicPr>
        <xdr:cNvPr id="6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5027295" y="6139180"/>
          <a:ext cx="527685" cy="551180"/>
        </a:xfrm>
        <a:prstGeom prst="rect">
          <a:avLst/>
        </a:prstGeom>
      </xdr:spPr>
    </xdr:pic>
    <xdr:clientData/>
  </xdr:twoCellAnchor>
  <xdr:twoCellAnchor>
    <xdr:from>
      <xdr:col>5</xdr:col>
      <xdr:colOff>33655</xdr:colOff>
      <xdr:row>41</xdr:row>
      <xdr:rowOff>104775</xdr:rowOff>
    </xdr:from>
    <xdr:to>
      <xdr:col>5</xdr:col>
      <xdr:colOff>33655</xdr:colOff>
      <xdr:row>42</xdr:row>
      <xdr:rowOff>105410</xdr:rowOff>
    </xdr:to>
    <xdr:cxnSp>
      <xdr:nvCxnSpPr>
        <xdr:cNvPr id="62" name="直接连接符 61"/>
        <xdr:cNvCxnSpPr/>
      </xdr:nvCxnSpPr>
      <xdr:spPr>
        <a:xfrm>
          <a:off x="3119755" y="729043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351155</xdr:colOff>
      <xdr:row>41</xdr:row>
      <xdr:rowOff>100330</xdr:rowOff>
    </xdr:from>
    <xdr:to>
      <xdr:col>8</xdr:col>
      <xdr:colOff>351155</xdr:colOff>
      <xdr:row>42</xdr:row>
      <xdr:rowOff>100965</xdr:rowOff>
    </xdr:to>
    <xdr:cxnSp>
      <xdr:nvCxnSpPr>
        <xdr:cNvPr id="63" name="直接连接符 62"/>
        <xdr:cNvCxnSpPr/>
      </xdr:nvCxnSpPr>
      <xdr:spPr>
        <a:xfrm>
          <a:off x="5288915" y="728599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482600</xdr:colOff>
      <xdr:row>42</xdr:row>
      <xdr:rowOff>109855</xdr:rowOff>
    </xdr:from>
    <xdr:to>
      <xdr:col>13</xdr:col>
      <xdr:colOff>260985</xdr:colOff>
      <xdr:row>46</xdr:row>
      <xdr:rowOff>50165</xdr:rowOff>
    </xdr:to>
    <xdr:sp>
      <xdr:nvSpPr>
        <xdr:cNvPr id="64" name="Rectangle 16"/>
        <xdr:cNvSpPr/>
      </xdr:nvSpPr>
      <xdr:spPr>
        <a:xfrm>
          <a:off x="6654800" y="7470775"/>
          <a:ext cx="163004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535305</xdr:colOff>
      <xdr:row>43</xdr:row>
      <xdr:rowOff>29210</xdr:rowOff>
    </xdr:from>
    <xdr:to>
      <xdr:col>13</xdr:col>
      <xdr:colOff>205740</xdr:colOff>
      <xdr:row>45</xdr:row>
      <xdr:rowOff>118110</xdr:rowOff>
    </xdr:to>
    <xdr:sp>
      <xdr:nvSpPr>
        <xdr:cNvPr id="65" name="Rectangle 17"/>
        <xdr:cNvSpPr/>
      </xdr:nvSpPr>
      <xdr:spPr>
        <a:xfrm>
          <a:off x="6707505" y="7565390"/>
          <a:ext cx="152209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强化电价码执行管理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655955</xdr:colOff>
      <xdr:row>41</xdr:row>
      <xdr:rowOff>100330</xdr:rowOff>
    </xdr:from>
    <xdr:to>
      <xdr:col>11</xdr:col>
      <xdr:colOff>655955</xdr:colOff>
      <xdr:row>42</xdr:row>
      <xdr:rowOff>100965</xdr:rowOff>
    </xdr:to>
    <xdr:cxnSp>
      <xdr:nvCxnSpPr>
        <xdr:cNvPr id="66" name="直接连接符 23"/>
        <xdr:cNvCxnSpPr/>
      </xdr:nvCxnSpPr>
      <xdr:spPr>
        <a:xfrm>
          <a:off x="7406640" y="728599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629920</xdr:colOff>
      <xdr:row>36</xdr:row>
      <xdr:rowOff>90805</xdr:rowOff>
    </xdr:from>
    <xdr:to>
      <xdr:col>13</xdr:col>
      <xdr:colOff>267970</xdr:colOff>
      <xdr:row>37</xdr:row>
      <xdr:rowOff>135255</xdr:rowOff>
    </xdr:to>
    <xdr:sp>
      <xdr:nvSpPr>
        <xdr:cNvPr id="67" name="Rectangle 25"/>
        <xdr:cNvSpPr/>
      </xdr:nvSpPr>
      <xdr:spPr>
        <a:xfrm>
          <a:off x="8023860" y="6400165"/>
          <a:ext cx="2679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439420</xdr:colOff>
      <xdr:row>35</xdr:row>
      <xdr:rowOff>5080</xdr:rowOff>
    </xdr:from>
    <xdr:to>
      <xdr:col>12</xdr:col>
      <xdr:colOff>293370</xdr:colOff>
      <xdr:row>38</xdr:row>
      <xdr:rowOff>30480</xdr:rowOff>
    </xdr:to>
    <xdr:pic>
      <xdr:nvPicPr>
        <xdr:cNvPr id="6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228840" y="6139180"/>
          <a:ext cx="471170" cy="551180"/>
        </a:xfrm>
        <a:prstGeom prst="rect">
          <a:avLst/>
        </a:prstGeom>
      </xdr:spPr>
    </xdr:pic>
    <xdr:clientData/>
  </xdr:twoCellAnchor>
  <xdr:twoCellAnchor>
    <xdr:from>
      <xdr:col>14</xdr:col>
      <xdr:colOff>582930</xdr:colOff>
      <xdr:row>47</xdr:row>
      <xdr:rowOff>135890</xdr:rowOff>
    </xdr:from>
    <xdr:to>
      <xdr:col>16</xdr:col>
      <xdr:colOff>635000</xdr:colOff>
      <xdr:row>50</xdr:row>
      <xdr:rowOff>161290</xdr:rowOff>
    </xdr:to>
    <xdr:grpSp>
      <xdr:nvGrpSpPr>
        <xdr:cNvPr id="69" name="Group 31"/>
        <xdr:cNvGrpSpPr/>
      </xdr:nvGrpSpPr>
      <xdr:grpSpPr>
        <a:xfrm>
          <a:off x="9224010" y="8373110"/>
          <a:ext cx="1268730" cy="551180"/>
          <a:chOff x="10435887" y="4098377"/>
          <a:chExt cx="1424247" cy="540000"/>
        </a:xfrm>
      </xdr:grpSpPr>
      <xdr:pic>
        <xdr:nvPicPr>
          <xdr:cNvPr id="7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7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56</xdr:row>
      <xdr:rowOff>33020</xdr:rowOff>
    </xdr:from>
    <xdr:to>
      <xdr:col>16</xdr:col>
      <xdr:colOff>369570</xdr:colOff>
      <xdr:row>58</xdr:row>
      <xdr:rowOff>113030</xdr:rowOff>
    </xdr:to>
    <xdr:sp>
      <xdr:nvSpPr>
        <xdr:cNvPr id="72" name="矩形 1"/>
        <xdr:cNvSpPr/>
      </xdr:nvSpPr>
      <xdr:spPr>
        <a:xfrm>
          <a:off x="104775" y="98475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60</xdr:row>
      <xdr:rowOff>53340</xdr:rowOff>
    </xdr:from>
    <xdr:to>
      <xdr:col>2</xdr:col>
      <xdr:colOff>224155</xdr:colOff>
      <xdr:row>65</xdr:row>
      <xdr:rowOff>121920</xdr:rowOff>
    </xdr:to>
    <xdr:sp>
      <xdr:nvSpPr>
        <xdr:cNvPr id="73" name="箭头: 五边形 571"/>
        <xdr:cNvSpPr/>
      </xdr:nvSpPr>
      <xdr:spPr>
        <a:xfrm>
          <a:off x="120015" y="10568940"/>
          <a:ext cx="133858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表计业务受理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53</xdr:row>
      <xdr:rowOff>116205</xdr:rowOff>
    </xdr:from>
    <xdr:to>
      <xdr:col>4</xdr:col>
      <xdr:colOff>290195</xdr:colOff>
      <xdr:row>55</xdr:row>
      <xdr:rowOff>142240</xdr:rowOff>
    </xdr:to>
    <xdr:sp>
      <xdr:nvSpPr>
        <xdr:cNvPr id="74" name="TextBox 71"/>
        <xdr:cNvSpPr txBox="1"/>
      </xdr:nvSpPr>
      <xdr:spPr>
        <a:xfrm>
          <a:off x="13970" y="940498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三、电量采集管理</a:t>
          </a:r>
          <a:endParaRPr lang="zh-CN" altLang="en-US" dirty="0">
            <a:solidFill>
              <a:srgbClr val="009999"/>
            </a:solidFill>
          </a:endParaRPr>
        </a:p>
      </xdr:txBody>
    </xdr:sp>
    <xdr:clientData/>
  </xdr:twoCellAnchor>
  <xdr:twoCellAnchor>
    <xdr:from>
      <xdr:col>3</xdr:col>
      <xdr:colOff>133985</xdr:colOff>
      <xdr:row>60</xdr:row>
      <xdr:rowOff>53340</xdr:rowOff>
    </xdr:from>
    <xdr:to>
      <xdr:col>6</xdr:col>
      <xdr:colOff>128270</xdr:colOff>
      <xdr:row>65</xdr:row>
      <xdr:rowOff>121920</xdr:rowOff>
    </xdr:to>
    <xdr:sp>
      <xdr:nvSpPr>
        <xdr:cNvPr id="75" name="箭头: 五边形 571"/>
        <xdr:cNvSpPr/>
      </xdr:nvSpPr>
      <xdr:spPr>
        <a:xfrm>
          <a:off x="1985645" y="10568940"/>
          <a:ext cx="184594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计量装置选配与安装</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60960</xdr:colOff>
      <xdr:row>60</xdr:row>
      <xdr:rowOff>53340</xdr:rowOff>
    </xdr:from>
    <xdr:to>
      <xdr:col>9</xdr:col>
      <xdr:colOff>488950</xdr:colOff>
      <xdr:row>65</xdr:row>
      <xdr:rowOff>121920</xdr:rowOff>
    </xdr:to>
    <xdr:sp>
      <xdr:nvSpPr>
        <xdr:cNvPr id="76" name="箭头: 五边形 571"/>
        <xdr:cNvSpPr/>
      </xdr:nvSpPr>
      <xdr:spPr>
        <a:xfrm>
          <a:off x="4381500" y="1056894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量费计划创建</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60</xdr:row>
      <xdr:rowOff>53340</xdr:rowOff>
    </xdr:from>
    <xdr:to>
      <xdr:col>13</xdr:col>
      <xdr:colOff>132715</xdr:colOff>
      <xdr:row>65</xdr:row>
      <xdr:rowOff>121920</xdr:rowOff>
    </xdr:to>
    <xdr:sp>
      <xdr:nvSpPr>
        <xdr:cNvPr id="77" name="箭头: 五边形 571"/>
        <xdr:cNvSpPr/>
      </xdr:nvSpPr>
      <xdr:spPr>
        <a:xfrm>
          <a:off x="6562725" y="1056894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156210</xdr:colOff>
      <xdr:row>60</xdr:row>
      <xdr:rowOff>48895</xdr:rowOff>
    </xdr:from>
    <xdr:to>
      <xdr:col>9</xdr:col>
      <xdr:colOff>480060</xdr:colOff>
      <xdr:row>61</xdr:row>
      <xdr:rowOff>93345</xdr:rowOff>
    </xdr:to>
    <xdr:sp>
      <xdr:nvSpPr>
        <xdr:cNvPr id="78" name="Rectangle 46"/>
        <xdr:cNvSpPr/>
      </xdr:nvSpPr>
      <xdr:spPr>
        <a:xfrm>
          <a:off x="5711190" y="1056449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5</xdr:col>
      <xdr:colOff>482600</xdr:colOff>
      <xdr:row>60</xdr:row>
      <xdr:rowOff>48895</xdr:rowOff>
    </xdr:from>
    <xdr:to>
      <xdr:col>6</xdr:col>
      <xdr:colOff>120650</xdr:colOff>
      <xdr:row>61</xdr:row>
      <xdr:rowOff>93345</xdr:rowOff>
    </xdr:to>
    <xdr:sp>
      <xdr:nvSpPr>
        <xdr:cNvPr id="79" name="Rectangle 61"/>
        <xdr:cNvSpPr/>
      </xdr:nvSpPr>
      <xdr:spPr>
        <a:xfrm>
          <a:off x="3568700" y="10564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195580</xdr:colOff>
      <xdr:row>66</xdr:row>
      <xdr:rowOff>68580</xdr:rowOff>
    </xdr:from>
    <xdr:to>
      <xdr:col>6</xdr:col>
      <xdr:colOff>81915</xdr:colOff>
      <xdr:row>73</xdr:row>
      <xdr:rowOff>41910</xdr:rowOff>
    </xdr:to>
    <xdr:sp>
      <xdr:nvSpPr>
        <xdr:cNvPr id="80" name="Rectangle 92"/>
        <xdr:cNvSpPr/>
      </xdr:nvSpPr>
      <xdr:spPr>
        <a:xfrm>
          <a:off x="2047240" y="11635740"/>
          <a:ext cx="173799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262890</xdr:colOff>
      <xdr:row>66</xdr:row>
      <xdr:rowOff>159385</xdr:rowOff>
    </xdr:from>
    <xdr:to>
      <xdr:col>6</xdr:col>
      <xdr:colOff>5080</xdr:colOff>
      <xdr:row>69</xdr:row>
      <xdr:rowOff>76835</xdr:rowOff>
    </xdr:to>
    <xdr:sp>
      <xdr:nvSpPr>
        <xdr:cNvPr id="81" name="Rectangle 93"/>
        <xdr:cNvSpPr/>
      </xdr:nvSpPr>
      <xdr:spPr>
        <a:xfrm>
          <a:off x="2114550" y="11726545"/>
          <a:ext cx="159385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强化计量装置安装管理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53975</xdr:colOff>
      <xdr:row>66</xdr:row>
      <xdr:rowOff>68580</xdr:rowOff>
    </xdr:from>
    <xdr:to>
      <xdr:col>9</xdr:col>
      <xdr:colOff>481965</xdr:colOff>
      <xdr:row>73</xdr:row>
      <xdr:rowOff>41910</xdr:rowOff>
    </xdr:to>
    <xdr:sp>
      <xdr:nvSpPr>
        <xdr:cNvPr id="82" name="Rectangle 94"/>
        <xdr:cNvSpPr/>
      </xdr:nvSpPr>
      <xdr:spPr>
        <a:xfrm>
          <a:off x="4374515" y="11635740"/>
          <a:ext cx="166243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107315</xdr:colOff>
      <xdr:row>66</xdr:row>
      <xdr:rowOff>159385</xdr:rowOff>
    </xdr:from>
    <xdr:to>
      <xdr:col>9</xdr:col>
      <xdr:colOff>427355</xdr:colOff>
      <xdr:row>69</xdr:row>
      <xdr:rowOff>76835</xdr:rowOff>
    </xdr:to>
    <xdr:sp>
      <xdr:nvSpPr>
        <xdr:cNvPr id="83" name="Rectangle 95"/>
        <xdr:cNvSpPr/>
      </xdr:nvSpPr>
      <xdr:spPr>
        <a:xfrm>
          <a:off x="4427855" y="11726545"/>
          <a:ext cx="155448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严格采集规则管理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224790</xdr:colOff>
      <xdr:row>63</xdr:row>
      <xdr:rowOff>2540</xdr:rowOff>
    </xdr:from>
    <xdr:to>
      <xdr:col>3</xdr:col>
      <xdr:colOff>133985</xdr:colOff>
      <xdr:row>63</xdr:row>
      <xdr:rowOff>2540</xdr:rowOff>
    </xdr:to>
    <xdr:cxnSp>
      <xdr:nvCxnSpPr>
        <xdr:cNvPr id="84" name="Straight Arrow Connector 101"/>
        <xdr:cNvCxnSpPr>
          <a:stCxn id="73" idx="3"/>
          <a:endCxn id="75" idx="1"/>
        </xdr:cNvCxnSpPr>
      </xdr:nvCxnSpPr>
      <xdr:spPr>
        <a:xfrm>
          <a:off x="1459230" y="11043920"/>
          <a:ext cx="52641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128905</xdr:colOff>
      <xdr:row>63</xdr:row>
      <xdr:rowOff>2540</xdr:rowOff>
    </xdr:from>
    <xdr:to>
      <xdr:col>7</xdr:col>
      <xdr:colOff>60960</xdr:colOff>
      <xdr:row>63</xdr:row>
      <xdr:rowOff>2540</xdr:rowOff>
    </xdr:to>
    <xdr:cxnSp>
      <xdr:nvCxnSpPr>
        <xdr:cNvPr id="85" name="Straight Arrow Connector 101"/>
        <xdr:cNvCxnSpPr>
          <a:stCxn id="75" idx="3"/>
          <a:endCxn id="76" idx="1"/>
        </xdr:cNvCxnSpPr>
      </xdr:nvCxnSpPr>
      <xdr:spPr>
        <a:xfrm>
          <a:off x="3832225" y="11043920"/>
          <a:ext cx="54927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489585</xdr:colOff>
      <xdr:row>63</xdr:row>
      <xdr:rowOff>2540</xdr:rowOff>
    </xdr:from>
    <xdr:to>
      <xdr:col>10</xdr:col>
      <xdr:colOff>390525</xdr:colOff>
      <xdr:row>63</xdr:row>
      <xdr:rowOff>2540</xdr:rowOff>
    </xdr:to>
    <xdr:cxnSp>
      <xdr:nvCxnSpPr>
        <xdr:cNvPr id="86" name="Straight Arrow Connector 101"/>
        <xdr:cNvCxnSpPr>
          <a:stCxn id="76" idx="3"/>
          <a:endCxn id="77" idx="1"/>
        </xdr:cNvCxnSpPr>
      </xdr:nvCxnSpPr>
      <xdr:spPr>
        <a:xfrm>
          <a:off x="6044565" y="11043920"/>
          <a:ext cx="518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53</xdr:row>
      <xdr:rowOff>0</xdr:rowOff>
    </xdr:from>
    <xdr:to>
      <xdr:col>16</xdr:col>
      <xdr:colOff>641350</xdr:colOff>
      <xdr:row>75</xdr:row>
      <xdr:rowOff>35560</xdr:rowOff>
    </xdr:to>
    <xdr:sp>
      <xdr:nvSpPr>
        <xdr:cNvPr id="87" name="Rectangle 56"/>
        <xdr:cNvSpPr/>
      </xdr:nvSpPr>
      <xdr:spPr>
        <a:xfrm>
          <a:off x="0" y="928878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23495</xdr:colOff>
      <xdr:row>60</xdr:row>
      <xdr:rowOff>53340</xdr:rowOff>
    </xdr:from>
    <xdr:to>
      <xdr:col>16</xdr:col>
      <xdr:colOff>369570</xdr:colOff>
      <xdr:row>65</xdr:row>
      <xdr:rowOff>121920</xdr:rowOff>
    </xdr:to>
    <xdr:sp>
      <xdr:nvSpPr>
        <xdr:cNvPr id="88" name="箭头: 五边形 571"/>
        <xdr:cNvSpPr/>
      </xdr:nvSpPr>
      <xdr:spPr>
        <a:xfrm>
          <a:off x="8664575" y="10568940"/>
          <a:ext cx="158051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133350</xdr:colOff>
      <xdr:row>63</xdr:row>
      <xdr:rowOff>2540</xdr:rowOff>
    </xdr:from>
    <xdr:to>
      <xdr:col>14</xdr:col>
      <xdr:colOff>23495</xdr:colOff>
      <xdr:row>63</xdr:row>
      <xdr:rowOff>2540</xdr:rowOff>
    </xdr:to>
    <xdr:cxnSp>
      <xdr:nvCxnSpPr>
        <xdr:cNvPr id="89" name="Straight Arrow Connector 101"/>
        <xdr:cNvCxnSpPr>
          <a:stCxn id="77" idx="3"/>
          <a:endCxn id="88" idx="1"/>
        </xdr:cNvCxnSpPr>
      </xdr:nvCxnSpPr>
      <xdr:spPr>
        <a:xfrm>
          <a:off x="8157210" y="11043920"/>
          <a:ext cx="50736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237490</xdr:colOff>
      <xdr:row>58</xdr:row>
      <xdr:rowOff>135255</xdr:rowOff>
    </xdr:from>
    <xdr:to>
      <xdr:col>5</xdr:col>
      <xdr:colOff>91440</xdr:colOff>
      <xdr:row>61</xdr:row>
      <xdr:rowOff>160655</xdr:rowOff>
    </xdr:to>
    <xdr:pic>
      <xdr:nvPicPr>
        <xdr:cNvPr id="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706370" y="10300335"/>
          <a:ext cx="471170" cy="551180"/>
        </a:xfrm>
        <a:prstGeom prst="rect">
          <a:avLst/>
        </a:prstGeom>
      </xdr:spPr>
    </xdr:pic>
    <xdr:clientData/>
  </xdr:twoCellAnchor>
  <xdr:twoCellAnchor>
    <xdr:from>
      <xdr:col>8</xdr:col>
      <xdr:colOff>20320</xdr:colOff>
      <xdr:row>58</xdr:row>
      <xdr:rowOff>135255</xdr:rowOff>
    </xdr:from>
    <xdr:to>
      <xdr:col>8</xdr:col>
      <xdr:colOff>560070</xdr:colOff>
      <xdr:row>61</xdr:row>
      <xdr:rowOff>160655</xdr:rowOff>
    </xdr:to>
    <xdr:pic>
      <xdr:nvPicPr>
        <xdr:cNvPr id="91"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58080" y="10300335"/>
          <a:ext cx="539750" cy="551180"/>
        </a:xfrm>
        <a:prstGeom prst="rect">
          <a:avLst/>
        </a:prstGeom>
      </xdr:spPr>
    </xdr:pic>
    <xdr:clientData/>
  </xdr:twoCellAnchor>
  <xdr:twoCellAnchor>
    <xdr:from>
      <xdr:col>4</xdr:col>
      <xdr:colOff>486410</xdr:colOff>
      <xdr:row>65</xdr:row>
      <xdr:rowOff>63500</xdr:rowOff>
    </xdr:from>
    <xdr:to>
      <xdr:col>4</xdr:col>
      <xdr:colOff>486410</xdr:colOff>
      <xdr:row>66</xdr:row>
      <xdr:rowOff>64135</xdr:rowOff>
    </xdr:to>
    <xdr:cxnSp>
      <xdr:nvCxnSpPr>
        <xdr:cNvPr id="92" name="直接连接符 91"/>
        <xdr:cNvCxnSpPr/>
      </xdr:nvCxnSpPr>
      <xdr:spPr>
        <a:xfrm>
          <a:off x="2955290" y="1145540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65</xdr:row>
      <xdr:rowOff>59055</xdr:rowOff>
    </xdr:from>
    <xdr:to>
      <xdr:col>8</xdr:col>
      <xdr:colOff>260350</xdr:colOff>
      <xdr:row>66</xdr:row>
      <xdr:rowOff>59690</xdr:rowOff>
    </xdr:to>
    <xdr:cxnSp>
      <xdr:nvCxnSpPr>
        <xdr:cNvPr id="93" name="直接连接符 92"/>
        <xdr:cNvCxnSpPr/>
      </xdr:nvCxnSpPr>
      <xdr:spPr>
        <a:xfrm>
          <a:off x="5198110" y="11450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262890</xdr:colOff>
      <xdr:row>70</xdr:row>
      <xdr:rowOff>3810</xdr:rowOff>
    </xdr:from>
    <xdr:to>
      <xdr:col>6</xdr:col>
      <xdr:colOff>5080</xdr:colOff>
      <xdr:row>72</xdr:row>
      <xdr:rowOff>92710</xdr:rowOff>
    </xdr:to>
    <xdr:sp>
      <xdr:nvSpPr>
        <xdr:cNvPr id="94" name="Rectangle 11"/>
        <xdr:cNvSpPr/>
      </xdr:nvSpPr>
      <xdr:spPr>
        <a:xfrm>
          <a:off x="2114550" y="12272010"/>
          <a:ext cx="159385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强化计量信息维护管理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107315</xdr:colOff>
      <xdr:row>70</xdr:row>
      <xdr:rowOff>3810</xdr:rowOff>
    </xdr:from>
    <xdr:to>
      <xdr:col>9</xdr:col>
      <xdr:colOff>427355</xdr:colOff>
      <xdr:row>72</xdr:row>
      <xdr:rowOff>92710</xdr:rowOff>
    </xdr:to>
    <xdr:sp>
      <xdr:nvSpPr>
        <xdr:cNvPr id="95" name="Rectangle 15"/>
        <xdr:cNvSpPr/>
      </xdr:nvSpPr>
      <xdr:spPr>
        <a:xfrm>
          <a:off x="4427855" y="12272010"/>
          <a:ext cx="155448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严格抄表周期管理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401955</xdr:colOff>
      <xdr:row>66</xdr:row>
      <xdr:rowOff>68580</xdr:rowOff>
    </xdr:from>
    <xdr:to>
      <xdr:col>13</xdr:col>
      <xdr:colOff>144145</xdr:colOff>
      <xdr:row>73</xdr:row>
      <xdr:rowOff>41910</xdr:rowOff>
    </xdr:to>
    <xdr:sp>
      <xdr:nvSpPr>
        <xdr:cNvPr id="96" name="Rectangle 16"/>
        <xdr:cNvSpPr/>
      </xdr:nvSpPr>
      <xdr:spPr>
        <a:xfrm>
          <a:off x="6574155" y="11635740"/>
          <a:ext cx="15938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455295</xdr:colOff>
      <xdr:row>66</xdr:row>
      <xdr:rowOff>159385</xdr:rowOff>
    </xdr:from>
    <xdr:to>
      <xdr:col>13</xdr:col>
      <xdr:colOff>89535</xdr:colOff>
      <xdr:row>69</xdr:row>
      <xdr:rowOff>76835</xdr:rowOff>
    </xdr:to>
    <xdr:sp>
      <xdr:nvSpPr>
        <xdr:cNvPr id="97" name="Rectangle 17"/>
        <xdr:cNvSpPr/>
      </xdr:nvSpPr>
      <xdr:spPr>
        <a:xfrm>
          <a:off x="6627495" y="11726545"/>
          <a:ext cx="148590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健全电量采集结果复核机制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586105</xdr:colOff>
      <xdr:row>65</xdr:row>
      <xdr:rowOff>59055</xdr:rowOff>
    </xdr:from>
    <xdr:to>
      <xdr:col>11</xdr:col>
      <xdr:colOff>586105</xdr:colOff>
      <xdr:row>66</xdr:row>
      <xdr:rowOff>59690</xdr:rowOff>
    </xdr:to>
    <xdr:cxnSp>
      <xdr:nvCxnSpPr>
        <xdr:cNvPr id="98" name="直接连接符 23"/>
        <xdr:cNvCxnSpPr/>
      </xdr:nvCxnSpPr>
      <xdr:spPr>
        <a:xfrm>
          <a:off x="7375525" y="11450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10</xdr:col>
      <xdr:colOff>455295</xdr:colOff>
      <xdr:row>70</xdr:row>
      <xdr:rowOff>3810</xdr:rowOff>
    </xdr:from>
    <xdr:to>
      <xdr:col>13</xdr:col>
      <xdr:colOff>89535</xdr:colOff>
      <xdr:row>72</xdr:row>
      <xdr:rowOff>92710</xdr:rowOff>
    </xdr:to>
    <xdr:sp>
      <xdr:nvSpPr>
        <xdr:cNvPr id="99" name="Rectangle 24"/>
        <xdr:cNvSpPr/>
      </xdr:nvSpPr>
      <xdr:spPr>
        <a:xfrm>
          <a:off x="6627495" y="12272010"/>
          <a:ext cx="148590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495300</xdr:colOff>
      <xdr:row>60</xdr:row>
      <xdr:rowOff>48895</xdr:rowOff>
    </xdr:from>
    <xdr:to>
      <xdr:col>13</xdr:col>
      <xdr:colOff>133350</xdr:colOff>
      <xdr:row>61</xdr:row>
      <xdr:rowOff>93345</xdr:rowOff>
    </xdr:to>
    <xdr:sp>
      <xdr:nvSpPr>
        <xdr:cNvPr id="100" name="Rectangle 25"/>
        <xdr:cNvSpPr/>
      </xdr:nvSpPr>
      <xdr:spPr>
        <a:xfrm>
          <a:off x="7901940" y="10564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347980</xdr:colOff>
      <xdr:row>58</xdr:row>
      <xdr:rowOff>135255</xdr:rowOff>
    </xdr:from>
    <xdr:to>
      <xdr:col>12</xdr:col>
      <xdr:colOff>201930</xdr:colOff>
      <xdr:row>61</xdr:row>
      <xdr:rowOff>160655</xdr:rowOff>
    </xdr:to>
    <xdr:pic>
      <xdr:nvPicPr>
        <xdr:cNvPr id="101"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37400" y="10300335"/>
          <a:ext cx="471170" cy="551180"/>
        </a:xfrm>
        <a:prstGeom prst="rect">
          <a:avLst/>
        </a:prstGeom>
      </xdr:spPr>
    </xdr:pic>
    <xdr:clientData/>
  </xdr:twoCellAnchor>
  <xdr:twoCellAnchor>
    <xdr:from>
      <xdr:col>14</xdr:col>
      <xdr:colOff>513715</xdr:colOff>
      <xdr:row>71</xdr:row>
      <xdr:rowOff>94615</xdr:rowOff>
    </xdr:from>
    <xdr:to>
      <xdr:col>16</xdr:col>
      <xdr:colOff>565785</xdr:colOff>
      <xdr:row>74</xdr:row>
      <xdr:rowOff>120015</xdr:rowOff>
    </xdr:to>
    <xdr:grpSp>
      <xdr:nvGrpSpPr>
        <xdr:cNvPr id="102" name="Group 5"/>
        <xdr:cNvGrpSpPr/>
      </xdr:nvGrpSpPr>
      <xdr:grpSpPr>
        <a:xfrm>
          <a:off x="9154795" y="12538075"/>
          <a:ext cx="1286510" cy="551180"/>
          <a:chOff x="10435887" y="4098377"/>
          <a:chExt cx="1424247" cy="540000"/>
        </a:xfrm>
      </xdr:grpSpPr>
      <xdr:pic>
        <xdr:nvPicPr>
          <xdr:cNvPr id="10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04"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80</xdr:row>
      <xdr:rowOff>33020</xdr:rowOff>
    </xdr:from>
    <xdr:to>
      <xdr:col>16</xdr:col>
      <xdr:colOff>369570</xdr:colOff>
      <xdr:row>82</xdr:row>
      <xdr:rowOff>113030</xdr:rowOff>
    </xdr:to>
    <xdr:sp>
      <xdr:nvSpPr>
        <xdr:cNvPr id="105" name="矩形 1"/>
        <xdr:cNvSpPr/>
      </xdr:nvSpPr>
      <xdr:spPr>
        <a:xfrm>
          <a:off x="104775" y="1405382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3</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84</xdr:row>
      <xdr:rowOff>53340</xdr:rowOff>
    </xdr:from>
    <xdr:to>
      <xdr:col>2</xdr:col>
      <xdr:colOff>548005</xdr:colOff>
      <xdr:row>89</xdr:row>
      <xdr:rowOff>121920</xdr:rowOff>
    </xdr:to>
    <xdr:sp>
      <xdr:nvSpPr>
        <xdr:cNvPr id="106" name="箭头: 五边形 571"/>
        <xdr:cNvSpPr/>
      </xdr:nvSpPr>
      <xdr:spPr>
        <a:xfrm>
          <a:off x="120015" y="14775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稽核计划制定</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77</xdr:row>
      <xdr:rowOff>116205</xdr:rowOff>
    </xdr:from>
    <xdr:to>
      <xdr:col>4</xdr:col>
      <xdr:colOff>290195</xdr:colOff>
      <xdr:row>79</xdr:row>
      <xdr:rowOff>142240</xdr:rowOff>
    </xdr:to>
    <xdr:sp>
      <xdr:nvSpPr>
        <xdr:cNvPr id="107" name="TextBox 71"/>
        <xdr:cNvSpPr txBox="1"/>
      </xdr:nvSpPr>
      <xdr:spPr>
        <a:xfrm>
          <a:off x="13970" y="1361122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四、营销稽查管理</a:t>
          </a:r>
          <a:endParaRPr lang="zh-CN" altLang="en-US" dirty="0">
            <a:solidFill>
              <a:srgbClr val="009999"/>
            </a:solidFill>
          </a:endParaRPr>
        </a:p>
      </xdr:txBody>
    </xdr:sp>
    <xdr:clientData/>
  </xdr:twoCellAnchor>
  <xdr:twoCellAnchor>
    <xdr:from>
      <xdr:col>3</xdr:col>
      <xdr:colOff>421640</xdr:colOff>
      <xdr:row>84</xdr:row>
      <xdr:rowOff>53340</xdr:rowOff>
    </xdr:from>
    <xdr:to>
      <xdr:col>6</xdr:col>
      <xdr:colOff>163830</xdr:colOff>
      <xdr:row>89</xdr:row>
      <xdr:rowOff>121920</xdr:rowOff>
    </xdr:to>
    <xdr:sp>
      <xdr:nvSpPr>
        <xdr:cNvPr id="108" name="箭头: 五边形 571"/>
        <xdr:cNvSpPr/>
      </xdr:nvSpPr>
      <xdr:spPr>
        <a:xfrm>
          <a:off x="2273300" y="1477518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稽查任务执行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283845</xdr:colOff>
      <xdr:row>84</xdr:row>
      <xdr:rowOff>53340</xdr:rowOff>
    </xdr:from>
    <xdr:to>
      <xdr:col>13</xdr:col>
      <xdr:colOff>103505</xdr:colOff>
      <xdr:row>89</xdr:row>
      <xdr:rowOff>121920</xdr:rowOff>
    </xdr:to>
    <xdr:sp>
      <xdr:nvSpPr>
        <xdr:cNvPr id="109" name="箭头: 五边形 571"/>
        <xdr:cNvSpPr/>
      </xdr:nvSpPr>
      <xdr:spPr>
        <a:xfrm>
          <a:off x="6456045" y="14775180"/>
          <a:ext cx="167132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异常事项处理销号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84</xdr:row>
      <xdr:rowOff>53340</xdr:rowOff>
    </xdr:from>
    <xdr:to>
      <xdr:col>9</xdr:col>
      <xdr:colOff>466090</xdr:colOff>
      <xdr:row>89</xdr:row>
      <xdr:rowOff>121920</xdr:rowOff>
    </xdr:to>
    <xdr:sp>
      <xdr:nvSpPr>
        <xdr:cNvPr id="110" name="箭头: 五边形 571"/>
        <xdr:cNvSpPr/>
      </xdr:nvSpPr>
      <xdr:spPr>
        <a:xfrm>
          <a:off x="4358640" y="14775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稽查结果下发</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548640</xdr:colOff>
      <xdr:row>87</xdr:row>
      <xdr:rowOff>2540</xdr:rowOff>
    </xdr:from>
    <xdr:to>
      <xdr:col>3</xdr:col>
      <xdr:colOff>421640</xdr:colOff>
      <xdr:row>87</xdr:row>
      <xdr:rowOff>2540</xdr:rowOff>
    </xdr:to>
    <xdr:cxnSp>
      <xdr:nvCxnSpPr>
        <xdr:cNvPr id="111" name="Straight Arrow Connector 101"/>
        <xdr:cNvCxnSpPr>
          <a:stCxn id="106" idx="3"/>
          <a:endCxn id="108" idx="1"/>
        </xdr:cNvCxnSpPr>
      </xdr:nvCxnSpPr>
      <xdr:spPr>
        <a:xfrm>
          <a:off x="1783080" y="1525016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87</xdr:row>
      <xdr:rowOff>2540</xdr:rowOff>
    </xdr:from>
    <xdr:to>
      <xdr:col>7</xdr:col>
      <xdr:colOff>37465</xdr:colOff>
      <xdr:row>87</xdr:row>
      <xdr:rowOff>2540</xdr:rowOff>
    </xdr:to>
    <xdr:cxnSp>
      <xdr:nvCxnSpPr>
        <xdr:cNvPr id="112" name="Straight Arrow Connector 101"/>
        <xdr:cNvCxnSpPr>
          <a:stCxn id="108" idx="3"/>
          <a:endCxn id="110" idx="1"/>
        </xdr:cNvCxnSpPr>
      </xdr:nvCxnSpPr>
      <xdr:spPr>
        <a:xfrm>
          <a:off x="3867785" y="1525016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87</xdr:row>
      <xdr:rowOff>2540</xdr:rowOff>
    </xdr:from>
    <xdr:to>
      <xdr:col>10</xdr:col>
      <xdr:colOff>283210</xdr:colOff>
      <xdr:row>87</xdr:row>
      <xdr:rowOff>2540</xdr:rowOff>
    </xdr:to>
    <xdr:cxnSp>
      <xdr:nvCxnSpPr>
        <xdr:cNvPr id="113" name="Straight Arrow Connector 101"/>
        <xdr:cNvCxnSpPr>
          <a:stCxn id="110" idx="3"/>
          <a:endCxn id="109" idx="1"/>
        </xdr:cNvCxnSpPr>
      </xdr:nvCxnSpPr>
      <xdr:spPr>
        <a:xfrm>
          <a:off x="6021070" y="15250160"/>
          <a:ext cx="43434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77</xdr:row>
      <xdr:rowOff>0</xdr:rowOff>
    </xdr:from>
    <xdr:to>
      <xdr:col>16</xdr:col>
      <xdr:colOff>641350</xdr:colOff>
      <xdr:row>99</xdr:row>
      <xdr:rowOff>35560</xdr:rowOff>
    </xdr:to>
    <xdr:sp>
      <xdr:nvSpPr>
        <xdr:cNvPr id="114" name="Rectangle 56"/>
        <xdr:cNvSpPr/>
      </xdr:nvSpPr>
      <xdr:spPr>
        <a:xfrm>
          <a:off x="0" y="1349502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28575</xdr:colOff>
      <xdr:row>84</xdr:row>
      <xdr:rowOff>53340</xdr:rowOff>
    </xdr:from>
    <xdr:to>
      <xdr:col>16</xdr:col>
      <xdr:colOff>369570</xdr:colOff>
      <xdr:row>89</xdr:row>
      <xdr:rowOff>121920</xdr:rowOff>
    </xdr:to>
    <xdr:sp>
      <xdr:nvSpPr>
        <xdr:cNvPr id="115" name="箭头: 五边形 571"/>
        <xdr:cNvSpPr/>
      </xdr:nvSpPr>
      <xdr:spPr>
        <a:xfrm>
          <a:off x="8669655" y="14775180"/>
          <a:ext cx="157543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104140</xdr:colOff>
      <xdr:row>87</xdr:row>
      <xdr:rowOff>2540</xdr:rowOff>
    </xdr:from>
    <xdr:to>
      <xdr:col>14</xdr:col>
      <xdr:colOff>28575</xdr:colOff>
      <xdr:row>87</xdr:row>
      <xdr:rowOff>2540</xdr:rowOff>
    </xdr:to>
    <xdr:cxnSp>
      <xdr:nvCxnSpPr>
        <xdr:cNvPr id="116" name="Straight Arrow Connector 101"/>
        <xdr:cNvCxnSpPr>
          <a:stCxn id="109" idx="3"/>
          <a:endCxn id="115" idx="1"/>
        </xdr:cNvCxnSpPr>
      </xdr:nvCxnSpPr>
      <xdr:spPr>
        <a:xfrm>
          <a:off x="8128000" y="15250160"/>
          <a:ext cx="541655" cy="0"/>
        </a:xfrm>
        <a:prstGeom prst="straightConnector1">
          <a:avLst/>
        </a:prstGeom>
        <a:ln>
          <a:solidFill>
            <a:srgbClr val="009999"/>
          </a:solidFill>
          <a:prstDash val="dash"/>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140970</xdr:colOff>
      <xdr:row>90</xdr:row>
      <xdr:rowOff>68580</xdr:rowOff>
    </xdr:from>
    <xdr:to>
      <xdr:col>2</xdr:col>
      <xdr:colOff>532765</xdr:colOff>
      <xdr:row>94</xdr:row>
      <xdr:rowOff>8890</xdr:rowOff>
    </xdr:to>
    <xdr:sp>
      <xdr:nvSpPr>
        <xdr:cNvPr id="117" name="Rectangle 6"/>
        <xdr:cNvSpPr/>
      </xdr:nvSpPr>
      <xdr:spPr>
        <a:xfrm>
          <a:off x="140970" y="15841980"/>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194310</xdr:colOff>
      <xdr:row>90</xdr:row>
      <xdr:rowOff>148590</xdr:rowOff>
    </xdr:from>
    <xdr:to>
      <xdr:col>2</xdr:col>
      <xdr:colOff>478155</xdr:colOff>
      <xdr:row>93</xdr:row>
      <xdr:rowOff>66040</xdr:rowOff>
    </xdr:to>
    <xdr:sp>
      <xdr:nvSpPr>
        <xdr:cNvPr id="118" name="Rectangle 12"/>
        <xdr:cNvSpPr/>
      </xdr:nvSpPr>
      <xdr:spPr>
        <a:xfrm>
          <a:off x="194310" y="15921990"/>
          <a:ext cx="1518285"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加强营销价值闭环稽核管理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107315</xdr:colOff>
      <xdr:row>82</xdr:row>
      <xdr:rowOff>135255</xdr:rowOff>
    </xdr:from>
    <xdr:to>
      <xdr:col>1</xdr:col>
      <xdr:colOff>647065</xdr:colOff>
      <xdr:row>85</xdr:row>
      <xdr:rowOff>160655</xdr:rowOff>
    </xdr:to>
    <xdr:pic>
      <xdr:nvPicPr>
        <xdr:cNvPr id="11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724535" y="14506575"/>
          <a:ext cx="509905" cy="551180"/>
        </a:xfrm>
        <a:prstGeom prst="rect">
          <a:avLst/>
        </a:prstGeom>
      </xdr:spPr>
    </xdr:pic>
    <xdr:clientData/>
  </xdr:twoCellAnchor>
  <xdr:twoCellAnchor>
    <xdr:from>
      <xdr:col>1</xdr:col>
      <xdr:colOff>336550</xdr:colOff>
      <xdr:row>89</xdr:row>
      <xdr:rowOff>59055</xdr:rowOff>
    </xdr:from>
    <xdr:to>
      <xdr:col>1</xdr:col>
      <xdr:colOff>336550</xdr:colOff>
      <xdr:row>90</xdr:row>
      <xdr:rowOff>59690</xdr:rowOff>
    </xdr:to>
    <xdr:cxnSp>
      <xdr:nvCxnSpPr>
        <xdr:cNvPr id="120" name="直接连接符 23"/>
        <xdr:cNvCxnSpPr/>
      </xdr:nvCxnSpPr>
      <xdr:spPr>
        <a:xfrm>
          <a:off x="953770" y="15657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2</xdr:col>
      <xdr:colOff>210820</xdr:colOff>
      <xdr:row>84</xdr:row>
      <xdr:rowOff>48895</xdr:rowOff>
    </xdr:from>
    <xdr:to>
      <xdr:col>2</xdr:col>
      <xdr:colOff>534670</xdr:colOff>
      <xdr:row>85</xdr:row>
      <xdr:rowOff>93345</xdr:rowOff>
    </xdr:to>
    <xdr:sp>
      <xdr:nvSpPr>
        <xdr:cNvPr id="121" name="Rectangle 16"/>
        <xdr:cNvSpPr/>
      </xdr:nvSpPr>
      <xdr:spPr>
        <a:xfrm>
          <a:off x="1445260" y="1477073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346075</xdr:colOff>
      <xdr:row>90</xdr:row>
      <xdr:rowOff>68580</xdr:rowOff>
    </xdr:from>
    <xdr:to>
      <xdr:col>13</xdr:col>
      <xdr:colOff>88265</xdr:colOff>
      <xdr:row>97</xdr:row>
      <xdr:rowOff>41910</xdr:rowOff>
    </xdr:to>
    <xdr:sp>
      <xdr:nvSpPr>
        <xdr:cNvPr id="122" name="Rectangle 17"/>
        <xdr:cNvSpPr/>
      </xdr:nvSpPr>
      <xdr:spPr>
        <a:xfrm>
          <a:off x="6518275" y="15841980"/>
          <a:ext cx="1593850"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398780</xdr:colOff>
      <xdr:row>90</xdr:row>
      <xdr:rowOff>148590</xdr:rowOff>
    </xdr:from>
    <xdr:to>
      <xdr:col>13</xdr:col>
      <xdr:colOff>33020</xdr:colOff>
      <xdr:row>93</xdr:row>
      <xdr:rowOff>66040</xdr:rowOff>
    </xdr:to>
    <xdr:sp>
      <xdr:nvSpPr>
        <xdr:cNvPr id="123" name="Rectangle 18"/>
        <xdr:cNvSpPr/>
      </xdr:nvSpPr>
      <xdr:spPr>
        <a:xfrm>
          <a:off x="6570980" y="15921990"/>
          <a:ext cx="1485900"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建立业稽联动审批机制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311785</xdr:colOff>
      <xdr:row>82</xdr:row>
      <xdr:rowOff>135255</xdr:rowOff>
    </xdr:from>
    <xdr:to>
      <xdr:col>12</xdr:col>
      <xdr:colOff>165735</xdr:colOff>
      <xdr:row>85</xdr:row>
      <xdr:rowOff>160655</xdr:rowOff>
    </xdr:to>
    <xdr:pic>
      <xdr:nvPicPr>
        <xdr:cNvPr id="1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01205" y="14506575"/>
          <a:ext cx="471170" cy="551180"/>
        </a:xfrm>
        <a:prstGeom prst="rect">
          <a:avLst/>
        </a:prstGeom>
      </xdr:spPr>
    </xdr:pic>
    <xdr:clientData/>
  </xdr:twoCellAnchor>
  <xdr:twoCellAnchor>
    <xdr:from>
      <xdr:col>11</xdr:col>
      <xdr:colOff>574040</xdr:colOff>
      <xdr:row>89</xdr:row>
      <xdr:rowOff>59055</xdr:rowOff>
    </xdr:from>
    <xdr:to>
      <xdr:col>11</xdr:col>
      <xdr:colOff>574040</xdr:colOff>
      <xdr:row>90</xdr:row>
      <xdr:rowOff>59690</xdr:rowOff>
    </xdr:to>
    <xdr:cxnSp>
      <xdr:nvCxnSpPr>
        <xdr:cNvPr id="125" name="直接连接符 23"/>
        <xdr:cNvCxnSpPr/>
      </xdr:nvCxnSpPr>
      <xdr:spPr>
        <a:xfrm>
          <a:off x="7363460" y="15657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469900</xdr:colOff>
      <xdr:row>84</xdr:row>
      <xdr:rowOff>48895</xdr:rowOff>
    </xdr:from>
    <xdr:to>
      <xdr:col>13</xdr:col>
      <xdr:colOff>107950</xdr:colOff>
      <xdr:row>85</xdr:row>
      <xdr:rowOff>93345</xdr:rowOff>
    </xdr:to>
    <xdr:sp>
      <xdr:nvSpPr>
        <xdr:cNvPr id="126" name="Rectangle 25"/>
        <xdr:cNvSpPr/>
      </xdr:nvSpPr>
      <xdr:spPr>
        <a:xfrm>
          <a:off x="7876540" y="1477073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398780</xdr:colOff>
      <xdr:row>94</xdr:row>
      <xdr:rowOff>9525</xdr:rowOff>
    </xdr:from>
    <xdr:to>
      <xdr:col>13</xdr:col>
      <xdr:colOff>33020</xdr:colOff>
      <xdr:row>96</xdr:row>
      <xdr:rowOff>98425</xdr:rowOff>
    </xdr:to>
    <xdr:sp>
      <xdr:nvSpPr>
        <xdr:cNvPr id="127" name="Rectangle 26"/>
        <xdr:cNvSpPr/>
      </xdr:nvSpPr>
      <xdr:spPr>
        <a:xfrm>
          <a:off x="6570980" y="16483965"/>
          <a:ext cx="1485900"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95</xdr:row>
      <xdr:rowOff>94615</xdr:rowOff>
    </xdr:from>
    <xdr:to>
      <xdr:col>16</xdr:col>
      <xdr:colOff>565785</xdr:colOff>
      <xdr:row>98</xdr:row>
      <xdr:rowOff>120015</xdr:rowOff>
    </xdr:to>
    <xdr:grpSp>
      <xdr:nvGrpSpPr>
        <xdr:cNvPr id="128" name="Group 28"/>
        <xdr:cNvGrpSpPr/>
      </xdr:nvGrpSpPr>
      <xdr:grpSpPr>
        <a:xfrm>
          <a:off x="9154795" y="16744315"/>
          <a:ext cx="1286510" cy="551180"/>
          <a:chOff x="10435887" y="4098377"/>
          <a:chExt cx="1424247" cy="540000"/>
        </a:xfrm>
      </xdr:grpSpPr>
      <xdr:pic>
        <xdr:nvPicPr>
          <xdr:cNvPr id="12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3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104</xdr:row>
      <xdr:rowOff>33020</xdr:rowOff>
    </xdr:from>
    <xdr:to>
      <xdr:col>16</xdr:col>
      <xdr:colOff>369570</xdr:colOff>
      <xdr:row>106</xdr:row>
      <xdr:rowOff>113030</xdr:rowOff>
    </xdr:to>
    <xdr:sp>
      <xdr:nvSpPr>
        <xdr:cNvPr id="131" name="矩形 1"/>
        <xdr:cNvSpPr/>
      </xdr:nvSpPr>
      <xdr:spPr>
        <a:xfrm>
          <a:off x="104775" y="1826006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5</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108</xdr:row>
      <xdr:rowOff>53340</xdr:rowOff>
    </xdr:from>
    <xdr:to>
      <xdr:col>2</xdr:col>
      <xdr:colOff>548005</xdr:colOff>
      <xdr:row>113</xdr:row>
      <xdr:rowOff>121920</xdr:rowOff>
    </xdr:to>
    <xdr:sp>
      <xdr:nvSpPr>
        <xdr:cNvPr id="132" name="箭头: 五边形 571"/>
        <xdr:cNvSpPr/>
      </xdr:nvSpPr>
      <xdr:spPr>
        <a:xfrm>
          <a:off x="120015" y="1898142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电量采集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101</xdr:row>
      <xdr:rowOff>116205</xdr:rowOff>
    </xdr:from>
    <xdr:to>
      <xdr:col>4</xdr:col>
      <xdr:colOff>290195</xdr:colOff>
      <xdr:row>103</xdr:row>
      <xdr:rowOff>142240</xdr:rowOff>
    </xdr:to>
    <xdr:sp>
      <xdr:nvSpPr>
        <xdr:cNvPr id="133" name="TextBox 71"/>
        <xdr:cNvSpPr txBox="1"/>
      </xdr:nvSpPr>
      <xdr:spPr>
        <a:xfrm>
          <a:off x="13970" y="1781746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五、电费核算与发行管理</a:t>
          </a:r>
          <a:endParaRPr lang="zh-CN" altLang="en-US" dirty="0">
            <a:solidFill>
              <a:srgbClr val="009999"/>
            </a:solidFill>
          </a:endParaRPr>
        </a:p>
      </xdr:txBody>
    </xdr:sp>
    <xdr:clientData/>
  </xdr:twoCellAnchor>
  <xdr:twoCellAnchor>
    <xdr:from>
      <xdr:col>3</xdr:col>
      <xdr:colOff>421640</xdr:colOff>
      <xdr:row>108</xdr:row>
      <xdr:rowOff>53340</xdr:rowOff>
    </xdr:from>
    <xdr:to>
      <xdr:col>6</xdr:col>
      <xdr:colOff>163830</xdr:colOff>
      <xdr:row>113</xdr:row>
      <xdr:rowOff>121920</xdr:rowOff>
    </xdr:to>
    <xdr:sp>
      <xdr:nvSpPr>
        <xdr:cNvPr id="134" name="箭头: 五边形 571"/>
        <xdr:cNvSpPr/>
      </xdr:nvSpPr>
      <xdr:spPr>
        <a:xfrm>
          <a:off x="2273300" y="1898142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量费计算</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339725</xdr:colOff>
      <xdr:row>108</xdr:row>
      <xdr:rowOff>53340</xdr:rowOff>
    </xdr:from>
    <xdr:to>
      <xdr:col>13</xdr:col>
      <xdr:colOff>81915</xdr:colOff>
      <xdr:row>113</xdr:row>
      <xdr:rowOff>121920</xdr:rowOff>
    </xdr:to>
    <xdr:sp>
      <xdr:nvSpPr>
        <xdr:cNvPr id="135" name="箭头: 五边形 571"/>
        <xdr:cNvSpPr/>
      </xdr:nvSpPr>
      <xdr:spPr>
        <a:xfrm>
          <a:off x="6511925" y="1898142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客户账单生成</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38100</xdr:colOff>
      <xdr:row>108</xdr:row>
      <xdr:rowOff>53340</xdr:rowOff>
    </xdr:from>
    <xdr:to>
      <xdr:col>9</xdr:col>
      <xdr:colOff>466090</xdr:colOff>
      <xdr:row>113</xdr:row>
      <xdr:rowOff>121920</xdr:rowOff>
    </xdr:to>
    <xdr:sp>
      <xdr:nvSpPr>
        <xdr:cNvPr id="136" name="箭头: 五边形 571"/>
        <xdr:cNvSpPr/>
      </xdr:nvSpPr>
      <xdr:spPr>
        <a:xfrm>
          <a:off x="4358640" y="1898142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515620</xdr:colOff>
      <xdr:row>108</xdr:row>
      <xdr:rowOff>48895</xdr:rowOff>
    </xdr:from>
    <xdr:to>
      <xdr:col>6</xdr:col>
      <xdr:colOff>153670</xdr:colOff>
      <xdr:row>109</xdr:row>
      <xdr:rowOff>93345</xdr:rowOff>
    </xdr:to>
    <xdr:sp>
      <xdr:nvSpPr>
        <xdr:cNvPr id="137" name="Rectangle 61"/>
        <xdr:cNvSpPr/>
      </xdr:nvSpPr>
      <xdr:spPr>
        <a:xfrm>
          <a:off x="3601720" y="1897697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433705</xdr:colOff>
      <xdr:row>114</xdr:row>
      <xdr:rowOff>68580</xdr:rowOff>
    </xdr:from>
    <xdr:to>
      <xdr:col>6</xdr:col>
      <xdr:colOff>137160</xdr:colOff>
      <xdr:row>121</xdr:row>
      <xdr:rowOff>146050</xdr:rowOff>
    </xdr:to>
    <xdr:sp>
      <xdr:nvSpPr>
        <xdr:cNvPr id="138" name="Rectangle 92"/>
        <xdr:cNvSpPr/>
      </xdr:nvSpPr>
      <xdr:spPr>
        <a:xfrm>
          <a:off x="2285365" y="20048220"/>
          <a:ext cx="1555115" cy="130429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485775</xdr:colOff>
      <xdr:row>114</xdr:row>
      <xdr:rowOff>148590</xdr:rowOff>
    </xdr:from>
    <xdr:to>
      <xdr:col>6</xdr:col>
      <xdr:colOff>83820</xdr:colOff>
      <xdr:row>116</xdr:row>
      <xdr:rowOff>21590</xdr:rowOff>
    </xdr:to>
    <xdr:sp>
      <xdr:nvSpPr>
        <xdr:cNvPr id="139" name="Rectangle 93"/>
        <xdr:cNvSpPr/>
      </xdr:nvSpPr>
      <xdr:spPr>
        <a:xfrm>
          <a:off x="2337435" y="2012823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强化电费核算规则管控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7</xdr:col>
      <xdr:colOff>64770</xdr:colOff>
      <xdr:row>114</xdr:row>
      <xdr:rowOff>68580</xdr:rowOff>
    </xdr:from>
    <xdr:to>
      <xdr:col>9</xdr:col>
      <xdr:colOff>456565</xdr:colOff>
      <xdr:row>118</xdr:row>
      <xdr:rowOff>8890</xdr:rowOff>
    </xdr:to>
    <xdr:sp>
      <xdr:nvSpPr>
        <xdr:cNvPr id="140" name="Rectangle 94"/>
        <xdr:cNvSpPr/>
      </xdr:nvSpPr>
      <xdr:spPr>
        <a:xfrm>
          <a:off x="4385310" y="20048220"/>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118110</xdr:colOff>
      <xdr:row>114</xdr:row>
      <xdr:rowOff>148590</xdr:rowOff>
    </xdr:from>
    <xdr:to>
      <xdr:col>9</xdr:col>
      <xdr:colOff>401955</xdr:colOff>
      <xdr:row>117</xdr:row>
      <xdr:rowOff>66040</xdr:rowOff>
    </xdr:to>
    <xdr:sp>
      <xdr:nvSpPr>
        <xdr:cNvPr id="141" name="Rectangle 95"/>
        <xdr:cNvSpPr/>
      </xdr:nvSpPr>
      <xdr:spPr>
        <a:xfrm>
          <a:off x="4438650" y="20128230"/>
          <a:ext cx="1518285" cy="4432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强化电费发行线上管控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111</xdr:row>
      <xdr:rowOff>2540</xdr:rowOff>
    </xdr:from>
    <xdr:to>
      <xdr:col>3</xdr:col>
      <xdr:colOff>421640</xdr:colOff>
      <xdr:row>111</xdr:row>
      <xdr:rowOff>2540</xdr:rowOff>
    </xdr:to>
    <xdr:cxnSp>
      <xdr:nvCxnSpPr>
        <xdr:cNvPr id="142" name="Straight Arrow Connector 101"/>
        <xdr:cNvCxnSpPr>
          <a:stCxn id="132" idx="3"/>
          <a:endCxn id="134" idx="1"/>
        </xdr:cNvCxnSpPr>
      </xdr:nvCxnSpPr>
      <xdr:spPr>
        <a:xfrm>
          <a:off x="1783080"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164465</xdr:colOff>
      <xdr:row>111</xdr:row>
      <xdr:rowOff>2540</xdr:rowOff>
    </xdr:from>
    <xdr:to>
      <xdr:col>7</xdr:col>
      <xdr:colOff>37465</xdr:colOff>
      <xdr:row>111</xdr:row>
      <xdr:rowOff>2540</xdr:rowOff>
    </xdr:to>
    <xdr:cxnSp>
      <xdr:nvCxnSpPr>
        <xdr:cNvPr id="143" name="Straight Arrow Connector 101"/>
        <xdr:cNvCxnSpPr>
          <a:stCxn id="134" idx="3"/>
          <a:endCxn id="136" idx="1"/>
        </xdr:cNvCxnSpPr>
      </xdr:nvCxnSpPr>
      <xdr:spPr>
        <a:xfrm>
          <a:off x="3867785"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466090</xdr:colOff>
      <xdr:row>111</xdr:row>
      <xdr:rowOff>2540</xdr:rowOff>
    </xdr:from>
    <xdr:to>
      <xdr:col>10</xdr:col>
      <xdr:colOff>339090</xdr:colOff>
      <xdr:row>111</xdr:row>
      <xdr:rowOff>2540</xdr:rowOff>
    </xdr:to>
    <xdr:cxnSp>
      <xdr:nvCxnSpPr>
        <xdr:cNvPr id="144" name="Straight Arrow Connector 101"/>
        <xdr:cNvCxnSpPr>
          <a:stCxn id="136" idx="3"/>
          <a:endCxn id="135" idx="1"/>
        </xdr:cNvCxnSpPr>
      </xdr:nvCxnSpPr>
      <xdr:spPr>
        <a:xfrm>
          <a:off x="6021070" y="19456400"/>
          <a:ext cx="49022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101</xdr:row>
      <xdr:rowOff>0</xdr:rowOff>
    </xdr:from>
    <xdr:to>
      <xdr:col>16</xdr:col>
      <xdr:colOff>641350</xdr:colOff>
      <xdr:row>123</xdr:row>
      <xdr:rowOff>35560</xdr:rowOff>
    </xdr:to>
    <xdr:sp>
      <xdr:nvSpPr>
        <xdr:cNvPr id="145" name="Rectangle 56"/>
        <xdr:cNvSpPr/>
      </xdr:nvSpPr>
      <xdr:spPr>
        <a:xfrm>
          <a:off x="0" y="1770126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641350</xdr:colOff>
      <xdr:row>108</xdr:row>
      <xdr:rowOff>53340</xdr:rowOff>
    </xdr:from>
    <xdr:to>
      <xdr:col>16</xdr:col>
      <xdr:colOff>383540</xdr:colOff>
      <xdr:row>113</xdr:row>
      <xdr:rowOff>121920</xdr:rowOff>
    </xdr:to>
    <xdr:sp>
      <xdr:nvSpPr>
        <xdr:cNvPr id="146" name="箭头: 五边形 571"/>
        <xdr:cNvSpPr/>
      </xdr:nvSpPr>
      <xdr:spPr>
        <a:xfrm>
          <a:off x="8641080" y="18981420"/>
          <a:ext cx="1617980"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81915</xdr:colOff>
      <xdr:row>111</xdr:row>
      <xdr:rowOff>2540</xdr:rowOff>
    </xdr:from>
    <xdr:to>
      <xdr:col>13</xdr:col>
      <xdr:colOff>640715</xdr:colOff>
      <xdr:row>111</xdr:row>
      <xdr:rowOff>2540</xdr:rowOff>
    </xdr:to>
    <xdr:cxnSp>
      <xdr:nvCxnSpPr>
        <xdr:cNvPr id="147" name="Straight Arrow Connector 101"/>
        <xdr:cNvCxnSpPr>
          <a:stCxn id="135" idx="3"/>
          <a:endCxn id="146" idx="1"/>
        </xdr:cNvCxnSpPr>
      </xdr:nvCxnSpPr>
      <xdr:spPr>
        <a:xfrm>
          <a:off x="8105775" y="19456400"/>
          <a:ext cx="53530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4</xdr:col>
      <xdr:colOff>367665</xdr:colOff>
      <xdr:row>106</xdr:row>
      <xdr:rowOff>135255</xdr:rowOff>
    </xdr:from>
    <xdr:to>
      <xdr:col>5</xdr:col>
      <xdr:colOff>221615</xdr:colOff>
      <xdr:row>109</xdr:row>
      <xdr:rowOff>160655</xdr:rowOff>
    </xdr:to>
    <xdr:pic>
      <xdr:nvPicPr>
        <xdr:cNvPr id="148"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836545" y="18712815"/>
          <a:ext cx="471170" cy="551180"/>
        </a:xfrm>
        <a:prstGeom prst="rect">
          <a:avLst/>
        </a:prstGeom>
      </xdr:spPr>
    </xdr:pic>
    <xdr:clientData/>
  </xdr:twoCellAnchor>
  <xdr:twoCellAnchor>
    <xdr:from>
      <xdr:col>8</xdr:col>
      <xdr:colOff>20320</xdr:colOff>
      <xdr:row>106</xdr:row>
      <xdr:rowOff>135255</xdr:rowOff>
    </xdr:from>
    <xdr:to>
      <xdr:col>8</xdr:col>
      <xdr:colOff>560070</xdr:colOff>
      <xdr:row>109</xdr:row>
      <xdr:rowOff>160655</xdr:rowOff>
    </xdr:to>
    <xdr:pic>
      <xdr:nvPicPr>
        <xdr:cNvPr id="149"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58080" y="18712815"/>
          <a:ext cx="539750" cy="551180"/>
        </a:xfrm>
        <a:prstGeom prst="rect">
          <a:avLst/>
        </a:prstGeom>
      </xdr:spPr>
    </xdr:pic>
    <xdr:clientData/>
  </xdr:twoCellAnchor>
  <xdr:twoCellAnchor>
    <xdr:from>
      <xdr:col>4</xdr:col>
      <xdr:colOff>613410</xdr:colOff>
      <xdr:row>113</xdr:row>
      <xdr:rowOff>63500</xdr:rowOff>
    </xdr:from>
    <xdr:to>
      <xdr:col>4</xdr:col>
      <xdr:colOff>613410</xdr:colOff>
      <xdr:row>114</xdr:row>
      <xdr:rowOff>64135</xdr:rowOff>
    </xdr:to>
    <xdr:cxnSp>
      <xdr:nvCxnSpPr>
        <xdr:cNvPr id="150" name="直接连接符 149"/>
        <xdr:cNvCxnSpPr/>
      </xdr:nvCxnSpPr>
      <xdr:spPr>
        <a:xfrm>
          <a:off x="3082290" y="1986788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260350</xdr:colOff>
      <xdr:row>113</xdr:row>
      <xdr:rowOff>59055</xdr:rowOff>
    </xdr:from>
    <xdr:to>
      <xdr:col>8</xdr:col>
      <xdr:colOff>260350</xdr:colOff>
      <xdr:row>114</xdr:row>
      <xdr:rowOff>59690</xdr:rowOff>
    </xdr:to>
    <xdr:cxnSp>
      <xdr:nvCxnSpPr>
        <xdr:cNvPr id="151" name="直接连接符 150"/>
        <xdr:cNvCxnSpPr/>
      </xdr:nvCxnSpPr>
      <xdr:spPr>
        <a:xfrm>
          <a:off x="5198110" y="1986343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3</xdr:col>
      <xdr:colOff>485775</xdr:colOff>
      <xdr:row>116</xdr:row>
      <xdr:rowOff>73025</xdr:rowOff>
    </xdr:from>
    <xdr:to>
      <xdr:col>6</xdr:col>
      <xdr:colOff>83820</xdr:colOff>
      <xdr:row>117</xdr:row>
      <xdr:rowOff>117475</xdr:rowOff>
    </xdr:to>
    <xdr:sp>
      <xdr:nvSpPr>
        <xdr:cNvPr id="152" name="Rectangle 7"/>
        <xdr:cNvSpPr/>
      </xdr:nvSpPr>
      <xdr:spPr>
        <a:xfrm>
          <a:off x="2337435" y="2040318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加强涉费工单归档督办</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117</xdr:row>
      <xdr:rowOff>168910</xdr:rowOff>
    </xdr:from>
    <xdr:to>
      <xdr:col>6</xdr:col>
      <xdr:colOff>83820</xdr:colOff>
      <xdr:row>119</xdr:row>
      <xdr:rowOff>41910</xdr:rowOff>
    </xdr:to>
    <xdr:sp>
      <xdr:nvSpPr>
        <xdr:cNvPr id="153" name="Rectangle 11"/>
        <xdr:cNvSpPr/>
      </xdr:nvSpPr>
      <xdr:spPr>
        <a:xfrm>
          <a:off x="2337435" y="2067433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健全计费结果复核机制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485775</xdr:colOff>
      <xdr:row>119</xdr:row>
      <xdr:rowOff>93980</xdr:rowOff>
    </xdr:from>
    <xdr:to>
      <xdr:col>6</xdr:col>
      <xdr:colOff>83820</xdr:colOff>
      <xdr:row>121</xdr:row>
      <xdr:rowOff>74930</xdr:rowOff>
    </xdr:to>
    <xdr:sp>
      <xdr:nvSpPr>
        <xdr:cNvPr id="154" name="Rectangle 13"/>
        <xdr:cNvSpPr/>
      </xdr:nvSpPr>
      <xdr:spPr>
        <a:xfrm>
          <a:off x="2337435" y="20949920"/>
          <a:ext cx="1449705" cy="33147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健全异常事项闭环处理机制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123825</xdr:colOff>
      <xdr:row>108</xdr:row>
      <xdr:rowOff>48895</xdr:rowOff>
    </xdr:from>
    <xdr:to>
      <xdr:col>9</xdr:col>
      <xdr:colOff>447675</xdr:colOff>
      <xdr:row>109</xdr:row>
      <xdr:rowOff>93345</xdr:rowOff>
    </xdr:to>
    <xdr:sp>
      <xdr:nvSpPr>
        <xdr:cNvPr id="155" name="Rectangle 46"/>
        <xdr:cNvSpPr/>
      </xdr:nvSpPr>
      <xdr:spPr>
        <a:xfrm>
          <a:off x="5678805" y="1897697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14</xdr:col>
      <xdr:colOff>513715</xdr:colOff>
      <xdr:row>119</xdr:row>
      <xdr:rowOff>94615</xdr:rowOff>
    </xdr:from>
    <xdr:to>
      <xdr:col>16</xdr:col>
      <xdr:colOff>565785</xdr:colOff>
      <xdr:row>122</xdr:row>
      <xdr:rowOff>120015</xdr:rowOff>
    </xdr:to>
    <xdr:grpSp>
      <xdr:nvGrpSpPr>
        <xdr:cNvPr id="156" name="Group 18"/>
        <xdr:cNvGrpSpPr/>
      </xdr:nvGrpSpPr>
      <xdr:grpSpPr>
        <a:xfrm>
          <a:off x="9154795" y="20950555"/>
          <a:ext cx="1286510" cy="551180"/>
          <a:chOff x="10435887" y="4098377"/>
          <a:chExt cx="1424247" cy="540000"/>
        </a:xfrm>
      </xdr:grpSpPr>
      <xdr:pic>
        <xdr:nvPicPr>
          <xdr:cNvPr id="15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58"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3</xdr:col>
      <xdr:colOff>450215</xdr:colOff>
      <xdr:row>141</xdr:row>
      <xdr:rowOff>125095</xdr:rowOff>
    </xdr:from>
    <xdr:to>
      <xdr:col>6</xdr:col>
      <xdr:colOff>156210</xdr:colOff>
      <xdr:row>148</xdr:row>
      <xdr:rowOff>98425</xdr:rowOff>
    </xdr:to>
    <xdr:sp>
      <xdr:nvSpPr>
        <xdr:cNvPr id="159" name="Rectangle 7"/>
        <xdr:cNvSpPr/>
      </xdr:nvSpPr>
      <xdr:spPr>
        <a:xfrm>
          <a:off x="2301875" y="24836755"/>
          <a:ext cx="1557655" cy="12001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502920</xdr:colOff>
      <xdr:row>142</xdr:row>
      <xdr:rowOff>33655</xdr:rowOff>
    </xdr:from>
    <xdr:to>
      <xdr:col>6</xdr:col>
      <xdr:colOff>100965</xdr:colOff>
      <xdr:row>143</xdr:row>
      <xdr:rowOff>78105</xdr:rowOff>
    </xdr:to>
    <xdr:sp>
      <xdr:nvSpPr>
        <xdr:cNvPr id="160" name="Rectangle 11"/>
        <xdr:cNvSpPr/>
      </xdr:nvSpPr>
      <xdr:spPr>
        <a:xfrm>
          <a:off x="2354580" y="2492057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严格电费账务线上管控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143</xdr:row>
      <xdr:rowOff>129540</xdr:rowOff>
    </xdr:from>
    <xdr:to>
      <xdr:col>6</xdr:col>
      <xdr:colOff>100965</xdr:colOff>
      <xdr:row>145</xdr:row>
      <xdr:rowOff>2540</xdr:rowOff>
    </xdr:to>
    <xdr:sp>
      <xdr:nvSpPr>
        <xdr:cNvPr id="161" name="Rectangle 13"/>
        <xdr:cNvSpPr/>
      </xdr:nvSpPr>
      <xdr:spPr>
        <a:xfrm>
          <a:off x="2354580" y="25191720"/>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强化营财账务协同管控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145</xdr:row>
      <xdr:rowOff>53975</xdr:rowOff>
    </xdr:from>
    <xdr:to>
      <xdr:col>6</xdr:col>
      <xdr:colOff>100965</xdr:colOff>
      <xdr:row>146</xdr:row>
      <xdr:rowOff>98425</xdr:rowOff>
    </xdr:to>
    <xdr:sp>
      <xdr:nvSpPr>
        <xdr:cNvPr id="162" name="Rectangle 14"/>
        <xdr:cNvSpPr/>
      </xdr:nvSpPr>
      <xdr:spPr>
        <a:xfrm>
          <a:off x="2354580" y="25466675"/>
          <a:ext cx="1449705" cy="21971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强化营销核算规则复核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502920</xdr:colOff>
      <xdr:row>146</xdr:row>
      <xdr:rowOff>150495</xdr:rowOff>
    </xdr:from>
    <xdr:to>
      <xdr:col>6</xdr:col>
      <xdr:colOff>100965</xdr:colOff>
      <xdr:row>148</xdr:row>
      <xdr:rowOff>23495</xdr:rowOff>
    </xdr:to>
    <xdr:sp>
      <xdr:nvSpPr>
        <xdr:cNvPr id="163" name="Rectangle 15"/>
        <xdr:cNvSpPr/>
      </xdr:nvSpPr>
      <xdr:spPr>
        <a:xfrm>
          <a:off x="2354580" y="25738455"/>
          <a:ext cx="1449705" cy="2235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严格电费账务调整管理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104775</xdr:colOff>
      <xdr:row>130</xdr:row>
      <xdr:rowOff>43180</xdr:rowOff>
    </xdr:from>
    <xdr:to>
      <xdr:col>16</xdr:col>
      <xdr:colOff>369570</xdr:colOff>
      <xdr:row>132</xdr:row>
      <xdr:rowOff>123190</xdr:rowOff>
    </xdr:to>
    <xdr:sp>
      <xdr:nvSpPr>
        <xdr:cNvPr id="164" name="矩形 1"/>
        <xdr:cNvSpPr/>
      </xdr:nvSpPr>
      <xdr:spPr>
        <a:xfrm>
          <a:off x="104775" y="228269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3</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6</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135</xdr:row>
      <xdr:rowOff>109855</xdr:rowOff>
    </xdr:from>
    <xdr:to>
      <xdr:col>2</xdr:col>
      <xdr:colOff>548005</xdr:colOff>
      <xdr:row>141</xdr:row>
      <xdr:rowOff>6985</xdr:rowOff>
    </xdr:to>
    <xdr:sp>
      <xdr:nvSpPr>
        <xdr:cNvPr id="165" name="箭头: 五边形 571"/>
        <xdr:cNvSpPr/>
      </xdr:nvSpPr>
      <xdr:spPr>
        <a:xfrm>
          <a:off x="120015" y="23769955"/>
          <a:ext cx="166243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电费发行与收取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127</xdr:row>
      <xdr:rowOff>127000</xdr:rowOff>
    </xdr:from>
    <xdr:to>
      <xdr:col>4</xdr:col>
      <xdr:colOff>290195</xdr:colOff>
      <xdr:row>129</xdr:row>
      <xdr:rowOff>153035</xdr:rowOff>
    </xdr:to>
    <xdr:sp>
      <xdr:nvSpPr>
        <xdr:cNvPr id="166" name="TextBox 71"/>
        <xdr:cNvSpPr txBox="1"/>
      </xdr:nvSpPr>
      <xdr:spPr>
        <a:xfrm>
          <a:off x="13970" y="22385020"/>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六、电费账务与发票管理</a:t>
          </a:r>
          <a:endParaRPr lang="zh-CN" altLang="en-US" dirty="0">
            <a:solidFill>
              <a:srgbClr val="009999"/>
            </a:solidFill>
          </a:endParaRPr>
        </a:p>
      </xdr:txBody>
    </xdr:sp>
    <xdr:clientData/>
  </xdr:twoCellAnchor>
  <xdr:twoCellAnchor>
    <xdr:from>
      <xdr:col>3</xdr:col>
      <xdr:colOff>438785</xdr:colOff>
      <xdr:row>135</xdr:row>
      <xdr:rowOff>109855</xdr:rowOff>
    </xdr:from>
    <xdr:to>
      <xdr:col>6</xdr:col>
      <xdr:colOff>180975</xdr:colOff>
      <xdr:row>141</xdr:row>
      <xdr:rowOff>6985</xdr:rowOff>
    </xdr:to>
    <xdr:sp>
      <xdr:nvSpPr>
        <xdr:cNvPr id="167" name="箭头: 五边形 571"/>
        <xdr:cNvSpPr/>
      </xdr:nvSpPr>
      <xdr:spPr>
        <a:xfrm>
          <a:off x="2290445" y="23769955"/>
          <a:ext cx="159385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电费账务处理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390525</xdr:colOff>
      <xdr:row>135</xdr:row>
      <xdr:rowOff>109855</xdr:rowOff>
    </xdr:from>
    <xdr:to>
      <xdr:col>13</xdr:col>
      <xdr:colOff>132715</xdr:colOff>
      <xdr:row>141</xdr:row>
      <xdr:rowOff>6985</xdr:rowOff>
    </xdr:to>
    <xdr:sp>
      <xdr:nvSpPr>
        <xdr:cNvPr id="168" name="箭头: 五边形 571"/>
        <xdr:cNvSpPr/>
      </xdr:nvSpPr>
      <xdr:spPr>
        <a:xfrm>
          <a:off x="6562725" y="23769955"/>
          <a:ext cx="159385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价外基金上缴</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7</xdr:col>
      <xdr:colOff>71755</xdr:colOff>
      <xdr:row>135</xdr:row>
      <xdr:rowOff>109855</xdr:rowOff>
    </xdr:from>
    <xdr:to>
      <xdr:col>9</xdr:col>
      <xdr:colOff>499745</xdr:colOff>
      <xdr:row>141</xdr:row>
      <xdr:rowOff>6985</xdr:rowOff>
    </xdr:to>
    <xdr:sp>
      <xdr:nvSpPr>
        <xdr:cNvPr id="169" name="箭头: 五边形 571"/>
        <xdr:cNvSpPr/>
      </xdr:nvSpPr>
      <xdr:spPr>
        <a:xfrm>
          <a:off x="4392295" y="23769955"/>
          <a:ext cx="1662430" cy="94869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电费发票开具</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5</xdr:col>
      <xdr:colOff>537210</xdr:colOff>
      <xdr:row>135</xdr:row>
      <xdr:rowOff>106045</xdr:rowOff>
    </xdr:from>
    <xdr:to>
      <xdr:col>6</xdr:col>
      <xdr:colOff>175260</xdr:colOff>
      <xdr:row>136</xdr:row>
      <xdr:rowOff>150495</xdr:rowOff>
    </xdr:to>
    <xdr:sp>
      <xdr:nvSpPr>
        <xdr:cNvPr id="170" name="Rectangle 61"/>
        <xdr:cNvSpPr/>
      </xdr:nvSpPr>
      <xdr:spPr>
        <a:xfrm>
          <a:off x="3623310" y="2376614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4</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7</xdr:col>
      <xdr:colOff>86995</xdr:colOff>
      <xdr:row>141</xdr:row>
      <xdr:rowOff>125095</xdr:rowOff>
    </xdr:from>
    <xdr:to>
      <xdr:col>9</xdr:col>
      <xdr:colOff>478790</xdr:colOff>
      <xdr:row>145</xdr:row>
      <xdr:rowOff>65405</xdr:rowOff>
    </xdr:to>
    <xdr:sp>
      <xdr:nvSpPr>
        <xdr:cNvPr id="171" name="Rectangle 94"/>
        <xdr:cNvSpPr/>
      </xdr:nvSpPr>
      <xdr:spPr>
        <a:xfrm>
          <a:off x="4407535" y="24836755"/>
          <a:ext cx="162623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7</xdr:col>
      <xdr:colOff>139700</xdr:colOff>
      <xdr:row>142</xdr:row>
      <xdr:rowOff>33655</xdr:rowOff>
    </xdr:from>
    <xdr:to>
      <xdr:col>9</xdr:col>
      <xdr:colOff>423545</xdr:colOff>
      <xdr:row>144</xdr:row>
      <xdr:rowOff>122555</xdr:rowOff>
    </xdr:to>
    <xdr:sp>
      <xdr:nvSpPr>
        <xdr:cNvPr id="172" name="Rectangle 95"/>
        <xdr:cNvSpPr/>
      </xdr:nvSpPr>
      <xdr:spPr>
        <a:xfrm>
          <a:off x="4460240" y="24920575"/>
          <a:ext cx="151828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强化电费发票管理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138</xdr:row>
      <xdr:rowOff>59055</xdr:rowOff>
    </xdr:from>
    <xdr:to>
      <xdr:col>3</xdr:col>
      <xdr:colOff>438785</xdr:colOff>
      <xdr:row>138</xdr:row>
      <xdr:rowOff>59055</xdr:rowOff>
    </xdr:to>
    <xdr:cxnSp>
      <xdr:nvCxnSpPr>
        <xdr:cNvPr id="173" name="Straight Arrow Connector 101"/>
        <xdr:cNvCxnSpPr>
          <a:stCxn id="165" idx="3"/>
          <a:endCxn id="167" idx="1"/>
        </xdr:cNvCxnSpPr>
      </xdr:nvCxnSpPr>
      <xdr:spPr>
        <a:xfrm>
          <a:off x="1783080" y="24244935"/>
          <a:ext cx="50736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127</xdr:row>
      <xdr:rowOff>10160</xdr:rowOff>
    </xdr:from>
    <xdr:to>
      <xdr:col>16</xdr:col>
      <xdr:colOff>641350</xdr:colOff>
      <xdr:row>150</xdr:row>
      <xdr:rowOff>160655</xdr:rowOff>
    </xdr:to>
    <xdr:sp>
      <xdr:nvSpPr>
        <xdr:cNvPr id="174" name="Rectangle 56"/>
        <xdr:cNvSpPr/>
      </xdr:nvSpPr>
      <xdr:spPr>
        <a:xfrm>
          <a:off x="0" y="22268180"/>
          <a:ext cx="10492740" cy="4181475"/>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4</xdr:col>
      <xdr:colOff>400685</xdr:colOff>
      <xdr:row>134</xdr:row>
      <xdr:rowOff>20320</xdr:rowOff>
    </xdr:from>
    <xdr:to>
      <xdr:col>5</xdr:col>
      <xdr:colOff>254635</xdr:colOff>
      <xdr:row>137</xdr:row>
      <xdr:rowOff>45720</xdr:rowOff>
    </xdr:to>
    <xdr:pic>
      <xdr:nvPicPr>
        <xdr:cNvPr id="17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869565" y="23505160"/>
          <a:ext cx="471170" cy="551180"/>
        </a:xfrm>
        <a:prstGeom prst="rect">
          <a:avLst/>
        </a:prstGeom>
      </xdr:spPr>
    </xdr:pic>
    <xdr:clientData/>
  </xdr:twoCellAnchor>
  <xdr:twoCellAnchor>
    <xdr:from>
      <xdr:col>8</xdr:col>
      <xdr:colOff>8890</xdr:colOff>
      <xdr:row>134</xdr:row>
      <xdr:rowOff>20320</xdr:rowOff>
    </xdr:from>
    <xdr:to>
      <xdr:col>8</xdr:col>
      <xdr:colOff>548640</xdr:colOff>
      <xdr:row>137</xdr:row>
      <xdr:rowOff>45720</xdr:rowOff>
    </xdr:to>
    <xdr:pic>
      <xdr:nvPicPr>
        <xdr:cNvPr id="176" name="Picture 16"/>
        <xdr:cNvPicPr>
          <a:picLocks noChangeAspect="1"/>
        </xdr:cNvPicPr>
      </xdr:nvPicPr>
      <xdr:blipFill>
        <a:blip r:embed="rId1" cstate="print">
          <a:extLst>
            <a:ext uri="{28A0092B-C50C-407E-A947-70E740481C1C}">
              <a14:useLocalDpi xmlns:a14="http://schemas.microsoft.com/office/drawing/2010/main" val="0"/>
            </a:ext>
          </a:extLst>
        </a:blip>
        <a:stretch>
          <a:fillRect/>
        </a:stretch>
      </xdr:blipFill>
      <xdr:spPr>
        <a:xfrm rot="18959528">
          <a:off x="4946650" y="23505160"/>
          <a:ext cx="539750" cy="551180"/>
        </a:xfrm>
        <a:prstGeom prst="rect">
          <a:avLst/>
        </a:prstGeom>
      </xdr:spPr>
    </xdr:pic>
    <xdr:clientData/>
  </xdr:twoCellAnchor>
  <xdr:twoCellAnchor>
    <xdr:from>
      <xdr:col>4</xdr:col>
      <xdr:colOff>646430</xdr:colOff>
      <xdr:row>140</xdr:row>
      <xdr:rowOff>120015</xdr:rowOff>
    </xdr:from>
    <xdr:to>
      <xdr:col>4</xdr:col>
      <xdr:colOff>646430</xdr:colOff>
      <xdr:row>141</xdr:row>
      <xdr:rowOff>120650</xdr:rowOff>
    </xdr:to>
    <xdr:cxnSp>
      <xdr:nvCxnSpPr>
        <xdr:cNvPr id="177" name="直接连接符 176"/>
        <xdr:cNvCxnSpPr/>
      </xdr:nvCxnSpPr>
      <xdr:spPr>
        <a:xfrm>
          <a:off x="3086100" y="2465641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281940</xdr:colOff>
      <xdr:row>140</xdr:row>
      <xdr:rowOff>115570</xdr:rowOff>
    </xdr:from>
    <xdr:to>
      <xdr:col>8</xdr:col>
      <xdr:colOff>281940</xdr:colOff>
      <xdr:row>141</xdr:row>
      <xdr:rowOff>116205</xdr:rowOff>
    </xdr:to>
    <xdr:cxnSp>
      <xdr:nvCxnSpPr>
        <xdr:cNvPr id="178" name="直接连接符 177"/>
        <xdr:cNvCxnSpPr/>
      </xdr:nvCxnSpPr>
      <xdr:spPr>
        <a:xfrm>
          <a:off x="5219700" y="2465197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23495</xdr:colOff>
      <xdr:row>135</xdr:row>
      <xdr:rowOff>109855</xdr:rowOff>
    </xdr:from>
    <xdr:to>
      <xdr:col>16</xdr:col>
      <xdr:colOff>435610</xdr:colOff>
      <xdr:row>141</xdr:row>
      <xdr:rowOff>6985</xdr:rowOff>
    </xdr:to>
    <xdr:sp>
      <xdr:nvSpPr>
        <xdr:cNvPr id="179" name="箭头: 五边形 571"/>
        <xdr:cNvSpPr/>
      </xdr:nvSpPr>
      <xdr:spPr>
        <a:xfrm>
          <a:off x="8664575" y="23769955"/>
          <a:ext cx="1646555" cy="94869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营销收入确认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144145" indent="-144145">
            <a:buFont typeface="Arial" panose="020B0604020202020204" pitchFamily="7" charset="0"/>
            <a:buChar char="•"/>
            <a:defRPr/>
          </a:pPr>
          <a:r>
            <a:rPr kumimoji="0" lang="zh-CN" altLang="en-US"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rPr>
            <a:t>增值税金及附加确认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9</xdr:col>
      <xdr:colOff>167640</xdr:colOff>
      <xdr:row>135</xdr:row>
      <xdr:rowOff>106045</xdr:rowOff>
    </xdr:from>
    <xdr:to>
      <xdr:col>9</xdr:col>
      <xdr:colOff>491490</xdr:colOff>
      <xdr:row>136</xdr:row>
      <xdr:rowOff>150495</xdr:rowOff>
    </xdr:to>
    <xdr:sp>
      <xdr:nvSpPr>
        <xdr:cNvPr id="180" name="Rectangle 46"/>
        <xdr:cNvSpPr/>
      </xdr:nvSpPr>
      <xdr:spPr>
        <a:xfrm>
          <a:off x="5722620" y="2376614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420370</xdr:colOff>
      <xdr:row>141</xdr:row>
      <xdr:rowOff>125095</xdr:rowOff>
    </xdr:from>
    <xdr:to>
      <xdr:col>13</xdr:col>
      <xdr:colOff>126365</xdr:colOff>
      <xdr:row>145</xdr:row>
      <xdr:rowOff>65405</xdr:rowOff>
    </xdr:to>
    <xdr:sp>
      <xdr:nvSpPr>
        <xdr:cNvPr id="181" name="Rectangle 30"/>
        <xdr:cNvSpPr/>
      </xdr:nvSpPr>
      <xdr:spPr>
        <a:xfrm>
          <a:off x="6592570" y="24836755"/>
          <a:ext cx="1557655" cy="6413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10</xdr:col>
      <xdr:colOff>473710</xdr:colOff>
      <xdr:row>142</xdr:row>
      <xdr:rowOff>33655</xdr:rowOff>
    </xdr:from>
    <xdr:to>
      <xdr:col>13</xdr:col>
      <xdr:colOff>71755</xdr:colOff>
      <xdr:row>144</xdr:row>
      <xdr:rowOff>122555</xdr:rowOff>
    </xdr:to>
    <xdr:sp>
      <xdr:nvSpPr>
        <xdr:cNvPr id="182" name="Rectangle 31"/>
        <xdr:cNvSpPr/>
      </xdr:nvSpPr>
      <xdr:spPr>
        <a:xfrm>
          <a:off x="6645910" y="24920575"/>
          <a:ext cx="1449705" cy="43942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强化价外基金管理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342900</xdr:colOff>
      <xdr:row>134</xdr:row>
      <xdr:rowOff>20320</xdr:rowOff>
    </xdr:from>
    <xdr:to>
      <xdr:col>12</xdr:col>
      <xdr:colOff>196850</xdr:colOff>
      <xdr:row>137</xdr:row>
      <xdr:rowOff>45720</xdr:rowOff>
    </xdr:to>
    <xdr:pic>
      <xdr:nvPicPr>
        <xdr:cNvPr id="18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132320" y="23505160"/>
          <a:ext cx="471170" cy="551180"/>
        </a:xfrm>
        <a:prstGeom prst="rect">
          <a:avLst/>
        </a:prstGeom>
      </xdr:spPr>
    </xdr:pic>
    <xdr:clientData/>
  </xdr:twoCellAnchor>
  <xdr:twoCellAnchor>
    <xdr:from>
      <xdr:col>11</xdr:col>
      <xdr:colOff>615315</xdr:colOff>
      <xdr:row>140</xdr:row>
      <xdr:rowOff>115570</xdr:rowOff>
    </xdr:from>
    <xdr:to>
      <xdr:col>11</xdr:col>
      <xdr:colOff>615315</xdr:colOff>
      <xdr:row>141</xdr:row>
      <xdr:rowOff>116205</xdr:rowOff>
    </xdr:to>
    <xdr:cxnSp>
      <xdr:nvCxnSpPr>
        <xdr:cNvPr id="184" name="直接连接符 23"/>
        <xdr:cNvCxnSpPr/>
      </xdr:nvCxnSpPr>
      <xdr:spPr>
        <a:xfrm>
          <a:off x="7404735" y="2465197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501015</xdr:colOff>
      <xdr:row>135</xdr:row>
      <xdr:rowOff>106045</xdr:rowOff>
    </xdr:from>
    <xdr:to>
      <xdr:col>13</xdr:col>
      <xdr:colOff>139065</xdr:colOff>
      <xdr:row>136</xdr:row>
      <xdr:rowOff>150495</xdr:rowOff>
    </xdr:to>
    <xdr:sp>
      <xdr:nvSpPr>
        <xdr:cNvPr id="185" name="Rectangle 34"/>
        <xdr:cNvSpPr/>
      </xdr:nvSpPr>
      <xdr:spPr>
        <a:xfrm>
          <a:off x="7907655" y="2376614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1</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13335</xdr:colOff>
      <xdr:row>135</xdr:row>
      <xdr:rowOff>106045</xdr:rowOff>
    </xdr:from>
    <xdr:to>
      <xdr:col>15</xdr:col>
      <xdr:colOff>229235</xdr:colOff>
      <xdr:row>135</xdr:row>
      <xdr:rowOff>109855</xdr:rowOff>
    </xdr:to>
    <xdr:cxnSp>
      <xdr:nvCxnSpPr>
        <xdr:cNvPr id="186" name="Connector: Elbow 53"/>
        <xdr:cNvCxnSpPr>
          <a:stCxn id="170" idx="0"/>
          <a:endCxn id="179" idx="0"/>
        </xdr:cNvCxnSpPr>
      </xdr:nvCxnSpPr>
      <xdr:spPr>
        <a:xfrm rot="16200000" flipH="1">
          <a:off x="6600190" y="20882610"/>
          <a:ext cx="3810" cy="577088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329247</xdr:colOff>
      <xdr:row>135</xdr:row>
      <xdr:rowOff>105727</xdr:rowOff>
    </xdr:from>
    <xdr:to>
      <xdr:col>15</xdr:col>
      <xdr:colOff>229552</xdr:colOff>
      <xdr:row>135</xdr:row>
      <xdr:rowOff>109537</xdr:rowOff>
    </xdr:to>
    <xdr:cxnSp>
      <xdr:nvCxnSpPr>
        <xdr:cNvPr id="187" name="Connector: Elbow 55"/>
        <xdr:cNvCxnSpPr>
          <a:stCxn id="180" idx="0"/>
          <a:endCxn id="179" idx="0"/>
        </xdr:cNvCxnSpPr>
      </xdr:nvCxnSpPr>
      <xdr:spPr>
        <a:xfrm rot="16200000" flipH="1">
          <a:off x="7683500" y="21965285"/>
          <a:ext cx="3810" cy="3603625"/>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12</xdr:col>
      <xdr:colOff>663257</xdr:colOff>
      <xdr:row>135</xdr:row>
      <xdr:rowOff>105727</xdr:rowOff>
    </xdr:from>
    <xdr:to>
      <xdr:col>15</xdr:col>
      <xdr:colOff>229552</xdr:colOff>
      <xdr:row>135</xdr:row>
      <xdr:rowOff>109537</xdr:rowOff>
    </xdr:to>
    <xdr:cxnSp>
      <xdr:nvCxnSpPr>
        <xdr:cNvPr id="188" name="Connector: Elbow 58"/>
        <xdr:cNvCxnSpPr>
          <a:stCxn id="185" idx="0"/>
          <a:endCxn id="179" idx="0"/>
        </xdr:cNvCxnSpPr>
      </xdr:nvCxnSpPr>
      <xdr:spPr>
        <a:xfrm rot="16200000" flipH="1">
          <a:off x="8753475" y="23035260"/>
          <a:ext cx="3810" cy="1464310"/>
        </a:xfrm>
        <a:prstGeom prst="bentConnector3">
          <a:avLst>
            <a:gd name="adj1" fmla="val -5464977"/>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147</xdr:row>
      <xdr:rowOff>12700</xdr:rowOff>
    </xdr:from>
    <xdr:to>
      <xdr:col>16</xdr:col>
      <xdr:colOff>565785</xdr:colOff>
      <xdr:row>150</xdr:row>
      <xdr:rowOff>38100</xdr:rowOff>
    </xdr:to>
    <xdr:grpSp>
      <xdr:nvGrpSpPr>
        <xdr:cNvPr id="189" name="Group 74"/>
        <xdr:cNvGrpSpPr/>
      </xdr:nvGrpSpPr>
      <xdr:grpSpPr>
        <a:xfrm>
          <a:off x="9154795" y="25775920"/>
          <a:ext cx="1286510" cy="551180"/>
          <a:chOff x="10435887" y="4098377"/>
          <a:chExt cx="1424247" cy="540000"/>
        </a:xfrm>
      </xdr:grpSpPr>
      <xdr:pic>
        <xdr:nvPicPr>
          <xdr:cNvPr id="19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191"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156</xdr:row>
      <xdr:rowOff>33020</xdr:rowOff>
    </xdr:from>
    <xdr:to>
      <xdr:col>16</xdr:col>
      <xdr:colOff>369570</xdr:colOff>
      <xdr:row>158</xdr:row>
      <xdr:rowOff>113030</xdr:rowOff>
    </xdr:to>
    <xdr:sp>
      <xdr:nvSpPr>
        <xdr:cNvPr id="192" name="矩形 1"/>
        <xdr:cNvSpPr/>
      </xdr:nvSpPr>
      <xdr:spPr>
        <a:xfrm>
          <a:off x="104775" y="2737358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5</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12</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160</xdr:row>
      <xdr:rowOff>53340</xdr:rowOff>
    </xdr:from>
    <xdr:to>
      <xdr:col>2</xdr:col>
      <xdr:colOff>260350</xdr:colOff>
      <xdr:row>165</xdr:row>
      <xdr:rowOff>121920</xdr:rowOff>
    </xdr:to>
    <xdr:sp>
      <xdr:nvSpPr>
        <xdr:cNvPr id="193" name="箭头: 五边形 571"/>
        <xdr:cNvSpPr/>
      </xdr:nvSpPr>
      <xdr:spPr>
        <a:xfrm>
          <a:off x="120015"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代收渠道管理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153</xdr:row>
      <xdr:rowOff>116205</xdr:rowOff>
    </xdr:from>
    <xdr:to>
      <xdr:col>4</xdr:col>
      <xdr:colOff>290195</xdr:colOff>
      <xdr:row>155</xdr:row>
      <xdr:rowOff>142240</xdr:rowOff>
    </xdr:to>
    <xdr:sp>
      <xdr:nvSpPr>
        <xdr:cNvPr id="194" name="TextBox 71"/>
        <xdr:cNvSpPr txBox="1"/>
      </xdr:nvSpPr>
      <xdr:spPr>
        <a:xfrm>
          <a:off x="13970" y="2693098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七、电费实收管理</a:t>
          </a:r>
          <a:endParaRPr lang="zh-CN" altLang="en-US" dirty="0">
            <a:solidFill>
              <a:srgbClr val="009999"/>
            </a:solidFill>
          </a:endParaRPr>
        </a:p>
      </xdr:txBody>
    </xdr:sp>
    <xdr:clientData/>
  </xdr:twoCellAnchor>
  <xdr:twoCellAnchor>
    <xdr:from>
      <xdr:col>5</xdr:col>
      <xdr:colOff>598805</xdr:colOff>
      <xdr:row>160</xdr:row>
      <xdr:rowOff>53340</xdr:rowOff>
    </xdr:from>
    <xdr:to>
      <xdr:col>8</xdr:col>
      <xdr:colOff>53340</xdr:colOff>
      <xdr:row>165</xdr:row>
      <xdr:rowOff>121920</xdr:rowOff>
    </xdr:to>
    <xdr:sp>
      <xdr:nvSpPr>
        <xdr:cNvPr id="195" name="箭头: 五边形 571"/>
        <xdr:cNvSpPr/>
      </xdr:nvSpPr>
      <xdr:spPr>
        <a:xfrm>
          <a:off x="3684905" y="28094940"/>
          <a:ext cx="130619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实收销账</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xdr:col>
      <xdr:colOff>622935</xdr:colOff>
      <xdr:row>160</xdr:row>
      <xdr:rowOff>48895</xdr:rowOff>
    </xdr:from>
    <xdr:to>
      <xdr:col>2</xdr:col>
      <xdr:colOff>260985</xdr:colOff>
      <xdr:row>161</xdr:row>
      <xdr:rowOff>93345</xdr:rowOff>
    </xdr:to>
    <xdr:sp>
      <xdr:nvSpPr>
        <xdr:cNvPr id="196" name="Rectangle 61"/>
        <xdr:cNvSpPr/>
      </xdr:nvSpPr>
      <xdr:spPr>
        <a:xfrm>
          <a:off x="1234440" y="28090495"/>
          <a:ext cx="260985"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260350</xdr:colOff>
      <xdr:row>163</xdr:row>
      <xdr:rowOff>2540</xdr:rowOff>
    </xdr:from>
    <xdr:to>
      <xdr:col>3</xdr:col>
      <xdr:colOff>15875</xdr:colOff>
      <xdr:row>163</xdr:row>
      <xdr:rowOff>2540</xdr:rowOff>
    </xdr:to>
    <xdr:cxnSp>
      <xdr:nvCxnSpPr>
        <xdr:cNvPr id="197" name="Straight Arrow Connector 101"/>
        <xdr:cNvCxnSpPr>
          <a:stCxn id="193" idx="3"/>
          <a:endCxn id="216" idx="1"/>
        </xdr:cNvCxnSpPr>
      </xdr:nvCxnSpPr>
      <xdr:spPr>
        <a:xfrm>
          <a:off x="1494790" y="28569920"/>
          <a:ext cx="37274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53340</xdr:colOff>
      <xdr:row>163</xdr:row>
      <xdr:rowOff>2540</xdr:rowOff>
    </xdr:from>
    <xdr:to>
      <xdr:col>8</xdr:col>
      <xdr:colOff>494665</xdr:colOff>
      <xdr:row>163</xdr:row>
      <xdr:rowOff>2540</xdr:rowOff>
    </xdr:to>
    <xdr:cxnSp>
      <xdr:nvCxnSpPr>
        <xdr:cNvPr id="198" name="Straight Arrow Connector 101"/>
        <xdr:cNvCxnSpPr>
          <a:stCxn id="195" idx="3"/>
          <a:endCxn id="207" idx="1"/>
        </xdr:cNvCxnSpPr>
      </xdr:nvCxnSpPr>
      <xdr:spPr>
        <a:xfrm>
          <a:off x="4991100" y="2856992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153</xdr:row>
      <xdr:rowOff>0</xdr:rowOff>
    </xdr:from>
    <xdr:to>
      <xdr:col>16</xdr:col>
      <xdr:colOff>641350</xdr:colOff>
      <xdr:row>175</xdr:row>
      <xdr:rowOff>35560</xdr:rowOff>
    </xdr:to>
    <xdr:sp>
      <xdr:nvSpPr>
        <xdr:cNvPr id="199" name="Rectangle 56"/>
        <xdr:cNvSpPr/>
      </xdr:nvSpPr>
      <xdr:spPr>
        <a:xfrm>
          <a:off x="0" y="2681478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14</xdr:col>
      <xdr:colOff>288290</xdr:colOff>
      <xdr:row>160</xdr:row>
      <xdr:rowOff>53340</xdr:rowOff>
    </xdr:from>
    <xdr:to>
      <xdr:col>16</xdr:col>
      <xdr:colOff>464185</xdr:colOff>
      <xdr:row>165</xdr:row>
      <xdr:rowOff>121920</xdr:rowOff>
    </xdr:to>
    <xdr:sp>
      <xdr:nvSpPr>
        <xdr:cNvPr id="200" name="箭头: 五边形 571"/>
        <xdr:cNvSpPr/>
      </xdr:nvSpPr>
      <xdr:spPr>
        <a:xfrm>
          <a:off x="8929370" y="28094940"/>
          <a:ext cx="1410335"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实收资金确认</a:t>
          </a:r>
          <a:endParaRPr lang="en-US" altLang="zh-CN" sz="1600" b="1" kern="0" dirty="0">
            <a:solidFill>
              <a:schemeClr val="accent2"/>
            </a:solidFill>
            <a:latin typeface="Calibri" panose="020F0502020204030204"/>
            <a:ea typeface="微软雅黑" panose="020B0503020204020204" pitchFamily="34" charset="-122"/>
            <a:sym typeface="Arial" panose="020B0604020202020204" pitchFamily="7" charset="0"/>
          </a:endParaRPr>
        </a:p>
        <a:p>
          <a:pPr marL="71755" marR="0" lvl="0" indent="-144145" algn="ctr" defTabSz="914400" rtl="0" eaLnBrk="1" fontAlgn="auto" latinLnBrk="0" hangingPunct="1">
            <a:lnSpc>
              <a:spcPct val="100000"/>
            </a:lnSpc>
            <a:spcBef>
              <a:spcPts val="0"/>
            </a:spcBef>
            <a:spcAft>
              <a:spcPts val="600"/>
            </a:spcAft>
            <a:buClrTx/>
            <a:buSzTx/>
            <a:buFont typeface="Arial" panose="020B0604020202020204" pitchFamily="7" charset="0"/>
            <a:buChar char="•"/>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减值损失确认</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13</xdr:col>
      <xdr:colOff>532130</xdr:colOff>
      <xdr:row>163</xdr:row>
      <xdr:rowOff>2540</xdr:rowOff>
    </xdr:from>
    <xdr:to>
      <xdr:col>14</xdr:col>
      <xdr:colOff>287655</xdr:colOff>
      <xdr:row>163</xdr:row>
      <xdr:rowOff>2540</xdr:rowOff>
    </xdr:to>
    <xdr:cxnSp>
      <xdr:nvCxnSpPr>
        <xdr:cNvPr id="201" name="Straight Arrow Connector 101"/>
        <xdr:cNvCxnSpPr>
          <a:stCxn id="209" idx="3"/>
          <a:endCxn id="200" idx="1"/>
        </xdr:cNvCxnSpPr>
      </xdr:nvCxnSpPr>
      <xdr:spPr>
        <a:xfrm>
          <a:off x="8555990" y="28569920"/>
          <a:ext cx="37274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628015</xdr:colOff>
      <xdr:row>158</xdr:row>
      <xdr:rowOff>135255</xdr:rowOff>
    </xdr:from>
    <xdr:to>
      <xdr:col>1</xdr:col>
      <xdr:colOff>481965</xdr:colOff>
      <xdr:row>161</xdr:row>
      <xdr:rowOff>160655</xdr:rowOff>
    </xdr:to>
    <xdr:pic>
      <xdr:nvPicPr>
        <xdr:cNvPr id="20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17220" y="27826335"/>
          <a:ext cx="481965" cy="551180"/>
        </a:xfrm>
        <a:prstGeom prst="rect">
          <a:avLst/>
        </a:prstGeom>
      </xdr:spPr>
    </xdr:pic>
    <xdr:clientData/>
  </xdr:twoCellAnchor>
  <xdr:twoCellAnchor>
    <xdr:from>
      <xdr:col>0</xdr:col>
      <xdr:colOff>88900</xdr:colOff>
      <xdr:row>166</xdr:row>
      <xdr:rowOff>68580</xdr:rowOff>
    </xdr:from>
    <xdr:to>
      <xdr:col>2</xdr:col>
      <xdr:colOff>300990</xdr:colOff>
      <xdr:row>174</xdr:row>
      <xdr:rowOff>31750</xdr:rowOff>
    </xdr:to>
    <xdr:sp>
      <xdr:nvSpPr>
        <xdr:cNvPr id="203" name="Rectangle 16"/>
        <xdr:cNvSpPr/>
      </xdr:nvSpPr>
      <xdr:spPr>
        <a:xfrm>
          <a:off x="88900" y="29161740"/>
          <a:ext cx="144653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0</xdr:col>
      <xdr:colOff>141605</xdr:colOff>
      <xdr:row>166</xdr:row>
      <xdr:rowOff>148590</xdr:rowOff>
    </xdr:from>
    <xdr:to>
      <xdr:col>2</xdr:col>
      <xdr:colOff>245745</xdr:colOff>
      <xdr:row>168</xdr:row>
      <xdr:rowOff>165100</xdr:rowOff>
    </xdr:to>
    <xdr:sp>
      <xdr:nvSpPr>
        <xdr:cNvPr id="204" name="Rectangle 17"/>
        <xdr:cNvSpPr/>
      </xdr:nvSpPr>
      <xdr:spPr>
        <a:xfrm>
          <a:off x="141605" y="29241750"/>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0</xdr:col>
      <xdr:colOff>141605</xdr:colOff>
      <xdr:row>169</xdr:row>
      <xdr:rowOff>41275</xdr:rowOff>
    </xdr:from>
    <xdr:to>
      <xdr:col>2</xdr:col>
      <xdr:colOff>245745</xdr:colOff>
      <xdr:row>171</xdr:row>
      <xdr:rowOff>57785</xdr:rowOff>
    </xdr:to>
    <xdr:sp>
      <xdr:nvSpPr>
        <xdr:cNvPr id="205" name="Rectangle 18"/>
        <xdr:cNvSpPr/>
      </xdr:nvSpPr>
      <xdr:spPr>
        <a:xfrm>
          <a:off x="141605" y="29660215"/>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强化非银行代收渠道管控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xdr:col>
      <xdr:colOff>154940</xdr:colOff>
      <xdr:row>165</xdr:row>
      <xdr:rowOff>63500</xdr:rowOff>
    </xdr:from>
    <xdr:to>
      <xdr:col>1</xdr:col>
      <xdr:colOff>154940</xdr:colOff>
      <xdr:row>166</xdr:row>
      <xdr:rowOff>64135</xdr:rowOff>
    </xdr:to>
    <xdr:cxnSp>
      <xdr:nvCxnSpPr>
        <xdr:cNvPr id="206" name="直接连接符 205"/>
        <xdr:cNvCxnSpPr/>
      </xdr:nvCxnSpPr>
      <xdr:spPr>
        <a:xfrm>
          <a:off x="772160" y="28981400"/>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495300</xdr:colOff>
      <xdr:row>160</xdr:row>
      <xdr:rowOff>53340</xdr:rowOff>
    </xdr:from>
    <xdr:to>
      <xdr:col>10</xdr:col>
      <xdr:colOff>635635</xdr:colOff>
      <xdr:row>165</xdr:row>
      <xdr:rowOff>121920</xdr:rowOff>
    </xdr:to>
    <xdr:sp>
      <xdr:nvSpPr>
        <xdr:cNvPr id="207" name="箭头: 五边形 571"/>
        <xdr:cNvSpPr/>
      </xdr:nvSpPr>
      <xdr:spPr>
        <a:xfrm>
          <a:off x="5433060" y="28094940"/>
          <a:ext cx="135636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资金到账清分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10</xdr:col>
      <xdr:colOff>635635</xdr:colOff>
      <xdr:row>163</xdr:row>
      <xdr:rowOff>2540</xdr:rowOff>
    </xdr:from>
    <xdr:to>
      <xdr:col>11</xdr:col>
      <xdr:colOff>391160</xdr:colOff>
      <xdr:row>163</xdr:row>
      <xdr:rowOff>2540</xdr:rowOff>
    </xdr:to>
    <xdr:cxnSp>
      <xdr:nvCxnSpPr>
        <xdr:cNvPr id="208" name="Straight Arrow Connector 101"/>
        <xdr:cNvCxnSpPr>
          <a:stCxn id="207" idx="3"/>
          <a:endCxn id="209" idx="1"/>
        </xdr:cNvCxnSpPr>
      </xdr:nvCxnSpPr>
      <xdr:spPr>
        <a:xfrm>
          <a:off x="6789420" y="28569920"/>
          <a:ext cx="39116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391795</xdr:colOff>
      <xdr:row>160</xdr:row>
      <xdr:rowOff>53340</xdr:rowOff>
    </xdr:from>
    <xdr:to>
      <xdr:col>13</xdr:col>
      <xdr:colOff>532130</xdr:colOff>
      <xdr:row>165</xdr:row>
      <xdr:rowOff>121920</xdr:rowOff>
    </xdr:to>
    <xdr:sp>
      <xdr:nvSpPr>
        <xdr:cNvPr id="209" name="箭头: 五边形 571"/>
        <xdr:cNvSpPr/>
      </xdr:nvSpPr>
      <xdr:spPr>
        <a:xfrm>
          <a:off x="7181215"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资金勾对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141605</xdr:colOff>
      <xdr:row>171</xdr:row>
      <xdr:rowOff>106045</xdr:rowOff>
    </xdr:from>
    <xdr:to>
      <xdr:col>2</xdr:col>
      <xdr:colOff>245745</xdr:colOff>
      <xdr:row>173</xdr:row>
      <xdr:rowOff>122555</xdr:rowOff>
    </xdr:to>
    <xdr:sp>
      <xdr:nvSpPr>
        <xdr:cNvPr id="210" name="Rectangle 40"/>
        <xdr:cNvSpPr/>
      </xdr:nvSpPr>
      <xdr:spPr>
        <a:xfrm>
          <a:off x="141605" y="30075505"/>
          <a:ext cx="133858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强化代收渠道监督管理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574040</xdr:colOff>
      <xdr:row>166</xdr:row>
      <xdr:rowOff>68580</xdr:rowOff>
    </xdr:from>
    <xdr:to>
      <xdr:col>8</xdr:col>
      <xdr:colOff>100330</xdr:colOff>
      <xdr:row>174</xdr:row>
      <xdr:rowOff>31750</xdr:rowOff>
    </xdr:to>
    <xdr:sp>
      <xdr:nvSpPr>
        <xdr:cNvPr id="211" name="Rectangle 41"/>
        <xdr:cNvSpPr/>
      </xdr:nvSpPr>
      <xdr:spPr>
        <a:xfrm>
          <a:off x="3660140" y="29161740"/>
          <a:ext cx="13779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166</xdr:row>
      <xdr:rowOff>148590</xdr:rowOff>
    </xdr:from>
    <xdr:to>
      <xdr:col>8</xdr:col>
      <xdr:colOff>45720</xdr:colOff>
      <xdr:row>168</xdr:row>
      <xdr:rowOff>165100</xdr:rowOff>
    </xdr:to>
    <xdr:sp>
      <xdr:nvSpPr>
        <xdr:cNvPr id="212" name="Rectangle 42"/>
        <xdr:cNvSpPr/>
      </xdr:nvSpPr>
      <xdr:spPr>
        <a:xfrm>
          <a:off x="3703320" y="29241750"/>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强化电费销账标准管控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461010</xdr:colOff>
      <xdr:row>166</xdr:row>
      <xdr:rowOff>68580</xdr:rowOff>
    </xdr:from>
    <xdr:to>
      <xdr:col>10</xdr:col>
      <xdr:colOff>673100</xdr:colOff>
      <xdr:row>174</xdr:row>
      <xdr:rowOff>31750</xdr:rowOff>
    </xdr:to>
    <xdr:sp>
      <xdr:nvSpPr>
        <xdr:cNvPr id="213" name="Rectangle 45"/>
        <xdr:cNvSpPr/>
      </xdr:nvSpPr>
      <xdr:spPr>
        <a:xfrm>
          <a:off x="5398770" y="29161740"/>
          <a:ext cx="13906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5</xdr:col>
      <xdr:colOff>627380</xdr:colOff>
      <xdr:row>169</xdr:row>
      <xdr:rowOff>41275</xdr:rowOff>
    </xdr:from>
    <xdr:to>
      <xdr:col>8</xdr:col>
      <xdr:colOff>45720</xdr:colOff>
      <xdr:row>171</xdr:row>
      <xdr:rowOff>57785</xdr:rowOff>
    </xdr:to>
    <xdr:sp>
      <xdr:nvSpPr>
        <xdr:cNvPr id="214" name="Rectangle 48"/>
        <xdr:cNvSpPr/>
      </xdr:nvSpPr>
      <xdr:spPr>
        <a:xfrm>
          <a:off x="3703320" y="29660215"/>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强化柜收资金安全管控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5</xdr:col>
      <xdr:colOff>627380</xdr:colOff>
      <xdr:row>171</xdr:row>
      <xdr:rowOff>106045</xdr:rowOff>
    </xdr:from>
    <xdr:to>
      <xdr:col>8</xdr:col>
      <xdr:colOff>45720</xdr:colOff>
      <xdr:row>173</xdr:row>
      <xdr:rowOff>122555</xdr:rowOff>
    </xdr:to>
    <xdr:sp>
      <xdr:nvSpPr>
        <xdr:cNvPr id="215" name="Rectangle 59"/>
        <xdr:cNvSpPr/>
      </xdr:nvSpPr>
      <xdr:spPr>
        <a:xfrm>
          <a:off x="3703320" y="30075505"/>
          <a:ext cx="1280160" cy="36703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强化预收电费结转账务管控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16510</xdr:colOff>
      <xdr:row>160</xdr:row>
      <xdr:rowOff>53340</xdr:rowOff>
    </xdr:from>
    <xdr:to>
      <xdr:col>5</xdr:col>
      <xdr:colOff>156845</xdr:colOff>
      <xdr:row>165</xdr:row>
      <xdr:rowOff>121920</xdr:rowOff>
    </xdr:to>
    <xdr:sp>
      <xdr:nvSpPr>
        <xdr:cNvPr id="216" name="箭头: 五边形 571"/>
        <xdr:cNvSpPr/>
      </xdr:nvSpPr>
      <xdr:spPr>
        <a:xfrm>
          <a:off x="1868170" y="28094940"/>
          <a:ext cx="1374775"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电费收取</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2</xdr:col>
      <xdr:colOff>670560</xdr:colOff>
      <xdr:row>166</xdr:row>
      <xdr:rowOff>68580</xdr:rowOff>
    </xdr:from>
    <xdr:to>
      <xdr:col>5</xdr:col>
      <xdr:colOff>196850</xdr:colOff>
      <xdr:row>174</xdr:row>
      <xdr:rowOff>31750</xdr:rowOff>
    </xdr:to>
    <xdr:sp>
      <xdr:nvSpPr>
        <xdr:cNvPr id="217" name="Rectangle 64"/>
        <xdr:cNvSpPr/>
      </xdr:nvSpPr>
      <xdr:spPr>
        <a:xfrm>
          <a:off x="1851660" y="29161740"/>
          <a:ext cx="143129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3</xdr:col>
      <xdr:colOff>38100</xdr:colOff>
      <xdr:row>166</xdr:row>
      <xdr:rowOff>148590</xdr:rowOff>
    </xdr:from>
    <xdr:to>
      <xdr:col>5</xdr:col>
      <xdr:colOff>142240</xdr:colOff>
      <xdr:row>170</xdr:row>
      <xdr:rowOff>2540</xdr:rowOff>
    </xdr:to>
    <xdr:sp>
      <xdr:nvSpPr>
        <xdr:cNvPr id="218" name="Rectangle 65"/>
        <xdr:cNvSpPr/>
      </xdr:nvSpPr>
      <xdr:spPr>
        <a:xfrm>
          <a:off x="1889760" y="29241750"/>
          <a:ext cx="133858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强化应收电费账龄与客户信用管理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38100</xdr:colOff>
      <xdr:row>170</xdr:row>
      <xdr:rowOff>97155</xdr:rowOff>
    </xdr:from>
    <xdr:to>
      <xdr:col>5</xdr:col>
      <xdr:colOff>142240</xdr:colOff>
      <xdr:row>173</xdr:row>
      <xdr:rowOff>122555</xdr:rowOff>
    </xdr:to>
    <xdr:sp>
      <xdr:nvSpPr>
        <xdr:cNvPr id="219" name="Rectangle 66"/>
        <xdr:cNvSpPr/>
      </xdr:nvSpPr>
      <xdr:spPr>
        <a:xfrm>
          <a:off x="1889760" y="29891355"/>
          <a:ext cx="133858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强化应收电费坏账计提与核销管理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3</xdr:col>
      <xdr:colOff>470535</xdr:colOff>
      <xdr:row>158</xdr:row>
      <xdr:rowOff>135255</xdr:rowOff>
    </xdr:from>
    <xdr:to>
      <xdr:col>4</xdr:col>
      <xdr:colOff>324485</xdr:colOff>
      <xdr:row>161</xdr:row>
      <xdr:rowOff>160655</xdr:rowOff>
    </xdr:to>
    <xdr:pic>
      <xdr:nvPicPr>
        <xdr:cNvPr id="220"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2322195" y="27826335"/>
          <a:ext cx="471170" cy="551180"/>
        </a:xfrm>
        <a:prstGeom prst="rect">
          <a:avLst/>
        </a:prstGeom>
      </xdr:spPr>
    </xdr:pic>
    <xdr:clientData/>
  </xdr:twoCellAnchor>
  <xdr:twoCellAnchor>
    <xdr:from>
      <xdr:col>4</xdr:col>
      <xdr:colOff>508635</xdr:colOff>
      <xdr:row>160</xdr:row>
      <xdr:rowOff>48895</xdr:rowOff>
    </xdr:from>
    <xdr:to>
      <xdr:col>5</xdr:col>
      <xdr:colOff>146685</xdr:colOff>
      <xdr:row>161</xdr:row>
      <xdr:rowOff>93345</xdr:rowOff>
    </xdr:to>
    <xdr:sp>
      <xdr:nvSpPr>
        <xdr:cNvPr id="221" name="Rectangle 68"/>
        <xdr:cNvSpPr/>
      </xdr:nvSpPr>
      <xdr:spPr>
        <a:xfrm>
          <a:off x="2977515" y="28090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57150</xdr:colOff>
      <xdr:row>165</xdr:row>
      <xdr:rowOff>59055</xdr:rowOff>
    </xdr:from>
    <xdr:to>
      <xdr:col>4</xdr:col>
      <xdr:colOff>57150</xdr:colOff>
      <xdr:row>166</xdr:row>
      <xdr:rowOff>59690</xdr:rowOff>
    </xdr:to>
    <xdr:cxnSp>
      <xdr:nvCxnSpPr>
        <xdr:cNvPr id="222" name="直接连接符 23"/>
        <xdr:cNvCxnSpPr/>
      </xdr:nvCxnSpPr>
      <xdr:spPr>
        <a:xfrm>
          <a:off x="2526030"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11</xdr:col>
      <xdr:colOff>377190</xdr:colOff>
      <xdr:row>166</xdr:row>
      <xdr:rowOff>68580</xdr:rowOff>
    </xdr:from>
    <xdr:to>
      <xdr:col>13</xdr:col>
      <xdr:colOff>589280</xdr:colOff>
      <xdr:row>174</xdr:row>
      <xdr:rowOff>31750</xdr:rowOff>
    </xdr:to>
    <xdr:sp>
      <xdr:nvSpPr>
        <xdr:cNvPr id="223" name="Rectangle 70"/>
        <xdr:cNvSpPr/>
      </xdr:nvSpPr>
      <xdr:spPr>
        <a:xfrm>
          <a:off x="7166610" y="29161740"/>
          <a:ext cx="144653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158</xdr:row>
      <xdr:rowOff>135255</xdr:rowOff>
    </xdr:from>
    <xdr:to>
      <xdr:col>10</xdr:col>
      <xdr:colOff>148590</xdr:colOff>
      <xdr:row>161</xdr:row>
      <xdr:rowOff>160655</xdr:rowOff>
    </xdr:to>
    <xdr:pic>
      <xdr:nvPicPr>
        <xdr:cNvPr id="22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5849620" y="27826335"/>
          <a:ext cx="471170" cy="551180"/>
        </a:xfrm>
        <a:prstGeom prst="rect">
          <a:avLst/>
        </a:prstGeom>
      </xdr:spPr>
    </xdr:pic>
    <xdr:clientData/>
  </xdr:twoCellAnchor>
  <xdr:twoCellAnchor>
    <xdr:from>
      <xdr:col>10</xdr:col>
      <xdr:colOff>311150</xdr:colOff>
      <xdr:row>160</xdr:row>
      <xdr:rowOff>48895</xdr:rowOff>
    </xdr:from>
    <xdr:to>
      <xdr:col>10</xdr:col>
      <xdr:colOff>635000</xdr:colOff>
      <xdr:row>161</xdr:row>
      <xdr:rowOff>93345</xdr:rowOff>
    </xdr:to>
    <xdr:sp>
      <xdr:nvSpPr>
        <xdr:cNvPr id="225" name="Rectangle 46"/>
        <xdr:cNvSpPr/>
      </xdr:nvSpPr>
      <xdr:spPr>
        <a:xfrm>
          <a:off x="6483350" y="28090495"/>
          <a:ext cx="3060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9</xdr:col>
      <xdr:colOff>523875</xdr:colOff>
      <xdr:row>165</xdr:row>
      <xdr:rowOff>59055</xdr:rowOff>
    </xdr:from>
    <xdr:to>
      <xdr:col>9</xdr:col>
      <xdr:colOff>523875</xdr:colOff>
      <xdr:row>166</xdr:row>
      <xdr:rowOff>59690</xdr:rowOff>
    </xdr:to>
    <xdr:cxnSp>
      <xdr:nvCxnSpPr>
        <xdr:cNvPr id="226" name="直接连接符 225"/>
        <xdr:cNvCxnSpPr/>
      </xdr:nvCxnSpPr>
      <xdr:spPr>
        <a:xfrm>
          <a:off x="6078855"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6</xdr:col>
      <xdr:colOff>414020</xdr:colOff>
      <xdr:row>158</xdr:row>
      <xdr:rowOff>135255</xdr:rowOff>
    </xdr:from>
    <xdr:to>
      <xdr:col>7</xdr:col>
      <xdr:colOff>267970</xdr:colOff>
      <xdr:row>161</xdr:row>
      <xdr:rowOff>160655</xdr:rowOff>
    </xdr:to>
    <xdr:pic>
      <xdr:nvPicPr>
        <xdr:cNvPr id="227"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4117340" y="27826335"/>
          <a:ext cx="471170" cy="551180"/>
        </a:xfrm>
        <a:prstGeom prst="rect">
          <a:avLst/>
        </a:prstGeom>
      </xdr:spPr>
    </xdr:pic>
    <xdr:clientData/>
  </xdr:twoCellAnchor>
  <xdr:twoCellAnchor>
    <xdr:from>
      <xdr:col>7</xdr:col>
      <xdr:colOff>408940</xdr:colOff>
      <xdr:row>160</xdr:row>
      <xdr:rowOff>48895</xdr:rowOff>
    </xdr:from>
    <xdr:to>
      <xdr:col>8</xdr:col>
      <xdr:colOff>46990</xdr:colOff>
      <xdr:row>161</xdr:row>
      <xdr:rowOff>93345</xdr:rowOff>
    </xdr:to>
    <xdr:sp>
      <xdr:nvSpPr>
        <xdr:cNvPr id="228" name="Rectangle 76"/>
        <xdr:cNvSpPr/>
      </xdr:nvSpPr>
      <xdr:spPr>
        <a:xfrm>
          <a:off x="4729480" y="2809049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3</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6</xdr:col>
      <xdr:colOff>643255</xdr:colOff>
      <xdr:row>165</xdr:row>
      <xdr:rowOff>59055</xdr:rowOff>
    </xdr:from>
    <xdr:to>
      <xdr:col>6</xdr:col>
      <xdr:colOff>643255</xdr:colOff>
      <xdr:row>166</xdr:row>
      <xdr:rowOff>59690</xdr:rowOff>
    </xdr:to>
    <xdr:cxnSp>
      <xdr:nvCxnSpPr>
        <xdr:cNvPr id="229" name="直接连接符 23"/>
        <xdr:cNvCxnSpPr/>
      </xdr:nvCxnSpPr>
      <xdr:spPr>
        <a:xfrm>
          <a:off x="4320540"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156845</xdr:colOff>
      <xdr:row>163</xdr:row>
      <xdr:rowOff>2540</xdr:rowOff>
    </xdr:from>
    <xdr:to>
      <xdr:col>5</xdr:col>
      <xdr:colOff>598170</xdr:colOff>
      <xdr:row>163</xdr:row>
      <xdr:rowOff>2540</xdr:rowOff>
    </xdr:to>
    <xdr:cxnSp>
      <xdr:nvCxnSpPr>
        <xdr:cNvPr id="230" name="Straight Arrow Connector 101"/>
        <xdr:cNvCxnSpPr>
          <a:stCxn id="216" idx="3"/>
          <a:endCxn id="195" idx="1"/>
        </xdr:cNvCxnSpPr>
      </xdr:nvCxnSpPr>
      <xdr:spPr>
        <a:xfrm>
          <a:off x="3242945" y="28569920"/>
          <a:ext cx="441325"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8</xdr:col>
      <xdr:colOff>518795</xdr:colOff>
      <xdr:row>166</xdr:row>
      <xdr:rowOff>148590</xdr:rowOff>
    </xdr:from>
    <xdr:to>
      <xdr:col>10</xdr:col>
      <xdr:colOff>622935</xdr:colOff>
      <xdr:row>170</xdr:row>
      <xdr:rowOff>2540</xdr:rowOff>
    </xdr:to>
    <xdr:sp>
      <xdr:nvSpPr>
        <xdr:cNvPr id="231" name="Rectangle 83"/>
        <xdr:cNvSpPr/>
      </xdr:nvSpPr>
      <xdr:spPr>
        <a:xfrm>
          <a:off x="5456555" y="29241750"/>
          <a:ext cx="1332865"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强化代收渠道清分时限管控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8</xdr:col>
      <xdr:colOff>518795</xdr:colOff>
      <xdr:row>170</xdr:row>
      <xdr:rowOff>97155</xdr:rowOff>
    </xdr:from>
    <xdr:to>
      <xdr:col>10</xdr:col>
      <xdr:colOff>622935</xdr:colOff>
      <xdr:row>173</xdr:row>
      <xdr:rowOff>122555</xdr:rowOff>
    </xdr:to>
    <xdr:sp>
      <xdr:nvSpPr>
        <xdr:cNvPr id="232" name="Rectangle 84"/>
        <xdr:cNvSpPr/>
      </xdr:nvSpPr>
      <xdr:spPr>
        <a:xfrm>
          <a:off x="5456555" y="29891355"/>
          <a:ext cx="1332865"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强化不明款管控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166</xdr:row>
      <xdr:rowOff>148590</xdr:rowOff>
    </xdr:from>
    <xdr:to>
      <xdr:col>13</xdr:col>
      <xdr:colOff>534035</xdr:colOff>
      <xdr:row>170</xdr:row>
      <xdr:rowOff>2540</xdr:rowOff>
    </xdr:to>
    <xdr:sp>
      <xdr:nvSpPr>
        <xdr:cNvPr id="233" name="Rectangle 85"/>
        <xdr:cNvSpPr/>
      </xdr:nvSpPr>
      <xdr:spPr>
        <a:xfrm>
          <a:off x="7219315" y="29241750"/>
          <a:ext cx="133858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建立日流水财务复核机制</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11</xdr:col>
      <xdr:colOff>429895</xdr:colOff>
      <xdr:row>170</xdr:row>
      <xdr:rowOff>97155</xdr:rowOff>
    </xdr:from>
    <xdr:to>
      <xdr:col>13</xdr:col>
      <xdr:colOff>534035</xdr:colOff>
      <xdr:row>173</xdr:row>
      <xdr:rowOff>122555</xdr:rowOff>
    </xdr:to>
    <xdr:sp>
      <xdr:nvSpPr>
        <xdr:cNvPr id="234" name="Rectangle 86"/>
        <xdr:cNvSpPr/>
      </xdr:nvSpPr>
      <xdr:spPr>
        <a:xfrm>
          <a:off x="7219315" y="29891355"/>
          <a:ext cx="133858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加强月末银企对账管理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200660</xdr:colOff>
      <xdr:row>158</xdr:row>
      <xdr:rowOff>135255</xdr:rowOff>
    </xdr:from>
    <xdr:to>
      <xdr:col>13</xdr:col>
      <xdr:colOff>54610</xdr:colOff>
      <xdr:row>161</xdr:row>
      <xdr:rowOff>160655</xdr:rowOff>
    </xdr:to>
    <xdr:pic>
      <xdr:nvPicPr>
        <xdr:cNvPr id="235"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7607300" y="27826335"/>
          <a:ext cx="471170" cy="551180"/>
        </a:xfrm>
        <a:prstGeom prst="rect">
          <a:avLst/>
        </a:prstGeom>
      </xdr:spPr>
    </xdr:pic>
    <xdr:clientData/>
  </xdr:twoCellAnchor>
  <xdr:twoCellAnchor>
    <xdr:from>
      <xdr:col>13</xdr:col>
      <xdr:colOff>217170</xdr:colOff>
      <xdr:row>160</xdr:row>
      <xdr:rowOff>48895</xdr:rowOff>
    </xdr:from>
    <xdr:to>
      <xdr:col>13</xdr:col>
      <xdr:colOff>541020</xdr:colOff>
      <xdr:row>161</xdr:row>
      <xdr:rowOff>93345</xdr:rowOff>
    </xdr:to>
    <xdr:sp>
      <xdr:nvSpPr>
        <xdr:cNvPr id="236" name="Rectangle 91"/>
        <xdr:cNvSpPr/>
      </xdr:nvSpPr>
      <xdr:spPr>
        <a:xfrm>
          <a:off x="8241030" y="28090495"/>
          <a:ext cx="32385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12</xdr:col>
      <xdr:colOff>429895</xdr:colOff>
      <xdr:row>165</xdr:row>
      <xdr:rowOff>59055</xdr:rowOff>
    </xdr:from>
    <xdr:to>
      <xdr:col>12</xdr:col>
      <xdr:colOff>429895</xdr:colOff>
      <xdr:row>166</xdr:row>
      <xdr:rowOff>59690</xdr:rowOff>
    </xdr:to>
    <xdr:cxnSp>
      <xdr:nvCxnSpPr>
        <xdr:cNvPr id="237" name="直接连接符 23"/>
        <xdr:cNvCxnSpPr/>
      </xdr:nvCxnSpPr>
      <xdr:spPr>
        <a:xfrm>
          <a:off x="7836535" y="2897695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171</xdr:row>
      <xdr:rowOff>94615</xdr:rowOff>
    </xdr:from>
    <xdr:to>
      <xdr:col>16</xdr:col>
      <xdr:colOff>565785</xdr:colOff>
      <xdr:row>174</xdr:row>
      <xdr:rowOff>120015</xdr:rowOff>
    </xdr:to>
    <xdr:grpSp>
      <xdr:nvGrpSpPr>
        <xdr:cNvPr id="238" name="Group 97"/>
        <xdr:cNvGrpSpPr/>
      </xdr:nvGrpSpPr>
      <xdr:grpSpPr>
        <a:xfrm>
          <a:off x="9154795" y="30064075"/>
          <a:ext cx="1286510" cy="551180"/>
          <a:chOff x="10435887" y="4098377"/>
          <a:chExt cx="1424247" cy="540000"/>
        </a:xfrm>
      </xdr:grpSpPr>
      <xdr:pic>
        <xdr:nvPicPr>
          <xdr:cNvPr id="239"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40"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twoCellAnchor>
    <xdr:from>
      <xdr:col>0</xdr:col>
      <xdr:colOff>104775</xdr:colOff>
      <xdr:row>180</xdr:row>
      <xdr:rowOff>33020</xdr:rowOff>
    </xdr:from>
    <xdr:to>
      <xdr:col>16</xdr:col>
      <xdr:colOff>369570</xdr:colOff>
      <xdr:row>182</xdr:row>
      <xdr:rowOff>113030</xdr:rowOff>
    </xdr:to>
    <xdr:sp>
      <xdr:nvSpPr>
        <xdr:cNvPr id="241" name="矩形 1"/>
        <xdr:cNvSpPr/>
      </xdr:nvSpPr>
      <xdr:spPr>
        <a:xfrm>
          <a:off x="104775" y="31579820"/>
          <a:ext cx="10140315" cy="430530"/>
        </a:xfrm>
        <a:prstGeom prst="rect">
          <a:avLst/>
        </a:prstGeom>
        <a:solidFill>
          <a:srgbClr val="E9F7F6"/>
        </a:solidFill>
        <a:ln w="6350" algn="ctr">
          <a:noFill/>
          <a:round/>
        </a:ln>
      </xdr:spPr>
      <xdr:txBody>
        <a:bodyPr lIns="33231" tIns="33231" rIns="33231" bIns="33231" rtlCol="0" anchor="ctr" anchorCtr="0"/>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07950" lvl="0" algn="ctr" defTabSz="792480" eaLnBrk="0" hangingPunct="0">
            <a:defRPr/>
          </a:pPr>
          <a:r>
            <a:rPr lang="en-US" altLang="zh-CN" b="1" i="1" kern="0" dirty="0">
              <a:solidFill>
                <a:schemeClr val="accent2"/>
              </a:solidFill>
              <a:latin typeface="微软雅黑" panose="020B0503020204020204" pitchFamily="34" charset="-122"/>
              <a:ea typeface="微软雅黑" panose="020B0503020204020204" pitchFamily="34" charset="-122"/>
            </a:rPr>
            <a:t>2</a:t>
          </a:r>
          <a:r>
            <a:rPr lang="zh-CN" altLang="en-US" b="1" i="1" kern="0" dirty="0">
              <a:solidFill>
                <a:schemeClr val="accent2"/>
              </a:solidFill>
              <a:latin typeface="微软雅黑" panose="020B0503020204020204" pitchFamily="34" charset="-122"/>
              <a:ea typeface="微软雅黑" panose="020B0503020204020204" pitchFamily="34" charset="-122"/>
            </a:rPr>
            <a:t>个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关键风险控制环节，</a:t>
          </a:r>
          <a:r>
            <a:rPr lang="en-US" altLang="zh-CN" b="1" i="1" kern="0" dirty="0">
              <a:solidFill>
                <a:schemeClr val="accent2"/>
              </a:solidFill>
              <a:latin typeface="微软雅黑" panose="020B0503020204020204" pitchFamily="34" charset="-122"/>
              <a:ea typeface="微软雅黑" panose="020B0503020204020204" pitchFamily="34" charset="-122"/>
            </a:rPr>
            <a:t> 4</a:t>
          </a:r>
          <a:r>
            <a:rPr lang="zh-CN" altLang="en-US" b="1" i="1" kern="0" dirty="0">
              <a:solidFill>
                <a:schemeClr val="accent2"/>
              </a:solidFill>
              <a:latin typeface="微软雅黑" panose="020B0503020204020204" pitchFamily="34" charset="-122"/>
              <a:ea typeface="微软雅黑" panose="020B0503020204020204" pitchFamily="34" charset="-122"/>
            </a:rPr>
            <a:t>项 </a:t>
          </a:r>
          <a:r>
            <a:rPr kumimoji="0" lang="zh-CN" altLang="en-US"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rPr>
            <a:t>风险控制要点及防控措施</a:t>
          </a:r>
          <a:endParaRPr kumimoji="0" lang="en-US" altLang="zh-CN" sz="1800" b="1" i="0" u="none" strike="noStrike" kern="0" cap="none" spc="0" normalizeH="0" baseline="0" noProof="0" dirty="0">
            <a:ln>
              <a:noFill/>
            </a:ln>
            <a:solidFill>
              <a:srgbClr val="00706B"/>
            </a:solidFill>
            <a:effectLst/>
            <a:uLnTx/>
            <a:uFillTx/>
            <a:latin typeface="微软雅黑" panose="020B0503020204020204" pitchFamily="34" charset="-122"/>
            <a:ea typeface="微软雅黑" panose="020B0503020204020204" pitchFamily="34" charset="-122"/>
            <a:cs typeface="+mn-cs"/>
          </a:endParaRPr>
        </a:p>
      </xdr:txBody>
    </xdr:sp>
    <xdr:clientData/>
  </xdr:twoCellAnchor>
  <xdr:twoCellAnchor>
    <xdr:from>
      <xdr:col>0</xdr:col>
      <xdr:colOff>120015</xdr:colOff>
      <xdr:row>184</xdr:row>
      <xdr:rowOff>53340</xdr:rowOff>
    </xdr:from>
    <xdr:to>
      <xdr:col>2</xdr:col>
      <xdr:colOff>548005</xdr:colOff>
      <xdr:row>189</xdr:row>
      <xdr:rowOff>121920</xdr:rowOff>
    </xdr:to>
    <xdr:sp>
      <xdr:nvSpPr>
        <xdr:cNvPr id="242" name="箭头: 五边形 571"/>
        <xdr:cNvSpPr/>
      </xdr:nvSpPr>
      <xdr:spPr>
        <a:xfrm>
          <a:off x="120015" y="32301180"/>
          <a:ext cx="166243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退费申请受理</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0</xdr:col>
      <xdr:colOff>13970</xdr:colOff>
      <xdr:row>177</xdr:row>
      <xdr:rowOff>116205</xdr:rowOff>
    </xdr:from>
    <xdr:to>
      <xdr:col>4</xdr:col>
      <xdr:colOff>290195</xdr:colOff>
      <xdr:row>179</xdr:row>
      <xdr:rowOff>142240</xdr:rowOff>
    </xdr:to>
    <xdr:sp>
      <xdr:nvSpPr>
        <xdr:cNvPr id="243" name="TextBox 71"/>
        <xdr:cNvSpPr txBox="1"/>
      </xdr:nvSpPr>
      <xdr:spPr>
        <a:xfrm>
          <a:off x="13970" y="31137225"/>
          <a:ext cx="2745105" cy="376555"/>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b="1" kern="0" dirty="0">
              <a:solidFill>
                <a:srgbClr val="009999"/>
              </a:solidFill>
              <a:latin typeface="Calibri" panose="020F0502020204030204"/>
              <a:ea typeface="微软雅黑" panose="020B0503020204020204" pitchFamily="34" charset="-122"/>
              <a:sym typeface="Arial" panose="020B0604020202020204" pitchFamily="7" charset="0"/>
            </a:rPr>
            <a:t>八、营销退费管理</a:t>
          </a:r>
          <a:endParaRPr lang="zh-CN" altLang="en-US" dirty="0">
            <a:solidFill>
              <a:srgbClr val="009999"/>
            </a:solidFill>
          </a:endParaRPr>
        </a:p>
      </xdr:txBody>
    </xdr:sp>
    <xdr:clientData/>
  </xdr:twoCellAnchor>
  <xdr:twoCellAnchor>
    <xdr:from>
      <xdr:col>4</xdr:col>
      <xdr:colOff>522605</xdr:colOff>
      <xdr:row>184</xdr:row>
      <xdr:rowOff>53340</xdr:rowOff>
    </xdr:from>
    <xdr:to>
      <xdr:col>7</xdr:col>
      <xdr:colOff>264795</xdr:colOff>
      <xdr:row>189</xdr:row>
      <xdr:rowOff>121920</xdr:rowOff>
    </xdr:to>
    <xdr:sp>
      <xdr:nvSpPr>
        <xdr:cNvPr id="244" name="箭头: 五边形 571"/>
        <xdr:cNvSpPr/>
      </xdr:nvSpPr>
      <xdr:spPr>
        <a:xfrm>
          <a:off x="2991485" y="32301180"/>
          <a:ext cx="159385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退费审核与审批</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9</xdr:col>
      <xdr:colOff>238760</xdr:colOff>
      <xdr:row>184</xdr:row>
      <xdr:rowOff>53340</xdr:rowOff>
    </xdr:from>
    <xdr:to>
      <xdr:col>11</xdr:col>
      <xdr:colOff>666750</xdr:colOff>
      <xdr:row>189</xdr:row>
      <xdr:rowOff>121920</xdr:rowOff>
    </xdr:to>
    <xdr:sp>
      <xdr:nvSpPr>
        <xdr:cNvPr id="245" name="箭头: 五边形 571"/>
        <xdr:cNvSpPr/>
      </xdr:nvSpPr>
      <xdr:spPr>
        <a:xfrm>
          <a:off x="5793740" y="32301180"/>
          <a:ext cx="1612900" cy="944880"/>
        </a:xfrm>
        <a:prstGeom prst="rect">
          <a:avLst/>
        </a:prstGeom>
        <a:solidFill>
          <a:srgbClr val="E9F7F6"/>
        </a:solidFill>
        <a:ln w="254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600" b="1" kern="0" dirty="0">
              <a:solidFill>
                <a:srgbClr val="009999"/>
              </a:solidFill>
              <a:latin typeface="Calibri" panose="020F0502020204030204"/>
              <a:ea typeface="微软雅黑" panose="020B0503020204020204" pitchFamily="34" charset="-122"/>
              <a:sym typeface="Arial" panose="020B0604020202020204" pitchFamily="7" charset="0"/>
            </a:rPr>
            <a:t>退费支付</a:t>
          </a:r>
          <a:endParaRPr lang="en-US" altLang="zh-CN" sz="1600" b="1" kern="0" dirty="0">
            <a:solidFill>
              <a:srgbClr val="009999"/>
            </a:solidFill>
            <a:latin typeface="Calibri" panose="020F0502020204030204"/>
            <a:ea typeface="微软雅黑" panose="020B0503020204020204" pitchFamily="34" charset="-122"/>
            <a:sym typeface="Arial" panose="020B0604020202020204" pitchFamily="7" charset="0"/>
          </a:endParaRPr>
        </a:p>
      </xdr:txBody>
    </xdr:sp>
    <xdr:clientData/>
  </xdr:twoCellAnchor>
  <xdr:twoCellAnchor>
    <xdr:from>
      <xdr:col>6</xdr:col>
      <xdr:colOff>613410</xdr:colOff>
      <xdr:row>184</xdr:row>
      <xdr:rowOff>48895</xdr:rowOff>
    </xdr:from>
    <xdr:to>
      <xdr:col>7</xdr:col>
      <xdr:colOff>251460</xdr:colOff>
      <xdr:row>185</xdr:row>
      <xdr:rowOff>93345</xdr:rowOff>
    </xdr:to>
    <xdr:sp>
      <xdr:nvSpPr>
        <xdr:cNvPr id="246" name="Rectangle 61"/>
        <xdr:cNvSpPr/>
      </xdr:nvSpPr>
      <xdr:spPr>
        <a:xfrm>
          <a:off x="4316730" y="32296735"/>
          <a:ext cx="25527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2</xdr:col>
      <xdr:colOff>548640</xdr:colOff>
      <xdr:row>187</xdr:row>
      <xdr:rowOff>2540</xdr:rowOff>
    </xdr:from>
    <xdr:to>
      <xdr:col>4</xdr:col>
      <xdr:colOff>521970</xdr:colOff>
      <xdr:row>187</xdr:row>
      <xdr:rowOff>2540</xdr:rowOff>
    </xdr:to>
    <xdr:cxnSp>
      <xdr:nvCxnSpPr>
        <xdr:cNvPr id="247" name="Straight Arrow Connector 101"/>
        <xdr:cNvCxnSpPr>
          <a:stCxn id="242" idx="3"/>
          <a:endCxn id="244" idx="1"/>
        </xdr:cNvCxnSpPr>
      </xdr:nvCxnSpPr>
      <xdr:spPr>
        <a:xfrm>
          <a:off x="1783080" y="32776160"/>
          <a:ext cx="12077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7</xdr:col>
      <xdr:colOff>264795</xdr:colOff>
      <xdr:row>187</xdr:row>
      <xdr:rowOff>2540</xdr:rowOff>
    </xdr:from>
    <xdr:to>
      <xdr:col>9</xdr:col>
      <xdr:colOff>238125</xdr:colOff>
      <xdr:row>187</xdr:row>
      <xdr:rowOff>2540</xdr:rowOff>
    </xdr:to>
    <xdr:cxnSp>
      <xdr:nvCxnSpPr>
        <xdr:cNvPr id="248" name="Straight Arrow Connector 101"/>
        <xdr:cNvCxnSpPr>
          <a:stCxn id="244" idx="3"/>
          <a:endCxn id="245" idx="1"/>
        </xdr:cNvCxnSpPr>
      </xdr:nvCxnSpPr>
      <xdr:spPr>
        <a:xfrm>
          <a:off x="4585335" y="32776160"/>
          <a:ext cx="1207770" cy="0"/>
        </a:xfrm>
        <a:prstGeom prst="straightConnector1">
          <a:avLst/>
        </a:prstGeom>
        <a:ln>
          <a:solidFill>
            <a:srgbClr val="009999"/>
          </a:solidFill>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0</xdr:col>
      <xdr:colOff>0</xdr:colOff>
      <xdr:row>177</xdr:row>
      <xdr:rowOff>0</xdr:rowOff>
    </xdr:from>
    <xdr:to>
      <xdr:col>16</xdr:col>
      <xdr:colOff>641350</xdr:colOff>
      <xdr:row>199</xdr:row>
      <xdr:rowOff>35560</xdr:rowOff>
    </xdr:to>
    <xdr:sp>
      <xdr:nvSpPr>
        <xdr:cNvPr id="249" name="Rectangle 56"/>
        <xdr:cNvSpPr/>
      </xdr:nvSpPr>
      <xdr:spPr>
        <a:xfrm>
          <a:off x="0" y="31021020"/>
          <a:ext cx="10492740" cy="3891280"/>
        </a:xfrm>
        <a:prstGeom prst="rect">
          <a:avLst/>
        </a:prstGeom>
        <a:noFill/>
        <a:ln>
          <a:solidFill>
            <a:srgbClr val="45B5B0"/>
          </a:solidFill>
          <a:prstDash val="dash"/>
        </a:ln>
      </xdr:spPr>
      <xdr:style>
        <a:lnRef idx="2">
          <a:schemeClr val="accent1">
            <a:shade val="15000"/>
          </a:schemeClr>
        </a:lnRef>
        <a:fillRef idx="1">
          <a:schemeClr val="accent1"/>
        </a:fillRef>
        <a:effectRef idx="0">
          <a:schemeClr val="accent1"/>
        </a:effectRef>
        <a:fontRef idx="minor">
          <a:schemeClr val="lt1"/>
        </a:fontRef>
      </xdr:style>
      <xdr:txBody>
        <a:bodyPr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zh-CN" altLang="en-US" dirty="0"/>
        </a:p>
      </xdr:txBody>
    </xdr:sp>
    <xdr:clientData/>
  </xdr:twoCellAnchor>
  <xdr:twoCellAnchor>
    <xdr:from>
      <xdr:col>13</xdr:col>
      <xdr:colOff>355600</xdr:colOff>
      <xdr:row>184</xdr:row>
      <xdr:rowOff>53340</xdr:rowOff>
    </xdr:from>
    <xdr:to>
      <xdr:col>16</xdr:col>
      <xdr:colOff>369570</xdr:colOff>
      <xdr:row>189</xdr:row>
      <xdr:rowOff>121920</xdr:rowOff>
    </xdr:to>
    <xdr:sp>
      <xdr:nvSpPr>
        <xdr:cNvPr id="250" name="箭头: 五边形 571"/>
        <xdr:cNvSpPr/>
      </xdr:nvSpPr>
      <xdr:spPr>
        <a:xfrm>
          <a:off x="8379460" y="32301180"/>
          <a:ext cx="1865630" cy="944880"/>
        </a:xfrm>
        <a:prstGeom prst="rect">
          <a:avLst/>
        </a:prstGeom>
        <a:solidFill>
          <a:srgbClr val="FFF6DD"/>
        </a:solidFill>
        <a:ln w="25400" cap="flat" cmpd="sng" algn="ctr">
          <a:solidFill>
            <a:srgbClr val="ED8B54"/>
          </a:solidFill>
          <a:prstDash val="sysDash"/>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buClrTx/>
            <a:buSzTx/>
            <a:buFontTx/>
            <a:buNone/>
            <a:defRPr/>
          </a:pPr>
          <a:r>
            <a:rPr lang="zh-CN" altLang="en-US" sz="1600" b="1" kern="0" dirty="0">
              <a:solidFill>
                <a:schemeClr val="accent2"/>
              </a:solidFill>
              <a:latin typeface="Calibri" panose="020F0502020204030204"/>
              <a:ea typeface="微软雅黑" panose="020B0503020204020204" pitchFamily="34" charset="-122"/>
              <a:sym typeface="Arial" panose="020B0604020202020204" pitchFamily="7" charset="0"/>
            </a:rPr>
            <a:t>资金流出、负债减少</a:t>
          </a:r>
          <a:endParaRPr kumimoji="0" lang="en-US" altLang="zh-CN" sz="1600" b="1" i="0" u="none" strike="noStrike" kern="0" cap="none" spc="0" normalizeH="0" baseline="0" noProof="0" dirty="0">
            <a:ln>
              <a:noFill/>
            </a:ln>
            <a:solidFill>
              <a:schemeClr val="accent2"/>
            </a:solidFill>
            <a:effectLst/>
            <a:uLnTx/>
            <a:uFillTx/>
            <a:latin typeface="Calibri" panose="020F0502020204030204"/>
            <a:ea typeface="微软雅黑" panose="020B0503020204020204" pitchFamily="34" charset="-122"/>
            <a:cs typeface="+mn-cs"/>
            <a:sym typeface="Arial" panose="020B0604020202020204" pitchFamily="7" charset="0"/>
          </a:endParaRPr>
        </a:p>
      </xdr:txBody>
    </xdr:sp>
    <xdr:clientData/>
  </xdr:twoCellAnchor>
  <xdr:twoCellAnchor>
    <xdr:from>
      <xdr:col>11</xdr:col>
      <xdr:colOff>667385</xdr:colOff>
      <xdr:row>187</xdr:row>
      <xdr:rowOff>2540</xdr:rowOff>
    </xdr:from>
    <xdr:to>
      <xdr:col>13</xdr:col>
      <xdr:colOff>354965</xdr:colOff>
      <xdr:row>187</xdr:row>
      <xdr:rowOff>2540</xdr:rowOff>
    </xdr:to>
    <xdr:cxnSp>
      <xdr:nvCxnSpPr>
        <xdr:cNvPr id="251" name="Straight Arrow Connector 101"/>
        <xdr:cNvCxnSpPr>
          <a:stCxn id="245" idx="3"/>
          <a:endCxn id="250" idx="1"/>
        </xdr:cNvCxnSpPr>
      </xdr:nvCxnSpPr>
      <xdr:spPr>
        <a:xfrm>
          <a:off x="7406640" y="32776160"/>
          <a:ext cx="972185" cy="0"/>
        </a:xfrm>
        <a:prstGeom prst="straightConnector1">
          <a:avLst/>
        </a:prstGeom>
        <a:ln>
          <a:solidFill>
            <a:srgbClr val="009999"/>
          </a:solidFill>
          <a:prstDash val="solid"/>
          <a:tailEnd type="triangle"/>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5</xdr:col>
      <xdr:colOff>509270</xdr:colOff>
      <xdr:row>182</xdr:row>
      <xdr:rowOff>135255</xdr:rowOff>
    </xdr:from>
    <xdr:to>
      <xdr:col>6</xdr:col>
      <xdr:colOff>363220</xdr:colOff>
      <xdr:row>185</xdr:row>
      <xdr:rowOff>160655</xdr:rowOff>
    </xdr:to>
    <xdr:pic>
      <xdr:nvPicPr>
        <xdr:cNvPr id="252"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3595370" y="32032575"/>
          <a:ext cx="471170" cy="551180"/>
        </a:xfrm>
        <a:prstGeom prst="rect">
          <a:avLst/>
        </a:prstGeom>
      </xdr:spPr>
    </xdr:pic>
    <xdr:clientData/>
  </xdr:twoCellAnchor>
  <xdr:twoCellAnchor>
    <xdr:from>
      <xdr:col>10</xdr:col>
      <xdr:colOff>237490</xdr:colOff>
      <xdr:row>182</xdr:row>
      <xdr:rowOff>135255</xdr:rowOff>
    </xdr:from>
    <xdr:to>
      <xdr:col>11</xdr:col>
      <xdr:colOff>91440</xdr:colOff>
      <xdr:row>185</xdr:row>
      <xdr:rowOff>160655</xdr:rowOff>
    </xdr:to>
    <xdr:pic>
      <xdr:nvPicPr>
        <xdr:cNvPr id="253"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6409690" y="32032575"/>
          <a:ext cx="471170" cy="551180"/>
        </a:xfrm>
        <a:prstGeom prst="rect">
          <a:avLst/>
        </a:prstGeom>
      </xdr:spPr>
    </xdr:pic>
    <xdr:clientData/>
  </xdr:twoCellAnchor>
  <xdr:twoCellAnchor>
    <xdr:from>
      <xdr:col>11</xdr:col>
      <xdr:colOff>341630</xdr:colOff>
      <xdr:row>184</xdr:row>
      <xdr:rowOff>48895</xdr:rowOff>
    </xdr:from>
    <xdr:to>
      <xdr:col>11</xdr:col>
      <xdr:colOff>665480</xdr:colOff>
      <xdr:row>185</xdr:row>
      <xdr:rowOff>93345</xdr:rowOff>
    </xdr:to>
    <xdr:sp>
      <xdr:nvSpPr>
        <xdr:cNvPr id="254" name="Rectangle 46"/>
        <xdr:cNvSpPr/>
      </xdr:nvSpPr>
      <xdr:spPr>
        <a:xfrm>
          <a:off x="7131050" y="32296735"/>
          <a:ext cx="275590" cy="219710"/>
        </a:xfrm>
        <a:prstGeom prst="rect">
          <a:avLst/>
        </a:prstGeom>
        <a:solidFill>
          <a:schemeClr val="accent2"/>
        </a:solidFill>
        <a:ln>
          <a:no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lIns="0" rIns="0" rtlCol="0" anchor="ctr"/>
        <a:lstStyle>
          <a:defPPr>
            <a:defRPr lang="zh-CN">
              <a:solidFill>
                <a:schemeClr val="lt1"/>
              </a:solidFill>
            </a:defRPr>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en-US" altLang="zh-CN" sz="1000" b="1" dirty="0">
              <a:solidFill>
                <a:schemeClr val="bg1"/>
              </a:solidFill>
              <a:latin typeface="微软雅黑" panose="020B0503020204020204" pitchFamily="34" charset="-122"/>
              <a:ea typeface="微软雅黑" panose="020B0503020204020204" pitchFamily="34" charset="-122"/>
            </a:rPr>
            <a:t>2</a:t>
          </a:r>
          <a:r>
            <a:rPr lang="zh-CN" altLang="en-US" sz="1000" b="1" dirty="0">
              <a:solidFill>
                <a:schemeClr val="bg1"/>
              </a:solidFill>
              <a:latin typeface="微软雅黑" panose="020B0503020204020204" pitchFamily="34" charset="-122"/>
              <a:ea typeface="微软雅黑" panose="020B0503020204020204" pitchFamily="34" charset="-122"/>
            </a:rPr>
            <a:t>项</a:t>
          </a:r>
          <a:endParaRPr lang="zh-CN" altLang="en-US" sz="1000" b="1" dirty="0">
            <a:solidFill>
              <a:schemeClr val="bg1"/>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539750</xdr:colOff>
      <xdr:row>190</xdr:row>
      <xdr:rowOff>68580</xdr:rowOff>
    </xdr:from>
    <xdr:to>
      <xdr:col>7</xdr:col>
      <xdr:colOff>281940</xdr:colOff>
      <xdr:row>198</xdr:row>
      <xdr:rowOff>31750</xdr:rowOff>
    </xdr:to>
    <xdr:sp>
      <xdr:nvSpPr>
        <xdr:cNvPr id="255" name="Rectangle 5"/>
        <xdr:cNvSpPr/>
      </xdr:nvSpPr>
      <xdr:spPr>
        <a:xfrm>
          <a:off x="3008630" y="33367980"/>
          <a:ext cx="159385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4</xdr:col>
      <xdr:colOff>593090</xdr:colOff>
      <xdr:row>190</xdr:row>
      <xdr:rowOff>148590</xdr:rowOff>
    </xdr:from>
    <xdr:to>
      <xdr:col>7</xdr:col>
      <xdr:colOff>212090</xdr:colOff>
      <xdr:row>194</xdr:row>
      <xdr:rowOff>2540</xdr:rowOff>
    </xdr:to>
    <xdr:sp>
      <xdr:nvSpPr>
        <xdr:cNvPr id="256" name="Rectangle 6"/>
        <xdr:cNvSpPr/>
      </xdr:nvSpPr>
      <xdr:spPr>
        <a:xfrm>
          <a:off x="3061970" y="33447990"/>
          <a:ext cx="147066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强化电费退费申请审核</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4</xdr:col>
      <xdr:colOff>593090</xdr:colOff>
      <xdr:row>194</xdr:row>
      <xdr:rowOff>97155</xdr:rowOff>
    </xdr:from>
    <xdr:to>
      <xdr:col>7</xdr:col>
      <xdr:colOff>212090</xdr:colOff>
      <xdr:row>197</xdr:row>
      <xdr:rowOff>122555</xdr:rowOff>
    </xdr:to>
    <xdr:sp>
      <xdr:nvSpPr>
        <xdr:cNvPr id="257" name="Rectangle 12"/>
        <xdr:cNvSpPr/>
      </xdr:nvSpPr>
      <xdr:spPr>
        <a:xfrm>
          <a:off x="3061970" y="34097595"/>
          <a:ext cx="147066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规范退费审核审批流程</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6</xdr:col>
      <xdr:colOff>90170</xdr:colOff>
      <xdr:row>189</xdr:row>
      <xdr:rowOff>59055</xdr:rowOff>
    </xdr:from>
    <xdr:to>
      <xdr:col>6</xdr:col>
      <xdr:colOff>90170</xdr:colOff>
      <xdr:row>190</xdr:row>
      <xdr:rowOff>59690</xdr:rowOff>
    </xdr:to>
    <xdr:cxnSp>
      <xdr:nvCxnSpPr>
        <xdr:cNvPr id="258" name="直接连接符 23"/>
        <xdr:cNvCxnSpPr/>
      </xdr:nvCxnSpPr>
      <xdr:spPr>
        <a:xfrm>
          <a:off x="3793490" y="33183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9</xdr:col>
      <xdr:colOff>241300</xdr:colOff>
      <xdr:row>190</xdr:row>
      <xdr:rowOff>68580</xdr:rowOff>
    </xdr:from>
    <xdr:to>
      <xdr:col>11</xdr:col>
      <xdr:colOff>669290</xdr:colOff>
      <xdr:row>198</xdr:row>
      <xdr:rowOff>31750</xdr:rowOff>
    </xdr:to>
    <xdr:sp>
      <xdr:nvSpPr>
        <xdr:cNvPr id="259" name="Rectangle 16"/>
        <xdr:cNvSpPr/>
      </xdr:nvSpPr>
      <xdr:spPr>
        <a:xfrm>
          <a:off x="5796280" y="33367980"/>
          <a:ext cx="1610360" cy="1365250"/>
        </a:xfrm>
        <a:prstGeom prst="rect">
          <a:avLst/>
        </a:prstGeom>
        <a:solidFill>
          <a:schemeClr val="bg1">
            <a:lumMod val="85000"/>
          </a:schemeClr>
        </a:solidFill>
        <a:ln w="12700" cap="flat" cmpd="sng" algn="ctr">
          <a:noFill/>
          <a:prstDash val="solid"/>
          <a:miter lim="800000"/>
        </a:ln>
        <a:effectLst/>
      </xdr:spPr>
      <xdr:txBody>
        <a:bodyPr rtlCol="0" anchor="ct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endParaRPr lang="zh-CN" altLang="en-US" kern="0">
            <a:solidFill>
              <a:srgbClr val="FFFFFF"/>
            </a:solidFill>
            <a:latin typeface="HarmonyOS Sans SC" panose="00000500000000000000" charset="-122"/>
          </a:endParaRPr>
        </a:p>
      </xdr:txBody>
    </xdr:sp>
    <xdr:clientData/>
  </xdr:twoCellAnchor>
  <xdr:twoCellAnchor>
    <xdr:from>
      <xdr:col>9</xdr:col>
      <xdr:colOff>294640</xdr:colOff>
      <xdr:row>190</xdr:row>
      <xdr:rowOff>148590</xdr:rowOff>
    </xdr:from>
    <xdr:to>
      <xdr:col>11</xdr:col>
      <xdr:colOff>599440</xdr:colOff>
      <xdr:row>194</xdr:row>
      <xdr:rowOff>2540</xdr:rowOff>
    </xdr:to>
    <xdr:sp>
      <xdr:nvSpPr>
        <xdr:cNvPr id="260" name="Rectangle 17"/>
        <xdr:cNvSpPr/>
      </xdr:nvSpPr>
      <xdr:spPr>
        <a:xfrm>
          <a:off x="5849620" y="33447990"/>
          <a:ext cx="1539240" cy="55499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严格退费支付管控</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9</xdr:col>
      <xdr:colOff>294640</xdr:colOff>
      <xdr:row>194</xdr:row>
      <xdr:rowOff>97155</xdr:rowOff>
    </xdr:from>
    <xdr:to>
      <xdr:col>11</xdr:col>
      <xdr:colOff>599440</xdr:colOff>
      <xdr:row>197</xdr:row>
      <xdr:rowOff>122555</xdr:rowOff>
    </xdr:to>
    <xdr:sp>
      <xdr:nvSpPr>
        <xdr:cNvPr id="261" name="Rectangle 18"/>
        <xdr:cNvSpPr/>
      </xdr:nvSpPr>
      <xdr:spPr>
        <a:xfrm>
          <a:off x="5849620" y="34097595"/>
          <a:ext cx="1539240" cy="551180"/>
        </a:xfrm>
        <a:prstGeom prst="rect">
          <a:avLst/>
        </a:prstGeom>
        <a:solidFill>
          <a:srgbClr val="FFFFFF"/>
        </a:solidFill>
        <a:ln>
          <a:noFill/>
        </a:ln>
        <a:effectLst>
          <a:outerShdw blurRad="254000" dist="63500" dir="5400000" sx="88000" sy="88000" algn="t" rotWithShape="0">
            <a:srgbClr val="42A2A4">
              <a:lumMod val="50000"/>
              <a:alpha val="12000"/>
            </a:srgbClr>
          </a:outerShdw>
        </a:effectLst>
      </xdr:spPr>
      <xdr:txBody>
        <a:bodyPr rot="0" spcFirstLastPara="0" vertOverflow="overflow" horzOverflow="overflow" vert="horz" wrap="square" lIns="91440" tIns="45720" rIns="91440" bIns="45720" numCol="1" spcCol="0" rtlCol="0" fromWordArt="0" anchor="ctr" anchorCtr="0" forceAA="0" compatLnSpc="1">
          <a:no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71450" indent="-171450">
            <a:buFont typeface="Arial" panose="020B0604020202020204" pitchFamily="7" charset="0"/>
            <a:buChar char="•"/>
          </a:pPr>
          <a:r>
            <a:rPr lang="zh-CN" altLang="en-US" sz="1000" dirty="0">
              <a:solidFill>
                <a:srgbClr val="009999"/>
              </a:solidFill>
              <a:latin typeface="微软雅黑" panose="020B0503020204020204" pitchFamily="34" charset="-122"/>
              <a:ea typeface="微软雅黑" panose="020B0503020204020204" pitchFamily="34" charset="-122"/>
            </a:rPr>
            <a:t>规范“低保五保”退费管理</a:t>
          </a:r>
          <a:endParaRPr lang="zh-CN" altLang="en-US" sz="1000" dirty="0">
            <a:solidFill>
              <a:srgbClr val="009999"/>
            </a:solidFill>
            <a:latin typeface="微软雅黑" panose="020B0503020204020204" pitchFamily="34" charset="-122"/>
            <a:ea typeface="微软雅黑" panose="020B0503020204020204" pitchFamily="34" charset="-122"/>
          </a:endParaRPr>
        </a:p>
      </xdr:txBody>
    </xdr:sp>
    <xdr:clientData/>
  </xdr:twoCellAnchor>
  <xdr:twoCellAnchor>
    <xdr:from>
      <xdr:col>10</xdr:col>
      <xdr:colOff>477520</xdr:colOff>
      <xdr:row>189</xdr:row>
      <xdr:rowOff>59055</xdr:rowOff>
    </xdr:from>
    <xdr:to>
      <xdr:col>10</xdr:col>
      <xdr:colOff>477520</xdr:colOff>
      <xdr:row>190</xdr:row>
      <xdr:rowOff>59690</xdr:rowOff>
    </xdr:to>
    <xdr:cxnSp>
      <xdr:nvCxnSpPr>
        <xdr:cNvPr id="262" name="直接连接符 23"/>
        <xdr:cNvCxnSpPr/>
      </xdr:nvCxnSpPr>
      <xdr:spPr>
        <a:xfrm>
          <a:off x="6649720" y="33183195"/>
          <a:ext cx="0" cy="175895"/>
        </a:xfrm>
        <a:prstGeom prst="line">
          <a:avLst/>
        </a:prstGeom>
        <a:ln w="12700">
          <a:solidFill>
            <a:srgbClr val="009999"/>
          </a:solidFill>
          <a:prstDash val="sysDash"/>
          <a:headEnd type="oval" w="med" len="med"/>
          <a:tailEnd type="oval" w="med" len="med"/>
        </a:ln>
      </xdr:spPr>
      <xdr:style>
        <a:lnRef idx="2">
          <a:schemeClr val="accent1"/>
        </a:lnRef>
        <a:fillRef idx="0">
          <a:schemeClr val="accent1"/>
        </a:fillRef>
        <a:effectRef idx="1">
          <a:schemeClr val="accent1"/>
        </a:effectRef>
        <a:fontRef idx="minor">
          <a:schemeClr val="tx1"/>
        </a:fontRef>
      </xdr:style>
    </xdr:cxnSp>
    <xdr:clientData/>
  </xdr:twoCellAnchor>
  <xdr:twoCellAnchor>
    <xdr:from>
      <xdr:col>14</xdr:col>
      <xdr:colOff>513715</xdr:colOff>
      <xdr:row>195</xdr:row>
      <xdr:rowOff>94615</xdr:rowOff>
    </xdr:from>
    <xdr:to>
      <xdr:col>16</xdr:col>
      <xdr:colOff>565785</xdr:colOff>
      <xdr:row>198</xdr:row>
      <xdr:rowOff>120015</xdr:rowOff>
    </xdr:to>
    <xdr:grpSp>
      <xdr:nvGrpSpPr>
        <xdr:cNvPr id="263" name="Group 24"/>
        <xdr:cNvGrpSpPr/>
      </xdr:nvGrpSpPr>
      <xdr:grpSpPr>
        <a:xfrm>
          <a:off x="9154795" y="34270315"/>
          <a:ext cx="1286510" cy="551180"/>
          <a:chOff x="10435887" y="4098377"/>
          <a:chExt cx="1424247" cy="540000"/>
        </a:xfrm>
      </xdr:grpSpPr>
      <xdr:pic>
        <xdr:nvPicPr>
          <xdr:cNvPr id="264" name="Picture 16"/>
          <xdr:cNvPicPr>
            <a:picLocks noChangeAspect="1"/>
          </xdr:cNvPicPr>
        </xdr:nvPicPr>
        <xdr:blipFill>
          <a:blip r:embed="rId2" cstate="print">
            <a:extLst>
              <a:ext uri="{28A0092B-C50C-407E-A947-70E740481C1C}">
                <a14:useLocalDpi xmlns:a14="http://schemas.microsoft.com/office/drawing/2010/main" val="0"/>
              </a:ext>
            </a:extLst>
          </a:blip>
          <a:stretch>
            <a:fillRect/>
          </a:stretch>
        </xdr:blipFill>
        <xdr:spPr>
          <a:xfrm rot="18959528">
            <a:off x="10435887" y="4098377"/>
            <a:ext cx="540000" cy="540000"/>
          </a:xfrm>
          <a:prstGeom prst="rect">
            <a:avLst/>
          </a:prstGeom>
        </xdr:spPr>
      </xdr:pic>
      <xdr:sp>
        <xdr:nvSpPr>
          <xdr:cNvPr id="265" name="文本框 29"/>
          <xdr:cNvSpPr txBox="1"/>
        </xdr:nvSpPr>
        <xdr:spPr>
          <a:xfrm>
            <a:off x="10780134" y="4167564"/>
            <a:ext cx="1080000" cy="430887"/>
          </a:xfrm>
          <a:prstGeom prst="rect">
            <a:avLst/>
          </a:prstGeom>
          <a:noFill/>
        </xdr:spPr>
        <xdr:txBody>
          <a:bodyPr wrap="square">
            <a:spAutoFit/>
          </a:bodyPr>
          <a:lstStyle>
            <a:defPPr>
              <a:defRPr lang="zh-CN"/>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r>
              <a:rPr lang="zh-CN" altLang="en-US" sz="1050" dirty="0">
                <a:latin typeface="微软雅黑" panose="020B0503020204020204" pitchFamily="34" charset="-122"/>
                <a:ea typeface="微软雅黑" panose="020B0503020204020204" pitchFamily="34" charset="-122"/>
              </a:rPr>
              <a:t>业务前端风险</a:t>
            </a:r>
            <a:endParaRPr lang="en-US" altLang="zh-CN" sz="1050" dirty="0">
              <a:latin typeface="微软雅黑" panose="020B0503020204020204" pitchFamily="34" charset="-122"/>
              <a:ea typeface="微软雅黑" panose="020B0503020204020204" pitchFamily="34" charset="-122"/>
            </a:endParaRPr>
          </a:p>
          <a:p>
            <a:r>
              <a:rPr lang="zh-CN" altLang="en-US" sz="1050" dirty="0">
                <a:latin typeface="微软雅黑" panose="020B0503020204020204" pitchFamily="34" charset="-122"/>
                <a:ea typeface="微软雅黑" panose="020B0503020204020204" pitchFamily="34" charset="-122"/>
              </a:rPr>
              <a:t>控制点置入</a:t>
            </a:r>
            <a:endParaRPr lang="zh-CN" altLang="en-US" sz="1050" dirty="0"/>
          </a:p>
        </xdr:txBody>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ZHUOMIANWENJIAN\&#35885;&#25935;20260427%20%20%20%20%201708\20260611&#28246;&#21335;&#30465;&#20844;&#21496;&#39118;&#38505;&#30697;&#38453;&#22521;&#35757;&#26448;&#26009;-&#26032;\1.&#39118;&#25511;&#30697;&#38453;-&#21556;6.28&#21457;\1.&#39118;&#25511;&#30697;&#38453;\&#30697;&#38453;&#39564;&#25910;\&#31532;&#19968;&#25209;&#65288;&#33258;&#24314;&#65289;\&#31532;&#19968;&#25209;&#30697;&#38453;&#24046;&#24322;&#24773;&#20917;&#65288;&#19982;0629&#29256;&#26412;&#26680;&#23545;&#65289;0707\&#31532;&#19968;&#25209;&#39118;&#25511;&#30697;&#38453;&#65288;&#24212;&#29992;&#29256;0629&#65289;\&#26032;-08&#39118;&#25511;&#30697;&#38453;-&#25968;&#23383;&#21270;&#19982;&#30740;&#21457;&#25237;&#20837;.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08&#39118;&#25511;&#30697;&#38453;-&#25968;&#23383;&#21270;&#19982;&#30740;&#21457;&#25237;&#20837;&#65288;&#30465;&#20844;&#21496;&#26631;&#35760;&#29256;&#26412;0727&#65289;.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业务流程"/>
      <sheetName val="流程图"/>
      <sheetName val="数字化与研发投入"/>
      <sheetName val="意见建议"/>
      <sheetName val="WpsReserved_CellImgList"/>
    </sheetNames>
    <sheetDataSet>
      <sheetData sheetId="0"/>
      <sheetData sheetId="1"/>
      <sheetData sheetId="2">
        <row r="4">
          <cell r="A4" t="str">
            <v>数字化项目管理业务</v>
          </cell>
          <cell r="B4" t="str">
            <v>一、项目立项管理</v>
          </cell>
          <cell r="C4" t="str">
            <v>资金资产安全</v>
          </cell>
          <cell r="D4" t="str">
            <v>储备及立项</v>
          </cell>
          <cell r="E4" t="str">
            <v>不符合公司数字化建设规划和统一技术路线，缺乏必要性和可行性，造成重复建设、资源浪费、投资回报低下风险。</v>
          </cell>
        </row>
        <row r="4">
          <cell r="G4" t="str">
            <v>1.储备立项的程序控制</v>
          </cell>
          <cell r="H4" t="str">
            <v>符合公司数字化建设规划和统一技术路线，具备经济性、可行性和必要性。</v>
          </cell>
          <cell r="I4" t="str">
            <v>数字化项目管理业务-1.储备立项的程序控制-控制措施01</v>
          </cell>
          <cell r="J4" t="str">
            <v>需求提报部门建立历史项目比对机制，避免重复需求提报和立项。</v>
          </cell>
        </row>
        <row r="4">
          <cell r="L4" t="str">
            <v>√</v>
          </cell>
          <cell r="M4" t="str">
            <v>√</v>
          </cell>
        </row>
        <row r="4">
          <cell r="T4" t="str">
            <v>系统待建</v>
          </cell>
          <cell r="U4" t="str">
            <v>数字化项目管理微应用</v>
          </cell>
          <cell r="V4" t="str">
            <v>1.需求报告；
2.历史项目应用评价；
3.数字化项目统筹清单。</v>
          </cell>
          <cell r="W4" t="str">
            <v>各级单位-项目需求部门-需求提报人、各级单位-项目需求部门-负责人、各级单位-归口管理部门-项目管理人员、各级单位-归口管理部门-负责人</v>
          </cell>
          <cell r="X4" t="str">
            <v>每季度</v>
          </cell>
          <cell r="Y4" t="str">
            <v>抽查</v>
          </cell>
        </row>
        <row r="4">
          <cell r="AA4" t="str">
            <v>年度</v>
          </cell>
          <cell r="AB4" t="str">
            <v>抽查</v>
          </cell>
        </row>
        <row r="4">
          <cell r="AH4" t="str">
            <v>是</v>
          </cell>
          <cell r="AI4" t="str">
            <v>是</v>
          </cell>
          <cell r="AJ4" t="str">
            <v>《国家电网有限公司关于优化调整公司数字化建设投入管理的通知》（国家电网数字〔2025〕17号）
《国家电网有限公司电网数字化建设管理办法》（国家电网企管〔2020〕849号）</v>
          </cell>
          <cell r="AK4" t="str">
            <v>国网数字化部</v>
          </cell>
        </row>
        <row r="5">
          <cell r="I5" t="str">
            <v>数字化项目管理业务-1.储备立项的程序控制-控制措施02</v>
          </cell>
          <cell r="J5" t="str">
            <v>归口管理部门建立“谁主管、谁负责”机制，开展可研经济性、立项合规性分析，获取可研批复后方可立项。</v>
          </cell>
        </row>
        <row r="5">
          <cell r="L5" t="str">
            <v>√</v>
          </cell>
        </row>
        <row r="5">
          <cell r="S5" t="str">
            <v>√</v>
          </cell>
          <cell r="T5" t="str">
            <v>线下管控</v>
          </cell>
        </row>
        <row r="5">
          <cell r="V5" t="str">
            <v>1.各级评审意见文件；
2.总部科研报告批复文件。</v>
          </cell>
          <cell r="W5" t="str">
            <v>各级单位-项目需求部门-需求提报人、各级单位-项目需求部门-负责人、各级单位-归口管理部门-项目管理人员、各级单位-归口管理部门-负责人</v>
          </cell>
          <cell r="X5" t="str">
            <v>每季度</v>
          </cell>
          <cell r="Y5" t="str">
            <v>抽查</v>
          </cell>
        </row>
        <row r="5">
          <cell r="AA5" t="str">
            <v>年度</v>
          </cell>
          <cell r="AB5" t="str">
            <v>抽查</v>
          </cell>
        </row>
        <row r="5">
          <cell r="AH5" t="str">
            <v>是</v>
          </cell>
          <cell r="AI5" t="str">
            <v>是</v>
          </cell>
          <cell r="AJ5" t="str">
            <v>《国家电网有限公司关于优化调整公司数字化建设投入管理的通知》（国家电网数字〔2025〕17号）
《国家电网有限公司电网数字化建设管理办法》（国家电网企管〔2020〕849号）</v>
          </cell>
          <cell r="AK5" t="str">
            <v>国网数字化部</v>
          </cell>
        </row>
        <row r="6">
          <cell r="I6" t="str">
            <v>数字化项目管理业务-1.储备立项的程序控制-控制措施03</v>
          </cell>
          <cell r="J6" t="str">
            <v>归口管理部门开展项目投入后评估，基于评价结果优化后续项目安排。</v>
          </cell>
        </row>
        <row r="6">
          <cell r="O6" t="str">
            <v>√</v>
          </cell>
        </row>
        <row r="6">
          <cell r="S6" t="str">
            <v>√</v>
          </cell>
          <cell r="T6" t="str">
            <v>线下管控</v>
          </cell>
        </row>
        <row r="6">
          <cell r="V6" t="str">
            <v>历史项目应用评价资料 （数字化综合绩效评估、管理规范问题清单等）。</v>
          </cell>
          <cell r="W6" t="str">
            <v>各级单位-项目承担部门-项目负责人、各级单位-项目承担部门-负责人、各级单位-归口管理部门-项目管理人员、各级单位-归口管理部门-负责人</v>
          </cell>
          <cell r="X6" t="str">
            <v>每季度</v>
          </cell>
          <cell r="Y6" t="str">
            <v>抽查</v>
          </cell>
        </row>
        <row r="6">
          <cell r="AA6" t="str">
            <v>年度</v>
          </cell>
          <cell r="AB6" t="str">
            <v>抽查</v>
          </cell>
        </row>
        <row r="6">
          <cell r="AH6" t="str">
            <v>是</v>
          </cell>
          <cell r="AI6" t="str">
            <v>是</v>
          </cell>
          <cell r="AJ6" t="str">
            <v>《国家电网有限公司关于优化调整公司数字化建设投入管理的通知》（国家电网数字〔2025〕17号）
《国家电网有限公司电网数字化建设管理办法》（国家电网企管〔2020〕849号）
《国家电网公司信息系统深化应用管理办法》国家电网企管〔2014〕1216号</v>
          </cell>
          <cell r="AK6" t="str">
            <v>国网数字化部</v>
          </cell>
        </row>
        <row r="7">
          <cell r="I7" t="str">
            <v>数字化项目管理业务-1.储备立项的程序控制-控制措施04</v>
          </cell>
          <cell r="J7" t="str">
            <v>强化立项不相容控制，落实评审与复核责任。</v>
          </cell>
        </row>
        <row r="7">
          <cell r="T7" t="str">
            <v>线下管控</v>
          </cell>
        </row>
        <row r="7">
          <cell r="V7" t="str">
            <v>项目评审意见。</v>
          </cell>
          <cell r="W7" t="str">
            <v>各级单位-项目需求部门-需求提报人、各级单位-项目需求部门-负责人、各级单位-归口管理部门-项目管理人员、各级单位-归口管理部门-负责人</v>
          </cell>
          <cell r="X7" t="str">
            <v>每季度</v>
          </cell>
          <cell r="Y7" t="str">
            <v>抽查</v>
          </cell>
        </row>
        <row r="7">
          <cell r="AA7" t="str">
            <v>年度</v>
          </cell>
          <cell r="AB7" t="str">
            <v>抽查</v>
          </cell>
        </row>
        <row r="7">
          <cell r="AH7" t="str">
            <v>是</v>
          </cell>
          <cell r="AI7" t="str">
            <v>是</v>
          </cell>
          <cell r="AJ7" t="str">
            <v>《国家电网有限公司关于优化调整公司数字化建设投入管理的通知》（国家电网数字〔2025〕17号）
《国家电网有限公司电网数字化建设管理办法》（国家电网企管〔2020〕849号）</v>
          </cell>
          <cell r="AK7" t="str">
            <v>国网数字化部</v>
          </cell>
        </row>
        <row r="8">
          <cell r="D8" t="str">
            <v>计划和预算安排</v>
          </cell>
          <cell r="E8" t="str">
            <v>项目计划预算安排不合理、调整不及时，未根据项目实际情况进行计划分解和调整，导致提前或滞后确认成本，引发合规风险。</v>
          </cell>
        </row>
        <row r="8">
          <cell r="G8" t="str">
            <v>2.计划预算安排合规性</v>
          </cell>
          <cell r="H8" t="str">
            <v>项目计划预算安排与项目实际进度的一致性控制。</v>
          </cell>
          <cell r="I8" t="str">
            <v>数字化项目管理业务-2.计划预算安排合规性-控制措施01</v>
          </cell>
          <cell r="J8" t="str">
            <v>归口管理部门对项目储备金额建立计划与预算的复核机制，按实际预估周期安排年度计划和预算。</v>
          </cell>
        </row>
        <row r="8">
          <cell r="L8" t="str">
            <v>√</v>
          </cell>
        </row>
        <row r="8">
          <cell r="N8" t="str">
            <v>√</v>
          </cell>
        </row>
        <row r="8">
          <cell r="Q8" t="str">
            <v>√</v>
          </cell>
        </row>
        <row r="8">
          <cell r="S8" t="str">
            <v>√</v>
          </cell>
          <cell r="T8" t="str">
            <v>线下管控</v>
          </cell>
        </row>
        <row r="8">
          <cell r="V8" t="str">
            <v>1.项目储备资料；
2.计划调整文件；
3.预算下达文件。</v>
          </cell>
          <cell r="W8" t="str">
            <v>各级单位-项目承担部门-项目负责人、各级单位-项目承担部门-负责人、各级单位-归口管理部门-计划管理人员、各级单位-归口管理部门-负责人、各级单位-财务部门-预算管理人员、各级单位-财务部门-负责人</v>
          </cell>
          <cell r="X8" t="str">
            <v>每月</v>
          </cell>
          <cell r="Y8" t="str">
            <v>抽查</v>
          </cell>
        </row>
        <row r="8">
          <cell r="AA8" t="str">
            <v>年度</v>
          </cell>
          <cell r="AB8" t="str">
            <v>抽查</v>
          </cell>
        </row>
        <row r="8">
          <cell r="AH8" t="str">
            <v>是</v>
          </cell>
          <cell r="AI8" t="str">
            <v>是</v>
          </cell>
          <cell r="AJ8" t="str">
            <v>《国家电网有限公司工程财务管理办法》（国家电网企管〔2023〕28号）
《国家电网有限公司全面预算管理办法》（国家电网企管〔2026〕101号）</v>
          </cell>
          <cell r="AK8" t="str">
            <v>国网数字化部</v>
          </cell>
        </row>
        <row r="9">
          <cell r="I9" t="str">
            <v>数字化项目管理业务-2.计划预算安排合规性-控制措施02</v>
          </cell>
          <cell r="J9" t="str">
            <v>年中增补项目分年度下达计划和预算。</v>
          </cell>
        </row>
        <row r="9">
          <cell r="N9" t="str">
            <v>√</v>
          </cell>
        </row>
        <row r="9">
          <cell r="Q9" t="str">
            <v>√</v>
          </cell>
        </row>
        <row r="9">
          <cell r="S9" t="str">
            <v>√</v>
          </cell>
          <cell r="T9" t="str">
            <v>线下管控</v>
          </cell>
        </row>
        <row r="9">
          <cell r="V9" t="str">
            <v>1.可研资料；
2.项目立项文件；
3.进度确认材料；
4.项目采购文件；
5.合同；
6.预算下达文件；
7.预算计划调整文件。</v>
          </cell>
          <cell r="W9" t="str">
            <v>各级单位-项目承担部门-项目负责人、各级单位-项目承担部门-负责人、各级单位-归口管理部门-计划管理人员、各级单位-归口管理部门-负责人、各级单位-财务部门-预算管理人员、各级单位-财务部门-负责人、各级单位-发展部门-综合计划管理人员、各级单位-发展部门-负责人</v>
          </cell>
          <cell r="X9" t="str">
            <v>每月</v>
          </cell>
          <cell r="Y9" t="str">
            <v>抽查</v>
          </cell>
        </row>
        <row r="9">
          <cell r="AA9" t="str">
            <v>年度</v>
          </cell>
          <cell r="AB9" t="str">
            <v>抽查</v>
          </cell>
        </row>
        <row r="9">
          <cell r="AH9" t="str">
            <v>是</v>
          </cell>
          <cell r="AI9" t="str">
            <v>是</v>
          </cell>
          <cell r="AJ9" t="str">
            <v>《国家电网有限公司电网数字化建设管理办法》（国家电网企管〔2020〕849号）
《国家电网有限公司工程财务管理办法》（国家电网企管〔2023〕28号）
《国家电网有限公司全面预算管理办法》（国家电网企管〔2026〕101号）</v>
          </cell>
          <cell r="AK9" t="str">
            <v>国网数字化部</v>
          </cell>
        </row>
        <row r="10">
          <cell r="I10" t="str">
            <v>数字化项目管理业务-2.计划预算安排合规性-控制措施03</v>
          </cell>
          <cell r="J10" t="str">
            <v>根据外部环境和项目本身变化，及时调整计划和预算。</v>
          </cell>
        </row>
        <row r="10">
          <cell r="N10" t="str">
            <v>√</v>
          </cell>
        </row>
        <row r="10">
          <cell r="Q10" t="str">
            <v>√</v>
          </cell>
        </row>
        <row r="10">
          <cell r="S10" t="str">
            <v>√</v>
          </cell>
          <cell r="T10" t="str">
            <v>线下管控</v>
          </cell>
        </row>
        <row r="10">
          <cell r="V10" t="str">
            <v>1.可研资料；
2.项目立项文件；
3.项目采购文件；
4.综合计划；
5.预算下达文件；
6.进度确认材料；
7.调整文件；
8.合同。</v>
          </cell>
          <cell r="W10" t="str">
            <v>各级单位-项目承担部门-项目负责人、各级单位-项目承担部门-负责人、各级单位-归口管理部门-计划管理人员、各级单位-归口管理部门-负责人、各级单位-财务部门-预算管理人员、各级单位-财务部门-负责人、各级单位-发展部门-综合计划管理人员、各级单位-发展部门-负责人</v>
          </cell>
          <cell r="X10" t="str">
            <v>每月</v>
          </cell>
          <cell r="Y10" t="str">
            <v>抽查</v>
          </cell>
        </row>
        <row r="10">
          <cell r="AA10" t="str">
            <v>年度</v>
          </cell>
          <cell r="AB10" t="str">
            <v>抽查</v>
          </cell>
        </row>
        <row r="10">
          <cell r="AH10" t="str">
            <v>是</v>
          </cell>
          <cell r="AI10" t="str">
            <v>是</v>
          </cell>
          <cell r="AJ10" t="str">
            <v>《国家电网有限公司电网数字化建设管理办法》（国家电网企管〔2020〕849号）
《国家电网有限公司工程财务管理办法》（国家电网企管〔2023〕28号）
《国家电网有限公司全面预算管理办法》（国家电网企管〔2026〕101号）</v>
          </cell>
          <cell r="AK10" t="str">
            <v>国网数字化部</v>
          </cell>
        </row>
        <row r="11">
          <cell r="A11" t="str">
            <v>数字化项目管理业务</v>
          </cell>
          <cell r="B11" t="str">
            <v>二、项目实施管理</v>
          </cell>
          <cell r="C11" t="str">
            <v>会计信息真实完整</v>
          </cell>
          <cell r="D11" t="str">
            <v>成本入账</v>
          </cell>
          <cell r="E11" t="str">
            <v>成本入账与进度结算金额不符，项目审核缺位，易引发虚列研发成本、提前确认项目成本风险。</v>
          </cell>
          <cell r="F11" t="str">
            <v>5.会计信息不准确：存在虚增隐瞒收入，虚增减成本费用；隐瞒负债，少计应付账款或借款；收入成本不匹配；收入、成本确认不及时、不准确等问题。
25.结算不准确，多结算工程款：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等问题。</v>
          </cell>
          <cell r="G11" t="str">
            <v>3.入账成本准确性</v>
          </cell>
          <cell r="H11" t="str">
            <v>入账金额准确性、成本支出真实性控制。</v>
          </cell>
          <cell r="I11" t="str">
            <v>数字化项目管理业务-3.入账成本准确性-控制措施01</v>
          </cell>
          <cell r="J11" t="str">
            <v>项目承担部门严格按合同约定管控项目执行进度，审核是否存在违约行为，根据实际进度收取发票、填写报账单。</v>
          </cell>
        </row>
        <row r="11">
          <cell r="L11" t="str">
            <v>√</v>
          </cell>
          <cell r="M11" t="str">
            <v>√</v>
          </cell>
        </row>
        <row r="11">
          <cell r="O11" t="str">
            <v>√</v>
          </cell>
        </row>
        <row r="11">
          <cell r="T11" t="str">
            <v>线下管控</v>
          </cell>
        </row>
        <row r="11">
          <cell r="V11" t="str">
            <v>1.项目费用支出明细清单及相关资料； 
2.合同；
3.项目进度报审表；
4.项目人员备案表。</v>
          </cell>
          <cell r="W11" t="str">
            <v>各级单位-项目承担部门-项目负责人、各级单位-项目承担部门-负责人</v>
          </cell>
          <cell r="X11" t="str">
            <v>每年</v>
          </cell>
          <cell r="Y11" t="str">
            <v>抽查</v>
          </cell>
        </row>
        <row r="11">
          <cell r="AA11" t="str">
            <v>年度</v>
          </cell>
          <cell r="AB11" t="str">
            <v>抽查</v>
          </cell>
        </row>
        <row r="11">
          <cell r="AH11" t="str">
            <v>是</v>
          </cell>
          <cell r="AI11" t="str">
            <v>是</v>
          </cell>
          <cell r="AJ11" t="str">
            <v>《国家电网有限公司电网数字化建设管理办法》（国家电网企管〔2020〕849号）</v>
          </cell>
          <cell r="AK11" t="str">
            <v>国网数字化部</v>
          </cell>
        </row>
        <row r="12">
          <cell r="I12" t="str">
            <v>数字化项目管理业务-3.入账成本准确性-控制措施02</v>
          </cell>
          <cell r="J12" t="str">
            <v>归口管理部门复核项目完成情况、项目人员备案表等材料的完整性和合规性。</v>
          </cell>
        </row>
        <row r="12">
          <cell r="O12" t="str">
            <v>√</v>
          </cell>
        </row>
        <row r="12">
          <cell r="T12" t="str">
            <v>线下管控</v>
          </cell>
        </row>
        <row r="12">
          <cell r="V12" t="str">
            <v>1.项目费用支出明细清单及相关资料；  
2.合同；
3.项目人员备案表；
4.项目进度材料。</v>
          </cell>
          <cell r="W12" t="str">
            <v>各级单位-归口管理部门-项目管理人员、各级单位-归口管理部门-负责人</v>
          </cell>
          <cell r="X12" t="str">
            <v>每年</v>
          </cell>
          <cell r="Y12" t="str">
            <v>抽查</v>
          </cell>
        </row>
        <row r="12">
          <cell r="AA12" t="str">
            <v>年度</v>
          </cell>
          <cell r="AB12" t="str">
            <v>抽查</v>
          </cell>
        </row>
        <row r="12">
          <cell r="AH12" t="str">
            <v>是</v>
          </cell>
          <cell r="AI12" t="str">
            <v>是</v>
          </cell>
          <cell r="AJ12" t="str">
            <v>《国家电网有限公司电网数字化建设管理办法》（国家电网企管〔2020〕849号）</v>
          </cell>
          <cell r="AK12" t="str">
            <v>国网数字化部</v>
          </cell>
        </row>
        <row r="13">
          <cell r="I13" t="str">
            <v>数字化项目管理业务-3.入账成本准确性-控制措施03</v>
          </cell>
          <cell r="J13" t="str">
            <v>财务部门对成本报账单金额与结算金额、发票金额一致性、准确性进行审核。</v>
          </cell>
        </row>
        <row r="13">
          <cell r="N13" t="str">
            <v>√</v>
          </cell>
          <cell r="O13" t="str">
            <v>√</v>
          </cell>
          <cell r="P13" t="str">
            <v>√</v>
          </cell>
          <cell r="Q13" t="str">
            <v>√</v>
          </cell>
        </row>
        <row r="13">
          <cell r="T13" t="str">
            <v>系统已建</v>
          </cell>
          <cell r="U13" t="str">
            <v>智慧共享财务平台</v>
          </cell>
          <cell r="V13" t="str">
            <v>1.发票；
2.报账单；  
3.合同；
4.项目进度报审表。</v>
          </cell>
          <cell r="W13" t="str">
            <v>各级单位-财务部门-成本管理人员、各级单位-财务部门-负责人</v>
          </cell>
          <cell r="X13" t="str">
            <v>每年</v>
          </cell>
          <cell r="Y13" t="str">
            <v>抽查</v>
          </cell>
        </row>
        <row r="13">
          <cell r="AA13" t="str">
            <v>年度</v>
          </cell>
          <cell r="AB13" t="str">
            <v>抽查</v>
          </cell>
        </row>
        <row r="13">
          <cell r="AD13" t="str">
            <v>成本入账监督场景</v>
          </cell>
          <cell r="AE13" t="str">
            <v>每月</v>
          </cell>
          <cell r="AF13" t="str">
            <v>全量检查</v>
          </cell>
        </row>
        <row r="13">
          <cell r="AH13" t="str">
            <v>是</v>
          </cell>
          <cell r="AI13" t="str">
            <v>是</v>
          </cell>
          <cell r="AJ13" t="str">
            <v>《国家电网有限公司电网数字化建设管理办法》（国家电网企管〔2020〕849号）</v>
          </cell>
          <cell r="AK13" t="str">
            <v>国网数字化部</v>
          </cell>
        </row>
        <row r="14">
          <cell r="B14" t="str">
            <v>二、项目实施管理</v>
          </cell>
          <cell r="C14" t="str">
            <v>资金资产安全</v>
          </cell>
          <cell r="D14" t="str">
            <v>专业分包</v>
          </cell>
          <cell r="E14" t="str">
            <v>分包超范围、超比例，易致信息系统建设质量失控，滋生虚增成本、套取资金等风险。</v>
          </cell>
          <cell r="F14" t="str">
            <v>45.数字化项目建设环节管控不严：存在项目建设内容发生变更未按规定履行审批程序；系统开发环境、测试环境和运行环境未进行分离；承建单位专业分包比例过高等问题。
5.会计信息不准确：存在虚增隐瞒收入，虚增减成本费用；隐瞒负债，少计应付账款或借款；收入成本不匹配；收入、成本确认不及时、不准确等问题。</v>
          </cell>
          <cell r="G14" t="str">
            <v>4.专业分包比例合规性</v>
          </cell>
          <cell r="H14" t="str">
            <v>专业分包链路穿透与比例合规性控制。</v>
          </cell>
          <cell r="I14" t="str">
            <v>数字化项目管理业务-4.专业分包比例合规性-控制措施01</v>
          </cell>
          <cell r="J14" t="str">
            <v>项目承担部门对分包内容备案、分包人员台账、实际分包比例进行检查，不得将核心业务分包、超出规定比例分包等。</v>
          </cell>
        </row>
        <row r="14">
          <cell r="M14" t="str">
            <v>√</v>
          </cell>
        </row>
        <row r="14">
          <cell r="O14" t="str">
            <v>√</v>
          </cell>
        </row>
        <row r="14">
          <cell r="T14" t="str">
            <v>线下管控</v>
          </cell>
        </row>
        <row r="14">
          <cell r="V14" t="str">
            <v>1.合同；
2.分包备案资料；
3.可研资料；
4.技术规范书。</v>
          </cell>
          <cell r="W14" t="str">
            <v>各级单位-项目承担部门-项目负责人、各级单位-项目承担部门-负责人</v>
          </cell>
          <cell r="X14" t="str">
            <v>每月</v>
          </cell>
          <cell r="Y14" t="str">
            <v>抽查</v>
          </cell>
        </row>
        <row r="14">
          <cell r="AA14" t="str">
            <v>年度</v>
          </cell>
          <cell r="AB14" t="str">
            <v>抽查</v>
          </cell>
        </row>
        <row r="14">
          <cell r="AH14" t="str">
            <v>是</v>
          </cell>
          <cell r="AI14" t="str">
            <v>是</v>
          </cell>
          <cell r="AJ14" t="str">
            <v>《国网信通部关于进一步规范和加强信息化建设分包管理工作的通知》（信通计划〔2018〕20号）
《国家电网有限公司电网数字化项目技术管理办法》（国网（信息/3）287-2021）
《国家电网有限公司电网数字化项目分包管理规范（试行）》（国家电网数字〔2024〕81 号 ）</v>
          </cell>
          <cell r="AK14" t="str">
            <v>国网数字化部</v>
          </cell>
        </row>
        <row r="15">
          <cell r="G15" t="str">
            <v>4.专业分包比例合规性</v>
          </cell>
          <cell r="H15" t="str">
            <v>专业分包链路穿透与比例合规性控制。</v>
          </cell>
          <cell r="I15" t="str">
            <v>数字化项目管理业务-4.专业分包比例合规性-控制措施02</v>
          </cell>
          <cell r="J15" t="str">
            <v>项目承担部门建立分包台账，定期排查分包情况，禁止超比例分包、层层分包。</v>
          </cell>
        </row>
        <row r="15">
          <cell r="M15" t="str">
            <v>√</v>
          </cell>
        </row>
        <row r="15">
          <cell r="O15" t="str">
            <v>√</v>
          </cell>
        </row>
        <row r="15">
          <cell r="T15" t="str">
            <v>线下管控</v>
          </cell>
        </row>
        <row r="15">
          <cell r="V15" t="str">
            <v>1.合同；
2.分包备案资料；
3.可研资料；
4.技术规范书。</v>
          </cell>
          <cell r="W15" t="str">
            <v>各级单位-项目承担部门-项目负责人、各级单位-项目承担部门-负责人</v>
          </cell>
          <cell r="X15" t="str">
            <v>每月</v>
          </cell>
          <cell r="Y15" t="str">
            <v>抽查</v>
          </cell>
        </row>
        <row r="15">
          <cell r="AA15" t="str">
            <v>年度</v>
          </cell>
          <cell r="AB15" t="str">
            <v>抽查</v>
          </cell>
        </row>
        <row r="15">
          <cell r="AH15" t="str">
            <v>是</v>
          </cell>
          <cell r="AI15" t="str">
            <v>是</v>
          </cell>
          <cell r="AJ15" t="str">
            <v>《国网信通部关于进一步规范和加强信息化建设分包管理工作的通知》（信通计划〔2018〕20号）
《国家电网有限公司电网数字化项目技术管理办法》（国网（信息/3）287-2021）
《国家电网有限公司电网数字化项目分包管理规范（试行）》（国家电网数字〔2024〕81 号 ）</v>
          </cell>
          <cell r="AK15" t="str">
            <v>国网数字化部</v>
          </cell>
        </row>
        <row r="16">
          <cell r="I16" t="str">
            <v>数字化项目管理业务-4.专业分包比例合规性-控制措施03</v>
          </cell>
          <cell r="J16" t="str">
            <v>归口管理部门建立“总包-分包”合同穿透链路，通过合同与项目的关联查看总包单位为系统内单位的业主单位、总包单位、分包单位的对应关系。</v>
          </cell>
        </row>
        <row r="16">
          <cell r="M16" t="str">
            <v>√</v>
          </cell>
        </row>
        <row r="16">
          <cell r="O16" t="str">
            <v>√</v>
          </cell>
        </row>
        <row r="16">
          <cell r="S16" t="str">
            <v>√</v>
          </cell>
          <cell r="T16" t="str">
            <v>系统待建</v>
          </cell>
          <cell r="U16" t="str">
            <v>数字化法治企业建设平台</v>
          </cell>
          <cell r="V16" t="str">
            <v>1.合同；
2.分包备案资料；
3.可研资料；
4.技术规范书。</v>
          </cell>
          <cell r="W16" t="str">
            <v>各级单位-归口管理部门-项目管理人员、各级单位-归口管理部门-负责人</v>
          </cell>
          <cell r="X16" t="str">
            <v>每月</v>
          </cell>
          <cell r="Y16" t="str">
            <v>抽查</v>
          </cell>
        </row>
        <row r="16">
          <cell r="AA16" t="str">
            <v>年度</v>
          </cell>
          <cell r="AB16" t="str">
            <v>抽查</v>
          </cell>
        </row>
        <row r="16">
          <cell r="AD16" t="str">
            <v>项目分包管理监督场景</v>
          </cell>
          <cell r="AE16" t="str">
            <v>每年</v>
          </cell>
          <cell r="AF16" t="str">
            <v>抽查</v>
          </cell>
        </row>
        <row r="16">
          <cell r="AH16" t="str">
            <v>是</v>
          </cell>
          <cell r="AI16" t="str">
            <v>是</v>
          </cell>
          <cell r="AJ16" t="str">
            <v>《国网信通部关于进一步规范和加强信息化建设分包管理工作的通知》（信通计划〔2018〕20号）
《国家电网有限公司电网数字化项目技术管理办法》（国网（信息/3）287-2021）
《国家电网有限公司电网数字化项目分包管理规范（试行）》（国家电网数字〔2024〕81 号 ）</v>
          </cell>
          <cell r="AK16" t="str">
            <v>国网数字化部</v>
          </cell>
        </row>
        <row r="17">
          <cell r="I17" t="str">
            <v>数字化项目管理业务-4.专业分包比例合规性-控制措施04</v>
          </cell>
          <cell r="J17" t="str">
            <v>归口管理部门建立“总包-分包”人员的穿透链路，核查总包单位为系统内单位的项目团队成员单位信息，分析人员隶属是否遵循合同约定。</v>
          </cell>
        </row>
        <row r="17">
          <cell r="M17" t="str">
            <v>√</v>
          </cell>
        </row>
        <row r="17">
          <cell r="O17" t="str">
            <v>√</v>
          </cell>
        </row>
        <row r="17">
          <cell r="S17" t="str">
            <v>√</v>
          </cell>
          <cell r="T17" t="str">
            <v>线下管控</v>
          </cell>
        </row>
        <row r="17">
          <cell r="V17" t="str">
            <v>1.合同；
2.分包备案资料；
3.可研资料；
4.技术规范书。</v>
          </cell>
          <cell r="W17" t="str">
            <v>各级单位-归口管理部门-项目管理人员、各级单位-归口管理部门-负责人</v>
          </cell>
          <cell r="X17" t="str">
            <v>每月</v>
          </cell>
          <cell r="Y17" t="str">
            <v>抽查</v>
          </cell>
        </row>
        <row r="17">
          <cell r="AA17" t="str">
            <v>年度</v>
          </cell>
          <cell r="AB17" t="str">
            <v>抽查</v>
          </cell>
        </row>
        <row r="17">
          <cell r="AD17" t="str">
            <v>项目分包管理监督场景</v>
          </cell>
          <cell r="AE17" t="str">
            <v>每年</v>
          </cell>
          <cell r="AF17" t="str">
            <v>抽查</v>
          </cell>
        </row>
        <row r="17">
          <cell r="AH17" t="str">
            <v>是</v>
          </cell>
          <cell r="AI17" t="str">
            <v>是</v>
          </cell>
          <cell r="AJ17" t="str">
            <v>《国网信通部关于进一步规范和加强信息化建设分包管理工作的通知》（信通计划〔2018〕20号）
《国家电网有限公司电网数字化项目技术管理办法》（国网（信息/3）287-2021）
《国家电网有限公司电网数字化项目分包管理规范（试行）》（国家电网数字〔2024〕81 号 ）</v>
          </cell>
          <cell r="AK17" t="str">
            <v>国网数字化部</v>
          </cell>
        </row>
        <row r="18">
          <cell r="I18" t="str">
            <v>数字化项目管理业务-4.专业分包比例合规性-控制措施05</v>
          </cell>
          <cell r="J18" t="str">
            <v>财务部门构建“总包-分包”资金支付穿透链路，分析总包单位为系统内单位的资金流向是否符合合同主体穿透控制要求。</v>
          </cell>
        </row>
        <row r="18">
          <cell r="M18" t="str">
            <v>√</v>
          </cell>
        </row>
        <row r="18">
          <cell r="O18" t="str">
            <v>√</v>
          </cell>
          <cell r="P18" t="str">
            <v>√</v>
          </cell>
          <cell r="Q18" t="str">
            <v>√</v>
          </cell>
        </row>
        <row r="18">
          <cell r="S18" t="str">
            <v>√</v>
          </cell>
          <cell r="T18" t="str">
            <v>系统待建</v>
          </cell>
          <cell r="U18" t="str">
            <v>智慧共享财务平台</v>
          </cell>
          <cell r="V18" t="str">
            <v>1.合同；
2.分包备案资料；
3.可研资料；
4.技术规范书。</v>
          </cell>
          <cell r="W18" t="str">
            <v>各级单位-财务部门-工程管理人员、各级单位-财务部门-负责人</v>
          </cell>
          <cell r="X18" t="str">
            <v>每月</v>
          </cell>
          <cell r="Y18" t="str">
            <v>抽查</v>
          </cell>
        </row>
        <row r="18">
          <cell r="AA18" t="str">
            <v>年度</v>
          </cell>
          <cell r="AB18" t="str">
            <v>抽查</v>
          </cell>
        </row>
        <row r="18">
          <cell r="AD18" t="str">
            <v>项目分包管理监督场景</v>
          </cell>
          <cell r="AE18" t="str">
            <v>每年</v>
          </cell>
          <cell r="AF18" t="str">
            <v>抽查</v>
          </cell>
        </row>
        <row r="18">
          <cell r="AH18" t="str">
            <v>是</v>
          </cell>
          <cell r="AI18" t="str">
            <v>是</v>
          </cell>
          <cell r="AJ18" t="str">
            <v>《国网信通部关于进一步规范和加强信息化建设分包管理工作的通知》（信通计划〔2018〕20号）
《国家电网有限公司电网数字化项目技术管理办法》（国网（信息/3）287-2021）
《国家电网有限公司电网数字化项目分包管理规范（试行）》（国家电网数字〔2024〕81 号 ）</v>
          </cell>
          <cell r="AK18" t="str">
            <v>国网数字化部</v>
          </cell>
        </row>
        <row r="19">
          <cell r="A19" t="str">
            <v>数字化项目管理业务</v>
          </cell>
          <cell r="B19" t="str">
            <v>三、竣工验收转资</v>
          </cell>
          <cell r="C19" t="str">
            <v>资金资产安全</v>
          </cell>
          <cell r="D19" t="str">
            <v>现场资产盘点</v>
          </cell>
          <cell r="E19" t="str">
            <v>资产卡片信息与合同信息、研发及信息系统设备台账、设备实物不符，资产管理不规范，存在资产流失风险。</v>
          </cell>
          <cell r="F19" t="str">
            <v>46.数字化项目验收管控不严：存在部分数字化项目合同约定的交付物雷同或内容不实；部分功能未实现；未履行测试或验证；验收人员组成不合理，业务部门未参与验收等问题。</v>
          </cell>
          <cell r="G19" t="str">
            <v>5.资产信息真实性</v>
          </cell>
          <cell r="H19" t="str">
            <v>账卡物一致性控制。</v>
          </cell>
          <cell r="I19" t="str">
            <v>数字化项目管理业务-5.资产信息真实性-控制措施01</v>
          </cell>
          <cell r="J19" t="str">
            <v>使用保管部门规范保管、使用资产，不得未经审批处置。</v>
          </cell>
        </row>
        <row r="19">
          <cell r="L19" t="str">
            <v>√</v>
          </cell>
          <cell r="M19" t="str">
            <v>√</v>
          </cell>
        </row>
        <row r="19">
          <cell r="R19" t="str">
            <v>√</v>
          </cell>
        </row>
        <row r="19">
          <cell r="T19" t="str">
            <v>系统已建</v>
          </cell>
          <cell r="U19" t="str">
            <v>智慧共享财务平台（目前ERP）</v>
          </cell>
          <cell r="V19" t="str">
            <v>1.资产卡片清单；
2.I6000台账。</v>
          </cell>
          <cell r="W19" t="str">
            <v>各级单位-使用保管部门-使用保管人员、各级单位-使用保管部门-负责人</v>
          </cell>
          <cell r="X19" t="str">
            <v>每年</v>
          </cell>
          <cell r="Y19" t="str">
            <v>抽查</v>
          </cell>
        </row>
        <row r="19">
          <cell r="AA19" t="str">
            <v>年度</v>
          </cell>
          <cell r="AB19" t="str">
            <v>抽查</v>
          </cell>
        </row>
        <row r="19">
          <cell r="AD19" t="str">
            <v>资产建卡与赋值监督场景</v>
          </cell>
          <cell r="AE19" t="str">
            <v>每季度</v>
          </cell>
          <cell r="AF19" t="str">
            <v>抽查</v>
          </cell>
        </row>
        <row r="19">
          <cell r="AH19" t="str">
            <v>是</v>
          </cell>
          <cell r="AI19" t="str">
            <v>是</v>
          </cell>
          <cell r="AJ19" t="str">
            <v>《国家电网公司固定资产管理办法》国网（财/2）593-2023（通用）
《国家电网公司无形资产管理办法》国网（财/2）205-2014</v>
          </cell>
          <cell r="AK19" t="str">
            <v>国网数字化部</v>
          </cell>
        </row>
        <row r="20">
          <cell r="I20" t="str">
            <v>数字化项目管理业务-5.资产信息真实性-控制措施02</v>
          </cell>
          <cell r="J20" t="str">
            <v>实物管理部门定期开展实物盘点，核对设备台账与现场实物的一致性。</v>
          </cell>
        </row>
        <row r="20">
          <cell r="M20" t="str">
            <v>√</v>
          </cell>
        </row>
        <row r="20">
          <cell r="R20" t="str">
            <v>√</v>
          </cell>
        </row>
        <row r="20">
          <cell r="T20" t="str">
            <v>线下管控</v>
          </cell>
        </row>
        <row r="20">
          <cell r="V20" t="str">
            <v>I6000台账。</v>
          </cell>
          <cell r="W20" t="str">
            <v>各级单位-使用保管部门-使用保管人员、各级单位-使用保管部门-负责人、各级单位-实物管理部门-设备管理人员、各级单位-实物管理部门-负责人</v>
          </cell>
          <cell r="X20" t="str">
            <v>每年</v>
          </cell>
          <cell r="Y20" t="str">
            <v>抽查</v>
          </cell>
        </row>
        <row r="20">
          <cell r="AA20" t="str">
            <v>年度</v>
          </cell>
          <cell r="AB20" t="str">
            <v>抽查</v>
          </cell>
        </row>
        <row r="20">
          <cell r="AH20" t="str">
            <v>是</v>
          </cell>
          <cell r="AI20" t="str">
            <v>是</v>
          </cell>
          <cell r="AJ20" t="str">
            <v>《国家电网公司固定资产管理办法》国网（财/2）593-2023（通用）
《国家电网公司无形资产管理办法》国网（财/2）205-2014</v>
          </cell>
          <cell r="AK20" t="str">
            <v>国网数字化部</v>
          </cell>
        </row>
        <row r="21">
          <cell r="I21" t="str">
            <v>数字化项目管理业务-5.资产信息真实性-控制措施03</v>
          </cell>
          <cell r="J21" t="str">
            <v>财务部门对固定资产购置价值信息与决算金额一致性进行检查。</v>
          </cell>
        </row>
        <row r="21">
          <cell r="O21" t="str">
            <v>√</v>
          </cell>
        </row>
        <row r="21">
          <cell r="Q21" t="str">
            <v>√</v>
          </cell>
        </row>
        <row r="21">
          <cell r="T21" t="str">
            <v>系统待建</v>
          </cell>
          <cell r="U21" t="str">
            <v>智慧共享财务平台</v>
          </cell>
          <cell r="V21" t="str">
            <v>1.合同；
2.资产卡片清单；
3.转资信息表；
4.验收盘点表；
5.竣工决算报告。</v>
          </cell>
          <cell r="W21" t="str">
            <v>各级单位-财务部门-工程财务人员、各级单位-财务部门-负责人</v>
          </cell>
          <cell r="X21" t="str">
            <v>每年</v>
          </cell>
          <cell r="Y21" t="str">
            <v>抽查</v>
          </cell>
        </row>
        <row r="21">
          <cell r="AA21" t="str">
            <v>年度</v>
          </cell>
          <cell r="AB21" t="str">
            <v>抽查</v>
          </cell>
        </row>
        <row r="21">
          <cell r="AD21" t="str">
            <v>资产建卡与赋值监督场景</v>
          </cell>
          <cell r="AE21" t="str">
            <v>每季度</v>
          </cell>
          <cell r="AF21" t="str">
            <v>抽查</v>
          </cell>
        </row>
        <row r="21">
          <cell r="AH21" t="str">
            <v>是</v>
          </cell>
          <cell r="AI21" t="str">
            <v>是</v>
          </cell>
          <cell r="AJ21" t="str">
            <v>《国家电网公司固定资产管理办法》国网（财/2）593-2023（通用）
《国家电网公司无形资产管理办法》国网（财/2）205-2014</v>
          </cell>
          <cell r="AK21" t="str">
            <v>国网数字化部</v>
          </cell>
        </row>
        <row r="22">
          <cell r="C22" t="str">
            <v>资金资产安全</v>
          </cell>
          <cell r="D22" t="str">
            <v>项目验收</v>
          </cell>
          <cell r="E22" t="str">
            <v>合同交付物雷同或内容不实，验收人员组成不合理，未发现项目存在的问题，造成资源浪费风险。</v>
          </cell>
          <cell r="F22" t="str">
            <v>46.数字化项目验收管控不严：存在部分数字化项目合同约定的交付物雷同或内容不实；部分功能未实现；未履行测试或验证；验收人员组成不合理，业务部门未参与验收等问题。</v>
          </cell>
          <cell r="G22" t="str">
            <v>6.项目验收质量</v>
          </cell>
          <cell r="H22" t="str">
            <v>验收流程规范性、人员组成合规性、资料准确完整性控制</v>
          </cell>
          <cell r="I22" t="str">
            <v>数字化项目管理业务-6.项目验收质量-控制措施01</v>
          </cell>
          <cell r="J22" t="str">
            <v>归口管理部门规范验收流程，实行内部交叉验收机制，相互监督制约。</v>
          </cell>
        </row>
        <row r="22">
          <cell r="L22" t="str">
            <v>√</v>
          </cell>
          <cell r="M22" t="str">
            <v>√</v>
          </cell>
        </row>
        <row r="22">
          <cell r="T22" t="str">
            <v>线下管控</v>
          </cell>
        </row>
        <row r="22">
          <cell r="V22" t="str">
            <v>1.验收计划；
2.验收报告。</v>
          </cell>
          <cell r="W22" t="str">
            <v>各级单位-归口管理部门-项目管理人员、各级单位-归口管理部门-负责人</v>
          </cell>
          <cell r="X22" t="str">
            <v>每月</v>
          </cell>
          <cell r="Y22" t="str">
            <v>抽查</v>
          </cell>
        </row>
        <row r="22">
          <cell r="AA22" t="str">
            <v>年度</v>
          </cell>
          <cell r="AB22" t="str">
            <v>抽查</v>
          </cell>
        </row>
        <row r="22">
          <cell r="AH22" t="str">
            <v>是</v>
          </cell>
          <cell r="AI22" t="str">
            <v>是</v>
          </cell>
          <cell r="AJ22" t="str">
            <v>《国家电网有限公司电网数字化项目竣工验收管理规范》（试行）数字计划〔2025〕13号
《国网数字化部关于进一步加强信息系统上下线及检修管理的通知》数字运行〔2024〕54 号</v>
          </cell>
          <cell r="AK22" t="str">
            <v>国网数字化部</v>
          </cell>
        </row>
        <row r="23">
          <cell r="I23" t="str">
            <v>数字化项目管理业务-6.项目验收质量-控制措施02</v>
          </cell>
          <cell r="J23" t="str">
            <v>归口管理部门根据项目可研和合同等资料，对项目成果进行审核。</v>
          </cell>
        </row>
        <row r="23">
          <cell r="O23" t="str">
            <v>√</v>
          </cell>
        </row>
        <row r="23">
          <cell r="R23" t="str">
            <v>√</v>
          </cell>
        </row>
        <row r="23">
          <cell r="T23" t="str">
            <v>线下管控</v>
          </cell>
        </row>
        <row r="23">
          <cell r="V23" t="str">
            <v>1.验收计划；
2.验收报告；
3.项目可研及合同；
4.项目档案资料。</v>
          </cell>
          <cell r="W23" t="str">
            <v>各级单位-项目承担部门-项目负责人、各级单位-项目承担部门-负责人、各级单位-归口管理部门-管理部门人员、各级单位-归口管理部门-负责人</v>
          </cell>
          <cell r="X23" t="str">
            <v>每月</v>
          </cell>
          <cell r="Y23" t="str">
            <v>抽查</v>
          </cell>
        </row>
        <row r="23">
          <cell r="AA23" t="str">
            <v>年度</v>
          </cell>
          <cell r="AB23" t="str">
            <v>抽查</v>
          </cell>
        </row>
        <row r="23">
          <cell r="AH23" t="str">
            <v>是</v>
          </cell>
          <cell r="AI23" t="str">
            <v>是</v>
          </cell>
          <cell r="AJ23" t="str">
            <v>《国家电网有限公司电网数字化项目竣工验收管理规范》（试行）数字计划〔2025〕13号
《国网数字化部关于进一步加强信息系统上下线及检修管理的通知》数字运行〔2024〕54 号</v>
          </cell>
          <cell r="AK23" t="str">
            <v>国网数字化部</v>
          </cell>
        </row>
        <row r="24">
          <cell r="I24" t="str">
            <v>数字化项目管理业务-6.项目验收质量-控制措施03</v>
          </cell>
          <cell r="J24" t="str">
            <v>归口管理部门复核验收组构成合理性，检查业务部门参与。</v>
          </cell>
        </row>
        <row r="24">
          <cell r="S24" t="str">
            <v>√</v>
          </cell>
          <cell r="T24" t="str">
            <v>线下管控</v>
          </cell>
        </row>
        <row r="24">
          <cell r="V24" t="str">
            <v>1.验收计划；
2.验收报告（重点查阅验收意见及专家签到表）。</v>
          </cell>
          <cell r="W24" t="str">
            <v>各级单位-归口管理部门-项目管理人员、各级单位-归口管理部门-负责人</v>
          </cell>
          <cell r="X24" t="str">
            <v>每月</v>
          </cell>
          <cell r="Y24" t="str">
            <v>抽查</v>
          </cell>
        </row>
        <row r="24">
          <cell r="AA24" t="str">
            <v>年度</v>
          </cell>
          <cell r="AB24" t="str">
            <v>抽查</v>
          </cell>
        </row>
        <row r="24">
          <cell r="AH24" t="str">
            <v>是</v>
          </cell>
          <cell r="AI24" t="str">
            <v>是</v>
          </cell>
          <cell r="AJ24" t="str">
            <v>《国家电网有限公司电网数字化建设管理办法》（国家电网企管〔2020〕849号）
《国家电网有限公司电网数字化项目竣工验收管理规范》（试行）数字计划〔2025〕13号</v>
          </cell>
          <cell r="AK24" t="str">
            <v>国网数字化部</v>
          </cell>
        </row>
        <row r="25">
          <cell r="C25" t="str">
            <v>资金资产安全、税务合规</v>
          </cell>
          <cell r="D25" t="str">
            <v>项目转资</v>
          </cell>
          <cell r="E25" t="str">
            <v>未及时完成转资，造成资产折旧计提延迟，进而引发当期利润虚增、资产账面价值不实及税务合规风险。</v>
          </cell>
        </row>
        <row r="25">
          <cell r="G25" t="str">
            <v>7.项目转资合规性</v>
          </cell>
          <cell r="H25" t="str">
            <v>项目转资及时性，折旧计提准确性控制。</v>
          </cell>
          <cell r="I25" t="str">
            <v>数字化项目管理业务-7.项目转资合规性-控制措施01</v>
          </cell>
          <cell r="J25" t="str">
            <v>归口管理部门对转资及时性、竣工验收资料完整性和审批流程合规性进行检查。</v>
          </cell>
        </row>
        <row r="25">
          <cell r="M25" t="str">
            <v>√</v>
          </cell>
        </row>
        <row r="25">
          <cell r="O25" t="str">
            <v>√</v>
          </cell>
        </row>
        <row r="25">
          <cell r="R25" t="str">
            <v>√</v>
          </cell>
        </row>
        <row r="25">
          <cell r="T25" t="str">
            <v>线下管控</v>
          </cell>
        </row>
        <row r="25">
          <cell r="V25" t="str">
            <v>1.合同；
2.项目验收意见。</v>
          </cell>
          <cell r="W25" t="str">
            <v>各级单位-归口管理部门-项目管理人员、各级单位-归口管理部门-负责人</v>
          </cell>
          <cell r="X25" t="str">
            <v>每季度</v>
          </cell>
          <cell r="Y25" t="str">
            <v>全量检查</v>
          </cell>
        </row>
        <row r="25">
          <cell r="AA25" t="str">
            <v>年度</v>
          </cell>
          <cell r="AB25" t="str">
            <v>抽查</v>
          </cell>
        </row>
        <row r="25">
          <cell r="AH25" t="str">
            <v>是</v>
          </cell>
          <cell r="AI25" t="str">
            <v>是</v>
          </cell>
          <cell r="AJ25" t="str">
            <v>《国家电网有限公司电网数字化项目竣工验收管理规范（试行）》（数字计划〔2025〕13号）
《国家电网有限公司工程财务管理办法》（国家电网企管〔2023〕28号）</v>
          </cell>
          <cell r="AK25" t="str">
            <v>国网数字化部</v>
          </cell>
        </row>
        <row r="26">
          <cell r="I26" t="str">
            <v>数字化项目管理业务-7.项目转资合规性-控制措施02</v>
          </cell>
          <cell r="J26" t="str">
            <v>财务部门负责资产卡片计提折旧的检查。</v>
          </cell>
        </row>
        <row r="26">
          <cell r="Q26" t="str">
            <v>√</v>
          </cell>
        </row>
        <row r="26">
          <cell r="T26" t="str">
            <v>系统已建</v>
          </cell>
          <cell r="U26" t="str">
            <v>智慧共享财务平台</v>
          </cell>
          <cell r="V26" t="str">
            <v>1.固定资产卡片清单。</v>
          </cell>
          <cell r="W26" t="str">
            <v>各级单位-财务部门-资产管理人员、各级单位-财务部门-负责人</v>
          </cell>
          <cell r="X26" t="str">
            <v>每季度</v>
          </cell>
          <cell r="Y26" t="str">
            <v>全量检查</v>
          </cell>
        </row>
        <row r="26">
          <cell r="AA26" t="str">
            <v>年度</v>
          </cell>
          <cell r="AB26" t="str">
            <v>抽查</v>
          </cell>
        </row>
        <row r="26">
          <cell r="AH26" t="str">
            <v>是</v>
          </cell>
          <cell r="AI26" t="str">
            <v>是</v>
          </cell>
          <cell r="AJ26" t="str">
            <v>《国家电网有限公司电网数字化项目竣工验收管理规范（试行）》（数字计划〔2025〕13号）
《国家电网有限公司工程财务管理办法》（国家电网企管〔2023〕28号）</v>
          </cell>
          <cell r="AK26" t="str">
            <v>国网数字化部</v>
          </cell>
        </row>
        <row r="27">
          <cell r="A27" t="str">
            <v>科技项目管理业务</v>
          </cell>
          <cell r="B27" t="str">
            <v>一、项目立项管理</v>
          </cell>
          <cell r="C27" t="str">
            <v>资金资产安全</v>
          </cell>
          <cell r="D27" t="str">
            <v>项目储备及立项</v>
          </cell>
          <cell r="E27" t="str">
            <v>未依据科技规划及公司实际需求，项目储备存在偏离主业与战略方向，重复立项风险。</v>
          </cell>
          <cell r="F27" t="str">
            <v>42.研究开发项目管理不规范：存在专利申请时间早于项目开始时间；复用以前年度科技项目的研究内容。</v>
          </cell>
          <cell r="G27" t="str">
            <v>8.储备立项的程序</v>
          </cell>
          <cell r="H27" t="str">
            <v>项目储备规范化、精益化。</v>
          </cell>
          <cell r="I27" t="str">
            <v>科技项目管理业务-8.储备立项的程序-控制措施01</v>
          </cell>
          <cell r="J27" t="str">
            <v>科技部门建立项目查重机制，避免重复储备和立项。</v>
          </cell>
        </row>
        <row r="27">
          <cell r="L27" t="str">
            <v>√</v>
          </cell>
          <cell r="M27" t="str">
            <v>√</v>
          </cell>
        </row>
        <row r="27">
          <cell r="S27" t="str">
            <v>√</v>
          </cell>
          <cell r="T27" t="str">
            <v>系统已建</v>
          </cell>
          <cell r="U27" t="str">
            <v>科技项目管理系统（一体化创新平台）</v>
          </cell>
          <cell r="V27" t="str">
            <v>1.项目库；
2.可研报告/项目建议书；
3.评审意见表。</v>
          </cell>
          <cell r="W27" t="str">
            <v>各级单位-科技部门-管理人员</v>
          </cell>
          <cell r="X27" t="str">
            <v>年度</v>
          </cell>
          <cell r="Y27" t="str">
            <v>全量</v>
          </cell>
        </row>
        <row r="27">
          <cell r="AA27" t="str">
            <v>年度</v>
          </cell>
          <cell r="AB27" t="str">
            <v>全量</v>
          </cell>
        </row>
        <row r="27">
          <cell r="AH27" t="str">
            <v>是</v>
          </cell>
          <cell r="AI27" t="str">
            <v>是</v>
          </cell>
          <cell r="AJ27" t="str">
            <v>《国家电网有限公司科技项目管理办法》国家电网企管〔2024〕71号
《国家电网有限公司科技项目储备库管理细则》国家电网企管〔2019〕429号</v>
          </cell>
          <cell r="AK27" t="str">
            <v>国网科技部</v>
          </cell>
        </row>
        <row r="28">
          <cell r="I28" t="str">
            <v>科技项目管理业务-8.储备立项的程序-控制措施02</v>
          </cell>
          <cell r="J28" t="str">
            <v>科技部门建立项目论证机制，避免项目偏离主业和战略方向。</v>
          </cell>
        </row>
        <row r="28">
          <cell r="L28" t="str">
            <v>√</v>
          </cell>
          <cell r="M28" t="str">
            <v>√</v>
          </cell>
        </row>
        <row r="28">
          <cell r="S28" t="str">
            <v>√</v>
          </cell>
          <cell r="T28" t="str">
            <v>线下管控</v>
          </cell>
        </row>
        <row r="28">
          <cell r="V28" t="str">
            <v>1.项目库；
2.可研报告；
3.可研评审意见以及批复。</v>
          </cell>
          <cell r="W28" t="str">
            <v>各级单位-科技部门-负责人</v>
          </cell>
          <cell r="X28" t="str">
            <v>年度</v>
          </cell>
          <cell r="Y28" t="str">
            <v>全量</v>
          </cell>
        </row>
        <row r="28">
          <cell r="AA28" t="str">
            <v>年度</v>
          </cell>
          <cell r="AB28" t="str">
            <v>全量</v>
          </cell>
        </row>
        <row r="28">
          <cell r="AH28" t="str">
            <v>是</v>
          </cell>
          <cell r="AI28" t="str">
            <v>是</v>
          </cell>
          <cell r="AJ28" t="str">
            <v>《国家电网有限公司科技项目管理办法》国家电网企管〔2024〕71号
《国家电网有限公司科技项目储备库管理细则》国家电网企管〔2019〕429号</v>
          </cell>
          <cell r="AK28" t="str">
            <v>国网科技部</v>
          </cell>
        </row>
        <row r="29">
          <cell r="A29" t="str">
            <v>科技项目管理业务</v>
          </cell>
          <cell r="B29" t="str">
            <v>二、项目实施管理</v>
          </cell>
          <cell r="C29" t="str">
            <v>会计信息真实完整</v>
          </cell>
          <cell r="D29" t="str">
            <v>计划和预算安排</v>
          </cell>
          <cell r="E29" t="str">
            <v>项目计划未根据项目实际进展情况及时调整，导致合同执行不到位等合规风险。</v>
          </cell>
        </row>
        <row r="29">
          <cell r="G29" t="str">
            <v>9.计划调整及时性</v>
          </cell>
          <cell r="H29" t="str">
            <v>项目计划预算安排与项目实际进度的一致性。</v>
          </cell>
          <cell r="I29" t="str">
            <v>科技项目管理业务-9.计划调整及时性-控制措施01</v>
          </cell>
          <cell r="J29" t="str">
            <v>科技项目承担部门根据外部环境和项目实施情况，及时申请调整。</v>
          </cell>
        </row>
        <row r="29">
          <cell r="M29" t="str">
            <v>√</v>
          </cell>
          <cell r="N29" t="str">
            <v>√</v>
          </cell>
        </row>
        <row r="29">
          <cell r="T29" t="str">
            <v>系统已建</v>
          </cell>
          <cell r="U29" t="str">
            <v>智慧共享财务平台</v>
          </cell>
          <cell r="V29" t="str">
            <v>1.项目实施材料；
2.合同；
3.项目立项文件；
4.经费变更申请表、科技项目责任书、科技项目变更申请表等调整文件。</v>
          </cell>
          <cell r="W29" t="str">
            <v>各级单位-科技项目承担部门-项目负责人、各级单位-科技项目承担部门-负责人、各级单位-科技部门-管理人员、各级单位-科技部门-负责人、各级单位-发展部门-管理人员、各级单位-发展部门-负责人、各级单位-财务部门-预算管理人员、各级单位-财务部门-负责人</v>
          </cell>
          <cell r="X29" t="str">
            <v>年度</v>
          </cell>
          <cell r="Y29" t="str">
            <v>抽查</v>
          </cell>
        </row>
        <row r="29">
          <cell r="AA29" t="str">
            <v>年度</v>
          </cell>
          <cell r="AB29" t="str">
            <v>抽查</v>
          </cell>
        </row>
        <row r="29">
          <cell r="AD29" t="str">
            <v>预算编制及调整</v>
          </cell>
          <cell r="AE29" t="str">
            <v>年度</v>
          </cell>
          <cell r="AF29" t="str">
            <v>抽查</v>
          </cell>
        </row>
        <row r="29">
          <cell r="AH29" t="str">
            <v>是</v>
          </cell>
          <cell r="AI29" t="str">
            <v>是</v>
          </cell>
          <cell r="AJ29" t="str">
            <v>《国家电网有限公司科技项目管理办法》国家电网企管〔2024〕71号    
《国家电网公司科技项目预算编制实施细则》国家电网企管〔2017〕1066号
《国家电网有限公司总部管理科技项目实施及验收管理细则》国家电网企管〔2024〕71号</v>
          </cell>
          <cell r="AK29" t="str">
            <v>国网科技部</v>
          </cell>
        </row>
        <row r="30">
          <cell r="I30" t="str">
            <v>科技项目管理业务-9.计划调整及时性-控制措施02</v>
          </cell>
          <cell r="J30" t="str">
            <v>外部环境和项目本身情况发生重大变化，未按规定及时调整投资方案并采取止损措施的，按照中央企业违规经营管理办法追究责任。</v>
          </cell>
        </row>
        <row r="30">
          <cell r="S30" t="str">
            <v>√</v>
          </cell>
          <cell r="T30" t="str">
            <v>线下管控</v>
          </cell>
        </row>
        <row r="30">
          <cell r="V30" t="str">
            <v>1.项目实施材料；
2.合同；
3.项目立项文件；
4.调整文件。</v>
          </cell>
          <cell r="W30" t="str">
            <v>各级单位-科技项目承担部门-项目负责人、各级单位-科技项目承担部门-负责人、各级单位-科技部门-管理人员、各级单位-科技部门-负责人</v>
          </cell>
          <cell r="X30" t="str">
            <v>年度</v>
          </cell>
          <cell r="Y30" t="str">
            <v>抽查</v>
          </cell>
        </row>
        <row r="30">
          <cell r="AA30" t="str">
            <v>年度</v>
          </cell>
          <cell r="AB30" t="str">
            <v>抽查</v>
          </cell>
        </row>
        <row r="30">
          <cell r="AH30" t="str">
            <v>是</v>
          </cell>
          <cell r="AI30" t="str">
            <v>是</v>
          </cell>
          <cell r="AJ30" t="str">
            <v>《国家电网有限公司科技项目管理办法》国家电网企管〔2024〕71号    
《国家电网有限公司总部管理科技项目实施工作指南(2026年版)》
《国家电网有限公司总部管理科技项目实施及验收管理细则》国家电网企管〔2024〕71号
《中央企业违规经营投资责任追究实施办法》国务院国资委令第46号</v>
          </cell>
          <cell r="AK30" t="str">
            <v>国网科技部</v>
          </cell>
        </row>
        <row r="31">
          <cell r="D31" t="str">
            <v>成本入账</v>
          </cell>
          <cell r="E31" t="str">
            <v>成本入账与进度结算金额不符，项目审核缺位，易引发提前或滞后确认项目成本风险。</v>
          </cell>
          <cell r="F31" t="str">
            <v>5.会计信息不准确：存在虚增隐瞒收入、虚增减成本费用、隐瞒负债、少计应付账款或借款、收入成本不匹配、收入和成本确认不及时或不准确等问题。
25.结算不准确，多结算工程款：存在费用多计（甲供物资、施工费、监理费、监造费、设计费、其他费用及税金等定额套用错误）、工程保险费等费用重复计列、部分服务内容（可研、设计、结算等）未全部开展但全额计列费用、无正当理由变更初始合同计价规则并调增劳务分包费、重复结算人工费用、超标准列支人工费和外委研究支出等问题。</v>
          </cell>
          <cell r="G31" t="str">
            <v>10.入账成本准确性</v>
          </cell>
          <cell r="H31" t="str">
            <v>报账金额准确性、成本支出真实性</v>
          </cell>
          <cell r="I31" t="str">
            <v>科技项目管理业务-10.入账成本准确性-控制措施01</v>
          </cell>
          <cell r="J31" t="str">
            <v>项目承担部门严格按合同约定管控项目执行进度，根据实际进度办理入账流程。</v>
          </cell>
        </row>
        <row r="31">
          <cell r="M31" t="str">
            <v>√</v>
          </cell>
        </row>
        <row r="31">
          <cell r="O31" t="str">
            <v>√</v>
          </cell>
          <cell r="P31" t="str">
            <v>√</v>
          </cell>
        </row>
        <row r="31">
          <cell r="T31" t="str">
            <v>系统已建</v>
          </cell>
          <cell r="U31" t="str">
            <v>智慧共享财务平台</v>
          </cell>
          <cell r="V31" t="str">
            <v>1.报账单；  
2.合同；
3.进度确认单；
4.技术合同相关登记、认定材料。</v>
          </cell>
          <cell r="W31" t="str">
            <v>各级单位-科技项目承担部门-项目负责人、各级单位-科技项目承担部门-负责人、各级单位-科技部门-管理人员、各级单位-科技部门-负责人、各级单位-财务部门-成本管理人员、各级单位-财务部门-负责人</v>
          </cell>
          <cell r="X31" t="str">
            <v>每月</v>
          </cell>
          <cell r="Y31" t="str">
            <v>全量检查</v>
          </cell>
        </row>
        <row r="31">
          <cell r="AA31" t="str">
            <v>每月</v>
          </cell>
          <cell r="AB31" t="str">
            <v>全量检查</v>
          </cell>
        </row>
        <row r="31">
          <cell r="AD31" t="str">
            <v>在报账单提交环节，检查报账金额与项目实际结算金额、发票金额是否一致；若不一致，系统自动预警并反馈经办人，经办人修改后可重新提交。</v>
          </cell>
          <cell r="AE31" t="str">
            <v>实时</v>
          </cell>
          <cell r="AF31" t="str">
            <v>全量检查</v>
          </cell>
        </row>
        <row r="31">
          <cell r="AH31" t="str">
            <v>是</v>
          </cell>
          <cell r="AI31" t="str">
            <v>是</v>
          </cell>
          <cell r="AJ31" t="str">
            <v>《研发经费投入统计与核算管理规范》国家电网财〔2025〕25 号
《国家电网公司研究开发费财务管理办法》国家电网企管〔2014〕742号
《国家电网公司科技预算项目实施细则》国家电网企管（2017）1066号</v>
          </cell>
          <cell r="AK31" t="str">
            <v>国网科技部、国网
财务部</v>
          </cell>
        </row>
        <row r="32">
          <cell r="I32" t="str">
            <v>科技项目管理业务-10.入账成本准确性-控制措施02</v>
          </cell>
          <cell r="J32" t="str">
            <v>项目承担部门负责核查研发费用明细，杜绝研发费用与日常经费混淆列支、规范专家咨询费等人工成本按标准列支、审核专利费用承担主体与合同约定完全一致。</v>
          </cell>
        </row>
        <row r="32">
          <cell r="M32" t="str">
            <v>√</v>
          </cell>
        </row>
        <row r="32">
          <cell r="O32" t="str">
            <v>√</v>
          </cell>
        </row>
        <row r="32">
          <cell r="T32" t="str">
            <v>线下管控</v>
          </cell>
        </row>
        <row r="32">
          <cell r="V32" t="str">
            <v>项目费用支出明细清单及相关资料。</v>
          </cell>
          <cell r="W32" t="str">
            <v>各级单位-科技项目承担部门-项目负责人、各级单位-科技项目承担部门-负责人、各级单位-科技部门-管理人员、各级单位-科技部门-负责人</v>
          </cell>
          <cell r="X32" t="str">
            <v>每月</v>
          </cell>
          <cell r="Y32" t="str">
            <v>全量检查</v>
          </cell>
        </row>
        <row r="32">
          <cell r="AA32" t="str">
            <v>每月</v>
          </cell>
          <cell r="AB32" t="str">
            <v>全量检查</v>
          </cell>
        </row>
        <row r="32">
          <cell r="AH32" t="str">
            <v>是</v>
          </cell>
          <cell r="AI32" t="str">
            <v>是</v>
          </cell>
          <cell r="AJ32" t="str">
            <v>《研发经费投入统计与核算管理规范》国家电网财〔2025〕25 号
《国家电网公司研究开发费财务管理办法》国家电网企管〔2014〕742号
《国家电网公司科技预算项目实施细则》国家电网企管（2017）1066号</v>
          </cell>
          <cell r="AK32" t="str">
            <v>国网科技部、国网
财务部</v>
          </cell>
        </row>
        <row r="33">
          <cell r="I33" t="str">
            <v>科技项目管理业务-10.入账成本准确性-控制措施03</v>
          </cell>
          <cell r="J33" t="str">
            <v>财务部门对成本报账单金额与结算金额、发票金额一致性、合规性，列支范围准确性进行审核。</v>
          </cell>
        </row>
        <row r="33">
          <cell r="N33" t="str">
            <v>√</v>
          </cell>
          <cell r="O33" t="str">
            <v>√</v>
          </cell>
          <cell r="P33" t="str">
            <v>√</v>
          </cell>
          <cell r="Q33" t="str">
            <v>√</v>
          </cell>
        </row>
        <row r="33">
          <cell r="T33" t="str">
            <v>系统已建</v>
          </cell>
          <cell r="U33" t="str">
            <v>智慧共享财务平台</v>
          </cell>
          <cell r="V33" t="str">
            <v>发票、报账单、合同、服务确认单。</v>
          </cell>
          <cell r="W33" t="str">
            <v>各级单位-科技项目承担部门-项目负责人、各级单位-科技项目承担部门-负责人、各级单位-科技部门-管理人员、各级单位-财务部门-成本管理人员</v>
          </cell>
          <cell r="X33" t="str">
            <v>每月</v>
          </cell>
          <cell r="Y33" t="str">
            <v>全量检查</v>
          </cell>
        </row>
        <row r="33">
          <cell r="AA33" t="str">
            <v>每月</v>
          </cell>
          <cell r="AB33" t="str">
            <v>全量检查</v>
          </cell>
        </row>
        <row r="33">
          <cell r="AD33" t="str">
            <v>在报账单入账审核环节，检查报账金额与项目实际结算金额、发票金额是否一致；若不一致，系统自动预警并反馈经办人，经办人修改后可重新提交。</v>
          </cell>
          <cell r="AE33" t="str">
            <v>实时</v>
          </cell>
          <cell r="AF33" t="str">
            <v>全量检查</v>
          </cell>
        </row>
        <row r="33">
          <cell r="AH33" t="str">
            <v>是</v>
          </cell>
          <cell r="AI33" t="str">
            <v>是</v>
          </cell>
          <cell r="AJ33" t="str">
            <v>《研发经费投入统计与核算管理规范》国家电网财〔2025〕25 号
《国家电网公司研究开发费财务管理办法》国家电网企管〔2014〕742号
《国家电网公司科技预算项目实施细则》国家电网企管（2017）1066号</v>
          </cell>
          <cell r="AK33" t="str">
            <v>国网科技部、国网
财务部</v>
          </cell>
        </row>
        <row r="34">
          <cell r="C34" t="str">
            <v>资金资产安全、税务合规</v>
          </cell>
          <cell r="D34" t="str">
            <v>研发加计扣除</v>
          </cell>
          <cell r="E34" t="str">
            <v>加计扣除项目界定不准确，导致公司面临税务合规风险。</v>
          </cell>
        </row>
        <row r="34">
          <cell r="G34" t="str">
            <v>11.研发项目加计扣除合规性</v>
          </cell>
          <cell r="H34" t="str">
            <v>研发支出加计扣除准确性、合规性。</v>
          </cell>
          <cell r="I34" t="str">
            <v>科技项目管理业务-11.研发项目加计扣除合规性-控制措施01</v>
          </cell>
          <cell r="J34" t="str">
            <v>项目承担部门对项目是否属于新技术、新产品、新工艺等符合条件的研发活动进行判断，为准确申报研发费用加计扣除提供依据。</v>
          </cell>
        </row>
        <row r="34">
          <cell r="M34" t="str">
            <v>√</v>
          </cell>
        </row>
        <row r="34">
          <cell r="O34" t="str">
            <v>√</v>
          </cell>
        </row>
        <row r="34">
          <cell r="T34" t="str">
            <v>线下管控</v>
          </cell>
        </row>
        <row r="34">
          <cell r="V34" t="str">
            <v>1.任务书；
2.合同；
3.发票；
4.技术合同相关登记、认定材料；
5.研发成果佐证资料；
6.关联交易明细账。</v>
          </cell>
          <cell r="W34" t="str">
            <v>各级单位-科技项目承担部门-项目负责人、各级单位-科技部门-管理人员</v>
          </cell>
          <cell r="X34" t="str">
            <v>每季度</v>
          </cell>
          <cell r="Y34" t="str">
            <v>抽查</v>
          </cell>
        </row>
        <row r="34">
          <cell r="AA34" t="str">
            <v>每季度</v>
          </cell>
          <cell r="AB34" t="str">
            <v>抽查</v>
          </cell>
        </row>
        <row r="34">
          <cell r="AH34" t="str">
            <v>是</v>
          </cell>
          <cell r="AI34" t="str">
            <v>是</v>
          </cell>
          <cell r="AJ34" t="str">
            <v>《研发费用加计扣除政策执行指引（2.0版）》
《国家电网公司研究开发费财务管理办法》国家电网企管〔2014〕742号</v>
          </cell>
          <cell r="AK34" t="str">
            <v>国网科技部、国网
财务部</v>
          </cell>
        </row>
        <row r="35">
          <cell r="I35" t="str">
            <v>科技项目管理业务-11.研发项目加计扣除合规性-控制措施02</v>
          </cell>
          <cell r="J35" t="str">
            <v>项目承担部门负责提供研发成果佐证资料和技术合同相关登记、认定材料。</v>
          </cell>
        </row>
        <row r="35">
          <cell r="M35" t="str">
            <v>√</v>
          </cell>
        </row>
        <row r="35">
          <cell r="O35" t="str">
            <v>√</v>
          </cell>
        </row>
        <row r="35">
          <cell r="T35" t="str">
            <v>线下管控</v>
          </cell>
        </row>
        <row r="35">
          <cell r="V35" t="str">
            <v>1.任务书；
2.合同；
3.发票；
4.技术合同相关登记、认定材料；
5.研发成果佐证资料；
6.关联交易明细账。</v>
          </cell>
          <cell r="W35" t="str">
            <v>各级单位-科技项目承担部门-项目负责人</v>
          </cell>
          <cell r="X35" t="str">
            <v>每季度</v>
          </cell>
          <cell r="Y35" t="str">
            <v>抽查</v>
          </cell>
        </row>
        <row r="35">
          <cell r="AA35" t="str">
            <v>每季度</v>
          </cell>
          <cell r="AB35" t="str">
            <v>抽查</v>
          </cell>
        </row>
        <row r="35">
          <cell r="AH35" t="str">
            <v>是</v>
          </cell>
          <cell r="AI35" t="str">
            <v>是</v>
          </cell>
          <cell r="AJ35" t="str">
            <v>《研发费用加计扣除政策执行指引（2.0版）》
《国家电网公司研究开发费财务管理办法》国家电网企管〔2014〕742号</v>
          </cell>
          <cell r="AK35" t="str">
            <v>国网科技部、国网
财务部</v>
          </cell>
        </row>
        <row r="36">
          <cell r="A36" t="str">
            <v>科技项目管理业务</v>
          </cell>
          <cell r="B36" t="str">
            <v>二、项目实施管理</v>
          </cell>
          <cell r="C36" t="str">
            <v>资金资产安全、税务合规</v>
          </cell>
          <cell r="D36" t="str">
            <v>研发加计扣除</v>
          </cell>
          <cell r="E36" t="str">
            <v>加计扣除项目界定不准确，导致公司面临税务合规风险。</v>
          </cell>
        </row>
        <row r="36">
          <cell r="G36" t="str">
            <v>11.研发项目加计扣除合规性</v>
          </cell>
        </row>
        <row r="36">
          <cell r="I36" t="str">
            <v>科技项目管理业务-11.研发项目加计扣除合规性-控制措施03</v>
          </cell>
          <cell r="J36" t="str">
            <v>财务部门根据政府科技主管部门出具的技术合同相关登记、认定材料和第三方审计机构出具的专项鉴定报告，对研发加计扣除金额进行复核计算。</v>
          </cell>
        </row>
        <row r="36">
          <cell r="M36" t="str">
            <v>√</v>
          </cell>
        </row>
        <row r="36">
          <cell r="O36" t="str">
            <v>√</v>
          </cell>
        </row>
        <row r="36">
          <cell r="T36" t="str">
            <v>系统已建</v>
          </cell>
          <cell r="U36" t="str">
            <v>智慧共享财务平台</v>
          </cell>
          <cell r="V36" t="str">
            <v>1.任务书；
2.合同；
3.发票；
4.技术合同相关登记、认定材料；
5.研发成果佐证资料；
6.关联交易明细账。</v>
          </cell>
          <cell r="W36" t="str">
            <v>各级单位-财务部门-税务管理人员、各级单位-财务部门-负责人</v>
          </cell>
          <cell r="X36" t="str">
            <v>每季度</v>
          </cell>
          <cell r="Y36" t="str">
            <v>抽查</v>
          </cell>
        </row>
        <row r="36">
          <cell r="AA36" t="str">
            <v>每季度</v>
          </cell>
          <cell r="AB36" t="str">
            <v>抽查</v>
          </cell>
        </row>
        <row r="36">
          <cell r="AD36" t="str">
            <v>建立研发项目准确合规享受加计扣除监督场景，加计扣除整体情况及明细进行监督展示。</v>
          </cell>
          <cell r="AE36" t="str">
            <v>每月</v>
          </cell>
          <cell r="AF36" t="str">
            <v>抽查</v>
          </cell>
        </row>
        <row r="36">
          <cell r="AH36" t="str">
            <v>是</v>
          </cell>
          <cell r="AI36" t="str">
            <v>是</v>
          </cell>
          <cell r="AJ36" t="str">
            <v>《研发费用加计扣除政策执行指引（2.0版）》
《国家电网公司研究开发费财务管理办法》国家电网企管〔2014〕742号</v>
          </cell>
          <cell r="AK36" t="str">
            <v>国网科技部、国网
财务部</v>
          </cell>
        </row>
        <row r="37">
          <cell r="C37" t="str">
            <v>会计信息真实完整</v>
          </cell>
          <cell r="D37" t="str">
            <v>研发投入统计</v>
          </cell>
          <cell r="E37" t="str">
            <v>研发费用与生产、管理费用边界模糊，未通过“研发支出”科目核算，存在研发投入统计不准确风险。</v>
          </cell>
          <cell r="F37" t="str">
            <v>43.研究开发项目关键环节管控不严：存在研究开发项目项目自主度不高，外委比例过高；研发经费统计不精准；科研经费列支不正确；采取组装、集成、套牌贴牌等手段，虚假完成攻关任务等问题。</v>
          </cell>
          <cell r="G37" t="str">
            <v>12.研发费用核算与分摊准确性</v>
          </cell>
          <cell r="H37" t="str">
            <v>研发投入核算准确性、规范性。</v>
          </cell>
          <cell r="I37" t="str">
            <v>科技项目管理业务-12.研发费用核算与分摊准确性-控制措施01</v>
          </cell>
          <cell r="J37" t="str">
            <v>各项目承担部门根据项目立项信息及实际情况，负责识别本专业管理项目的研发属性，并对合理性负责，维护“研发项目分类”“学科领域及研究方向”数据标签。</v>
          </cell>
        </row>
        <row r="37">
          <cell r="M37" t="str">
            <v>√</v>
          </cell>
        </row>
        <row r="37">
          <cell r="T37" t="str">
            <v>系统已建</v>
          </cell>
          <cell r="U37" t="str">
            <v>智慧共享财务平台
科技创新综合服务管理平台</v>
          </cell>
          <cell r="V37" t="str">
            <v>1.各类项目清单；
2.项目建议书或可研报告；
3.任务书。</v>
          </cell>
          <cell r="W37" t="str">
            <v>各级单位-科技项目承担部门-项目负责人</v>
          </cell>
          <cell r="X37" t="str">
            <v>年度</v>
          </cell>
          <cell r="Y37" t="str">
            <v>全量检查</v>
          </cell>
        </row>
        <row r="37">
          <cell r="AA37" t="str">
            <v>年度</v>
          </cell>
          <cell r="AB37" t="str">
            <v>全量检查</v>
          </cell>
        </row>
        <row r="37">
          <cell r="AD37" t="str">
            <v>预算发布校验研发投入相关字段必填性。</v>
          </cell>
          <cell r="AE37" t="str">
            <v>年度</v>
          </cell>
          <cell r="AF37" t="str">
            <v>全量检查</v>
          </cell>
        </row>
        <row r="37">
          <cell r="AH37" t="str">
            <v>是</v>
          </cell>
          <cell r="AI37" t="str">
            <v>是</v>
          </cell>
          <cell r="AJ37" t="str">
            <v>《研发经费投入统计与核算管理规范》国家电网财〔2025〕25 号
《中央企业违规经营投资责任追究实施办法》国务院国资委令第46号</v>
          </cell>
          <cell r="AK37" t="str">
            <v>国网科技部、国网
财务部</v>
          </cell>
        </row>
        <row r="38">
          <cell r="I38" t="str">
            <v>科技项目管理业务-12.研发费用核算与分摊准确性-控制措施02</v>
          </cell>
          <cell r="J38" t="str">
            <v>对项目管理部门科技研发投入统计不实，虚列虚报研发投入的，依照中央企业违规经营投资管理办法追究责任。</v>
          </cell>
        </row>
        <row r="38">
          <cell r="S38" t="str">
            <v>√</v>
          </cell>
          <cell r="T38" t="str">
            <v>线下管控</v>
          </cell>
        </row>
        <row r="38">
          <cell r="V38" t="str">
            <v>1.各类项目清单；
2.项目建议书或可研报告；
3.任务书。</v>
          </cell>
          <cell r="W38" t="str">
            <v>各级单位-科技部门-管理人员、各级单位-科技部门-负责人</v>
          </cell>
          <cell r="X38" t="str">
            <v>年度</v>
          </cell>
          <cell r="Y38" t="str">
            <v>全量检查</v>
          </cell>
        </row>
        <row r="38">
          <cell r="AA38" t="str">
            <v>年度</v>
          </cell>
          <cell r="AB38" t="str">
            <v>全量检查</v>
          </cell>
        </row>
        <row r="38">
          <cell r="AH38" t="str">
            <v>是</v>
          </cell>
          <cell r="AI38" t="str">
            <v>是</v>
          </cell>
          <cell r="AJ38" t="str">
            <v>《研发经费投入统计与核算管理规范》国家电网财〔2025〕25 号
《中央企业违规经营投资责任追究实施办法》国务院国资委令第46号</v>
          </cell>
          <cell r="AK38" t="str">
            <v>国网科技部、国网
财务部</v>
          </cell>
        </row>
        <row r="39">
          <cell r="D39" t="str">
            <v>研发项目核算</v>
          </cell>
          <cell r="E39" t="str">
            <v>各级统一管理的科技项目，牵头方、受托方、委托方项目信息不一致，可能导致项目投入统计不准确。</v>
          </cell>
        </row>
        <row r="39">
          <cell r="G39" t="str">
            <v>13.内部受托研发项目三方信息一致性控制</v>
          </cell>
          <cell r="H39" t="str">
            <v>内部受托项目牵头方、委托方、受托方项目信息的一致性。</v>
          </cell>
          <cell r="I39" t="str">
            <v>科技项目管理业务-13.内部受托研发项目三方信息一致性-控制措施01</v>
          </cell>
          <cell r="J39" t="str">
            <v>牵头方单位负责牵头创建内部受委托项目，并建立内部项目管理共享机制，项目同步传递至受托方并系统控制，受托方不再单独建项。</v>
          </cell>
        </row>
        <row r="39">
          <cell r="M39" t="str">
            <v>√</v>
          </cell>
        </row>
        <row r="39">
          <cell r="O39" t="str">
            <v>√</v>
          </cell>
          <cell r="P39" t="str">
            <v>√</v>
          </cell>
          <cell r="Q39" t="str">
            <v>√</v>
          </cell>
        </row>
        <row r="39">
          <cell r="T39" t="str">
            <v>系统已建</v>
          </cell>
          <cell r="U39" t="str">
            <v>科技创新综合服务管理平台</v>
          </cell>
          <cell r="V39" t="str">
            <v>1.科技创新综合服务管理平台项目台账；
2.项目可研批复；
3.项目任务书及合同。</v>
          </cell>
          <cell r="W39" t="str">
            <v>各级单位-科技项目承担部门-项目负责人、各级单位-科技部门-管理人员</v>
          </cell>
          <cell r="X39" t="str">
            <v>每季度</v>
          </cell>
          <cell r="Y39" t="str">
            <v>全量检查</v>
          </cell>
        </row>
        <row r="39">
          <cell r="AA39" t="str">
            <v>每季度</v>
          </cell>
          <cell r="AB39" t="str">
            <v>全量检查</v>
          </cell>
        </row>
        <row r="39">
          <cell r="AD39" t="str">
            <v>建立内部受委托方项目关联关系，通过牵头方项目可穿透查询受委托方项目及项目的结算、牵头方项目编码自动关联形成协同单据及凭证，对项目信息的一致性进行提示。</v>
          </cell>
          <cell r="AE39" t="str">
            <v>每年</v>
          </cell>
          <cell r="AF39" t="str">
            <v>全量检查</v>
          </cell>
        </row>
        <row r="39">
          <cell r="AH39" t="str">
            <v>是</v>
          </cell>
          <cell r="AI39" t="str">
            <v>是</v>
          </cell>
          <cell r="AJ39" t="str">
            <v>《研发经费投入统计与核算管理规范》国家电网财〔2025〕25 号</v>
          </cell>
          <cell r="AK39" t="str">
            <v>国网科技部</v>
          </cell>
        </row>
        <row r="40">
          <cell r="B40" t="str">
            <v>三、竣工验收转资</v>
          </cell>
          <cell r="C40" t="str">
            <v>资金资产安全</v>
          </cell>
          <cell r="D40" t="str">
            <v>项目验收</v>
          </cell>
          <cell r="E40" t="str">
            <v>验收不规范，存在研究开发项目未按期完成，未按项目任务书约定取得相关成果的风险。</v>
          </cell>
        </row>
        <row r="40">
          <cell r="G40" t="str">
            <v>14.项目验收质量</v>
          </cell>
          <cell r="H40" t="str">
            <v>验收流程规范及项目质量。</v>
          </cell>
          <cell r="I40" t="str">
            <v>科技项目管理业务-14项目验收质量-控制措施01</v>
          </cell>
          <cell r="J40" t="str">
            <v>项目承担部门按规定履行项目验收程序，依据计划开展验收。</v>
          </cell>
        </row>
        <row r="40">
          <cell r="M40" t="str">
            <v>√</v>
          </cell>
        </row>
        <row r="40">
          <cell r="T40" t="str">
            <v>线下管控</v>
          </cell>
        </row>
        <row r="40">
          <cell r="V40" t="str">
            <v>验收计划。</v>
          </cell>
          <cell r="W40" t="str">
            <v>各级单位-科技项目承担部门-项目负责人、各级单位-科技部门-管理人员</v>
          </cell>
          <cell r="X40" t="str">
            <v>每月</v>
          </cell>
          <cell r="Y40" t="str">
            <v>全量检查</v>
          </cell>
        </row>
        <row r="40">
          <cell r="AA40" t="str">
            <v>每月</v>
          </cell>
          <cell r="AB40" t="str">
            <v>全量检查</v>
          </cell>
        </row>
        <row r="40">
          <cell r="AH40" t="str">
            <v>是</v>
          </cell>
          <cell r="AI40" t="str">
            <v>是</v>
          </cell>
          <cell r="AJ40" t="str">
            <v>《国家电网有限公司总部管理科技项目实施及验收管理细则》国家电网企管〔2024〕71号</v>
          </cell>
          <cell r="AK40" t="str">
            <v>国网科技部</v>
          </cell>
        </row>
        <row r="41">
          <cell r="I41" t="str">
            <v>科技项目管理业务-14项目验收质量-控制措施02</v>
          </cell>
          <cell r="J41" t="str">
            <v>科技部门组织对项目完成情况进行审核。</v>
          </cell>
        </row>
        <row r="41">
          <cell r="M41" t="str">
            <v>√</v>
          </cell>
        </row>
        <row r="41">
          <cell r="O41" t="str">
            <v>√</v>
          </cell>
        </row>
        <row r="41">
          <cell r="T41" t="str">
            <v>线下管控</v>
          </cell>
        </row>
        <row r="41">
          <cell r="V41" t="str">
            <v>1.验收报告；
2.项目任务书及合同。</v>
          </cell>
          <cell r="W41" t="str">
            <v>各级单位-科技项目承担部门-项目负责人、各级单位-科技部门-管理人员</v>
          </cell>
          <cell r="X41" t="str">
            <v>每月</v>
          </cell>
          <cell r="Y41" t="str">
            <v>全量检查</v>
          </cell>
        </row>
        <row r="41">
          <cell r="AA41" t="str">
            <v>每月</v>
          </cell>
          <cell r="AB41" t="str">
            <v>全量检查</v>
          </cell>
        </row>
        <row r="41">
          <cell r="AH41" t="str">
            <v>是</v>
          </cell>
          <cell r="AI41" t="str">
            <v>是</v>
          </cell>
          <cell r="AJ41" t="str">
            <v>《国家电网有限公司总部管理科技项目实施及验收管理细则》国家电网企管〔2024〕71号</v>
          </cell>
          <cell r="AK41" t="str">
            <v>国网科技部</v>
          </cell>
        </row>
        <row r="42">
          <cell r="I42" t="str">
            <v>科技项目管理业务-14项目验收质量-控制措施03</v>
          </cell>
          <cell r="J42" t="str">
            <v>科技部门负责选取评审专家、审核专家资质并实施不相容岗位控制。</v>
          </cell>
        </row>
        <row r="42">
          <cell r="M42" t="str">
            <v>√</v>
          </cell>
        </row>
        <row r="42">
          <cell r="T42" t="str">
            <v>系统已建</v>
          </cell>
          <cell r="U42" t="str">
            <v>科技创新综合服务管理平台</v>
          </cell>
          <cell r="V42" t="str">
            <v>验收专家名单。</v>
          </cell>
          <cell r="W42" t="str">
            <v>各级单位-科技部门-管理人员、各级单位-科技部门-负责人</v>
          </cell>
          <cell r="X42" t="str">
            <v>每月</v>
          </cell>
          <cell r="Y42" t="str">
            <v>全量检查</v>
          </cell>
        </row>
        <row r="42">
          <cell r="AA42" t="str">
            <v>每月</v>
          </cell>
          <cell r="AB42" t="str">
            <v>全量检查</v>
          </cell>
        </row>
        <row r="42">
          <cell r="AD42" t="str">
            <v>专家推荐</v>
          </cell>
          <cell r="AE42" t="str">
            <v>年度</v>
          </cell>
          <cell r="AF42" t="str">
            <v>抽查</v>
          </cell>
        </row>
        <row r="42">
          <cell r="AH42" t="str">
            <v>是</v>
          </cell>
          <cell r="AI42" t="str">
            <v>是</v>
          </cell>
          <cell r="AJ42" t="str">
            <v>《国家电网有限公司总部管理科技项目实施及验收管理细则》国家电网企管〔2024〕71号</v>
          </cell>
          <cell r="AK42" t="str">
            <v>国网科技部</v>
          </cell>
        </row>
        <row r="43">
          <cell r="C43" t="str">
            <v>资金资产安全</v>
          </cell>
          <cell r="D43" t="str">
            <v>科技成果转化</v>
          </cell>
          <cell r="E43" t="str">
            <v>联合研发、外委研发中对知识产权归属界定不清晰，研发成果转化程序不合规，导致研发成果流失。</v>
          </cell>
          <cell r="F43" t="str">
            <v>41.科技成果转化应用机制和知识产权对外保护机制落实不到位：存在部分单位对公司促进科技成果转化的部署要求落实不到位、未按规定收取研究开发项目成果转化收益、未经许可擅自允许分包商作为共同专利权人、知识产权变更缺少管控等问题。
44.知识产权对外保护机制落实不到位：存在未经许可擅自允许分包商作为共同专利权人、知识产权变更缺少管控等问题。
51.项目专利未得到有效保护：存在未严格管控合作方注册专利、未经许可擅自允许分包商参与专利申请等问题。</v>
          </cell>
          <cell r="G43" t="str">
            <v>15.科研成果权属保护有效性</v>
          </cell>
          <cell r="H43" t="str">
            <v>知识产权归属及成果转化价值。</v>
          </cell>
          <cell r="I43" t="str">
            <v>科技项目管理业务-15科研成果权属保护有效性-控制措施01</v>
          </cell>
          <cell r="J43" t="str">
            <v>项目承担部门在合同签订时明确知识产权、专利技术等科技成果权属，做好科研成果的保护。</v>
          </cell>
        </row>
        <row r="43">
          <cell r="M43" t="str">
            <v>√</v>
          </cell>
        </row>
        <row r="43">
          <cell r="O43" t="str">
            <v>√</v>
          </cell>
        </row>
        <row r="43">
          <cell r="R43" t="str">
            <v>√</v>
          </cell>
        </row>
        <row r="43">
          <cell r="T43" t="str">
            <v>线下管控</v>
          </cell>
        </row>
        <row r="43">
          <cell r="V43" t="str">
            <v>1.转化协议及收益收取等材料；
2.专利授权文本。</v>
          </cell>
          <cell r="W43" t="str">
            <v>各级单位-科技项目承担部门-项目负责人、各级单位-科技项目承担部门-负责人、各级单位-科技部门-管理人员、各级单位-科技部门-负责人</v>
          </cell>
          <cell r="X43" t="str">
            <v>年度</v>
          </cell>
          <cell r="Y43" t="str">
            <v>抽查</v>
          </cell>
        </row>
        <row r="43">
          <cell r="AA43" t="str">
            <v>年度</v>
          </cell>
          <cell r="AB43" t="str">
            <v>抽查</v>
          </cell>
        </row>
        <row r="43">
          <cell r="AH43" t="str">
            <v>是</v>
          </cell>
          <cell r="AI43" t="str">
            <v>是</v>
          </cell>
          <cell r="AJ43" t="str">
            <v>《国家电网公司知识产权管理办法》国网（科/2）418-2022
《国家电网公司科技成果转化管理办法》国网（科/2）419-2022</v>
          </cell>
          <cell r="AK43" t="str">
            <v>国网科技部</v>
          </cell>
        </row>
        <row r="44">
          <cell r="I44" t="str">
            <v>科技项目管理业务-15科研成果权属保护有效性-控制措施02</v>
          </cell>
          <cell r="J44" t="str">
            <v>项目承担部门严格落实科技成果转化合同有关条款，避免相关收益流失。</v>
          </cell>
        </row>
        <row r="44">
          <cell r="M44" t="str">
            <v>√</v>
          </cell>
        </row>
        <row r="44">
          <cell r="O44" t="str">
            <v>√</v>
          </cell>
        </row>
        <row r="44">
          <cell r="R44" t="str">
            <v>√</v>
          </cell>
        </row>
        <row r="44">
          <cell r="T44" t="str">
            <v>线下管控</v>
          </cell>
        </row>
        <row r="44">
          <cell r="V44" t="str">
            <v>1.转化协议及收益收取等材料；
2.专利授权文本。</v>
          </cell>
          <cell r="W44" t="str">
            <v>各级单位-科技项目承担部门-项目负责人、各级单位-科技项目承担部门-负责人、各级单位-科技部门-管理人员、各级单位-科技部门-负责人</v>
          </cell>
          <cell r="X44" t="str">
            <v>年度</v>
          </cell>
          <cell r="Y44" t="str">
            <v>抽查</v>
          </cell>
        </row>
        <row r="44">
          <cell r="AA44" t="str">
            <v>年度</v>
          </cell>
          <cell r="AB44" t="str">
            <v>抽查</v>
          </cell>
        </row>
        <row r="44">
          <cell r="AH44" t="str">
            <v>是</v>
          </cell>
          <cell r="AI44" t="str">
            <v>是</v>
          </cell>
          <cell r="AJ44" t="str">
            <v>《国家电网公司知识产权管理办法》国网（科/2）418-2022
《国家电网公司科技成果转化管理办法》国网（科/2）419-2022</v>
          </cell>
          <cell r="AK44" t="str">
            <v>国网科技部</v>
          </cell>
        </row>
        <row r="45">
          <cell r="I45" t="str">
            <v>科技项目管理业务-15科研成果权属保护有效性-控制措施03</v>
          </cell>
          <cell r="J45" t="str">
            <v>科技部门对知识产权归属及成果转化价值进行评价和监督。</v>
          </cell>
        </row>
        <row r="45">
          <cell r="S45" t="str">
            <v>√</v>
          </cell>
          <cell r="T45" t="str">
            <v>线下管控</v>
          </cell>
        </row>
        <row r="45">
          <cell r="V45" t="str">
            <v>1.转化协议及收益收取等材料；
2.专利授权文本。</v>
          </cell>
          <cell r="W45" t="str">
            <v>各级单位-科技部门-管理人员、各级单位-科技部门-负责人</v>
          </cell>
          <cell r="X45" t="str">
            <v>年度</v>
          </cell>
          <cell r="Y45" t="str">
            <v>抽查</v>
          </cell>
        </row>
        <row r="45">
          <cell r="AA45" t="str">
            <v>年度</v>
          </cell>
          <cell r="AB45" t="str">
            <v>抽查</v>
          </cell>
        </row>
        <row r="45">
          <cell r="AH45" t="str">
            <v>是</v>
          </cell>
          <cell r="AI45" t="str">
            <v>是</v>
          </cell>
          <cell r="AJ45" t="str">
            <v>《国家电网公司知识产权管理办法》国网（科/2）418-2022
《国家电网公司科技成果转化管理办法》国网（科/2）419-2022</v>
          </cell>
          <cell r="AK45" t="str">
            <v>国网科技部</v>
          </cell>
        </row>
      </sheetData>
      <sheetData sheetId="3"/>
      <sheetData sheetId="4"/>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业务流程"/>
      <sheetName val="流程图"/>
      <sheetName val="数字化与研发投入"/>
      <sheetName val="Sheet1"/>
      <sheetName val="数字化与研发投入 (下发版本核对过程7.27)"/>
      <sheetName val="数字化与研发投入 (核对过程7.24数字化部分)"/>
      <sheetName val="意见建议"/>
      <sheetName val="WpsReserved_CellImgList"/>
    </sheetNames>
    <sheetDataSet>
      <sheetData sheetId="0"/>
      <sheetData sheetId="1"/>
      <sheetData sheetId="2">
        <row r="4">
          <cell r="A4" t="str">
            <v>数字化项目管理业务</v>
          </cell>
          <cell r="B4" t="str">
            <v>一、项目立项管理</v>
          </cell>
          <cell r="C4" t="str">
            <v>资金资产安全</v>
          </cell>
          <cell r="D4" t="str">
            <v>储备及立项</v>
          </cell>
          <cell r="E4" t="str">
            <v>不符合公司数字化建设规划和统一技术路线，缺乏必要性和可行性，造成重复建设、资源浪费、投资回报低下风险。</v>
          </cell>
        </row>
        <row r="4">
          <cell r="G4" t="str">
            <v>1.储备立项的程序控制</v>
          </cell>
          <cell r="H4" t="str">
            <v>符合公司数字化建设规划和统一技术路线，具备经济性、可行性和必要性。</v>
          </cell>
          <cell r="I4" t="str">
            <v>数字化项目管理业务-1.储备立项的程序控制-控制措施01</v>
          </cell>
          <cell r="J4" t="str">
            <v>需求提报部门建立历史项目比对机制，避免重复需求提报和立项。</v>
          </cell>
        </row>
        <row r="4">
          <cell r="L4" t="str">
            <v>√</v>
          </cell>
          <cell r="M4" t="str">
            <v>√</v>
          </cell>
        </row>
        <row r="4">
          <cell r="T4" t="str">
            <v>系统待建
系统已建</v>
          </cell>
          <cell r="U4" t="str">
            <v>数字化项目管理微应用、数字化项目智慧管控平台</v>
          </cell>
          <cell r="V4" t="str">
            <v>1.需求报告；
2.历史项目应用评价；
3.需求查重清单
4.数字化项目统筹清单。</v>
          </cell>
          <cell r="W4" t="str">
            <v>各级单位-项目需求部门-需求提报人、各级单位-项目需求部门-负责人、各级单位-归口管理部门-项目管理人员、各级单位-归口管理部门-负责人、
省公司-数字化部-规划技术处处长
省公司-数字化部-数字化项目管理中心需求统筹人员（仅数字化项目智慧管控平台对应责任主体）</v>
          </cell>
          <cell r="X4" t="str">
            <v>每季度</v>
          </cell>
          <cell r="Y4" t="str">
            <v>抽查</v>
          </cell>
        </row>
        <row r="4">
          <cell r="AA4" t="str">
            <v>年度</v>
          </cell>
          <cell r="AB4" t="str">
            <v>抽查</v>
          </cell>
        </row>
        <row r="4">
          <cell r="AD4" t="str">
            <v>需求查重监督场景</v>
          </cell>
        </row>
        <row r="4">
          <cell r="AH4" t="str">
            <v>是</v>
          </cell>
          <cell r="AI4" t="str">
            <v>是</v>
          </cell>
          <cell r="AJ4" t="str">
            <v>《国家电网有限公司关于优化调整公司数字化建设投入管理的通知》（国家电网数字〔2025〕17号）
《国家电网有限公司电网数字化建设管理办法》（国家电网企管〔2020〕849号） 《国网湖南省电力有限公司数字化项目管理实施细则》（湘电公司数字〔2024〕447号 ）</v>
          </cell>
          <cell r="AK4" t="str">
            <v>国网数字化部</v>
          </cell>
        </row>
        <row r="5">
          <cell r="I5" t="str">
            <v>数字化项目管理业务-1.储备立项的程序控制-控制措施02</v>
          </cell>
          <cell r="J5" t="str">
            <v>归口管理部门建立“谁主管、谁负责”机制，开展可研经济性、立项合规性分析，获取可研批复后方可立项。</v>
          </cell>
        </row>
        <row r="5">
          <cell r="L5" t="str">
            <v>√</v>
          </cell>
        </row>
        <row r="5">
          <cell r="S5" t="str">
            <v>√</v>
          </cell>
          <cell r="T5" t="str">
            <v>线下管控</v>
          </cell>
        </row>
        <row r="5">
          <cell r="V5" t="str">
            <v>1.各级评审意见文件；
2.总部科研报告批复文件。</v>
          </cell>
          <cell r="W5" t="str">
            <v>各级单位-项目需求部门-需求提报人、各级单位-项目需求部门-负责人、各级单位-归口管理部门-项目管理人员、各级单位-归口管理部门-负责人、
省公司-数字化部-规划技术处处长</v>
          </cell>
          <cell r="X5" t="str">
            <v>每季度</v>
          </cell>
          <cell r="Y5" t="str">
            <v>抽查</v>
          </cell>
        </row>
        <row r="5">
          <cell r="AA5" t="str">
            <v>年度</v>
          </cell>
          <cell r="AB5" t="str">
            <v>抽查</v>
          </cell>
        </row>
        <row r="5">
          <cell r="AH5" t="str">
            <v>是</v>
          </cell>
          <cell r="AI5" t="str">
            <v>是</v>
          </cell>
          <cell r="AJ5" t="str">
            <v>《国家电网有限公司关于优化调整公司数字化建设投入管理的通知》（国家电网数字〔2025〕17号）
《国家电网有限公司电网数字化建设管理办法》（国家电网企管〔2020〕849号）《国网湖南省电力有限公司数字化项目管理实施细则》（湘电公司数字〔2024〕447号 ）</v>
          </cell>
          <cell r="AK5" t="str">
            <v>国网数字化部</v>
          </cell>
        </row>
        <row r="6">
          <cell r="I6" t="str">
            <v>数字化项目管理业务-1.储备立项的程序控制-控制措施03</v>
          </cell>
          <cell r="J6" t="str">
            <v>归口管理部门开展项目投入后评估，基于评价结果优化后续项目安排。</v>
          </cell>
        </row>
        <row r="6">
          <cell r="O6" t="str">
            <v>√</v>
          </cell>
        </row>
        <row r="6">
          <cell r="S6" t="str">
            <v>√</v>
          </cell>
          <cell r="T6" t="str">
            <v>线下管控</v>
          </cell>
        </row>
        <row r="6">
          <cell r="V6" t="str">
            <v>历史项目应用评价资料 （数字化综合绩效评估、管理规范问题清单等）。</v>
          </cell>
          <cell r="W6" t="str">
            <v>各级单位-项目承担部门-项目负责人、各级单位-项目承担部门-负责人、各级单位-归口管理部门-项目管理人员、各级单位-归口管理部门-负责人、省公司-数字化部-规划技术处处长</v>
          </cell>
          <cell r="X6" t="str">
            <v>每季度</v>
          </cell>
          <cell r="Y6" t="str">
            <v>抽查</v>
          </cell>
        </row>
        <row r="6">
          <cell r="AA6" t="str">
            <v>年度</v>
          </cell>
          <cell r="AB6" t="str">
            <v>抽查</v>
          </cell>
        </row>
        <row r="6">
          <cell r="AH6" t="str">
            <v>是</v>
          </cell>
          <cell r="AI6" t="str">
            <v>是</v>
          </cell>
          <cell r="AJ6" t="str">
            <v>《国家电网有限公司关于优化调整公司数字化建设投入管理的通知》（国家电网数字〔2025〕17号）
《国家电网有限公司电网数字化建设管理办法》（国家电网企管〔2020〕849号）
《国家电网公司信息系统深化应用管理办法》国家电网企管〔2014〕1216号
《国网湖南省电力有限公司数字化项目管理实施细则》（湘电公司数字〔2024〕447号 ）</v>
          </cell>
          <cell r="AK6" t="str">
            <v>国网数字化部</v>
          </cell>
        </row>
        <row r="7">
          <cell r="I7" t="str">
            <v>数字化项目管理业务-1.储备立项的程序控制-控制措施04</v>
          </cell>
          <cell r="J7" t="str">
            <v>强化立项不相容控制，落实评审与复核责任。</v>
          </cell>
        </row>
        <row r="7">
          <cell r="T7" t="str">
            <v>线下管控</v>
          </cell>
        </row>
        <row r="7">
          <cell r="V7" t="str">
            <v>项目评审意见。</v>
          </cell>
          <cell r="W7" t="str">
            <v>各级单位-项目需求部门-需求提报人、各级单位-项目需求部门-负责人、各级单位-归口管理部门-项目管理人员、各级单位-归口管理部门-负责人、
省公司-数字化部-规划技术处处长</v>
          </cell>
          <cell r="X7" t="str">
            <v>每季度</v>
          </cell>
          <cell r="Y7" t="str">
            <v>抽查</v>
          </cell>
        </row>
        <row r="7">
          <cell r="AA7" t="str">
            <v>年度</v>
          </cell>
          <cell r="AB7" t="str">
            <v>抽查</v>
          </cell>
        </row>
        <row r="7">
          <cell r="AH7" t="str">
            <v>是</v>
          </cell>
          <cell r="AI7" t="str">
            <v>是</v>
          </cell>
          <cell r="AJ7" t="str">
            <v>《国家电网有限公司关于优化调整公司数字化建设投入管理的通知》（国家电网数字〔2025〕17号）
《国家电网有限公司电网数字化建设管理办法》（国家电网企管〔2020〕849号）《国网湖南省电力有限公司数字化项目管理实施细则》（湘电公司数字〔2024〕447号 ）</v>
          </cell>
          <cell r="AK7" t="str">
            <v>国网数字化部</v>
          </cell>
        </row>
        <row r="8">
          <cell r="F8" t="str">
            <v>需求论证会发现的典型问题有：（对应新增控制措施1-05）
一是建设成效不足，普遍采用“提升效率”等模糊词汇描述预期成果，实际项目未对公司财务提质增效、机构编制精干、减员增效等方面产生实质性效益；二是建设依据不足，所依据的文件与本项目的建设内容缺乏直接关联，难以支撑立项合理性；三是跨专业协同不足，各部门仅从自身视角提出需求，忽视了与其他系统的数据贯通与流程衔接，导致重复建设与数据孤岛问题。</v>
          </cell>
        </row>
        <row r="8">
          <cell r="I8" t="str">
            <v>数字化项目管理业务-1.储备立项的程序控制-控制措施05</v>
          </cell>
          <cell r="J8" t="str">
            <v>归口管理部门对需求统筹进行评审。新建信息系统（功能模块）的设计开发类需求需进行需求论证</v>
          </cell>
        </row>
        <row r="8">
          <cell r="L8" t="str">
            <v>√</v>
          </cell>
        </row>
        <row r="8">
          <cell r="T8" t="str">
            <v>线下管控</v>
          </cell>
        </row>
        <row r="8">
          <cell r="V8" t="str">
            <v>1.需求统筹意见
2.公司级需求论证意见（新建开发类需求）</v>
          </cell>
          <cell r="W8" t="str">
            <v>各级单位-项目需求部门-需求提报人、各级单位-项目需求部门-负责人、省公司-数字化部-规划技术处处长</v>
          </cell>
          <cell r="X8" t="str">
            <v>每季度</v>
          </cell>
          <cell r="Y8" t="str">
            <v>抽查</v>
          </cell>
        </row>
        <row r="8">
          <cell r="AA8" t="str">
            <v>年度</v>
          </cell>
          <cell r="AB8" t="str">
            <v>抽查</v>
          </cell>
        </row>
        <row r="8">
          <cell r="AJ8" t="str">
            <v>《国网湖南省电力有限公司关于加强
数字化项目前期管理的指导意见（试行）》</v>
          </cell>
          <cell r="AK8" t="str">
            <v>国网数字化部</v>
          </cell>
        </row>
        <row r="9">
          <cell r="D9" t="str">
            <v>计划和预算安排</v>
          </cell>
          <cell r="E9" t="str">
            <v>项目计划预算安排不合理、调整不及时，未根据项目实际情况进行计划分解和调整，导致提前或滞后确认成本，引发合规风险。</v>
          </cell>
        </row>
        <row r="9">
          <cell r="G9" t="str">
            <v>2.计划预算安排合规性</v>
          </cell>
          <cell r="H9" t="str">
            <v>项目计划预算安排与项目实际进度的一致性控制。</v>
          </cell>
          <cell r="I9" t="str">
            <v>数字化项目管理业务-2.计划预算安排合规性-控制措施01</v>
          </cell>
          <cell r="J9" t="str">
            <v>归口管理部门对项目储备金额建立计划与预算的复核机制，按实际预估周期安排年度计划和预算。</v>
          </cell>
        </row>
        <row r="9">
          <cell r="L9" t="str">
            <v>√</v>
          </cell>
        </row>
        <row r="9">
          <cell r="N9" t="str">
            <v>√</v>
          </cell>
        </row>
        <row r="9">
          <cell r="Q9" t="str">
            <v>√</v>
          </cell>
        </row>
        <row r="9">
          <cell r="S9" t="str">
            <v>√</v>
          </cell>
          <cell r="T9" t="str">
            <v>线下管控</v>
          </cell>
        </row>
        <row r="9">
          <cell r="V9" t="str">
            <v>1.项目储备资料；
2.计划调整文件；
3.预算下达文件。</v>
          </cell>
          <cell r="W9" t="str">
            <v>各级单位-项目承担部门-项目负责人、各级单位-项目承担部门-负责人、各级单位-归口管理部门-计划管理人员、各级单位-归口管理部门-负责人、各级单位-财务部门-预算管理人员、各级单位-财务部门-负责人、省公司-数字化部-规划技术处处长</v>
          </cell>
          <cell r="X9" t="str">
            <v>每月</v>
          </cell>
          <cell r="Y9" t="str">
            <v>抽查</v>
          </cell>
        </row>
        <row r="9">
          <cell r="AA9" t="str">
            <v>年度</v>
          </cell>
          <cell r="AB9" t="str">
            <v>抽查</v>
          </cell>
        </row>
        <row r="9">
          <cell r="AH9" t="str">
            <v>是</v>
          </cell>
          <cell r="AI9" t="str">
            <v>是</v>
          </cell>
          <cell r="AJ9" t="str">
            <v>《国家电网有限公司工程财务管理办法》（国家电网企管〔2023〕28号）
《国家电网有限公司全面预算管理办法》（国家电网企管〔2026〕101号）
《国网湖南省电力有限公司数字化项目管理实施细则》（湘电公司数字〔2024〕447号 ）</v>
          </cell>
          <cell r="AK9" t="str">
            <v>国网数字化部</v>
          </cell>
        </row>
        <row r="10">
          <cell r="I10" t="str">
            <v>数字化项目管理业务-2.计划预算安排合规性-控制措施02</v>
          </cell>
          <cell r="J10" t="str">
            <v>年中增补项目分年度下达计划和预算。</v>
          </cell>
        </row>
        <row r="10">
          <cell r="N10" t="str">
            <v>√</v>
          </cell>
        </row>
        <row r="10">
          <cell r="Q10" t="str">
            <v>√</v>
          </cell>
        </row>
        <row r="10">
          <cell r="S10" t="str">
            <v>√</v>
          </cell>
          <cell r="T10" t="str">
            <v>线下管控</v>
          </cell>
        </row>
        <row r="10">
          <cell r="V10" t="str">
            <v>1.可研资料；
2.项目立项文件；
3.进度确认材料；
4.项目采购文件；
5.合同；
6.预算下达文件；
7.预算计划调整文件。</v>
          </cell>
          <cell r="W10" t="str">
            <v>各级单位-项目承担部门-项目负责人、各级单位-项目承担部门-负责人、各级单位-归口管理部门-计划管理人员、各级单位-归口管理部门-负责人、各级单位-财务部门-预算管理人员、各级单位-财务部门-负责人、各级单位-发展部门-综合计划管理人员、各级单位-发展部门-负责人、省公司-数字化部-项目管理专责</v>
          </cell>
          <cell r="X10" t="str">
            <v>每月</v>
          </cell>
          <cell r="Y10" t="str">
            <v>抽查</v>
          </cell>
        </row>
        <row r="10">
          <cell r="AA10" t="str">
            <v>年度</v>
          </cell>
          <cell r="AB10" t="str">
            <v>抽查</v>
          </cell>
        </row>
        <row r="10">
          <cell r="AH10" t="str">
            <v>是</v>
          </cell>
          <cell r="AI10" t="str">
            <v>是</v>
          </cell>
          <cell r="AJ10" t="str">
            <v>《国家电网有限公司电网数字化建设管理办法》（国家电网企管〔2020〕849号）
《国家电网有限公司工程财务管理办法》（国家电网企管〔2023〕28号）
《国家电网有限公司全面预算管理办法》（国家电网企管〔2026〕101号）
《国网湖南省电力有限公司数字化项目管理实施细则》（湘电公司数字〔2024〕447号 ）</v>
          </cell>
          <cell r="AK10" t="str">
            <v>国网数字化部</v>
          </cell>
        </row>
        <row r="11">
          <cell r="I11" t="str">
            <v>数字化项目管理业务-2.计划预算安排合规性-控制措施03</v>
          </cell>
          <cell r="J11" t="str">
            <v>根据外部环境和项目本身变化，及时调整计划和预算。</v>
          </cell>
        </row>
        <row r="11">
          <cell r="N11" t="str">
            <v>√</v>
          </cell>
        </row>
        <row r="11">
          <cell r="Q11" t="str">
            <v>√</v>
          </cell>
        </row>
        <row r="11">
          <cell r="S11" t="str">
            <v>√</v>
          </cell>
          <cell r="T11" t="str">
            <v>线下管控</v>
          </cell>
        </row>
        <row r="11">
          <cell r="V11" t="str">
            <v>1.可研资料；
2.项目立项文件；
3.项目采购文件；
4.综合计划；
5.预算下达文件；
6.进度确认材料；
7.调整文件；
8.合同。</v>
          </cell>
          <cell r="W11" t="str">
            <v>各级单位-项目承担部门-项目负责人、各级单位-项目承担部门-负责人、各级单位-归口管理部门-计划管理人员、各级单位-归口管理部门-负责人、各级单位-财务部门-预算管理人员、各级单位-财务部门-负责人、各级单位-发展部门-综合计划管理人员、各级单位-发展部门-负责人、省公司-数字化部-计划建设处处长</v>
          </cell>
          <cell r="X11" t="str">
            <v>每月</v>
          </cell>
          <cell r="Y11" t="str">
            <v>抽查</v>
          </cell>
        </row>
        <row r="11">
          <cell r="AA11" t="str">
            <v>年度</v>
          </cell>
          <cell r="AB11" t="str">
            <v>抽查</v>
          </cell>
        </row>
        <row r="11">
          <cell r="AH11" t="str">
            <v>是</v>
          </cell>
          <cell r="AI11" t="str">
            <v>是</v>
          </cell>
          <cell r="AJ11" t="str">
            <v>《国家电网有限公司电网数字化建设管理办法》（国家电网企管〔2020〕849号）
《国家电网有限公司工程财务管理办法》（国家电网企管〔2023〕28号）
《国家电网有限公司全面预算管理办法》（国家电网企管〔2026〕101号）
《国网湖南省电力有限公司数字化项目管理实施细则》（湘电公司数字〔2024〕447号 ）</v>
          </cell>
          <cell r="AK11" t="str">
            <v>国网数字化部</v>
          </cell>
        </row>
        <row r="12">
          <cell r="A12" t="str">
            <v>数字化项目管理业务</v>
          </cell>
          <cell r="B12" t="str">
            <v>二、项目实施管理</v>
          </cell>
          <cell r="C12" t="str">
            <v>会计信息真实完整</v>
          </cell>
          <cell r="D12" t="str">
            <v>成本入账</v>
          </cell>
          <cell r="E12" t="str">
            <v>成本入账与进度结算金额不符，项目审核缺位，易引发虚列研发成本、提前确认项目成本风险。</v>
          </cell>
          <cell r="F12" t="str">
            <v>5.会计信息不准确：存在虚增隐瞒收入，虚增减成本费用；隐瞒负债，少计应付账款或借款；收入成本不匹配；收入、成本确认不及时、不准确等问题。
25.结算不准确，多结算工程款：存在费用多计（甲供物资、施工费、监理费、监造费、设计费、其他费用及税金等定额套用错误）；工程保险费等费用重复计列；部分服务内容（可研、设计、结算等）未全部开展但全额计列费用；无正当理由变更初始合同计价规则，调增劳务分包费；重复结算人工费用；超标准列支人工费、外委研究支出等问题。</v>
          </cell>
          <cell r="G12" t="str">
            <v>3.入账成本准确性</v>
          </cell>
          <cell r="H12" t="str">
            <v>入账金额准确性、成本支出真实性控制。</v>
          </cell>
          <cell r="I12" t="str">
            <v>数字化项目管理业务-3.入账成本准确性-控制措施01</v>
          </cell>
          <cell r="J12" t="str">
            <v>项目承担部门严格按合同约定管控项目执行进度，审核是否存在违约行为，根据实际进度收取发票、填写报账单。</v>
          </cell>
        </row>
        <row r="12">
          <cell r="L12" t="str">
            <v>√</v>
          </cell>
          <cell r="M12" t="str">
            <v>√</v>
          </cell>
        </row>
        <row r="12">
          <cell r="O12" t="str">
            <v>√</v>
          </cell>
        </row>
        <row r="12">
          <cell r="T12" t="str">
            <v>线下管控</v>
          </cell>
        </row>
        <row r="12">
          <cell r="V12" t="str">
            <v>1.项目费用支出明细清单及相关资料； 
2.合同；
3.项目进度报审表；
4.项目人员备案表。</v>
          </cell>
          <cell r="W12" t="str">
            <v>各级单位-项目承担部门-项目负责人、各级单位-项目承担部门-负责人</v>
          </cell>
          <cell r="X12" t="str">
            <v>每年</v>
          </cell>
          <cell r="Y12" t="str">
            <v>抽查</v>
          </cell>
        </row>
        <row r="12">
          <cell r="AA12" t="str">
            <v>年度</v>
          </cell>
          <cell r="AB12" t="str">
            <v>抽查</v>
          </cell>
        </row>
        <row r="12">
          <cell r="AH12" t="str">
            <v>是</v>
          </cell>
          <cell r="AI12" t="str">
            <v>是</v>
          </cell>
          <cell r="AJ12" t="str">
            <v>《国家电网有限公司电网数字化建设管理办法》（国家电网企管〔2020〕849号）《国网湖南省电力有限公司数字化项目管理实施细则》（湘电公司数字〔2024〕447号 ）</v>
          </cell>
          <cell r="AK12" t="str">
            <v>国网数字化部</v>
          </cell>
        </row>
        <row r="13">
          <cell r="I13" t="str">
            <v>数字化项目管理业务-3.入账成本准确性-控制措施02</v>
          </cell>
          <cell r="J13" t="str">
            <v>归口管理部门复核项目完成情况、项目人员备案表等材料的完整性和合规性。</v>
          </cell>
        </row>
        <row r="13">
          <cell r="O13" t="str">
            <v>√</v>
          </cell>
        </row>
        <row r="13">
          <cell r="T13" t="str">
            <v>线下管控</v>
          </cell>
        </row>
        <row r="13">
          <cell r="V13" t="str">
            <v>1.项目费用支出明细清单及相关资料；  
2.合同；
3.项目人员备案表；
4.项目进度材料。</v>
          </cell>
          <cell r="W13" t="str">
            <v>各级单位-归口管理部门-项目管理人员、各级单位-归口管理部门-负责人、省公司-数字化部-项目管理专责</v>
          </cell>
          <cell r="X13" t="str">
            <v>每年</v>
          </cell>
          <cell r="Y13" t="str">
            <v>抽查</v>
          </cell>
        </row>
        <row r="13">
          <cell r="AA13" t="str">
            <v>年度</v>
          </cell>
          <cell r="AB13" t="str">
            <v>抽查</v>
          </cell>
        </row>
        <row r="13">
          <cell r="AH13" t="str">
            <v>是</v>
          </cell>
          <cell r="AI13" t="str">
            <v>是</v>
          </cell>
          <cell r="AJ13" t="str">
            <v>《国家电网有限公司电网数字化建设管理办法》（国家电网企管〔2020〕849号）《国网湖南省电力有限公司数字化项目管理实施细则》（湘电公司数字〔2024〕447号 ）</v>
          </cell>
          <cell r="AK13" t="str">
            <v>国网数字化部</v>
          </cell>
        </row>
        <row r="14">
          <cell r="I14" t="str">
            <v>数字化项目管理业务-3.入账成本准确性-控制措施03</v>
          </cell>
          <cell r="J14" t="str">
            <v>财务部门对成本报账单金额与结算金额、发票金额一致性、准确性进行审核。</v>
          </cell>
        </row>
        <row r="14">
          <cell r="N14" t="str">
            <v>√</v>
          </cell>
          <cell r="O14" t="str">
            <v>√</v>
          </cell>
          <cell r="P14" t="str">
            <v>√</v>
          </cell>
          <cell r="Q14" t="str">
            <v>√</v>
          </cell>
        </row>
        <row r="14">
          <cell r="T14" t="str">
            <v>系统已建</v>
          </cell>
          <cell r="U14" t="str">
            <v>智慧共享财务平台</v>
          </cell>
          <cell r="V14" t="str">
            <v>1.发票；
2.报账单；  
3.合同；
4.项目进度报审表。</v>
          </cell>
          <cell r="W14" t="str">
            <v>各级单位-财务部门-成本管理人员、各级单位-财务部门-负责人</v>
          </cell>
          <cell r="X14" t="str">
            <v>每年</v>
          </cell>
          <cell r="Y14" t="str">
            <v>抽查</v>
          </cell>
        </row>
        <row r="14">
          <cell r="AA14" t="str">
            <v>年度</v>
          </cell>
          <cell r="AB14" t="str">
            <v>抽查</v>
          </cell>
        </row>
        <row r="14">
          <cell r="AD14" t="str">
            <v>成本入账监督场景</v>
          </cell>
          <cell r="AE14" t="str">
            <v>每月</v>
          </cell>
          <cell r="AF14" t="str">
            <v>全量检查</v>
          </cell>
        </row>
        <row r="14">
          <cell r="AH14" t="str">
            <v>是</v>
          </cell>
          <cell r="AI14" t="str">
            <v>是</v>
          </cell>
          <cell r="AJ14" t="str">
            <v>《国家电网有限公司电网数字化建设管理办法》（国家电网企管〔2020〕849号）</v>
          </cell>
          <cell r="AK14" t="str">
            <v>国网数字化部</v>
          </cell>
        </row>
        <row r="15">
          <cell r="B15" t="str">
            <v>二、项目实施管理</v>
          </cell>
          <cell r="C15" t="str">
            <v>资金资产安全</v>
          </cell>
          <cell r="D15" t="str">
            <v>专业分包</v>
          </cell>
          <cell r="E15" t="str">
            <v>分包超范围、超比例，易致信息系统建设质量失控，滋生虚增成本、套取资金等风险。</v>
          </cell>
          <cell r="F15" t="str">
            <v>45.数字化项目建设环节管控不严：存在项目建设内容发生变更未按规定履行审批程序；系统开发环境、测试环境和运行环境未进行分离；承建单位专业分包比例过高等问题。
5.会计信息不准确：存在虚增隐瞒收入，虚增减成本费用；隐瞒负债，少计应付账款或借款；收入成本不匹配；收入、成本确认不及时、不准确等问题。</v>
          </cell>
          <cell r="G15" t="str">
            <v>4.专业分包比例合规性</v>
          </cell>
          <cell r="H15" t="str">
            <v>专业分包链路穿透与比例合规性控制。</v>
          </cell>
          <cell r="I15" t="str">
            <v>数字化项目管理业务-4.专业分包比例合规性-控制措施01</v>
          </cell>
          <cell r="J15" t="str">
            <v>项目承担部门对分包内容备案、分包人员台账、实际分包比例进行检查，不得将核心业务分包、超出规定比例分包等。</v>
          </cell>
        </row>
        <row r="15">
          <cell r="M15" t="str">
            <v>√</v>
          </cell>
        </row>
        <row r="15">
          <cell r="O15" t="str">
            <v>√</v>
          </cell>
        </row>
        <row r="15">
          <cell r="T15" t="str">
            <v>线下管控</v>
          </cell>
        </row>
        <row r="15">
          <cell r="V15" t="str">
            <v>1.合同；
2.分包备案资料；
3.可研资料；
4.技术规范书。</v>
          </cell>
          <cell r="W15" t="str">
            <v>各级单位-项目承担部门-项目负责人、各级单位-项目承担部门-负责人</v>
          </cell>
          <cell r="X15" t="str">
            <v>每月</v>
          </cell>
          <cell r="Y15" t="str">
            <v>抽查</v>
          </cell>
        </row>
        <row r="15">
          <cell r="AA15" t="str">
            <v>年度</v>
          </cell>
          <cell r="AB15" t="str">
            <v>抽查</v>
          </cell>
        </row>
        <row r="15">
          <cell r="AH15" t="str">
            <v>是</v>
          </cell>
          <cell r="AI15" t="str">
            <v>是</v>
          </cell>
          <cell r="AJ15" t="str">
            <v>《国网信通部关于进一步规范和加强信息化建设分包管理工作的通知》（信通计划〔2018〕20号）
《国家电网有限公司电网数字化项目技术管理办法》（国网（信息/3）287-2021）
《国家电网有限公司电网数字化项目分包管理规范（试行）》（国家电网数字〔2024〕81 号 ）</v>
          </cell>
          <cell r="AK15" t="str">
            <v>国网数字化部</v>
          </cell>
        </row>
        <row r="16">
          <cell r="G16" t="str">
            <v>4.专业分包比例合规性</v>
          </cell>
          <cell r="H16" t="str">
            <v>专业分包链路穿透与比例合规性控制。</v>
          </cell>
          <cell r="I16" t="str">
            <v>数字化项目管理业务-4.专业分包比例合规性-控制措施02</v>
          </cell>
          <cell r="J16" t="str">
            <v>项目承担部门建立分包台账，定期排查分包情况，禁止超比例分包、层层分包。</v>
          </cell>
        </row>
        <row r="16">
          <cell r="M16" t="str">
            <v>√</v>
          </cell>
        </row>
        <row r="16">
          <cell r="O16" t="str">
            <v>√</v>
          </cell>
        </row>
        <row r="16">
          <cell r="T16" t="str">
            <v>线下管控</v>
          </cell>
        </row>
        <row r="16">
          <cell r="V16" t="str">
            <v>1.合同；
2.分包备案资料；
3.可研资料；
4.技术规范书。</v>
          </cell>
          <cell r="W16" t="str">
            <v>各级单位-项目承担部门-项目负责人、各级单位-项目承担部门-负责人</v>
          </cell>
          <cell r="X16" t="str">
            <v>每月</v>
          </cell>
          <cell r="Y16" t="str">
            <v>抽查</v>
          </cell>
        </row>
        <row r="16">
          <cell r="AA16" t="str">
            <v>年度</v>
          </cell>
          <cell r="AB16" t="str">
            <v>抽查</v>
          </cell>
        </row>
        <row r="16">
          <cell r="AH16" t="str">
            <v>是</v>
          </cell>
          <cell r="AI16" t="str">
            <v>是</v>
          </cell>
          <cell r="AJ16" t="str">
            <v>《国网信通部关于进一步规范和加强信息化建设分包管理工作的通知》（信通计划〔2018〕20号）
《国家电网有限公司电网数字化项目技术管理办法》（国网（信息/3）287-2021）
《国家电网有限公司电网数字化项目分包管理规范（试行）》（国家电网数字〔2024〕81 号 ）</v>
          </cell>
          <cell r="AK16" t="str">
            <v>国网数字化部</v>
          </cell>
        </row>
        <row r="17">
          <cell r="I17" t="str">
            <v>数字化项目管理业务-4.专业分包比例合规性-控制措施03</v>
          </cell>
          <cell r="J17" t="str">
            <v>归口管理部门建立“总包-分包”合同穿透链路，通过合同与项目的关联查看总包单位为系统内单位的业主单位、总包单位、分包单位的对应关系。
数字化部负责落实公司电网数字化项目分包管理制度，建立健全本单位电网数字化项目分包管理机制。</v>
          </cell>
        </row>
        <row r="17">
          <cell r="M17" t="str">
            <v>√</v>
          </cell>
        </row>
        <row r="17">
          <cell r="O17" t="str">
            <v>√</v>
          </cell>
        </row>
        <row r="17">
          <cell r="S17" t="str">
            <v>√</v>
          </cell>
          <cell r="T17" t="str">
            <v>系统待建</v>
          </cell>
          <cell r="U17" t="str">
            <v>数字化法治企业建设平台</v>
          </cell>
          <cell r="V17" t="str">
            <v>1.合同；
2.分包备案资料；
3.可研资料；
4.技术规范书。</v>
          </cell>
          <cell r="W17" t="str">
            <v>各级单位-归口管理部门-项目管理人员、各级单位-归口管理部门-负责人、省公司-数字化部-项目管理专责</v>
          </cell>
          <cell r="X17" t="str">
            <v>每月</v>
          </cell>
          <cell r="Y17" t="str">
            <v>抽查</v>
          </cell>
        </row>
        <row r="17">
          <cell r="AA17" t="str">
            <v>年度</v>
          </cell>
          <cell r="AB17" t="str">
            <v>抽查</v>
          </cell>
        </row>
        <row r="17">
          <cell r="AD17" t="str">
            <v>项目分包管理监督场景</v>
          </cell>
          <cell r="AE17" t="str">
            <v>每年</v>
          </cell>
          <cell r="AF17" t="str">
            <v>抽查</v>
          </cell>
        </row>
        <row r="17">
          <cell r="AH17" t="str">
            <v>是</v>
          </cell>
          <cell r="AI17" t="str">
            <v>是</v>
          </cell>
          <cell r="AJ17" t="str">
            <v>《国网信通部关于进一步规范和加强信息化建设分包管理工作的通知》（信通计划〔2018〕20号）
《国家电网有限公司电网数字化项目技术管理办法》（国网（信息/3）287-2021）
《国家电网有限公司电网数字化项目分包管理规范（试行）》（国家电网数字〔2024〕81 号 ）</v>
          </cell>
          <cell r="AK17" t="str">
            <v>国网数字化部</v>
          </cell>
        </row>
        <row r="18">
          <cell r="I18" t="str">
            <v>数字化项目管理业务-4.专业分包比例合规性-控制措施04</v>
          </cell>
          <cell r="J18" t="str">
            <v>归口管理部门建立“总包-分包”人员的穿透链路，核查总包单位为系统内单位的项目团队成员单位信息，分析人员隶属是否遵循合同约定。
数字化部负责本单位电网数字化项目分包工作的督导和检查。</v>
          </cell>
        </row>
        <row r="18">
          <cell r="M18" t="str">
            <v>√</v>
          </cell>
        </row>
        <row r="18">
          <cell r="O18" t="str">
            <v>√</v>
          </cell>
        </row>
        <row r="18">
          <cell r="S18" t="str">
            <v>√</v>
          </cell>
          <cell r="T18" t="str">
            <v>线下管控</v>
          </cell>
        </row>
        <row r="18">
          <cell r="V18" t="str">
            <v>1.合同；
2.分包备案资料；
3.可研资料；
4.技术规范书。</v>
          </cell>
          <cell r="W18" t="str">
            <v>各级单位-归口管理部门-项目管理人员、各级单位-归口管理部门-负责人、省公司-数字化部-项目管理专责</v>
          </cell>
          <cell r="X18" t="str">
            <v>每月</v>
          </cell>
          <cell r="Y18" t="str">
            <v>抽查</v>
          </cell>
        </row>
        <row r="18">
          <cell r="AA18" t="str">
            <v>年度</v>
          </cell>
          <cell r="AB18" t="str">
            <v>抽查</v>
          </cell>
        </row>
        <row r="18">
          <cell r="AD18" t="str">
            <v>项目分包管理监督场景</v>
          </cell>
          <cell r="AE18" t="str">
            <v>每年</v>
          </cell>
          <cell r="AF18" t="str">
            <v>抽查</v>
          </cell>
        </row>
        <row r="18">
          <cell r="AH18" t="str">
            <v>是</v>
          </cell>
          <cell r="AI18" t="str">
            <v>是</v>
          </cell>
          <cell r="AJ18" t="str">
            <v>《国网信通部关于进一步规范和加强信息化建设分包管理工作的通知》（信通计划〔2018〕20号）
《国家电网有限公司电网数字化项目技术管理办法》（国网（信息/3）287-2021）
《国家电网有限公司电网数字化项目分包管理规范（试行）》（国家电网数字〔2024〕81 号 ）</v>
          </cell>
          <cell r="AK18" t="str">
            <v>国网数字化部</v>
          </cell>
        </row>
        <row r="19">
          <cell r="I19" t="str">
            <v>数字化项目管理业务-4.专业分包比例合规性-控制措施05</v>
          </cell>
          <cell r="J19" t="str">
            <v>财务部门构建“总包-分包”资金支付穿透链路，分析总包单位为系统内单位的资金流向是否符合合同主体穿透控制要求。</v>
          </cell>
        </row>
        <row r="19">
          <cell r="M19" t="str">
            <v>√</v>
          </cell>
        </row>
        <row r="19">
          <cell r="O19" t="str">
            <v>√</v>
          </cell>
          <cell r="P19" t="str">
            <v>√</v>
          </cell>
          <cell r="Q19" t="str">
            <v>√</v>
          </cell>
        </row>
        <row r="19">
          <cell r="S19" t="str">
            <v>√</v>
          </cell>
          <cell r="T19" t="str">
            <v>系统待建</v>
          </cell>
          <cell r="U19" t="str">
            <v>智慧共享财务平台</v>
          </cell>
          <cell r="V19" t="str">
            <v>1.合同；
2.分包备案资料；
3.可研资料；
4.技术规范书。</v>
          </cell>
          <cell r="W19" t="str">
            <v>各级单位-财务部门-工程管理人员、各级单位-财务部门-负责人</v>
          </cell>
          <cell r="X19" t="str">
            <v>每月</v>
          </cell>
          <cell r="Y19" t="str">
            <v>抽查</v>
          </cell>
        </row>
        <row r="19">
          <cell r="AA19" t="str">
            <v>年度</v>
          </cell>
          <cell r="AB19" t="str">
            <v>抽查</v>
          </cell>
        </row>
        <row r="19">
          <cell r="AD19" t="str">
            <v>项目分包管理监督场景</v>
          </cell>
          <cell r="AE19" t="str">
            <v>每年</v>
          </cell>
          <cell r="AF19" t="str">
            <v>抽查</v>
          </cell>
        </row>
        <row r="19">
          <cell r="AH19" t="str">
            <v>是</v>
          </cell>
          <cell r="AI19" t="str">
            <v>是</v>
          </cell>
          <cell r="AJ19" t="str">
            <v>《国网信通部关于进一步规范和加强信息化建设分包管理工作的通知》（信通计划〔2018〕20号）
《国家电网有限公司电网数字化项目技术管理办法》（国网（信息/3）287-2021）
《国家电网有限公司电网数字化项目分包管理规范（试行）》（国家电网数字〔2024〕81 号 ）</v>
          </cell>
          <cell r="AK19" t="str">
            <v>国网数字化部</v>
          </cell>
        </row>
        <row r="20">
          <cell r="A20" t="str">
            <v>数字化项目管理业务</v>
          </cell>
          <cell r="B20" t="str">
            <v>三、竣工验收转资</v>
          </cell>
          <cell r="C20" t="str">
            <v>资金资产安全</v>
          </cell>
          <cell r="D20" t="str">
            <v>现场资产盘点</v>
          </cell>
          <cell r="E20" t="str">
            <v>资产卡片信息与合同信息、研发及信息系统设备台账、设备实物不符，资产管理不规范，存在资产流失风险。</v>
          </cell>
          <cell r="F20" t="str">
            <v>46.数字化项目验收管控不严：存在部分数字化项目合同约定的交付物雷同或内容不实；部分功能未实现；未履行测试或验证；验收人员组成不合理，业务部门未参与验收等问题。</v>
          </cell>
          <cell r="G20" t="str">
            <v>5.资产信息真实性</v>
          </cell>
          <cell r="H20" t="str">
            <v>账卡物一致性控制。</v>
          </cell>
          <cell r="I20" t="str">
            <v>数字化项目管理业务-5.资产信息真实性-控制措施01</v>
          </cell>
          <cell r="J20" t="str">
            <v>使用保管部门规范保管、使用资产，不得未经审批处置。</v>
          </cell>
        </row>
        <row r="20">
          <cell r="L20" t="str">
            <v>√</v>
          </cell>
          <cell r="M20" t="str">
            <v>√</v>
          </cell>
        </row>
        <row r="20">
          <cell r="R20" t="str">
            <v>√</v>
          </cell>
        </row>
        <row r="20">
          <cell r="T20" t="str">
            <v>系统已建</v>
          </cell>
          <cell r="U20" t="str">
            <v>智慧共享财务平台（目前ERP）</v>
          </cell>
          <cell r="V20" t="str">
            <v>1.资产卡片清单；
2.I6000台账。</v>
          </cell>
          <cell r="W20" t="str">
            <v>各级单位-使用保管部门-使用保管人员、各级单位-使用保管部门-负责人</v>
          </cell>
          <cell r="X20" t="str">
            <v>每年</v>
          </cell>
          <cell r="Y20" t="str">
            <v>抽查</v>
          </cell>
        </row>
        <row r="20">
          <cell r="AA20" t="str">
            <v>年度</v>
          </cell>
          <cell r="AB20" t="str">
            <v>抽查</v>
          </cell>
        </row>
        <row r="20">
          <cell r="AD20" t="str">
            <v>资产建卡与赋值监督场景</v>
          </cell>
          <cell r="AE20" t="str">
            <v>每季度</v>
          </cell>
          <cell r="AF20" t="str">
            <v>抽查</v>
          </cell>
        </row>
        <row r="20">
          <cell r="AH20" t="str">
            <v>是</v>
          </cell>
          <cell r="AI20" t="str">
            <v>是</v>
          </cell>
          <cell r="AJ20" t="str">
            <v>《国家电网公司固定资产管理办法》国网（财/2）593-2023（通用）
《国家电网公司无形资产管理办法》国网（财/2）205-2014</v>
          </cell>
          <cell r="AK20" t="str">
            <v>国网数字化部</v>
          </cell>
        </row>
        <row r="21">
          <cell r="I21" t="str">
            <v>数字化项目管理业务-5.资产信息真实性-控制措施02</v>
          </cell>
          <cell r="J21" t="str">
            <v>实物管理部门数字化部定期开展实物盘点，核对设备台账与现场实物的一致性。</v>
          </cell>
        </row>
        <row r="21">
          <cell r="M21" t="str">
            <v>√</v>
          </cell>
        </row>
        <row r="21">
          <cell r="R21" t="str">
            <v>√</v>
          </cell>
        </row>
        <row r="21">
          <cell r="T21" t="str">
            <v>线下管控</v>
          </cell>
        </row>
        <row r="21">
          <cell r="V21" t="str">
            <v>I6000台账。</v>
          </cell>
          <cell r="W21" t="str">
            <v>各级单位-使用保管部门-使用保管人员、各级单位-使用保管部门-负责人、各级单位-实物管理部门-设备管理人员、各级单位-实物管理部门-负责人、省公司-数字化部-信息运行专责</v>
          </cell>
          <cell r="X21" t="str">
            <v>每年</v>
          </cell>
          <cell r="Y21" t="str">
            <v>抽查</v>
          </cell>
        </row>
        <row r="21">
          <cell r="AA21" t="str">
            <v>年度</v>
          </cell>
          <cell r="AB21" t="str">
            <v>抽查</v>
          </cell>
        </row>
        <row r="21">
          <cell r="AH21" t="str">
            <v>是</v>
          </cell>
          <cell r="AI21" t="str">
            <v>是</v>
          </cell>
          <cell r="AJ21" t="str">
            <v>《国家电网公司固定资产管理办法》国网（财/2）593-2023（通用）
《国家电网公司无形资产管理办法》国网（财/2）205-2014</v>
          </cell>
          <cell r="AK21" t="str">
            <v>国网数字化部</v>
          </cell>
        </row>
        <row r="22">
          <cell r="I22" t="str">
            <v>数字化项目管理业务-5.资产信息真实性-控制措施03</v>
          </cell>
          <cell r="J22" t="str">
            <v>财务部门对固定资产购置价值信息与决算金额一致性进行检查。</v>
          </cell>
        </row>
        <row r="22">
          <cell r="O22" t="str">
            <v>√</v>
          </cell>
        </row>
        <row r="22">
          <cell r="Q22" t="str">
            <v>√</v>
          </cell>
        </row>
        <row r="22">
          <cell r="T22" t="str">
            <v>系统待建</v>
          </cell>
          <cell r="U22" t="str">
            <v>智慧共享财务平台</v>
          </cell>
          <cell r="V22" t="str">
            <v>1.合同；
2.资产卡片清单；
3.转资信息表；
4.验收盘点表；
5.竣工决算报告。</v>
          </cell>
          <cell r="W22" t="str">
            <v>各级单位-财务部门-工程财务人员、各级单位-财务部门-负责人</v>
          </cell>
          <cell r="X22" t="str">
            <v>每年</v>
          </cell>
          <cell r="Y22" t="str">
            <v>抽查</v>
          </cell>
        </row>
        <row r="22">
          <cell r="AA22" t="str">
            <v>年度</v>
          </cell>
          <cell r="AB22" t="str">
            <v>抽查</v>
          </cell>
        </row>
        <row r="22">
          <cell r="AD22" t="str">
            <v>资产建卡与赋值监督场景</v>
          </cell>
          <cell r="AE22" t="str">
            <v>每季度</v>
          </cell>
          <cell r="AF22" t="str">
            <v>抽查</v>
          </cell>
        </row>
        <row r="22">
          <cell r="AH22" t="str">
            <v>是</v>
          </cell>
          <cell r="AI22" t="str">
            <v>是</v>
          </cell>
          <cell r="AJ22" t="str">
            <v>《国家电网公司固定资产管理办法》国网（财/2）593-2023（通用）
《国家电网公司无形资产管理办法》国网（财/2）205-2014</v>
          </cell>
          <cell r="AK22" t="str">
            <v>国网数字化部</v>
          </cell>
        </row>
        <row r="23">
          <cell r="C23" t="str">
            <v>资金资产安全</v>
          </cell>
          <cell r="D23" t="str">
            <v>项目验收</v>
          </cell>
          <cell r="E23" t="str">
            <v>合同交付物雷同或内容不实，验收人员组成不合理，未发现项目存在的问题，造成资源浪费风险。</v>
          </cell>
          <cell r="F23" t="str">
            <v>46.数字化项目验收管控不严：存在部分数字化项目合同约定的交付物雷同或内容不实；部分功能未实现；未履行测试或验证；验收人员组成不合理，业务部门未参与验收等问题。</v>
          </cell>
          <cell r="G23" t="str">
            <v>6.项目验收质量</v>
          </cell>
          <cell r="H23" t="str">
            <v>验收流程规范性、人员组成合规性、资料准确完整性控制</v>
          </cell>
          <cell r="I23" t="str">
            <v>数字化项目管理业务-6.项目验收质量-控制措施01</v>
          </cell>
          <cell r="J23" t="str">
            <v>归口管理部门规范验收流程，实行内部交叉验收机制，相互监督制约。</v>
          </cell>
        </row>
        <row r="23">
          <cell r="L23" t="str">
            <v>√</v>
          </cell>
          <cell r="M23" t="str">
            <v>√</v>
          </cell>
        </row>
        <row r="23">
          <cell r="T23" t="str">
            <v>线下管控</v>
          </cell>
        </row>
        <row r="23">
          <cell r="V23" t="str">
            <v>1.验收计划；
2.验收报告。</v>
          </cell>
          <cell r="W23" t="str">
            <v>各级单位-归口管理部门-项目管理人员、各级单位-归口管理部门-负责人、省公司-数字化部-项目管理专责</v>
          </cell>
          <cell r="X23" t="str">
            <v>每月</v>
          </cell>
          <cell r="Y23" t="str">
            <v>抽查</v>
          </cell>
        </row>
        <row r="23">
          <cell r="AA23" t="str">
            <v>年度</v>
          </cell>
          <cell r="AB23" t="str">
            <v>抽查</v>
          </cell>
        </row>
        <row r="23">
          <cell r="AH23" t="str">
            <v>是</v>
          </cell>
          <cell r="AI23" t="str">
            <v>是</v>
          </cell>
          <cell r="AJ23" t="str">
            <v>《国家电网有限公司电网数字化项目竣工验收管理规范》（试行）数字计划〔2025〕13号
《国网数字化部关于进一步加强信息系统上下线及检修管理的通知》数字运行〔2024〕54 号《国网湖南省电力有限公司数字化项目管理实施细则》（湘电公司数字〔2024〕447号 ）</v>
          </cell>
          <cell r="AK23" t="str">
            <v>国网数字化部</v>
          </cell>
        </row>
        <row r="24">
          <cell r="I24" t="str">
            <v>数字化项目管理业务-6.项目验收质量-控制措施02</v>
          </cell>
          <cell r="J24" t="str">
            <v>归口管理部门根据项目可研和合同等资料，对项目成果进行审核。</v>
          </cell>
        </row>
        <row r="24">
          <cell r="O24" t="str">
            <v>√</v>
          </cell>
        </row>
        <row r="24">
          <cell r="R24" t="str">
            <v>√</v>
          </cell>
        </row>
        <row r="24">
          <cell r="T24" t="str">
            <v>线下管控</v>
          </cell>
        </row>
        <row r="24">
          <cell r="V24" t="str">
            <v>1.验收计划；
2.验收报告；
3.项目可研及合同；
4.项目档案资料。</v>
          </cell>
          <cell r="W24" t="str">
            <v>各级单位-项目承担部门-项目负责人、各级单位-项目承担部门-负责人、各级单位-归口管理部门-管理部门人员、各级单位-归口管理部门-负责人、省公司-数字化部-项目管理专责</v>
          </cell>
          <cell r="X24" t="str">
            <v>每月</v>
          </cell>
          <cell r="Y24" t="str">
            <v>抽查</v>
          </cell>
        </row>
        <row r="24">
          <cell r="AA24" t="str">
            <v>年度</v>
          </cell>
          <cell r="AB24" t="str">
            <v>抽查</v>
          </cell>
        </row>
        <row r="24">
          <cell r="AH24" t="str">
            <v>是</v>
          </cell>
          <cell r="AI24" t="str">
            <v>是</v>
          </cell>
          <cell r="AJ24" t="str">
            <v>《国家电网有限公司电网数字化项目竣工验收管理规范》（试行）数字计划〔2025〕13号
《国网数字化部关于进一步加强信息系统上下线及检修管理的通知》数字运行〔2024〕54 号
《国网湖南省电力有限公司数字化项目管理实施细则》（湘电公司数字〔2024〕447号 ）
《关于进一步加强数字化项目验收管理的通知（试行）》</v>
          </cell>
          <cell r="AK24" t="str">
            <v>国网数字化部</v>
          </cell>
        </row>
        <row r="25">
          <cell r="I25" t="str">
            <v>数字化项目管理业务-6.项目验收质量-控制措施03</v>
          </cell>
          <cell r="J25" t="str">
            <v>归口管理部门复核验收组构成合理性，检查业务部门参与。</v>
          </cell>
        </row>
        <row r="25">
          <cell r="S25" t="str">
            <v>√</v>
          </cell>
          <cell r="T25" t="str">
            <v>线下管控</v>
          </cell>
        </row>
        <row r="25">
          <cell r="V25" t="str">
            <v>1.验收计划；
2.验收报告（重点查阅验收意见及专家签到表）。</v>
          </cell>
          <cell r="W25" t="str">
            <v>各级单位-归口管理部门-项目管理人员、各级单位-归口管理部门-负责人、省公司-数字化部-数字化项目管理中心项目评审管理专责（200万元及以上项目）</v>
          </cell>
          <cell r="X25" t="str">
            <v>每月</v>
          </cell>
          <cell r="Y25" t="str">
            <v>抽查</v>
          </cell>
        </row>
        <row r="25">
          <cell r="AA25" t="str">
            <v>年度</v>
          </cell>
          <cell r="AB25" t="str">
            <v>抽查</v>
          </cell>
        </row>
        <row r="25">
          <cell r="AH25" t="str">
            <v>是</v>
          </cell>
          <cell r="AI25" t="str">
            <v>是</v>
          </cell>
          <cell r="AJ25" t="str">
            <v>《国家电网有限公司电网数字化建设管理办法》（国家电网企管〔2020〕849号）
《国家电网有限公司电网数字化项目竣工验收管理规范》（试行）数字计划〔2025〕13号
《国网湖南省电力有限公司数字化项目管理实施细则》（湘电公司数字〔2024〕447号 ）</v>
          </cell>
          <cell r="AK25" t="str">
            <v>国网数字化部</v>
          </cell>
        </row>
        <row r="26">
          <cell r="C26" t="str">
            <v>资金资产安全、税务合规</v>
          </cell>
          <cell r="D26" t="str">
            <v>项目转资</v>
          </cell>
          <cell r="E26" t="str">
            <v>未及时完成转资，造成资产折旧计提延迟，进而引发当期利润虚增、资产账面价值不实及税务合规风险。</v>
          </cell>
        </row>
        <row r="26">
          <cell r="G26" t="str">
            <v>7.项目转资合规性</v>
          </cell>
          <cell r="H26" t="str">
            <v>项目转资及时性，折旧计提准确性控制。</v>
          </cell>
          <cell r="I26" t="str">
            <v>数字化项目管理业务-7.项目转资合规性-控制措施01</v>
          </cell>
          <cell r="J26" t="str">
            <v>归口管理部门对转资及时性、竣工验收资料完整性和审批流程合规性进行检查。</v>
          </cell>
        </row>
        <row r="26">
          <cell r="M26" t="str">
            <v>√</v>
          </cell>
        </row>
        <row r="26">
          <cell r="O26" t="str">
            <v>√</v>
          </cell>
        </row>
        <row r="26">
          <cell r="R26" t="str">
            <v>√</v>
          </cell>
        </row>
        <row r="26">
          <cell r="T26" t="str">
            <v>线下管控</v>
          </cell>
        </row>
        <row r="26">
          <cell r="V26" t="str">
            <v>1.合同；
2.项目验收意见。</v>
          </cell>
          <cell r="W26" t="str">
            <v>各级单位-归口管理部门-项目管理人员、各级单位-归口管理部门-负责人</v>
          </cell>
          <cell r="X26" t="str">
            <v>每季度</v>
          </cell>
          <cell r="Y26" t="str">
            <v>全量检查</v>
          </cell>
        </row>
        <row r="26">
          <cell r="AA26" t="str">
            <v>年度</v>
          </cell>
          <cell r="AB26" t="str">
            <v>抽查</v>
          </cell>
        </row>
        <row r="26">
          <cell r="AH26" t="str">
            <v>是</v>
          </cell>
          <cell r="AI26" t="str">
            <v>是</v>
          </cell>
          <cell r="AJ26" t="str">
            <v>《国家电网有限公司电网数字化项目竣工验收管理规范（试行）》（数字计划〔2025〕13号）
《国家电网有限公司工程财务管理办法》（国家电网企管〔2023〕28号）</v>
          </cell>
          <cell r="AK26" t="str">
            <v>国网数字化部</v>
          </cell>
        </row>
        <row r="27">
          <cell r="I27" t="str">
            <v>数字化项目管理业务-7.项目转资合规性-控制措施02</v>
          </cell>
          <cell r="J27" t="str">
            <v>财务部门负责资产卡片计提折旧的检查。</v>
          </cell>
        </row>
        <row r="27">
          <cell r="Q27" t="str">
            <v>√</v>
          </cell>
        </row>
        <row r="27">
          <cell r="T27" t="str">
            <v>系统已建</v>
          </cell>
          <cell r="U27" t="str">
            <v>智慧共享财务平台</v>
          </cell>
          <cell r="V27" t="str">
            <v>1.固定资产卡片清单。</v>
          </cell>
          <cell r="W27" t="str">
            <v>各级单位-财务部门-资产管理人员、各级单位-财务部门-负责人</v>
          </cell>
          <cell r="X27" t="str">
            <v>每季度</v>
          </cell>
          <cell r="Y27" t="str">
            <v>全量检查</v>
          </cell>
        </row>
        <row r="27">
          <cell r="AA27" t="str">
            <v>年度</v>
          </cell>
          <cell r="AB27" t="str">
            <v>抽查</v>
          </cell>
        </row>
        <row r="27">
          <cell r="AH27" t="str">
            <v>是</v>
          </cell>
          <cell r="AI27" t="str">
            <v>是</v>
          </cell>
          <cell r="AJ27" t="str">
            <v>《国家电网有限公司电网数字化项目竣工验收管理规范（试行）》（数字计划〔2025〕13号）
《国家电网有限公司工程财务管理办法》（国家电网企管〔2023〕28号）</v>
          </cell>
          <cell r="AK27" t="str">
            <v>国网数字化部</v>
          </cell>
        </row>
        <row r="28">
          <cell r="A28" t="str">
            <v>科技项目管理业务</v>
          </cell>
          <cell r="B28" t="str">
            <v>一、项目立项管理</v>
          </cell>
          <cell r="C28" t="str">
            <v>资金资产安全</v>
          </cell>
          <cell r="D28" t="str">
            <v>项目储备及立项</v>
          </cell>
          <cell r="E28" t="str">
            <v>未依据科技规划及公司实际需求，项目储备存在偏离主业与战略方向，重复立项风险。</v>
          </cell>
          <cell r="F28" t="str">
            <v>42.研究开发项目管理不规范：存在专利申请时间早于项目开始时间；复用以前年度科技项目的研究内容。</v>
          </cell>
          <cell r="G28" t="str">
            <v>8.储备立项的程序</v>
          </cell>
          <cell r="H28" t="str">
            <v>项目储备规范化、精益化。</v>
          </cell>
          <cell r="I28" t="str">
            <v>科技项目管理业务-8.储备立项的程序-控制措施01</v>
          </cell>
          <cell r="J28" t="str">
            <v>科技部门建立项目查重机制，避免重复储备和立项。</v>
          </cell>
        </row>
        <row r="28">
          <cell r="L28" t="str">
            <v>√</v>
          </cell>
          <cell r="M28" t="str">
            <v>√</v>
          </cell>
        </row>
        <row r="28">
          <cell r="S28" t="str">
            <v>√</v>
          </cell>
          <cell r="T28" t="str">
            <v>系统已建</v>
          </cell>
          <cell r="U28" t="str">
            <v>科技项目管理系统（一体化创新平台）</v>
          </cell>
          <cell r="V28" t="str">
            <v>1.项目库；
2.可研报告/项目建议书；
3.评审意见表。</v>
          </cell>
          <cell r="W28" t="str">
            <v>各级单位-科技部门-管理人员</v>
          </cell>
          <cell r="X28" t="str">
            <v>年度</v>
          </cell>
          <cell r="Y28" t="str">
            <v>全量</v>
          </cell>
        </row>
        <row r="28">
          <cell r="AA28" t="str">
            <v>年度</v>
          </cell>
          <cell r="AB28" t="str">
            <v>全量</v>
          </cell>
        </row>
        <row r="28">
          <cell r="AH28" t="str">
            <v>是</v>
          </cell>
          <cell r="AI28" t="str">
            <v>是</v>
          </cell>
          <cell r="AJ28" t="str">
            <v>《国家电网有限公司科技项目管理办法》国家电网企管〔2024〕71号
《国家电网有限公司科技项目储备库管理细则》国家电网企管〔2019〕429号
《国网湖南省电力有限公司关于印发进一步加强科技项目全过程管理具体举措》湘电公司科〔2025〕239号 </v>
          </cell>
          <cell r="AK28" t="str">
            <v>国网科技部</v>
          </cell>
        </row>
        <row r="29">
          <cell r="I29" t="str">
            <v>科技项目管理业务-8.储备立项的程序-控制措施02</v>
          </cell>
          <cell r="J29" t="str">
            <v>科技部门建立项目论证机制，避免项目偏离主业和战略方向。</v>
          </cell>
        </row>
        <row r="29">
          <cell r="L29" t="str">
            <v>√</v>
          </cell>
          <cell r="M29" t="str">
            <v>√</v>
          </cell>
        </row>
        <row r="29">
          <cell r="S29" t="str">
            <v>√</v>
          </cell>
          <cell r="T29" t="str">
            <v>线下管控</v>
          </cell>
        </row>
        <row r="29">
          <cell r="V29" t="str">
            <v>1.项目库；
2.可研报告；
3.可研评审意见以及批复。</v>
          </cell>
          <cell r="W29" t="str">
            <v>各级单位-科技部门-负责人</v>
          </cell>
          <cell r="X29" t="str">
            <v>年度</v>
          </cell>
          <cell r="Y29" t="str">
            <v>全量</v>
          </cell>
        </row>
        <row r="29">
          <cell r="AA29" t="str">
            <v>年度</v>
          </cell>
          <cell r="AB29" t="str">
            <v>全量</v>
          </cell>
        </row>
        <row r="29">
          <cell r="AH29" t="str">
            <v>是</v>
          </cell>
          <cell r="AI29" t="str">
            <v>是</v>
          </cell>
          <cell r="AJ29" t="str">
            <v>《国家电网有限公司科技项目管理办法》国家电网企管〔2024〕71号
《国家电网有限公司科技项目储备库管理细则》国家电网企管〔2019〕429号
《国网湖南省电力有限公司关于印发进一步加强科技项目全过程管理具体举措》湘电公司科〔2025〕239号 </v>
          </cell>
          <cell r="AK29" t="str">
            <v>国网科技部</v>
          </cell>
        </row>
        <row r="30">
          <cell r="A30" t="str">
            <v>科技项目管理业务</v>
          </cell>
          <cell r="B30" t="str">
            <v>二、项目实施管理</v>
          </cell>
          <cell r="C30" t="str">
            <v>会计信息真实完整</v>
          </cell>
          <cell r="D30" t="str">
            <v>计划和预算安排</v>
          </cell>
          <cell r="E30" t="str">
            <v>项目计划未根据项目实际进展情况及时调整，导致合同执行不到位等合规风险。</v>
          </cell>
        </row>
        <row r="30">
          <cell r="G30" t="str">
            <v>9.计划调整及时性</v>
          </cell>
          <cell r="H30" t="str">
            <v>项目计划预算安排与项目实际进度的一致性。</v>
          </cell>
          <cell r="I30" t="str">
            <v>科技项目管理业务-9.计划调整及时性-控制措施01</v>
          </cell>
          <cell r="J30" t="str">
            <v>科技项目承担部门根据外部环境和项目实施情况，及时申请调整。</v>
          </cell>
        </row>
        <row r="30">
          <cell r="M30" t="str">
            <v>√</v>
          </cell>
          <cell r="N30" t="str">
            <v>√</v>
          </cell>
        </row>
        <row r="30">
          <cell r="T30" t="str">
            <v>系统已建</v>
          </cell>
          <cell r="U30" t="str">
            <v>智慧共享财务平台</v>
          </cell>
          <cell r="V30" t="str">
            <v>1.项目实施材料；
2.合同；
3.项目立项文件；
4.经费变更申请表、科技项目责任书、科技项目变更申请表等调整文件。</v>
          </cell>
          <cell r="W30" t="str">
            <v>各级单位-科技项目承担部门-项目负责人、各级单位-科技项目承担部门-负责人、各级单位-科技部门-管理人员、各级单位-科技部门-负责人、各级单位-发展部门-管理人员、各级单位-发展部门-负责人、各级单位-财务部门-预算管理人员、各级单位-财务部门-负责人</v>
          </cell>
          <cell r="X30" t="str">
            <v>年度</v>
          </cell>
          <cell r="Y30" t="str">
            <v>抽查</v>
          </cell>
        </row>
        <row r="30">
          <cell r="AA30" t="str">
            <v>年度</v>
          </cell>
          <cell r="AB30" t="str">
            <v>抽查</v>
          </cell>
        </row>
        <row r="30">
          <cell r="AD30" t="str">
            <v>预算编制及调整</v>
          </cell>
          <cell r="AE30" t="str">
            <v>年度</v>
          </cell>
          <cell r="AF30" t="str">
            <v>抽查</v>
          </cell>
        </row>
        <row r="30">
          <cell r="AH30" t="str">
            <v>是</v>
          </cell>
          <cell r="AI30" t="str">
            <v>是</v>
          </cell>
          <cell r="AJ30" t="str">
            <v>《国家电网有限公司科技项目管理办法》国家电网企管〔2024〕71号    
《国家电网公司科技项目预算编制实施细则》国家电网企管〔2017〕1066号
《国家电网有限公司总部管理科技项目实施及验收管理细则》国家电网企管〔2024〕71号
《国网湖南省电力有限公司关于印发进一步加强科技项目全过程管理具体举措》湘电公司科〔2025〕239号 </v>
          </cell>
          <cell r="AK30" t="str">
            <v>国网科技部</v>
          </cell>
        </row>
        <row r="31">
          <cell r="I31" t="str">
            <v>科技项目管理业务-9.计划调整及时性-控制措施02</v>
          </cell>
          <cell r="J31" t="str">
            <v>外部环境和项目本身情况发生重大变化，未按规定及时调整投资方案并采取止损措施的，按照中央企业违规经营管理办法追究责任。</v>
          </cell>
        </row>
        <row r="31">
          <cell r="S31" t="str">
            <v>√</v>
          </cell>
          <cell r="T31" t="str">
            <v>线下管控</v>
          </cell>
        </row>
        <row r="31">
          <cell r="V31" t="str">
            <v>1.项目实施材料；
2.合同；
3.项目立项文件；
4.调整文件。</v>
          </cell>
          <cell r="W31" t="str">
            <v>各级单位-科技项目承担部门-项目负责人、各级单位-科技项目承担部门-负责人、各级单位-科技部门-管理人员、各级单位-科技部门-负责人</v>
          </cell>
          <cell r="X31" t="str">
            <v>年度</v>
          </cell>
          <cell r="Y31" t="str">
            <v>抽查</v>
          </cell>
        </row>
        <row r="31">
          <cell r="AA31" t="str">
            <v>年度</v>
          </cell>
          <cell r="AB31" t="str">
            <v>抽查</v>
          </cell>
        </row>
        <row r="31">
          <cell r="AH31" t="str">
            <v>是</v>
          </cell>
          <cell r="AI31" t="str">
            <v>是</v>
          </cell>
          <cell r="AJ31" t="str">
            <v>《国家电网有限公司科技项目管理办法》国家电网企管〔2024〕71号    
《国家电网有限公司总部管理科技项目实施工作指南(2026年版)》
《国家电网有限公司总部管理科技项目实施及验收管理细则》国家电网企管〔2024〕71号
《中央企业违规经营投资责任追究实施办法》国务院国资委令第46号
《国网湖南省电力有限公司关于印发进一步加强科技项目全过程管理具体举措》湘电公司科〔2025〕239号 </v>
          </cell>
          <cell r="AK31" t="str">
            <v>国网科技部</v>
          </cell>
        </row>
        <row r="32">
          <cell r="D32" t="str">
            <v>成本入账</v>
          </cell>
          <cell r="E32" t="str">
            <v>成本入账与进度结算金额不符，项目审核缺位，易引发提前或滞后确认项目成本风险。</v>
          </cell>
          <cell r="F32" t="str">
            <v>5.会计信息不准确：存在虚增隐瞒收入、虚增减成本费用、隐瞒负债、少计应付账款或借款、收入成本不匹配、收入和成本确认不及时或不准确等问题。
25.结算不准确，多结算工程款：存在费用多计（甲供物资、施工费、监理费、监造费、设计费、其他费用及税金等定额套用错误）、工程保险费等费用重复计列、部分服务内容（可研、设计、结算等）未全部开展但全额计列费用、无正当理由变更初始合同计价规则并调增劳务分包费、重复结算人工费用、超标准列支人工费和外委研究支出等问题。</v>
          </cell>
          <cell r="G32" t="str">
            <v>10.入账成本准确性</v>
          </cell>
          <cell r="H32" t="str">
            <v>报账金额准确性、成本支出真实性</v>
          </cell>
          <cell r="I32" t="str">
            <v>科技项目管理业务-10.入账成本准确性-控制措施01</v>
          </cell>
          <cell r="J32" t="str">
            <v>项目承担部门严格按合同约定管控项目执行进度，根据实际进度办理入账流程。</v>
          </cell>
        </row>
        <row r="32">
          <cell r="M32" t="str">
            <v>√</v>
          </cell>
        </row>
        <row r="32">
          <cell r="O32" t="str">
            <v>√</v>
          </cell>
          <cell r="P32" t="str">
            <v>√</v>
          </cell>
        </row>
        <row r="32">
          <cell r="T32" t="str">
            <v>系统已建</v>
          </cell>
          <cell r="U32" t="str">
            <v>智慧共享财务平台</v>
          </cell>
          <cell r="V32" t="str">
            <v>1.报账单；  
2.合同；
3.进度确认单；
4.技术合同相关登记、认定材料。</v>
          </cell>
          <cell r="W32" t="str">
            <v>各级单位-科技项目承担部门-项目负责人、各级单位-科技项目承担部门-负责人、各级单位-科技部门-管理人员、各级单位-科技部门-负责人、各级单位-财务部门-成本管理人员、各级单位-财务部门-负责人</v>
          </cell>
          <cell r="X32" t="str">
            <v>每月</v>
          </cell>
          <cell r="Y32" t="str">
            <v>全量检查</v>
          </cell>
        </row>
        <row r="32">
          <cell r="AA32" t="str">
            <v>每月</v>
          </cell>
          <cell r="AB32" t="str">
            <v>全量检查</v>
          </cell>
        </row>
        <row r="32">
          <cell r="AD32" t="str">
            <v>在报账单提交环节，检查报账金额与项目实际结算金额、发票金额是否一致；若不一致，系统自动预警并反馈经办人，经办人修改后可重新提交。</v>
          </cell>
          <cell r="AE32" t="str">
            <v>实时</v>
          </cell>
          <cell r="AF32" t="str">
            <v>全量检查</v>
          </cell>
        </row>
        <row r="32">
          <cell r="AH32" t="str">
            <v>是</v>
          </cell>
          <cell r="AI32" t="str">
            <v>是</v>
          </cell>
          <cell r="AJ32" t="str">
            <v>《研发经费投入统计与核算管理规范》国家电网财〔2025〕25 号
《国家电网公司研究开发费财务管理办法》国家电网企管〔2014〕742号
《国家电网公司科技预算项目实施细则》国家电网企管（2017）1066号
《国网湖南省电力有限公司关于印发进一步加强科技项目全过程管理具体举措》湘电公司科〔2025〕239号 </v>
          </cell>
          <cell r="AK32" t="str">
            <v>国网科技部、国网
财务部</v>
          </cell>
        </row>
        <row r="33">
          <cell r="I33" t="str">
            <v>科技项目管理业务-10.入账成本准确性-控制措施02</v>
          </cell>
          <cell r="J33" t="str">
            <v>项目承担部门负责核查研发费用明细，杜绝研发费用与日常经费混淆列支、规范专家咨询费等人工成本按标准列支、审核专利费用承担主体与合同约定完全一致。</v>
          </cell>
        </row>
        <row r="33">
          <cell r="M33" t="str">
            <v>√</v>
          </cell>
        </row>
        <row r="33">
          <cell r="O33" t="str">
            <v>√</v>
          </cell>
        </row>
        <row r="33">
          <cell r="T33" t="str">
            <v>线下管控</v>
          </cell>
        </row>
        <row r="33">
          <cell r="V33" t="str">
            <v>项目费用支出明细清单及相关资料。</v>
          </cell>
          <cell r="W33" t="str">
            <v>各级单位-科技项目承担部门-项目负责人、各级单位-科技项目承担部门-负责人、各级单位-科技部门-管理人员、各级单位-科技部门-负责人</v>
          </cell>
          <cell r="X33" t="str">
            <v>每月</v>
          </cell>
          <cell r="Y33" t="str">
            <v>全量检查</v>
          </cell>
        </row>
        <row r="33">
          <cell r="AA33" t="str">
            <v>每月</v>
          </cell>
          <cell r="AB33" t="str">
            <v>全量检查</v>
          </cell>
        </row>
        <row r="33">
          <cell r="AH33" t="str">
            <v>是</v>
          </cell>
          <cell r="AI33" t="str">
            <v>是</v>
          </cell>
          <cell r="AJ33" t="str">
            <v>《研发经费投入统计与核算管理规范》国家电网财〔2025〕25 号
《国家电网公司研究开发费财务管理办法》国家电网企管〔2014〕742号
《国家电网公司科技预算项目实施细则》国家电网企管（2017）1066号
《国网湖南省电力有限公司关于印发进一步加强科技项目全过程管理具体举措》湘电公司科〔2025〕239号 </v>
          </cell>
          <cell r="AK33" t="str">
            <v>国网科技部、国网
财务部</v>
          </cell>
        </row>
        <row r="34">
          <cell r="I34" t="str">
            <v>科技项目管理业务-10.入账成本准确性-控制措施03</v>
          </cell>
          <cell r="J34" t="str">
            <v>财务部门对成本报账单金额与结算金额、发票金额一致性、合规性，列支范围准确性进行审核。</v>
          </cell>
        </row>
        <row r="34">
          <cell r="N34" t="str">
            <v>√</v>
          </cell>
          <cell r="O34" t="str">
            <v>√</v>
          </cell>
          <cell r="P34" t="str">
            <v>√</v>
          </cell>
          <cell r="Q34" t="str">
            <v>√</v>
          </cell>
        </row>
        <row r="34">
          <cell r="T34" t="str">
            <v>系统已建</v>
          </cell>
          <cell r="U34" t="str">
            <v>智慧共享财务平台</v>
          </cell>
          <cell r="V34" t="str">
            <v>发票、报账单、合同、服务确认单。</v>
          </cell>
          <cell r="W34" t="str">
            <v>各级单位-科技项目承担部门-项目负责人、各级单位-科技项目承担部门-负责人、各级单位-科技部门-管理人员、各级单位-财务部门-成本管理人员</v>
          </cell>
          <cell r="X34" t="str">
            <v>每月</v>
          </cell>
          <cell r="Y34" t="str">
            <v>全量检查</v>
          </cell>
        </row>
        <row r="34">
          <cell r="AA34" t="str">
            <v>每月</v>
          </cell>
          <cell r="AB34" t="str">
            <v>全量检查</v>
          </cell>
        </row>
        <row r="34">
          <cell r="AD34" t="str">
            <v>在报账单入账审核环节，检查报账金额与项目实际结算金额、发票金额是否一致；若不一致，系统自动预警并反馈经办人，经办人修改后可重新提交。</v>
          </cell>
          <cell r="AE34" t="str">
            <v>实时</v>
          </cell>
          <cell r="AF34" t="str">
            <v>全量检查</v>
          </cell>
        </row>
        <row r="34">
          <cell r="AH34" t="str">
            <v>是</v>
          </cell>
          <cell r="AI34" t="str">
            <v>是</v>
          </cell>
          <cell r="AJ34" t="str">
            <v>《研发经费投入统计与核算管理规范》国家电网财〔2025〕25 号
《国家电网公司研究开发费财务管理办法》国家电网企管〔2014〕742号
《国家电网公司科技预算项目实施细则》国家电网企管（2017）1066号
《国网湖南省电力有限公司关于印发进一步加强科技项目全过程管理具体举措》湘电公司科〔2025〕239号 </v>
          </cell>
          <cell r="AK34" t="str">
            <v>国网科技部、国网
财务部</v>
          </cell>
        </row>
        <row r="35">
          <cell r="C35" t="str">
            <v>资金资产安全、税务合规</v>
          </cell>
          <cell r="D35" t="str">
            <v>研发加计扣除</v>
          </cell>
          <cell r="E35" t="str">
            <v>加计扣除项目界定不准确，导致公司面临税务合规风险。</v>
          </cell>
        </row>
        <row r="35">
          <cell r="G35" t="str">
            <v>11.研发项目加计扣除合规性</v>
          </cell>
          <cell r="H35" t="str">
            <v>研发支出加计扣除准确性、合规性。</v>
          </cell>
          <cell r="I35" t="str">
            <v>科技项目管理业务-11.研发项目加计扣除合规性-控制措施01</v>
          </cell>
          <cell r="J35" t="str">
            <v>项目承担部门对项目是否属于新技术、新产品、新工艺等符合条件的研发活动进行判断，为准确申报研发费用加计扣除提供依据。</v>
          </cell>
        </row>
        <row r="35">
          <cell r="M35" t="str">
            <v>√</v>
          </cell>
        </row>
        <row r="35">
          <cell r="O35" t="str">
            <v>√</v>
          </cell>
        </row>
        <row r="35">
          <cell r="T35" t="str">
            <v>线下管控</v>
          </cell>
        </row>
        <row r="35">
          <cell r="V35" t="str">
            <v>1.任务书；
2.合同；
3.发票；
4.技术合同相关登记、认定材料；
5.研发成果佐证资料；
6.关联交易明细账。</v>
          </cell>
          <cell r="W35" t="str">
            <v>各级单位-科技项目承担部门-项目负责人、各级单位-科技部门-管理人员</v>
          </cell>
          <cell r="X35" t="str">
            <v>每季度</v>
          </cell>
          <cell r="Y35" t="str">
            <v>抽查</v>
          </cell>
        </row>
        <row r="35">
          <cell r="AA35" t="str">
            <v>每季度</v>
          </cell>
          <cell r="AB35" t="str">
            <v>抽查</v>
          </cell>
        </row>
        <row r="35">
          <cell r="AH35" t="str">
            <v>是</v>
          </cell>
          <cell r="AI35" t="str">
            <v>是</v>
          </cell>
          <cell r="AJ35" t="str">
            <v>《研发费用加计扣除政策执行指引（2.0版）》
《国家电网公司研究开发费财务管理办法》国家电网企管〔2014〕742号</v>
          </cell>
          <cell r="AK35" t="str">
            <v>国网科技部、国网
财务部</v>
          </cell>
        </row>
        <row r="36">
          <cell r="I36" t="str">
            <v>科技项目管理业务-11.研发项目加计扣除合规性-控制措施02</v>
          </cell>
          <cell r="J36" t="str">
            <v>项目承担部门负责提供研发成果佐证资料和技术合同相关登记、认定材料。</v>
          </cell>
        </row>
        <row r="36">
          <cell r="M36" t="str">
            <v>√</v>
          </cell>
        </row>
        <row r="36">
          <cell r="O36" t="str">
            <v>√</v>
          </cell>
        </row>
        <row r="36">
          <cell r="T36" t="str">
            <v>线下管控</v>
          </cell>
        </row>
        <row r="36">
          <cell r="V36" t="str">
            <v>1.任务书；
2.合同；
3.发票；
4.技术合同相关登记、认定材料；
5.研发成果佐证资料；
6.关联交易明细账。</v>
          </cell>
          <cell r="W36" t="str">
            <v>各级单位-科技项目承担部门-项目负责人</v>
          </cell>
          <cell r="X36" t="str">
            <v>每季度</v>
          </cell>
          <cell r="Y36" t="str">
            <v>抽查</v>
          </cell>
        </row>
        <row r="36">
          <cell r="AA36" t="str">
            <v>每季度</v>
          </cell>
          <cell r="AB36" t="str">
            <v>抽查</v>
          </cell>
        </row>
        <row r="36">
          <cell r="AH36" t="str">
            <v>是</v>
          </cell>
          <cell r="AI36" t="str">
            <v>是</v>
          </cell>
          <cell r="AJ36" t="str">
            <v>《研发费用加计扣除政策执行指引（2.0版）》
《国家电网公司研究开发费财务管理办法》国家电网企管〔2014〕742号</v>
          </cell>
          <cell r="AK36" t="str">
            <v>国网科技部、国网
财务部</v>
          </cell>
        </row>
        <row r="37">
          <cell r="A37" t="str">
            <v>科技项目管理业务</v>
          </cell>
          <cell r="B37" t="str">
            <v>二、项目实施管理</v>
          </cell>
          <cell r="C37" t="str">
            <v>资金资产安全、税务合规</v>
          </cell>
          <cell r="D37" t="str">
            <v>研发加计扣除</v>
          </cell>
          <cell r="E37" t="str">
            <v>加计扣除项目界定不准确，导致公司面临税务合规风险。</v>
          </cell>
        </row>
        <row r="37">
          <cell r="G37" t="str">
            <v>11.研发项目加计扣除合规性</v>
          </cell>
        </row>
        <row r="37">
          <cell r="I37" t="str">
            <v>科技项目管理业务-11.研发项目加计扣除合规性-控制措施03</v>
          </cell>
          <cell r="J37" t="str">
            <v>财务部门根据政府科技主管部门出具的技术合同相关登记、认定材料和第三方审计机构出具的专项鉴定报告，对研发加计扣除金额进行复核计算。</v>
          </cell>
        </row>
        <row r="37">
          <cell r="M37" t="str">
            <v>√</v>
          </cell>
        </row>
        <row r="37">
          <cell r="O37" t="str">
            <v>√</v>
          </cell>
        </row>
        <row r="37">
          <cell r="T37" t="str">
            <v>系统已建</v>
          </cell>
          <cell r="U37" t="str">
            <v>智慧共享财务平台</v>
          </cell>
          <cell r="V37" t="str">
            <v>1.任务书；
2.合同；
3.发票；
4.技术合同相关登记、认定材料；
5.研发成果佐证资料；
6.关联交易明细账。</v>
          </cell>
          <cell r="W37" t="str">
            <v>各级单位-财务部门-税务管理人员、各级单位-财务部门-负责人</v>
          </cell>
          <cell r="X37" t="str">
            <v>每季度</v>
          </cell>
          <cell r="Y37" t="str">
            <v>抽查</v>
          </cell>
        </row>
        <row r="37">
          <cell r="AA37" t="str">
            <v>每季度</v>
          </cell>
          <cell r="AB37" t="str">
            <v>抽查</v>
          </cell>
        </row>
        <row r="37">
          <cell r="AD37" t="str">
            <v>建立研发项目准确合规享受加计扣除监督场景，加计扣除整体情况及明细进行监督展示。</v>
          </cell>
          <cell r="AE37" t="str">
            <v>每月</v>
          </cell>
          <cell r="AF37" t="str">
            <v>抽查</v>
          </cell>
        </row>
        <row r="37">
          <cell r="AH37" t="str">
            <v>是</v>
          </cell>
          <cell r="AI37" t="str">
            <v>是</v>
          </cell>
          <cell r="AJ37" t="str">
            <v>《研发费用加计扣除政策执行指引（2.0版）》
《国家电网公司研究开发费财务管理办法》国家电网企管〔2014〕742号</v>
          </cell>
          <cell r="AK37" t="str">
            <v>国网科技部、国网
财务部</v>
          </cell>
        </row>
        <row r="38">
          <cell r="C38" t="str">
            <v>会计信息真实完整</v>
          </cell>
          <cell r="D38" t="str">
            <v>研发投入统计</v>
          </cell>
          <cell r="E38" t="str">
            <v>研发费用与生产、管理费用边界模糊，未通过“研发支出”科目核算，存在研发投入统计不准确风险。</v>
          </cell>
          <cell r="F38" t="str">
            <v>43.研究开发项目关键环节管控不严：存在研究开发项目项目自主度不高，外委比例过高；研发经费统计不精准；科研经费列支不正确；采取组装、集成、套牌贴牌等手段，虚假完成攻关任务等问题。</v>
          </cell>
          <cell r="G38" t="str">
            <v>12.研发费用核算与分摊准确性</v>
          </cell>
          <cell r="H38" t="str">
            <v>研发投入核算准确性、规范性。</v>
          </cell>
          <cell r="I38" t="str">
            <v>科技项目管理业务-12.研发费用核算与分摊准确性-控制措施01</v>
          </cell>
          <cell r="J38" t="str">
            <v>各项目承担部门根据项目立项信息及实际情况，负责识别本专业管理项目的研发属性，并对合理性负责，维护“研发项目分类”“学科领域及研究方向”数据标签。</v>
          </cell>
        </row>
        <row r="38">
          <cell r="M38" t="str">
            <v>√</v>
          </cell>
        </row>
        <row r="38">
          <cell r="T38" t="str">
            <v>系统已建</v>
          </cell>
          <cell r="U38" t="str">
            <v>智慧共享财务平台
科技创新综合服务管理平台</v>
          </cell>
          <cell r="V38" t="str">
            <v>1.各类项目清单；
2.项目建议书或可研报告；
3.任务书。</v>
          </cell>
          <cell r="W38" t="str">
            <v>各级单位-科技项目承担部门-项目负责人</v>
          </cell>
          <cell r="X38" t="str">
            <v>年度</v>
          </cell>
          <cell r="Y38" t="str">
            <v>全量检查</v>
          </cell>
        </row>
        <row r="38">
          <cell r="AA38" t="str">
            <v>年度</v>
          </cell>
          <cell r="AB38" t="str">
            <v>全量检查</v>
          </cell>
        </row>
        <row r="38">
          <cell r="AD38" t="str">
            <v>预算发布校验研发投入相关字段必填性。</v>
          </cell>
          <cell r="AE38" t="str">
            <v>年度</v>
          </cell>
          <cell r="AF38" t="str">
            <v>全量检查</v>
          </cell>
        </row>
        <row r="38">
          <cell r="AH38" t="str">
            <v>是</v>
          </cell>
          <cell r="AI38" t="str">
            <v>是</v>
          </cell>
          <cell r="AJ38" t="str">
            <v>《研发经费投入统计与核算管理规范》国家电网财〔2025〕25 号
《中央企业违规经营投资责任追究实施办法》国务院国资委令第46号
《国网湖南省电力有限公司关于进一步做好研发经费投入统计与核算管理工作》湘电公司财〔2025〕126号　</v>
          </cell>
          <cell r="AK38" t="str">
            <v>国网科技部、国网
财务部</v>
          </cell>
        </row>
        <row r="39">
          <cell r="I39" t="str">
            <v>科技项目管理业务-12.研发费用核算与分摊准确性-控制措施02</v>
          </cell>
          <cell r="J39" t="str">
            <v>对项目管理部门科技研发投入统计不实，虚列虚报研发投入的，依照中央企业违规经营投资管理办法追究责任。</v>
          </cell>
        </row>
        <row r="39">
          <cell r="S39" t="str">
            <v>√</v>
          </cell>
          <cell r="T39" t="str">
            <v>线下管控</v>
          </cell>
        </row>
        <row r="39">
          <cell r="V39" t="str">
            <v>1.各类项目清单；
2.项目建议书或可研报告；
3.任务书。</v>
          </cell>
          <cell r="W39" t="str">
            <v>各级单位-科技部门-管理人员、各级单位-科技部门-负责人</v>
          </cell>
          <cell r="X39" t="str">
            <v>年度</v>
          </cell>
          <cell r="Y39" t="str">
            <v>全量检查</v>
          </cell>
        </row>
        <row r="39">
          <cell r="AA39" t="str">
            <v>年度</v>
          </cell>
          <cell r="AB39" t="str">
            <v>全量检查</v>
          </cell>
        </row>
        <row r="39">
          <cell r="AH39" t="str">
            <v>是</v>
          </cell>
          <cell r="AI39" t="str">
            <v>是</v>
          </cell>
          <cell r="AJ39" t="str">
            <v>《研发经费投入统计与核算管理规范》国家电网财〔2025〕25 号
《中央企业违规经营投资责任追究实施办法》国务院国资委令第46号
《国网湖南省电力有限公司关于进一步做好研发经费投入统计与核算管理工作》湘电公司财〔2025〕126号　</v>
          </cell>
          <cell r="AK39" t="str">
            <v>国网科技部、国网
财务部</v>
          </cell>
        </row>
        <row r="40">
          <cell r="D40" t="str">
            <v>研发项目核算</v>
          </cell>
          <cell r="E40" t="str">
            <v>各级统一管理的科技项目，牵头方、受托方、委托方项目信息不一致，可能导致项目投入统计不准确。</v>
          </cell>
        </row>
        <row r="40">
          <cell r="G40" t="str">
            <v>13.内部受托研发项目三方信息一致性控制</v>
          </cell>
          <cell r="H40" t="str">
            <v>内部受托项目牵头方、委托方、受托方项目信息的一致性。</v>
          </cell>
          <cell r="I40" t="str">
            <v>科技项目管理业务-13.内部受托研发项目三方信息一致性-控制措施01</v>
          </cell>
          <cell r="J40" t="str">
            <v>牵头方单位负责牵头创建内部受委托项目，并建立内部项目管理共享机制，项目同步传递至受托方并系统控制，受托方不再单独建项。</v>
          </cell>
        </row>
        <row r="40">
          <cell r="M40" t="str">
            <v>√</v>
          </cell>
        </row>
        <row r="40">
          <cell r="O40" t="str">
            <v>√</v>
          </cell>
          <cell r="P40" t="str">
            <v>√</v>
          </cell>
          <cell r="Q40" t="str">
            <v>√</v>
          </cell>
        </row>
        <row r="40">
          <cell r="T40" t="str">
            <v>系统已建</v>
          </cell>
          <cell r="U40" t="str">
            <v>科技创新综合服务管理平台</v>
          </cell>
          <cell r="V40" t="str">
            <v>1.科技创新综合服务管理平台项目台账；
2.项目可研批复；
3.项目任务书及合同。</v>
          </cell>
          <cell r="W40" t="str">
            <v>各级单位-科技项目承担部门-项目负责人、各级单位-科技部门-管理人员</v>
          </cell>
          <cell r="X40" t="str">
            <v>每季度</v>
          </cell>
          <cell r="Y40" t="str">
            <v>全量检查</v>
          </cell>
        </row>
        <row r="40">
          <cell r="AA40" t="str">
            <v>每季度</v>
          </cell>
          <cell r="AB40" t="str">
            <v>全量检查</v>
          </cell>
        </row>
        <row r="40">
          <cell r="AD40" t="str">
            <v>建立内部受委托方项目关联关系，通过牵头方项目可穿透查询受委托方项目及项目的结算、牵头方项目编码自动关联形成协同单据及凭证，对项目信息的一致性进行提示。</v>
          </cell>
          <cell r="AE40" t="str">
            <v>每年</v>
          </cell>
          <cell r="AF40" t="str">
            <v>全量检查</v>
          </cell>
        </row>
        <row r="40">
          <cell r="AH40" t="str">
            <v>是</v>
          </cell>
          <cell r="AI40" t="str">
            <v>是</v>
          </cell>
          <cell r="AJ40" t="str">
            <v>《研发经费投入统计与核算管理规范》国家电网财〔2025〕25 号
《国网湖南省电力有限公司关于进一步做好研发经费投入统计与核算管理工作》湘电公司财〔2025〕126号　</v>
          </cell>
          <cell r="AK40" t="str">
            <v>国网科技部</v>
          </cell>
        </row>
        <row r="41">
          <cell r="B41" t="str">
            <v>三、竣工验收转资</v>
          </cell>
          <cell r="C41" t="str">
            <v>资金资产安全</v>
          </cell>
          <cell r="D41" t="str">
            <v>项目验收</v>
          </cell>
          <cell r="E41" t="str">
            <v>验收不规范，存在研究开发项目未按期完成，未按项目任务书约定取得相关成果的风险。</v>
          </cell>
        </row>
        <row r="41">
          <cell r="G41" t="str">
            <v>14.项目验收质量</v>
          </cell>
          <cell r="H41" t="str">
            <v>验收流程规范及项目质量。</v>
          </cell>
          <cell r="I41" t="str">
            <v>科技项目管理业务-14项目验收质量-控制措施01</v>
          </cell>
          <cell r="J41" t="str">
            <v>项目承担部门按规定履行项目验收程序，依据计划开展验收。</v>
          </cell>
        </row>
        <row r="41">
          <cell r="M41" t="str">
            <v>√</v>
          </cell>
        </row>
        <row r="41">
          <cell r="T41" t="str">
            <v>线下管控</v>
          </cell>
        </row>
        <row r="41">
          <cell r="V41" t="str">
            <v>验收计划。</v>
          </cell>
          <cell r="W41" t="str">
            <v>各级单位-科技项目承担部门-项目负责人、各级单位-科技部门-管理人员</v>
          </cell>
          <cell r="X41" t="str">
            <v>每月</v>
          </cell>
          <cell r="Y41" t="str">
            <v>全量检查</v>
          </cell>
        </row>
        <row r="41">
          <cell r="AA41" t="str">
            <v>每月</v>
          </cell>
          <cell r="AB41" t="str">
            <v>全量检查</v>
          </cell>
        </row>
        <row r="41">
          <cell r="AH41" t="str">
            <v>是</v>
          </cell>
          <cell r="AI41" t="str">
            <v>是</v>
          </cell>
          <cell r="AJ41" t="str">
            <v>《国家电网有限公司总部管理科技项目实施及验收管理细则》国家电网企管〔2024〕71号
《国网湖南省电力有限公司关于印发进一步加强科技项目全过程管理具体举措》湘电公司科〔2025〕239号 </v>
          </cell>
          <cell r="AK41" t="str">
            <v>国网科技部</v>
          </cell>
        </row>
        <row r="42">
          <cell r="I42" t="str">
            <v>科技项目管理业务-14项目验收质量-控制措施02</v>
          </cell>
          <cell r="J42" t="str">
            <v>科技部门组织对项目完成情况进行审核。</v>
          </cell>
        </row>
        <row r="42">
          <cell r="M42" t="str">
            <v>√</v>
          </cell>
        </row>
        <row r="42">
          <cell r="O42" t="str">
            <v>√</v>
          </cell>
        </row>
        <row r="42">
          <cell r="T42" t="str">
            <v>线下管控</v>
          </cell>
        </row>
        <row r="42">
          <cell r="V42" t="str">
            <v>1.验收报告；
2.项目任务书及合同。</v>
          </cell>
          <cell r="W42" t="str">
            <v>各级单位-科技项目承担部门-项目负责人、各级单位-科技部门-管理人员</v>
          </cell>
          <cell r="X42" t="str">
            <v>每月</v>
          </cell>
          <cell r="Y42" t="str">
            <v>全量检查</v>
          </cell>
        </row>
        <row r="42">
          <cell r="AA42" t="str">
            <v>每月</v>
          </cell>
          <cell r="AB42" t="str">
            <v>全量检查</v>
          </cell>
        </row>
        <row r="42">
          <cell r="AH42" t="str">
            <v>是</v>
          </cell>
          <cell r="AI42" t="str">
            <v>是</v>
          </cell>
          <cell r="AJ42" t="str">
            <v>《国家电网有限公司总部管理科技项目实施及验收管理细则》国家电网企管〔2024〕71号
《国网湖南省电力有限公司关于印发进一步加强科技项目全过程管理具体举措》湘电公司科〔2025〕239号 </v>
          </cell>
          <cell r="AK42" t="str">
            <v>国网科技部</v>
          </cell>
        </row>
        <row r="43">
          <cell r="I43" t="str">
            <v>科技项目管理业务-14项目验收质量-控制措施03</v>
          </cell>
          <cell r="J43" t="str">
            <v>科技部门负责选取评审专家、审核专家资质并实施不相容岗位控制。</v>
          </cell>
        </row>
        <row r="43">
          <cell r="M43" t="str">
            <v>√</v>
          </cell>
        </row>
        <row r="43">
          <cell r="T43" t="str">
            <v>系统已建</v>
          </cell>
          <cell r="U43" t="str">
            <v>科技创新综合服务管理平台</v>
          </cell>
          <cell r="V43" t="str">
            <v>验收专家名单。</v>
          </cell>
          <cell r="W43" t="str">
            <v>各级单位-科技部门-管理人员、各级单位-科技部门-负责人</v>
          </cell>
          <cell r="X43" t="str">
            <v>每月</v>
          </cell>
          <cell r="Y43" t="str">
            <v>全量检查</v>
          </cell>
        </row>
        <row r="43">
          <cell r="AA43" t="str">
            <v>每月</v>
          </cell>
          <cell r="AB43" t="str">
            <v>全量检查</v>
          </cell>
        </row>
        <row r="43">
          <cell r="AD43" t="str">
            <v>专家推荐</v>
          </cell>
          <cell r="AE43" t="str">
            <v>年度</v>
          </cell>
          <cell r="AF43" t="str">
            <v>抽查</v>
          </cell>
        </row>
        <row r="43">
          <cell r="AH43" t="str">
            <v>是</v>
          </cell>
          <cell r="AI43" t="str">
            <v>是</v>
          </cell>
          <cell r="AJ43" t="str">
            <v>《国家电网有限公司总部管理科技项目实施及验收管理细则》国家电网企管〔2024〕71号
《国网湖南省电力有限公司关于印发进一步加强科技项目全过程管理具体举措》湘电公司科〔2025〕239号 </v>
          </cell>
          <cell r="AK43" t="str">
            <v>国网科技部</v>
          </cell>
        </row>
        <row r="44">
          <cell r="C44" t="str">
            <v>资金资产安全</v>
          </cell>
          <cell r="D44" t="str">
            <v>科技成果转化</v>
          </cell>
          <cell r="E44" t="str">
            <v>联合研发、外委研发中对知识产权归属界定不清晰，研发成果转化程序不合规，导致研发成果流失。</v>
          </cell>
          <cell r="F44" t="str">
            <v>41.科技成果转化应用机制和知识产权对外保护机制落实不到位：存在部分单位对公司促进科技成果转化的部署要求落实不到位、未按规定收取研究开发项目成果转化收益、未经许可擅自允许分包商作为共同专利权人、知识产权变更缺少管控等问题。
44.知识产权对外保护机制落实不到位：存在未经许可擅自允许分包商作为共同专利权人、知识产权变更缺少管控等问题。
51.项目专利未得到有效保护：存在未严格管控合作方注册专利、未经许可擅自允许分包商参与专利申请等问题。</v>
          </cell>
          <cell r="G44" t="str">
            <v>15.科研成果权属保护有效性</v>
          </cell>
          <cell r="H44" t="str">
            <v>知识产权归属及成果转化价值。</v>
          </cell>
          <cell r="I44" t="str">
            <v>科技项目管理业务-15科研成果权属保护有效性-控制措施01</v>
          </cell>
          <cell r="J44" t="str">
            <v>项目承担部门在合同签订时明确知识产权、专利技术等科技成果权属，做好科研成果的保护。</v>
          </cell>
        </row>
        <row r="44">
          <cell r="M44" t="str">
            <v>√</v>
          </cell>
        </row>
        <row r="44">
          <cell r="O44" t="str">
            <v>√</v>
          </cell>
        </row>
        <row r="44">
          <cell r="R44" t="str">
            <v>√</v>
          </cell>
        </row>
        <row r="44">
          <cell r="T44" t="str">
            <v>线下管控</v>
          </cell>
        </row>
        <row r="44">
          <cell r="V44" t="str">
            <v>1.转化协议及收益收取等材料；
2.专利授权文本。</v>
          </cell>
          <cell r="W44" t="str">
            <v>各级单位-科技项目承担部门-项目负责人、各级单位-科技项目承担部门-负责人、各级单位-科技部门-管理人员、各级单位-科技部门-负责人</v>
          </cell>
          <cell r="X44" t="str">
            <v>年度</v>
          </cell>
          <cell r="Y44" t="str">
            <v>抽查</v>
          </cell>
        </row>
        <row r="44">
          <cell r="AA44" t="str">
            <v>年度</v>
          </cell>
          <cell r="AB44" t="str">
            <v>抽查</v>
          </cell>
        </row>
        <row r="44">
          <cell r="AH44" t="str">
            <v>是</v>
          </cell>
          <cell r="AI44" t="str">
            <v>是</v>
          </cell>
          <cell r="AJ44" t="str">
            <v>《国家电网公司知识产权管理办法》国网（科/2）418-2022
《国家电网公司科技成果转化管理办法》国网（科/2）419-2022
《国网湖南省电力有限公司创新成果转化及应用管理实施细则》湘电公司科〔2024〕431号</v>
          </cell>
          <cell r="AK44" t="str">
            <v>国网科技部</v>
          </cell>
        </row>
        <row r="45">
          <cell r="I45" t="str">
            <v>科技项目管理业务-15科研成果权属保护有效性-控制措施02</v>
          </cell>
          <cell r="J45" t="str">
            <v>项目承担部门严格落实科技成果转化合同有关条款，避免相关收益流失。</v>
          </cell>
        </row>
        <row r="45">
          <cell r="M45" t="str">
            <v>√</v>
          </cell>
        </row>
        <row r="45">
          <cell r="O45" t="str">
            <v>√</v>
          </cell>
        </row>
        <row r="45">
          <cell r="R45" t="str">
            <v>√</v>
          </cell>
        </row>
        <row r="45">
          <cell r="T45" t="str">
            <v>线下管控</v>
          </cell>
        </row>
        <row r="45">
          <cell r="V45" t="str">
            <v>1.转化协议及收益收取等材料；
2.专利授权文本。</v>
          </cell>
          <cell r="W45" t="str">
            <v>各级单位-科技项目承担部门-项目负责人、各级单位-科技项目承担部门-负责人、各级单位-科技部门-管理人员、各级单位-科技部门-负责人</v>
          </cell>
          <cell r="X45" t="str">
            <v>年度</v>
          </cell>
          <cell r="Y45" t="str">
            <v>抽查</v>
          </cell>
        </row>
        <row r="45">
          <cell r="AA45" t="str">
            <v>年度</v>
          </cell>
          <cell r="AB45" t="str">
            <v>抽查</v>
          </cell>
        </row>
        <row r="45">
          <cell r="AH45" t="str">
            <v>是</v>
          </cell>
          <cell r="AI45" t="str">
            <v>是</v>
          </cell>
          <cell r="AJ45" t="str">
            <v>《国家电网公司知识产权管理办法》国网（科/2）418-2022
《国家电网公司科技成果转化管理办法》国网（科/2）419-2022
《国网湖南省电力有限公司创新成果转化及应用管理实施细则》湘电公司科〔2024〕431号</v>
          </cell>
          <cell r="AK45" t="str">
            <v>国网科技部</v>
          </cell>
        </row>
        <row r="46">
          <cell r="I46" t="str">
            <v>科技项目管理业务-15科研成果权属保护有效性-控制措施03</v>
          </cell>
          <cell r="J46" t="str">
            <v>科技部门对知识产权归属及成果转化价值进行评价和监督。</v>
          </cell>
        </row>
        <row r="46">
          <cell r="S46" t="str">
            <v>√</v>
          </cell>
          <cell r="T46" t="str">
            <v>线下管控</v>
          </cell>
        </row>
        <row r="46">
          <cell r="V46" t="str">
            <v>1.转化协议及收益收取等材料；
2.专利授权文本。</v>
          </cell>
          <cell r="W46" t="str">
            <v>各级单位-科技部门-管理人员、各级单位-科技部门-负责人</v>
          </cell>
          <cell r="X46" t="str">
            <v>年度</v>
          </cell>
          <cell r="Y46" t="str">
            <v>抽查</v>
          </cell>
        </row>
        <row r="46">
          <cell r="AA46" t="str">
            <v>年度</v>
          </cell>
          <cell r="AB46" t="str">
            <v>抽查</v>
          </cell>
        </row>
        <row r="46">
          <cell r="AH46" t="str">
            <v>是</v>
          </cell>
          <cell r="AI46" t="str">
            <v>是</v>
          </cell>
          <cell r="AJ46" t="str">
            <v>《国家电网公司知识产权管理办法》国网（科/2）418-2022
《国家电网公司科技成果转化管理办法》国网（科/2）419-2022
《国网湖南省电力有限公司创新成果转化及应用管理实施细则》湘电公司科〔2024〕431号</v>
          </cell>
          <cell r="AK46" t="str">
            <v>国网科技部</v>
          </cell>
        </row>
        <row r="47">
          <cell r="I47" t="str">
            <v>科技项目管理业务-15科研成果权属保护有效性-控制措施04</v>
          </cell>
          <cell r="J47" t="str">
            <v>科技部门对知识产权的价值进行定期评估，对低价值专利定期放弃维护。</v>
          </cell>
        </row>
        <row r="47">
          <cell r="S47" t="str">
            <v>√</v>
          </cell>
          <cell r="T47" t="str">
            <v>线下管控</v>
          </cell>
        </row>
        <row r="47">
          <cell r="V47" t="str">
            <v>
1.专利评估结果</v>
          </cell>
          <cell r="W47" t="str">
            <v>各级单位-科技部门-管理人员、各级单位-科技部门-负责人</v>
          </cell>
          <cell r="X47" t="str">
            <v>年度</v>
          </cell>
          <cell r="Y47" t="str">
            <v>抽查</v>
          </cell>
        </row>
        <row r="47">
          <cell r="AA47" t="str">
            <v>年度</v>
          </cell>
          <cell r="AB47" t="str">
            <v>抽查</v>
          </cell>
        </row>
        <row r="47">
          <cell r="AH47" t="str">
            <v>是</v>
          </cell>
          <cell r="AI47" t="str">
            <v>是</v>
          </cell>
          <cell r="AJ47" t="str">
            <v>《国家电网公司知识产权管理办法》国网（科/2）418-2022
《国家电网公司科技成果转化管理办法》国网（科/2）419-2022</v>
          </cell>
          <cell r="AK47" t="str">
            <v>国网科技部</v>
          </cell>
        </row>
      </sheetData>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8.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dimension ref="A1:F185"/>
  <sheetViews>
    <sheetView zoomScale="145" zoomScaleNormal="145" topLeftCell="A154" workbookViewId="0">
      <selection activeCell="F46" sqref="F46"/>
    </sheetView>
  </sheetViews>
  <sheetFormatPr defaultColWidth="9" defaultRowHeight="13.8" outlineLevelCol="5"/>
  <cols>
    <col min="1" max="1" width="8.33333333333333" customWidth="1"/>
    <col min="2" max="2" width="13" customWidth="1"/>
    <col min="3" max="3" width="20.25" customWidth="1"/>
    <col min="4" max="4" width="11.3333333333333" customWidth="1"/>
    <col min="5" max="5" width="43" customWidth="1"/>
    <col min="6" max="6" width="21.4166666666667" style="119" customWidth="1"/>
  </cols>
  <sheetData>
    <row r="1" ht="28.8" spans="1:6">
      <c r="A1" s="120" t="s">
        <v>0</v>
      </c>
      <c r="B1" s="120" t="s">
        <v>1</v>
      </c>
      <c r="C1" s="120" t="s">
        <v>2</v>
      </c>
      <c r="D1" s="120" t="s">
        <v>3</v>
      </c>
      <c r="E1" s="120" t="s">
        <v>4</v>
      </c>
      <c r="F1" s="120" t="s">
        <v>5</v>
      </c>
    </row>
    <row r="2" ht="28.8" spans="1:6">
      <c r="A2" s="121" t="s">
        <v>6</v>
      </c>
      <c r="B2" s="121" t="s">
        <v>7</v>
      </c>
      <c r="C2" s="121" t="s">
        <v>8</v>
      </c>
      <c r="D2" s="122" t="s">
        <v>9</v>
      </c>
      <c r="E2" s="122" t="s">
        <v>10</v>
      </c>
      <c r="F2" s="123"/>
    </row>
    <row r="3" ht="28.8" spans="1:6">
      <c r="A3" s="121"/>
      <c r="B3" s="121"/>
      <c r="C3" s="121"/>
      <c r="D3" s="122" t="s">
        <v>11</v>
      </c>
      <c r="E3" s="122" t="s">
        <v>12</v>
      </c>
      <c r="F3" s="123"/>
    </row>
    <row r="4" ht="28.8" spans="1:6">
      <c r="A4" s="121"/>
      <c r="B4" s="121"/>
      <c r="C4" s="121"/>
      <c r="D4" s="122" t="s">
        <v>13</v>
      </c>
      <c r="E4" s="122" t="s">
        <v>14</v>
      </c>
      <c r="F4" s="123"/>
    </row>
    <row r="5" ht="28.8" spans="1:6">
      <c r="A5" s="121"/>
      <c r="B5" s="121"/>
      <c r="C5" s="121"/>
      <c r="D5" s="122" t="s">
        <v>15</v>
      </c>
      <c r="E5" s="122" t="s">
        <v>16</v>
      </c>
      <c r="F5" s="123"/>
    </row>
    <row r="6" ht="28.8" spans="1:6">
      <c r="A6" s="121"/>
      <c r="B6" s="121"/>
      <c r="C6" s="121"/>
      <c r="D6" s="122" t="s">
        <v>17</v>
      </c>
      <c r="E6" s="122" t="s">
        <v>18</v>
      </c>
      <c r="F6" s="123"/>
    </row>
    <row r="7" ht="28.8" spans="1:6">
      <c r="A7" s="121"/>
      <c r="B7" s="121"/>
      <c r="C7" s="121"/>
      <c r="D7" s="122" t="s">
        <v>19</v>
      </c>
      <c r="E7" s="122" t="s">
        <v>20</v>
      </c>
      <c r="F7" s="123"/>
    </row>
    <row r="8" ht="28.8" spans="1:6">
      <c r="A8" s="121"/>
      <c r="B8" s="121"/>
      <c r="C8" s="121" t="s">
        <v>21</v>
      </c>
      <c r="D8" s="122" t="s">
        <v>22</v>
      </c>
      <c r="E8" s="122" t="s">
        <v>23</v>
      </c>
      <c r="F8" s="123"/>
    </row>
    <row r="9" ht="28.8" spans="1:6">
      <c r="A9" s="121"/>
      <c r="B9" s="121"/>
      <c r="C9" s="121"/>
      <c r="D9" s="122" t="s">
        <v>24</v>
      </c>
      <c r="E9" s="122" t="s">
        <v>25</v>
      </c>
      <c r="F9" s="123"/>
    </row>
    <row r="10" ht="28.8" spans="1:6">
      <c r="A10" s="121"/>
      <c r="B10" s="121"/>
      <c r="C10" s="121" t="s">
        <v>26</v>
      </c>
      <c r="D10" s="122" t="s">
        <v>27</v>
      </c>
      <c r="E10" s="122" t="s">
        <v>28</v>
      </c>
      <c r="F10" s="123"/>
    </row>
    <row r="11" ht="28.8" spans="1:6">
      <c r="A11" s="121"/>
      <c r="B11" s="121"/>
      <c r="C11" s="121"/>
      <c r="D11" s="122" t="s">
        <v>29</v>
      </c>
      <c r="E11" s="122" t="s">
        <v>30</v>
      </c>
      <c r="F11" s="123"/>
    </row>
    <row r="12" ht="28.8" spans="1:6">
      <c r="A12" s="121"/>
      <c r="B12" s="121"/>
      <c r="C12" s="121"/>
      <c r="D12" s="122" t="s">
        <v>31</v>
      </c>
      <c r="E12" s="122" t="s">
        <v>32</v>
      </c>
      <c r="F12" s="123"/>
    </row>
    <row r="13" ht="14.5" customHeight="1" spans="1:6">
      <c r="A13" s="121"/>
      <c r="B13" s="121"/>
      <c r="C13" s="124" t="s">
        <v>33</v>
      </c>
      <c r="D13" s="125" t="s">
        <v>34</v>
      </c>
      <c r="E13" s="125" t="s">
        <v>35</v>
      </c>
      <c r="F13" s="126" t="s">
        <v>36</v>
      </c>
    </row>
    <row r="14" ht="14.5" customHeight="1" spans="1:6">
      <c r="A14" s="121"/>
      <c r="B14" s="121"/>
      <c r="C14" s="127"/>
      <c r="D14" s="125" t="s">
        <v>37</v>
      </c>
      <c r="E14" s="125" t="s">
        <v>38</v>
      </c>
      <c r="F14" s="128"/>
    </row>
    <row r="15" ht="28.8" spans="1:6">
      <c r="A15" s="121"/>
      <c r="B15" s="121"/>
      <c r="C15" s="121" t="s">
        <v>39</v>
      </c>
      <c r="D15" s="122" t="s">
        <v>34</v>
      </c>
      <c r="E15" s="122" t="s">
        <v>40</v>
      </c>
      <c r="F15" s="123"/>
    </row>
    <row r="16" ht="28.8" spans="1:6">
      <c r="A16" s="121"/>
      <c r="B16" s="121"/>
      <c r="C16" s="121" t="s">
        <v>41</v>
      </c>
      <c r="D16" s="122" t="s">
        <v>42</v>
      </c>
      <c r="E16" s="122" t="s">
        <v>43</v>
      </c>
      <c r="F16" s="123"/>
    </row>
    <row r="17" ht="28.8" spans="1:6">
      <c r="A17" s="121"/>
      <c r="B17" s="121"/>
      <c r="C17" s="121"/>
      <c r="D17" s="122" t="s">
        <v>44</v>
      </c>
      <c r="E17" s="122" t="s">
        <v>45</v>
      </c>
      <c r="F17" s="123"/>
    </row>
    <row r="18" ht="28.8" spans="1:6">
      <c r="A18" s="121"/>
      <c r="B18" s="121"/>
      <c r="C18" s="121"/>
      <c r="D18" s="122" t="s">
        <v>46</v>
      </c>
      <c r="E18" s="122" t="s">
        <v>47</v>
      </c>
      <c r="F18" s="123"/>
    </row>
    <row r="19" ht="28.8" spans="1:6">
      <c r="A19" s="121"/>
      <c r="B19" s="121" t="s">
        <v>48</v>
      </c>
      <c r="C19" s="121" t="s">
        <v>49</v>
      </c>
      <c r="D19" s="122" t="s">
        <v>50</v>
      </c>
      <c r="E19" s="122" t="s">
        <v>51</v>
      </c>
      <c r="F19" s="123"/>
    </row>
    <row r="20" ht="28.8" spans="1:6">
      <c r="A20" s="121"/>
      <c r="B20" s="121"/>
      <c r="C20" s="121"/>
      <c r="D20" s="122" t="s">
        <v>52</v>
      </c>
      <c r="E20" s="122" t="s">
        <v>53</v>
      </c>
      <c r="F20" s="123"/>
    </row>
    <row r="21" ht="28.8" spans="1:6">
      <c r="A21" s="121"/>
      <c r="B21" s="121"/>
      <c r="C21" s="129" t="s">
        <v>54</v>
      </c>
      <c r="D21" s="125" t="s">
        <v>55</v>
      </c>
      <c r="E21" s="125" t="s">
        <v>56</v>
      </c>
      <c r="F21" s="129" t="s">
        <v>36</v>
      </c>
    </row>
    <row r="22" ht="28.8" spans="1:6">
      <c r="A22" s="121"/>
      <c r="B22" s="121"/>
      <c r="C22" s="129"/>
      <c r="D22" s="125" t="s">
        <v>57</v>
      </c>
      <c r="E22" s="125" t="s">
        <v>58</v>
      </c>
      <c r="F22" s="129"/>
    </row>
    <row r="23" ht="28.8" spans="1:6">
      <c r="A23" s="121"/>
      <c r="B23" s="121"/>
      <c r="C23" s="129"/>
      <c r="D23" s="125" t="s">
        <v>59</v>
      </c>
      <c r="E23" s="125" t="s">
        <v>60</v>
      </c>
      <c r="F23" s="129"/>
    </row>
    <row r="24" ht="28.8" spans="1:6">
      <c r="A24" s="121"/>
      <c r="B24" s="121"/>
      <c r="C24" s="129"/>
      <c r="D24" s="125" t="s">
        <v>61</v>
      </c>
      <c r="E24" s="125" t="s">
        <v>62</v>
      </c>
      <c r="F24" s="129"/>
    </row>
    <row r="25" ht="28.8" spans="1:6">
      <c r="A25" s="121"/>
      <c r="B25" s="121"/>
      <c r="C25" s="129"/>
      <c r="D25" s="125" t="s">
        <v>63</v>
      </c>
      <c r="E25" s="125" t="s">
        <v>64</v>
      </c>
      <c r="F25" s="129"/>
    </row>
    <row r="26" ht="28.8" spans="1:6">
      <c r="A26" s="121"/>
      <c r="B26" s="121"/>
      <c r="C26" s="129"/>
      <c r="D26" s="125" t="s">
        <v>65</v>
      </c>
      <c r="E26" s="125" t="s">
        <v>66</v>
      </c>
      <c r="F26" s="129"/>
    </row>
    <row r="27" ht="28.8" spans="1:6">
      <c r="A27" s="121"/>
      <c r="B27" s="121"/>
      <c r="C27" s="129"/>
      <c r="D27" s="125" t="s">
        <v>67</v>
      </c>
      <c r="E27" s="125" t="s">
        <v>68</v>
      </c>
      <c r="F27" s="129"/>
    </row>
    <row r="28" ht="28.8" spans="1:6">
      <c r="A28" s="121"/>
      <c r="B28" s="121"/>
      <c r="C28" s="121" t="s">
        <v>69</v>
      </c>
      <c r="D28" s="122" t="s">
        <v>70</v>
      </c>
      <c r="E28" s="122" t="s">
        <v>71</v>
      </c>
      <c r="F28" s="123"/>
    </row>
    <row r="29" ht="28.8" spans="1:6">
      <c r="A29" s="121"/>
      <c r="B29" s="121"/>
      <c r="C29" s="121"/>
      <c r="D29" s="122" t="s">
        <v>72</v>
      </c>
      <c r="E29" s="122" t="s">
        <v>73</v>
      </c>
      <c r="F29" s="123"/>
    </row>
    <row r="30" ht="28.8" spans="1:6">
      <c r="A30" s="121"/>
      <c r="B30" s="121"/>
      <c r="C30" s="121"/>
      <c r="D30" s="122" t="s">
        <v>74</v>
      </c>
      <c r="E30" s="122" t="s">
        <v>75</v>
      </c>
      <c r="F30" s="123"/>
    </row>
    <row r="31" ht="28.8" spans="1:6">
      <c r="A31" s="121"/>
      <c r="B31" s="121"/>
      <c r="C31" s="121"/>
      <c r="D31" s="122" t="s">
        <v>76</v>
      </c>
      <c r="E31" s="122" t="s">
        <v>77</v>
      </c>
      <c r="F31" s="123"/>
    </row>
    <row r="32" ht="28.8" spans="1:6">
      <c r="A32" s="121"/>
      <c r="B32" s="121"/>
      <c r="C32" s="121"/>
      <c r="D32" s="122" t="s">
        <v>78</v>
      </c>
      <c r="E32" s="122" t="s">
        <v>79</v>
      </c>
      <c r="F32" s="123"/>
    </row>
    <row r="33" ht="28.8" spans="1:6">
      <c r="A33" s="121"/>
      <c r="B33" s="121"/>
      <c r="C33" s="121"/>
      <c r="D33" s="122" t="s">
        <v>80</v>
      </c>
      <c r="E33" s="122" t="s">
        <v>81</v>
      </c>
      <c r="F33" s="123"/>
    </row>
    <row r="34" ht="28.8" spans="1:6">
      <c r="A34" s="121"/>
      <c r="B34" s="121"/>
      <c r="C34" s="121"/>
      <c r="D34" s="122" t="s">
        <v>82</v>
      </c>
      <c r="E34" s="122" t="s">
        <v>83</v>
      </c>
      <c r="F34" s="123"/>
    </row>
    <row r="35" ht="28.8" spans="1:6">
      <c r="A35" s="121"/>
      <c r="B35" s="121"/>
      <c r="C35" s="121"/>
      <c r="D35" s="122" t="s">
        <v>84</v>
      </c>
      <c r="E35" s="122" t="s">
        <v>85</v>
      </c>
      <c r="F35" s="123"/>
    </row>
    <row r="36" ht="28.8" spans="1:6">
      <c r="A36" s="121"/>
      <c r="B36" s="121"/>
      <c r="C36" s="121"/>
      <c r="D36" s="122" t="s">
        <v>86</v>
      </c>
      <c r="E36" s="122" t="s">
        <v>87</v>
      </c>
      <c r="F36" s="123"/>
    </row>
    <row r="37" ht="28.8" spans="1:6">
      <c r="A37" s="121"/>
      <c r="B37" s="121"/>
      <c r="C37" s="121"/>
      <c r="D37" s="122" t="s">
        <v>88</v>
      </c>
      <c r="E37" s="122" t="s">
        <v>89</v>
      </c>
      <c r="F37" s="123"/>
    </row>
    <row r="38" ht="28.8" spans="1:6">
      <c r="A38" s="121"/>
      <c r="B38" s="121"/>
      <c r="C38" s="121"/>
      <c r="D38" s="122" t="s">
        <v>90</v>
      </c>
      <c r="E38" s="122" t="s">
        <v>91</v>
      </c>
      <c r="F38" s="123"/>
    </row>
    <row r="39" ht="28.8" spans="1:6">
      <c r="A39" s="121"/>
      <c r="B39" s="121"/>
      <c r="C39" s="121"/>
      <c r="D39" s="122" t="s">
        <v>92</v>
      </c>
      <c r="E39" s="122" t="s">
        <v>93</v>
      </c>
      <c r="F39" s="123"/>
    </row>
    <row r="40" ht="28.8" spans="1:6">
      <c r="A40" s="121"/>
      <c r="B40" s="121"/>
      <c r="C40" s="121"/>
      <c r="D40" s="122" t="s">
        <v>94</v>
      </c>
      <c r="E40" s="122" t="s">
        <v>95</v>
      </c>
      <c r="F40" s="123"/>
    </row>
    <row r="41" ht="28.8" spans="1:6">
      <c r="A41" s="121"/>
      <c r="B41" s="121"/>
      <c r="C41" s="121"/>
      <c r="D41" s="122" t="s">
        <v>96</v>
      </c>
      <c r="E41" s="122" t="s">
        <v>97</v>
      </c>
      <c r="F41" s="123"/>
    </row>
    <row r="42" ht="28.8" spans="1:6">
      <c r="A42" s="121"/>
      <c r="B42" s="121"/>
      <c r="C42" s="121"/>
      <c r="D42" s="122" t="s">
        <v>98</v>
      </c>
      <c r="E42" s="122" t="s">
        <v>99</v>
      </c>
      <c r="F42" s="123"/>
    </row>
    <row r="43" ht="28.8" spans="1:6">
      <c r="A43" s="121"/>
      <c r="B43" s="121"/>
      <c r="C43" s="121"/>
      <c r="D43" s="122" t="s">
        <v>100</v>
      </c>
      <c r="E43" s="122" t="s">
        <v>101</v>
      </c>
      <c r="F43" s="123"/>
    </row>
    <row r="44" ht="28.8" spans="1:6">
      <c r="A44" s="121"/>
      <c r="B44" s="121"/>
      <c r="C44" s="121"/>
      <c r="D44" s="122" t="s">
        <v>102</v>
      </c>
      <c r="E44" s="122" t="s">
        <v>103</v>
      </c>
      <c r="F44" s="123"/>
    </row>
    <row r="45" ht="28.8" spans="1:6">
      <c r="A45" s="121"/>
      <c r="B45" s="121"/>
      <c r="C45" s="121"/>
      <c r="D45" s="122" t="s">
        <v>104</v>
      </c>
      <c r="E45" s="122" t="s">
        <v>105</v>
      </c>
      <c r="F45" s="123"/>
    </row>
    <row r="46" ht="28.8" spans="1:6">
      <c r="A46" s="121"/>
      <c r="B46" s="121"/>
      <c r="C46" s="121"/>
      <c r="D46" s="122" t="s">
        <v>106</v>
      </c>
      <c r="E46" s="122" t="s">
        <v>107</v>
      </c>
      <c r="F46" s="123"/>
    </row>
    <row r="47" ht="28.8" spans="1:6">
      <c r="A47" s="121"/>
      <c r="B47" s="121"/>
      <c r="C47" s="121"/>
      <c r="D47" s="122" t="s">
        <v>108</v>
      </c>
      <c r="E47" s="122" t="s">
        <v>109</v>
      </c>
      <c r="F47" s="123"/>
    </row>
    <row r="48" ht="28.8" spans="1:6">
      <c r="A48" s="121"/>
      <c r="B48" s="121"/>
      <c r="C48" s="129" t="s">
        <v>110</v>
      </c>
      <c r="D48" s="125" t="s">
        <v>111</v>
      </c>
      <c r="E48" s="125" t="s">
        <v>112</v>
      </c>
      <c r="F48" s="129" t="s">
        <v>36</v>
      </c>
    </row>
    <row r="49" ht="28.8" spans="1:6">
      <c r="A49" s="121"/>
      <c r="B49" s="121"/>
      <c r="C49" s="129"/>
      <c r="D49" s="125" t="s">
        <v>113</v>
      </c>
      <c r="E49" s="125" t="s">
        <v>114</v>
      </c>
      <c r="F49" s="129"/>
    </row>
    <row r="50" ht="28.8" spans="1:6">
      <c r="A50" s="121"/>
      <c r="B50" s="121"/>
      <c r="C50" s="129"/>
      <c r="D50" s="125" t="s">
        <v>115</v>
      </c>
      <c r="E50" s="125" t="s">
        <v>116</v>
      </c>
      <c r="F50" s="129"/>
    </row>
    <row r="51" ht="28.8" spans="1:6">
      <c r="A51" s="121"/>
      <c r="B51" s="121"/>
      <c r="C51" s="129"/>
      <c r="D51" s="125" t="s">
        <v>117</v>
      </c>
      <c r="E51" s="125" t="s">
        <v>118</v>
      </c>
      <c r="F51" s="129"/>
    </row>
    <row r="52" ht="28.8" spans="1:6">
      <c r="A52" s="121"/>
      <c r="B52" s="121"/>
      <c r="C52" s="129" t="s">
        <v>119</v>
      </c>
      <c r="D52" s="125" t="s">
        <v>120</v>
      </c>
      <c r="E52" s="125" t="s">
        <v>121</v>
      </c>
      <c r="F52" s="129" t="s">
        <v>36</v>
      </c>
    </row>
    <row r="53" ht="28.8" spans="1:6">
      <c r="A53" s="121"/>
      <c r="B53" s="121"/>
      <c r="C53" s="129"/>
      <c r="D53" s="125" t="s">
        <v>122</v>
      </c>
      <c r="E53" s="125" t="s">
        <v>123</v>
      </c>
      <c r="F53" s="129"/>
    </row>
    <row r="54" ht="28.8" spans="1:6">
      <c r="A54" s="121"/>
      <c r="B54" s="121"/>
      <c r="C54" s="129"/>
      <c r="D54" s="125" t="s">
        <v>124</v>
      </c>
      <c r="E54" s="125" t="s">
        <v>125</v>
      </c>
      <c r="F54" s="129"/>
    </row>
    <row r="55" ht="28.8" spans="1:6">
      <c r="A55" s="121"/>
      <c r="B55" s="121"/>
      <c r="C55" s="129"/>
      <c r="D55" s="125" t="s">
        <v>126</v>
      </c>
      <c r="E55" s="125" t="s">
        <v>127</v>
      </c>
      <c r="F55" s="129"/>
    </row>
    <row r="56" ht="28.8" spans="1:6">
      <c r="A56" s="121"/>
      <c r="B56" s="121"/>
      <c r="C56" s="129"/>
      <c r="D56" s="125" t="s">
        <v>128</v>
      </c>
      <c r="E56" s="125" t="s">
        <v>129</v>
      </c>
      <c r="F56" s="129"/>
    </row>
    <row r="57" ht="28.8" spans="1:6">
      <c r="A57" s="121"/>
      <c r="B57" s="121"/>
      <c r="C57" s="129"/>
      <c r="D57" s="125" t="s">
        <v>130</v>
      </c>
      <c r="E57" s="125" t="s">
        <v>131</v>
      </c>
      <c r="F57" s="129"/>
    </row>
    <row r="58" ht="28.8" spans="1:6">
      <c r="A58" s="121"/>
      <c r="B58" s="121"/>
      <c r="C58" s="129"/>
      <c r="D58" s="125" t="s">
        <v>132</v>
      </c>
      <c r="E58" s="125" t="s">
        <v>133</v>
      </c>
      <c r="F58" s="129"/>
    </row>
    <row r="59" ht="28.8" spans="1:6">
      <c r="A59" s="121"/>
      <c r="B59" s="121"/>
      <c r="C59" s="129"/>
      <c r="D59" s="125" t="s">
        <v>134</v>
      </c>
      <c r="E59" s="125" t="s">
        <v>135</v>
      </c>
      <c r="F59" s="129"/>
    </row>
    <row r="60" ht="28.8" spans="1:6">
      <c r="A60" s="121"/>
      <c r="B60" s="121"/>
      <c r="C60" s="129"/>
      <c r="D60" s="125" t="s">
        <v>136</v>
      </c>
      <c r="E60" s="125" t="s">
        <v>137</v>
      </c>
      <c r="F60" s="129"/>
    </row>
    <row r="61" ht="28.8" spans="1:6">
      <c r="A61" s="121"/>
      <c r="B61" s="121"/>
      <c r="C61" s="129"/>
      <c r="D61" s="125" t="s">
        <v>138</v>
      </c>
      <c r="E61" s="125" t="s">
        <v>139</v>
      </c>
      <c r="F61" s="129"/>
    </row>
    <row r="62" ht="28.8" spans="1:6">
      <c r="A62" s="121"/>
      <c r="B62" s="121"/>
      <c r="C62" s="129"/>
      <c r="D62" s="125" t="s">
        <v>140</v>
      </c>
      <c r="E62" s="125" t="s">
        <v>141</v>
      </c>
      <c r="F62" s="129"/>
    </row>
    <row r="63" ht="28.8" spans="1:6">
      <c r="A63" s="121"/>
      <c r="B63" s="121"/>
      <c r="C63" s="129"/>
      <c r="D63" s="125" t="s">
        <v>142</v>
      </c>
      <c r="E63" s="125" t="s">
        <v>143</v>
      </c>
      <c r="F63" s="129"/>
    </row>
    <row r="64" ht="28.8" spans="1:6">
      <c r="A64" s="121"/>
      <c r="B64" s="121"/>
      <c r="C64" s="129"/>
      <c r="D64" s="125" t="s">
        <v>144</v>
      </c>
      <c r="E64" s="125" t="s">
        <v>145</v>
      </c>
      <c r="F64" s="129"/>
    </row>
    <row r="65" ht="28.8" spans="1:6">
      <c r="A65" s="121"/>
      <c r="B65" s="121"/>
      <c r="C65" s="129"/>
      <c r="D65" s="125" t="s">
        <v>146</v>
      </c>
      <c r="E65" s="125" t="s">
        <v>147</v>
      </c>
      <c r="F65" s="129"/>
    </row>
    <row r="66" ht="28.8" spans="1:6">
      <c r="A66" s="121"/>
      <c r="B66" s="121"/>
      <c r="C66" s="129"/>
      <c r="D66" s="125" t="s">
        <v>148</v>
      </c>
      <c r="E66" s="125" t="s">
        <v>149</v>
      </c>
      <c r="F66" s="129"/>
    </row>
    <row r="67" ht="28.8" spans="1:6">
      <c r="A67" s="121"/>
      <c r="B67" s="121"/>
      <c r="C67" s="129"/>
      <c r="D67" s="125" t="s">
        <v>150</v>
      </c>
      <c r="E67" s="125" t="s">
        <v>151</v>
      </c>
      <c r="F67" s="129"/>
    </row>
    <row r="68" ht="28.8" spans="1:6">
      <c r="A68" s="121"/>
      <c r="B68" s="121"/>
      <c r="C68" s="129"/>
      <c r="D68" s="130" t="s">
        <v>152</v>
      </c>
      <c r="E68" s="130" t="s">
        <v>153</v>
      </c>
      <c r="F68" s="129"/>
    </row>
    <row r="69" ht="28.8" spans="1:6">
      <c r="A69" s="121"/>
      <c r="B69" s="121"/>
      <c r="C69" s="129"/>
      <c r="D69" s="125" t="s">
        <v>154</v>
      </c>
      <c r="E69" s="125" t="s">
        <v>155</v>
      </c>
      <c r="F69" s="129"/>
    </row>
    <row r="70" ht="28.8" spans="1:6">
      <c r="A70" s="121"/>
      <c r="B70" s="121"/>
      <c r="C70" s="129"/>
      <c r="D70" s="125" t="s">
        <v>156</v>
      </c>
      <c r="E70" s="125" t="s">
        <v>157</v>
      </c>
      <c r="F70" s="129"/>
    </row>
    <row r="71" ht="28.8" spans="1:6">
      <c r="A71" s="121"/>
      <c r="B71" s="121"/>
      <c r="C71" s="129"/>
      <c r="D71" s="125" t="s">
        <v>158</v>
      </c>
      <c r="E71" s="125" t="s">
        <v>159</v>
      </c>
      <c r="F71" s="129"/>
    </row>
    <row r="72" ht="28.8" spans="1:6">
      <c r="A72" s="121"/>
      <c r="B72" s="121"/>
      <c r="C72" s="129"/>
      <c r="D72" s="125" t="s">
        <v>160</v>
      </c>
      <c r="E72" s="125" t="s">
        <v>161</v>
      </c>
      <c r="F72" s="129"/>
    </row>
    <row r="73" ht="28.8" spans="1:6">
      <c r="A73" s="121"/>
      <c r="B73" s="121"/>
      <c r="C73" s="129"/>
      <c r="D73" s="125" t="s">
        <v>162</v>
      </c>
      <c r="E73" s="125" t="s">
        <v>163</v>
      </c>
      <c r="F73" s="129"/>
    </row>
    <row r="74" ht="28.8" spans="1:6">
      <c r="A74" s="121"/>
      <c r="B74" s="121"/>
      <c r="C74" s="129"/>
      <c r="D74" s="125" t="s">
        <v>164</v>
      </c>
      <c r="E74" s="125" t="s">
        <v>165</v>
      </c>
      <c r="F74" s="129"/>
    </row>
    <row r="75" ht="28.8" spans="1:6">
      <c r="A75" s="121"/>
      <c r="B75" s="121"/>
      <c r="C75" s="129"/>
      <c r="D75" s="125" t="s">
        <v>166</v>
      </c>
      <c r="E75" s="125" t="s">
        <v>167</v>
      </c>
      <c r="F75" s="129"/>
    </row>
    <row r="76" ht="28.8" spans="1:6">
      <c r="A76" s="121"/>
      <c r="B76" s="121"/>
      <c r="C76" s="129"/>
      <c r="D76" s="125" t="s">
        <v>168</v>
      </c>
      <c r="E76" s="125" t="s">
        <v>169</v>
      </c>
      <c r="F76" s="129"/>
    </row>
    <row r="77" ht="28.8" spans="1:6">
      <c r="A77" s="121"/>
      <c r="B77" s="121"/>
      <c r="C77" s="129"/>
      <c r="D77" s="125" t="s">
        <v>170</v>
      </c>
      <c r="E77" s="125" t="s">
        <v>171</v>
      </c>
      <c r="F77" s="129"/>
    </row>
    <row r="78" ht="28.8" spans="1:6">
      <c r="A78" s="121"/>
      <c r="B78" s="121"/>
      <c r="C78" s="129"/>
      <c r="D78" s="125" t="s">
        <v>172</v>
      </c>
      <c r="E78" s="125" t="s">
        <v>173</v>
      </c>
      <c r="F78" s="129"/>
    </row>
    <row r="79" ht="28.8" spans="1:6">
      <c r="A79" s="121"/>
      <c r="B79" s="121"/>
      <c r="C79" s="129"/>
      <c r="D79" s="125" t="s">
        <v>174</v>
      </c>
      <c r="E79" s="125" t="s">
        <v>175</v>
      </c>
      <c r="F79" s="129"/>
    </row>
    <row r="80" ht="28.8" spans="1:6">
      <c r="A80" s="121"/>
      <c r="B80" s="121"/>
      <c r="C80" s="129"/>
      <c r="D80" s="125" t="s">
        <v>176</v>
      </c>
      <c r="E80" s="125" t="s">
        <v>177</v>
      </c>
      <c r="F80" s="129"/>
    </row>
    <row r="81" ht="28.8" spans="1:6">
      <c r="A81" s="121"/>
      <c r="B81" s="121"/>
      <c r="C81" s="129"/>
      <c r="D81" s="125" t="s">
        <v>178</v>
      </c>
      <c r="E81" s="125" t="s">
        <v>179</v>
      </c>
      <c r="F81" s="129"/>
    </row>
    <row r="82" ht="28.8" spans="1:6">
      <c r="A82" s="121"/>
      <c r="B82" s="121"/>
      <c r="C82" s="129"/>
      <c r="D82" s="125" t="s">
        <v>180</v>
      </c>
      <c r="E82" s="125" t="s">
        <v>181</v>
      </c>
      <c r="F82" s="129"/>
    </row>
    <row r="83" ht="28.8" spans="1:6">
      <c r="A83" s="121"/>
      <c r="B83" s="121"/>
      <c r="C83" s="129"/>
      <c r="D83" s="125" t="s">
        <v>182</v>
      </c>
      <c r="E83" s="125" t="s">
        <v>183</v>
      </c>
      <c r="F83" s="129"/>
    </row>
    <row r="84" ht="28.8" spans="1:6">
      <c r="A84" s="121"/>
      <c r="B84" s="121"/>
      <c r="C84" s="129"/>
      <c r="D84" s="125" t="s">
        <v>184</v>
      </c>
      <c r="E84" s="125" t="s">
        <v>185</v>
      </c>
      <c r="F84" s="129"/>
    </row>
    <row r="85" ht="28.8" spans="1:6">
      <c r="A85" s="121"/>
      <c r="B85" s="121"/>
      <c r="C85" s="129"/>
      <c r="D85" s="125" t="s">
        <v>186</v>
      </c>
      <c r="E85" s="125" t="s">
        <v>187</v>
      </c>
      <c r="F85" s="129"/>
    </row>
    <row r="86" ht="28.8" spans="1:6">
      <c r="A86" s="121"/>
      <c r="B86" s="121"/>
      <c r="C86" s="121" t="s">
        <v>188</v>
      </c>
      <c r="D86" s="122" t="s">
        <v>189</v>
      </c>
      <c r="E86" s="122" t="s">
        <v>190</v>
      </c>
      <c r="F86" s="123"/>
    </row>
    <row r="87" ht="28.8" spans="1:6">
      <c r="A87" s="121"/>
      <c r="B87" s="121"/>
      <c r="C87" s="121"/>
      <c r="D87" s="122" t="s">
        <v>191</v>
      </c>
      <c r="E87" s="122" t="s">
        <v>192</v>
      </c>
      <c r="F87" s="123"/>
    </row>
    <row r="88" ht="28.8" spans="1:6">
      <c r="A88" s="121"/>
      <c r="B88" s="121"/>
      <c r="C88" s="121" t="s">
        <v>193</v>
      </c>
      <c r="D88" s="122" t="s">
        <v>194</v>
      </c>
      <c r="E88" s="122" t="s">
        <v>195</v>
      </c>
      <c r="F88" s="123"/>
    </row>
    <row r="89" ht="28.8" spans="1:6">
      <c r="A89" s="121"/>
      <c r="B89" s="121"/>
      <c r="C89" s="121" t="s">
        <v>196</v>
      </c>
      <c r="D89" s="122" t="s">
        <v>197</v>
      </c>
      <c r="E89" s="122" t="s">
        <v>198</v>
      </c>
      <c r="F89" s="123"/>
    </row>
    <row r="90" ht="28.8" spans="1:6">
      <c r="A90" s="121"/>
      <c r="B90" s="121"/>
      <c r="C90" s="121"/>
      <c r="D90" s="122" t="s">
        <v>199</v>
      </c>
      <c r="E90" s="122" t="s">
        <v>200</v>
      </c>
      <c r="F90" s="123"/>
    </row>
    <row r="91" ht="28.8" spans="1:6">
      <c r="A91" s="121"/>
      <c r="B91" s="121"/>
      <c r="C91" s="121" t="s">
        <v>201</v>
      </c>
      <c r="D91" s="122" t="s">
        <v>202</v>
      </c>
      <c r="E91" s="122" t="s">
        <v>203</v>
      </c>
      <c r="F91" s="123"/>
    </row>
    <row r="92" ht="28.8" spans="1:6">
      <c r="A92" s="121"/>
      <c r="B92" s="121"/>
      <c r="C92" s="121"/>
      <c r="D92" s="122" t="s">
        <v>204</v>
      </c>
      <c r="E92" s="122" t="s">
        <v>205</v>
      </c>
      <c r="F92" s="123"/>
    </row>
    <row r="93" ht="28.8" spans="1:6">
      <c r="A93" s="121"/>
      <c r="B93" s="121"/>
      <c r="C93" s="121" t="s">
        <v>206</v>
      </c>
      <c r="D93" s="122" t="s">
        <v>207</v>
      </c>
      <c r="E93" s="122" t="s">
        <v>208</v>
      </c>
      <c r="F93" s="123"/>
    </row>
    <row r="94" ht="28.8" spans="1:6">
      <c r="A94" s="121"/>
      <c r="B94" s="121"/>
      <c r="C94" s="121"/>
      <c r="D94" s="122" t="s">
        <v>209</v>
      </c>
      <c r="E94" s="122" t="s">
        <v>210</v>
      </c>
      <c r="F94" s="123"/>
    </row>
    <row r="95" ht="28.8" spans="1:6">
      <c r="A95" s="121"/>
      <c r="B95" s="121"/>
      <c r="C95" s="129" t="s">
        <v>211</v>
      </c>
      <c r="D95" s="125" t="s">
        <v>212</v>
      </c>
      <c r="E95" s="125" t="s">
        <v>213</v>
      </c>
      <c r="F95" s="129" t="s">
        <v>36</v>
      </c>
    </row>
    <row r="96" ht="28.8" spans="1:6">
      <c r="A96" s="121"/>
      <c r="B96" s="121"/>
      <c r="C96" s="129"/>
      <c r="D96" s="125" t="s">
        <v>214</v>
      </c>
      <c r="E96" s="125" t="s">
        <v>215</v>
      </c>
      <c r="F96" s="129"/>
    </row>
    <row r="97" ht="28.8" spans="1:6">
      <c r="A97" s="121"/>
      <c r="B97" s="121"/>
      <c r="C97" s="129"/>
      <c r="D97" s="125" t="s">
        <v>216</v>
      </c>
      <c r="E97" s="125" t="s">
        <v>217</v>
      </c>
      <c r="F97" s="129"/>
    </row>
    <row r="98" ht="28.8" spans="1:6">
      <c r="A98" s="121"/>
      <c r="B98" s="121"/>
      <c r="C98" s="129"/>
      <c r="D98" s="125" t="s">
        <v>218</v>
      </c>
      <c r="E98" s="125" t="s">
        <v>219</v>
      </c>
      <c r="F98" s="129"/>
    </row>
    <row r="99" ht="28.8" spans="1:6">
      <c r="A99" s="121"/>
      <c r="B99" s="121"/>
      <c r="C99" s="129"/>
      <c r="D99" s="125" t="s">
        <v>220</v>
      </c>
      <c r="E99" s="125" t="s">
        <v>221</v>
      </c>
      <c r="F99" s="129"/>
    </row>
    <row r="100" ht="28.8" spans="1:6">
      <c r="A100" s="121"/>
      <c r="B100" s="121"/>
      <c r="C100" s="121" t="s">
        <v>222</v>
      </c>
      <c r="D100" s="122" t="s">
        <v>223</v>
      </c>
      <c r="E100" s="122" t="s">
        <v>224</v>
      </c>
      <c r="F100" s="123"/>
    </row>
    <row r="101" ht="28.8" spans="1:6">
      <c r="A101" s="121"/>
      <c r="B101" s="121"/>
      <c r="C101" s="121"/>
      <c r="D101" s="122" t="s">
        <v>225</v>
      </c>
      <c r="E101" s="122" t="s">
        <v>226</v>
      </c>
      <c r="F101" s="123"/>
    </row>
    <row r="102" ht="28.8" spans="1:6">
      <c r="A102" s="121"/>
      <c r="B102" s="121"/>
      <c r="C102" s="121"/>
      <c r="D102" s="122" t="s">
        <v>227</v>
      </c>
      <c r="E102" s="122" t="s">
        <v>228</v>
      </c>
      <c r="F102" s="123"/>
    </row>
    <row r="103" ht="28.8" spans="1:6">
      <c r="A103" s="121"/>
      <c r="B103" s="121"/>
      <c r="C103" s="121" t="s">
        <v>229</v>
      </c>
      <c r="D103" s="122" t="s">
        <v>230</v>
      </c>
      <c r="E103" s="122" t="s">
        <v>231</v>
      </c>
      <c r="F103" s="123"/>
    </row>
    <row r="104" ht="28.8" spans="1:6">
      <c r="A104" s="121"/>
      <c r="B104" s="121"/>
      <c r="C104" s="121"/>
      <c r="D104" s="122" t="s">
        <v>232</v>
      </c>
      <c r="E104" s="122" t="s">
        <v>233</v>
      </c>
      <c r="F104" s="123"/>
    </row>
    <row r="105" ht="28.8" spans="1:6">
      <c r="A105" s="121"/>
      <c r="B105" s="121"/>
      <c r="C105" s="121"/>
      <c r="D105" s="122" t="s">
        <v>234</v>
      </c>
      <c r="E105" s="122" t="s">
        <v>235</v>
      </c>
      <c r="F105" s="123"/>
    </row>
    <row r="106" ht="28.8" spans="1:6">
      <c r="A106" s="121"/>
      <c r="B106" s="121"/>
      <c r="C106" s="121" t="s">
        <v>236</v>
      </c>
      <c r="D106" s="122" t="s">
        <v>237</v>
      </c>
      <c r="E106" s="122" t="s">
        <v>238</v>
      </c>
      <c r="F106" s="123"/>
    </row>
    <row r="107" ht="28.8" spans="1:6">
      <c r="A107" s="121"/>
      <c r="B107" s="121" t="s">
        <v>239</v>
      </c>
      <c r="C107" s="121" t="s">
        <v>240</v>
      </c>
      <c r="D107" s="122" t="s">
        <v>241</v>
      </c>
      <c r="E107" s="122" t="s">
        <v>242</v>
      </c>
      <c r="F107" s="123"/>
    </row>
    <row r="108" ht="28.8" spans="1:6">
      <c r="A108" s="121"/>
      <c r="B108" s="121"/>
      <c r="C108" s="121"/>
      <c r="D108" s="122" t="s">
        <v>243</v>
      </c>
      <c r="E108" s="122" t="s">
        <v>244</v>
      </c>
      <c r="F108" s="123"/>
    </row>
    <row r="109" ht="28.8" spans="1:6">
      <c r="A109" s="121"/>
      <c r="B109" s="121"/>
      <c r="C109" s="121"/>
      <c r="D109" s="122" t="s">
        <v>245</v>
      </c>
      <c r="E109" s="122" t="s">
        <v>246</v>
      </c>
      <c r="F109" s="123"/>
    </row>
    <row r="110" ht="28.8" spans="1:6">
      <c r="A110" s="121"/>
      <c r="B110" s="121"/>
      <c r="C110" s="121"/>
      <c r="D110" s="122" t="s">
        <v>247</v>
      </c>
      <c r="E110" s="122" t="s">
        <v>248</v>
      </c>
      <c r="F110" s="123"/>
    </row>
    <row r="111" ht="28.8" spans="1:6">
      <c r="A111" s="121"/>
      <c r="B111" s="121"/>
      <c r="C111" s="121"/>
      <c r="D111" s="122" t="s">
        <v>249</v>
      </c>
      <c r="E111" s="122" t="s">
        <v>250</v>
      </c>
      <c r="F111" s="123"/>
    </row>
    <row r="112" ht="28.8" spans="1:6">
      <c r="A112" s="121"/>
      <c r="B112" s="121"/>
      <c r="C112" s="121"/>
      <c r="D112" s="122" t="s">
        <v>251</v>
      </c>
      <c r="E112" s="122" t="s">
        <v>252</v>
      </c>
      <c r="F112" s="123"/>
    </row>
    <row r="113" ht="28.8" spans="1:6">
      <c r="A113" s="121"/>
      <c r="B113" s="121"/>
      <c r="C113" s="121"/>
      <c r="D113" s="122" t="s">
        <v>253</v>
      </c>
      <c r="E113" s="122" t="s">
        <v>254</v>
      </c>
      <c r="F113" s="123"/>
    </row>
    <row r="114" ht="28.8" spans="1:6">
      <c r="A114" s="121"/>
      <c r="B114" s="121"/>
      <c r="C114" s="121"/>
      <c r="D114" s="122" t="s">
        <v>255</v>
      </c>
      <c r="E114" s="122" t="s">
        <v>256</v>
      </c>
      <c r="F114" s="123"/>
    </row>
    <row r="115" ht="28.8" spans="1:6">
      <c r="A115" s="121"/>
      <c r="B115" s="121"/>
      <c r="C115" s="121"/>
      <c r="D115" s="122" t="s">
        <v>257</v>
      </c>
      <c r="E115" s="122" t="s">
        <v>258</v>
      </c>
      <c r="F115" s="123"/>
    </row>
    <row r="116" ht="28.8" spans="1:6">
      <c r="A116" s="121"/>
      <c r="B116" s="121"/>
      <c r="C116" s="121"/>
      <c r="D116" s="122" t="s">
        <v>259</v>
      </c>
      <c r="E116" s="122" t="s">
        <v>260</v>
      </c>
      <c r="F116" s="123"/>
    </row>
    <row r="117" ht="28.8" spans="1:6">
      <c r="A117" s="121"/>
      <c r="B117" s="121"/>
      <c r="C117" s="121"/>
      <c r="D117" s="122" t="s">
        <v>261</v>
      </c>
      <c r="E117" s="122" t="s">
        <v>262</v>
      </c>
      <c r="F117" s="123"/>
    </row>
    <row r="118" ht="28.8" spans="1:6">
      <c r="A118" s="121"/>
      <c r="B118" s="121"/>
      <c r="C118" s="121"/>
      <c r="D118" s="122" t="s">
        <v>263</v>
      </c>
      <c r="E118" s="122" t="s">
        <v>264</v>
      </c>
      <c r="F118" s="123"/>
    </row>
    <row r="119" ht="28.8" spans="1:6">
      <c r="A119" s="121"/>
      <c r="B119" s="121"/>
      <c r="C119" s="121" t="s">
        <v>265</v>
      </c>
      <c r="D119" s="122" t="s">
        <v>266</v>
      </c>
      <c r="E119" s="122" t="s">
        <v>267</v>
      </c>
      <c r="F119" s="123"/>
    </row>
    <row r="120" ht="28.8" spans="1:6">
      <c r="A120" s="121"/>
      <c r="B120" s="121"/>
      <c r="C120" s="121"/>
      <c r="D120" s="122" t="s">
        <v>268</v>
      </c>
      <c r="E120" s="122" t="s">
        <v>269</v>
      </c>
      <c r="F120" s="123"/>
    </row>
    <row r="121" ht="28.8" spans="1:6">
      <c r="A121" s="121"/>
      <c r="B121" s="121"/>
      <c r="C121" s="121"/>
      <c r="D121" s="122" t="s">
        <v>270</v>
      </c>
      <c r="E121" s="122" t="s">
        <v>271</v>
      </c>
      <c r="F121" s="123"/>
    </row>
    <row r="122" ht="28.8" spans="1:6">
      <c r="A122" s="121"/>
      <c r="B122" s="121"/>
      <c r="C122" s="121" t="s">
        <v>272</v>
      </c>
      <c r="D122" s="122" t="s">
        <v>273</v>
      </c>
      <c r="E122" s="122" t="s">
        <v>274</v>
      </c>
      <c r="F122" s="123"/>
    </row>
    <row r="123" ht="28.8" spans="1:6">
      <c r="A123" s="121"/>
      <c r="B123" s="121"/>
      <c r="C123" s="121"/>
      <c r="D123" s="122" t="s">
        <v>275</v>
      </c>
      <c r="E123" s="122" t="s">
        <v>276</v>
      </c>
      <c r="F123" s="123"/>
    </row>
    <row r="124" ht="28.8" spans="1:6">
      <c r="A124" s="121"/>
      <c r="B124" s="121"/>
      <c r="C124" s="121"/>
      <c r="D124" s="122" t="s">
        <v>277</v>
      </c>
      <c r="E124" s="122" t="s">
        <v>278</v>
      </c>
      <c r="F124" s="123"/>
    </row>
    <row r="125" ht="28.8" spans="1:6">
      <c r="A125" s="121"/>
      <c r="B125" s="121"/>
      <c r="C125" s="121"/>
      <c r="D125" s="122" t="s">
        <v>279</v>
      </c>
      <c r="E125" s="122" t="s">
        <v>280</v>
      </c>
      <c r="F125" s="123"/>
    </row>
    <row r="126" ht="28.8" spans="1:6">
      <c r="A126" s="121"/>
      <c r="B126" s="121"/>
      <c r="C126" s="121"/>
      <c r="D126" s="122" t="s">
        <v>281</v>
      </c>
      <c r="E126" s="122" t="s">
        <v>282</v>
      </c>
      <c r="F126" s="123"/>
    </row>
    <row r="127" ht="28.8" spans="1:6">
      <c r="A127" s="121"/>
      <c r="B127" s="121"/>
      <c r="C127" s="121"/>
      <c r="D127" s="122" t="s">
        <v>283</v>
      </c>
      <c r="E127" s="122" t="s">
        <v>284</v>
      </c>
      <c r="F127" s="123"/>
    </row>
    <row r="128" ht="28.8" spans="1:6">
      <c r="A128" s="121"/>
      <c r="B128" s="121"/>
      <c r="C128" s="121"/>
      <c r="D128" s="122" t="s">
        <v>285</v>
      </c>
      <c r="E128" s="122" t="s">
        <v>286</v>
      </c>
      <c r="F128" s="123"/>
    </row>
    <row r="129" ht="28.8" spans="1:6">
      <c r="A129" s="121"/>
      <c r="B129" s="121"/>
      <c r="C129" s="121"/>
      <c r="D129" s="122" t="s">
        <v>287</v>
      </c>
      <c r="E129" s="122" t="s">
        <v>288</v>
      </c>
      <c r="F129" s="123"/>
    </row>
    <row r="130" ht="28.8" spans="1:6">
      <c r="A130" s="121"/>
      <c r="B130" s="121"/>
      <c r="C130" s="121"/>
      <c r="D130" s="122" t="s">
        <v>289</v>
      </c>
      <c r="E130" s="122" t="s">
        <v>290</v>
      </c>
      <c r="F130" s="123"/>
    </row>
    <row r="131" ht="28.8" spans="1:6">
      <c r="A131" s="121"/>
      <c r="B131" s="121"/>
      <c r="C131" s="121" t="s">
        <v>291</v>
      </c>
      <c r="D131" s="122" t="s">
        <v>292</v>
      </c>
      <c r="E131" s="122" t="s">
        <v>293</v>
      </c>
      <c r="F131" s="123"/>
    </row>
    <row r="132" ht="28.8" spans="1:6">
      <c r="A132" s="121"/>
      <c r="B132" s="121"/>
      <c r="C132" s="121"/>
      <c r="D132" s="122" t="s">
        <v>294</v>
      </c>
      <c r="E132" s="122" t="s">
        <v>295</v>
      </c>
      <c r="F132" s="123"/>
    </row>
    <row r="133" ht="28.8" spans="1:6">
      <c r="A133" s="121"/>
      <c r="B133" s="121"/>
      <c r="C133" s="121"/>
      <c r="D133" s="122" t="s">
        <v>296</v>
      </c>
      <c r="E133" s="122" t="s">
        <v>297</v>
      </c>
      <c r="F133" s="123"/>
    </row>
    <row r="134" ht="28.8" spans="1:6">
      <c r="A134" s="121"/>
      <c r="B134" s="121"/>
      <c r="C134" s="121"/>
      <c r="D134" s="122" t="s">
        <v>298</v>
      </c>
      <c r="E134" s="122" t="s">
        <v>299</v>
      </c>
      <c r="F134" s="123"/>
    </row>
    <row r="135" ht="28.8" spans="1:6">
      <c r="A135" s="121"/>
      <c r="B135" s="121"/>
      <c r="C135" s="121"/>
      <c r="D135" s="122" t="s">
        <v>300</v>
      </c>
      <c r="E135" s="122" t="s">
        <v>301</v>
      </c>
      <c r="F135" s="123"/>
    </row>
    <row r="136" ht="28.8" spans="1:6">
      <c r="A136" s="121"/>
      <c r="B136" s="121"/>
      <c r="C136" s="121"/>
      <c r="D136" s="122" t="s">
        <v>302</v>
      </c>
      <c r="E136" s="122" t="s">
        <v>303</v>
      </c>
      <c r="F136" s="123"/>
    </row>
    <row r="137" ht="28.8" spans="1:6">
      <c r="A137" s="121"/>
      <c r="B137" s="121"/>
      <c r="C137" s="121"/>
      <c r="D137" s="122" t="s">
        <v>304</v>
      </c>
      <c r="E137" s="122" t="s">
        <v>305</v>
      </c>
      <c r="F137" s="123"/>
    </row>
    <row r="138" ht="28.8" spans="1:6">
      <c r="A138" s="121"/>
      <c r="B138" s="121"/>
      <c r="C138" s="121"/>
      <c r="D138" s="122" t="s">
        <v>306</v>
      </c>
      <c r="E138" s="122" t="s">
        <v>307</v>
      </c>
      <c r="F138" s="123"/>
    </row>
    <row r="139" ht="28.8" spans="1:6">
      <c r="A139" s="121"/>
      <c r="B139" s="121"/>
      <c r="C139" s="121"/>
      <c r="D139" s="122" t="s">
        <v>308</v>
      </c>
      <c r="E139" s="122" t="s">
        <v>309</v>
      </c>
      <c r="F139" s="123"/>
    </row>
    <row r="140" ht="14.5" customHeight="1" spans="1:6">
      <c r="A140" s="121"/>
      <c r="B140" s="121"/>
      <c r="C140" s="129" t="s">
        <v>310</v>
      </c>
      <c r="D140" s="125" t="s">
        <v>311</v>
      </c>
      <c r="E140" s="125" t="s">
        <v>312</v>
      </c>
      <c r="F140" s="126" t="s">
        <v>36</v>
      </c>
    </row>
    <row r="141" ht="14.5" customHeight="1" spans="1:6">
      <c r="A141" s="121"/>
      <c r="B141" s="121"/>
      <c r="C141" s="129"/>
      <c r="D141" s="125" t="s">
        <v>313</v>
      </c>
      <c r="E141" s="125" t="s">
        <v>314</v>
      </c>
      <c r="F141" s="131"/>
    </row>
    <row r="142" ht="14.5" customHeight="1" spans="1:6">
      <c r="A142" s="121"/>
      <c r="B142" s="121"/>
      <c r="C142" s="129"/>
      <c r="D142" s="125" t="s">
        <v>315</v>
      </c>
      <c r="E142" s="125" t="s">
        <v>316</v>
      </c>
      <c r="F142" s="131"/>
    </row>
    <row r="143" ht="14.5" customHeight="1" spans="1:6">
      <c r="A143" s="121"/>
      <c r="B143" s="121"/>
      <c r="C143" s="129"/>
      <c r="D143" s="125" t="s">
        <v>317</v>
      </c>
      <c r="E143" s="125" t="s">
        <v>318</v>
      </c>
      <c r="F143" s="131"/>
    </row>
    <row r="144" ht="14.5" customHeight="1" spans="1:6">
      <c r="A144" s="121"/>
      <c r="B144" s="121"/>
      <c r="C144" s="129"/>
      <c r="D144" s="125" t="s">
        <v>319</v>
      </c>
      <c r="E144" s="125" t="s">
        <v>320</v>
      </c>
      <c r="F144" s="131"/>
    </row>
    <row r="145" ht="14.5" customHeight="1" spans="1:6">
      <c r="A145" s="121"/>
      <c r="B145" s="121"/>
      <c r="C145" s="129"/>
      <c r="D145" s="125" t="s">
        <v>321</v>
      </c>
      <c r="E145" s="125" t="s">
        <v>322</v>
      </c>
      <c r="F145" s="131"/>
    </row>
    <row r="146" ht="14.5" customHeight="1" spans="1:6">
      <c r="A146" s="121"/>
      <c r="B146" s="121"/>
      <c r="C146" s="129"/>
      <c r="D146" s="125" t="s">
        <v>323</v>
      </c>
      <c r="E146" s="125" t="s">
        <v>324</v>
      </c>
      <c r="F146" s="131"/>
    </row>
    <row r="147" ht="14.5" customHeight="1" spans="1:6">
      <c r="A147" s="121"/>
      <c r="B147" s="121"/>
      <c r="C147" s="129"/>
      <c r="D147" s="125" t="s">
        <v>325</v>
      </c>
      <c r="E147" s="125" t="s">
        <v>326</v>
      </c>
      <c r="F147" s="131"/>
    </row>
    <row r="148" ht="14.5" customHeight="1" spans="1:6">
      <c r="A148" s="121"/>
      <c r="B148" s="121"/>
      <c r="C148" s="129"/>
      <c r="D148" s="125" t="s">
        <v>327</v>
      </c>
      <c r="E148" s="125" t="s">
        <v>328</v>
      </c>
      <c r="F148" s="128"/>
    </row>
    <row r="149" ht="28.8" spans="1:6">
      <c r="A149" s="121"/>
      <c r="B149" s="121"/>
      <c r="C149" s="121" t="s">
        <v>329</v>
      </c>
      <c r="D149" s="122" t="s">
        <v>330</v>
      </c>
      <c r="E149" s="122" t="s">
        <v>331</v>
      </c>
      <c r="F149" s="123"/>
    </row>
    <row r="150" ht="28.8" spans="1:6">
      <c r="A150" s="121"/>
      <c r="B150" s="121"/>
      <c r="C150" s="121"/>
      <c r="D150" s="122" t="s">
        <v>332</v>
      </c>
      <c r="E150" s="122" t="s">
        <v>333</v>
      </c>
      <c r="F150" s="123"/>
    </row>
    <row r="151" ht="28.8" spans="1:6">
      <c r="A151" s="121"/>
      <c r="B151" s="121"/>
      <c r="C151" s="121"/>
      <c r="D151" s="122" t="s">
        <v>334</v>
      </c>
      <c r="E151" s="122" t="s">
        <v>335</v>
      </c>
      <c r="F151" s="123"/>
    </row>
    <row r="152" ht="28.8" spans="1:6">
      <c r="A152" s="121"/>
      <c r="B152" s="121"/>
      <c r="C152" s="121"/>
      <c r="D152" s="122" t="s">
        <v>336</v>
      </c>
      <c r="E152" s="122" t="s">
        <v>337</v>
      </c>
      <c r="F152" s="123"/>
    </row>
    <row r="153" ht="28.8" spans="1:6">
      <c r="A153" s="121"/>
      <c r="B153" s="121"/>
      <c r="C153" s="121"/>
      <c r="D153" s="122" t="s">
        <v>338</v>
      </c>
      <c r="E153" s="122" t="s">
        <v>339</v>
      </c>
      <c r="F153" s="123"/>
    </row>
    <row r="154" ht="28.8" spans="1:6">
      <c r="A154" s="121"/>
      <c r="B154" s="121"/>
      <c r="C154" s="121"/>
      <c r="D154" s="122" t="s">
        <v>340</v>
      </c>
      <c r="E154" s="122" t="s">
        <v>341</v>
      </c>
      <c r="F154" s="123"/>
    </row>
    <row r="155" ht="28.8" spans="1:6">
      <c r="A155" s="121"/>
      <c r="B155" s="121" t="s">
        <v>342</v>
      </c>
      <c r="C155" s="121" t="s">
        <v>343</v>
      </c>
      <c r="D155" s="122" t="s">
        <v>344</v>
      </c>
      <c r="E155" s="122" t="s">
        <v>345</v>
      </c>
      <c r="F155" s="123"/>
    </row>
    <row r="156" ht="28.8" spans="1:6">
      <c r="A156" s="121"/>
      <c r="B156" s="121"/>
      <c r="C156" s="121"/>
      <c r="D156" s="122" t="s">
        <v>346</v>
      </c>
      <c r="E156" s="122" t="s">
        <v>347</v>
      </c>
      <c r="F156" s="123"/>
    </row>
    <row r="157" ht="28.8" spans="1:6">
      <c r="A157" s="121"/>
      <c r="B157" s="121"/>
      <c r="C157" s="121"/>
      <c r="D157" s="122" t="s">
        <v>348</v>
      </c>
      <c r="E157" s="122" t="s">
        <v>349</v>
      </c>
      <c r="F157" s="123"/>
    </row>
    <row r="158" ht="28.8" spans="1:6">
      <c r="A158" s="121"/>
      <c r="B158" s="121"/>
      <c r="C158" s="121"/>
      <c r="D158" s="122" t="s">
        <v>350</v>
      </c>
      <c r="E158" s="122" t="s">
        <v>351</v>
      </c>
      <c r="F158" s="123"/>
    </row>
    <row r="159" ht="28.8" spans="1:6">
      <c r="A159" s="121"/>
      <c r="B159" s="121"/>
      <c r="C159" s="121" t="s">
        <v>352</v>
      </c>
      <c r="D159" s="122" t="s">
        <v>353</v>
      </c>
      <c r="E159" s="122" t="s">
        <v>354</v>
      </c>
      <c r="F159" s="123"/>
    </row>
    <row r="160" ht="28.8" spans="1:6">
      <c r="A160" s="121"/>
      <c r="B160" s="121"/>
      <c r="C160" s="121"/>
      <c r="D160" s="122" t="s">
        <v>355</v>
      </c>
      <c r="E160" s="122" t="s">
        <v>356</v>
      </c>
      <c r="F160" s="123"/>
    </row>
    <row r="161" ht="28.8" spans="1:6">
      <c r="A161" s="121"/>
      <c r="B161" s="121"/>
      <c r="C161" s="121"/>
      <c r="D161" s="122" t="s">
        <v>357</v>
      </c>
      <c r="E161" s="122" t="s">
        <v>358</v>
      </c>
      <c r="F161" s="123"/>
    </row>
    <row r="162" ht="28.8" spans="1:6">
      <c r="A162" s="121"/>
      <c r="B162" s="121"/>
      <c r="C162" s="121"/>
      <c r="D162" s="122" t="s">
        <v>359</v>
      </c>
      <c r="E162" s="122" t="s">
        <v>360</v>
      </c>
      <c r="F162" s="123"/>
    </row>
    <row r="163" ht="28.8" spans="1:6">
      <c r="A163" s="121"/>
      <c r="B163" s="121"/>
      <c r="C163" s="121"/>
      <c r="D163" s="122" t="s">
        <v>361</v>
      </c>
      <c r="E163" s="122" t="s">
        <v>362</v>
      </c>
      <c r="F163" s="123"/>
    </row>
    <row r="164" ht="28.8" spans="1:6">
      <c r="A164" s="121"/>
      <c r="B164" s="121"/>
      <c r="C164" s="121"/>
      <c r="D164" s="122" t="s">
        <v>363</v>
      </c>
      <c r="E164" s="122" t="s">
        <v>364</v>
      </c>
      <c r="F164" s="123"/>
    </row>
    <row r="165" ht="28.8" spans="1:6">
      <c r="A165" s="121"/>
      <c r="B165" s="121"/>
      <c r="C165" s="121"/>
      <c r="D165" s="122" t="s">
        <v>365</v>
      </c>
      <c r="E165" s="122" t="s">
        <v>366</v>
      </c>
      <c r="F165" s="123"/>
    </row>
    <row r="166" ht="28.8" spans="1:6">
      <c r="A166" s="121"/>
      <c r="B166" s="121"/>
      <c r="C166" s="121"/>
      <c r="D166" s="122" t="s">
        <v>367</v>
      </c>
      <c r="E166" s="122" t="s">
        <v>368</v>
      </c>
      <c r="F166" s="123"/>
    </row>
    <row r="167" ht="28.8" spans="1:6">
      <c r="A167" s="121"/>
      <c r="B167" s="121"/>
      <c r="C167" s="121"/>
      <c r="D167" s="122" t="s">
        <v>369</v>
      </c>
      <c r="E167" s="122" t="s">
        <v>370</v>
      </c>
      <c r="F167" s="123"/>
    </row>
    <row r="168" ht="28.8" spans="1:6">
      <c r="A168" s="121"/>
      <c r="B168" s="121"/>
      <c r="C168" s="121"/>
      <c r="D168" s="122" t="s">
        <v>371</v>
      </c>
      <c r="E168" s="122" t="s">
        <v>372</v>
      </c>
      <c r="F168" s="123"/>
    </row>
    <row r="169" ht="28.8" spans="1:6">
      <c r="A169" s="121"/>
      <c r="B169" s="121"/>
      <c r="C169" s="121"/>
      <c r="D169" s="122" t="s">
        <v>373</v>
      </c>
      <c r="E169" s="122" t="s">
        <v>374</v>
      </c>
      <c r="F169" s="123"/>
    </row>
    <row r="170" ht="28.8" spans="1:6">
      <c r="A170" s="121"/>
      <c r="B170" s="121"/>
      <c r="C170" s="121"/>
      <c r="D170" s="122" t="s">
        <v>375</v>
      </c>
      <c r="E170" s="122" t="s">
        <v>376</v>
      </c>
      <c r="F170" s="123"/>
    </row>
    <row r="171" ht="28.8" spans="1:6">
      <c r="A171" s="121"/>
      <c r="B171" s="121"/>
      <c r="C171" s="129" t="s">
        <v>377</v>
      </c>
      <c r="D171" s="125" t="s">
        <v>378</v>
      </c>
      <c r="E171" s="125" t="s">
        <v>379</v>
      </c>
      <c r="F171" s="129" t="s">
        <v>36</v>
      </c>
    </row>
    <row r="172" ht="28.8" spans="1:6">
      <c r="A172" s="121"/>
      <c r="B172" s="121"/>
      <c r="C172" s="129"/>
      <c r="D172" s="125" t="s">
        <v>380</v>
      </c>
      <c r="E172" s="125" t="s">
        <v>381</v>
      </c>
      <c r="F172" s="129"/>
    </row>
    <row r="173" ht="28.8" spans="1:6">
      <c r="A173" s="121"/>
      <c r="B173" s="121"/>
      <c r="C173" s="129" t="s">
        <v>382</v>
      </c>
      <c r="D173" s="125" t="s">
        <v>383</v>
      </c>
      <c r="E173" s="125" t="s">
        <v>384</v>
      </c>
      <c r="F173" s="129" t="s">
        <v>36</v>
      </c>
    </row>
    <row r="174" ht="28.8" spans="1:6">
      <c r="A174" s="121"/>
      <c r="B174" s="121"/>
      <c r="C174" s="129"/>
      <c r="D174" s="125" t="s">
        <v>385</v>
      </c>
      <c r="E174" s="125" t="s">
        <v>386</v>
      </c>
      <c r="F174" s="129"/>
    </row>
    <row r="175" ht="15" customHeight="1" spans="1:6">
      <c r="A175" s="121"/>
      <c r="B175" s="121"/>
      <c r="C175" s="121" t="s">
        <v>387</v>
      </c>
      <c r="D175" s="122" t="s">
        <v>388</v>
      </c>
      <c r="E175" s="122" t="s">
        <v>389</v>
      </c>
      <c r="F175" s="123"/>
    </row>
    <row r="176" ht="28.8" spans="1:6">
      <c r="A176" s="121"/>
      <c r="B176" s="121"/>
      <c r="C176" s="121" t="s">
        <v>390</v>
      </c>
      <c r="D176" s="122" t="s">
        <v>391</v>
      </c>
      <c r="E176" s="122" t="s">
        <v>392</v>
      </c>
      <c r="F176" s="123"/>
    </row>
    <row r="177" ht="28.8" spans="1:6">
      <c r="A177" s="121"/>
      <c r="B177" s="121"/>
      <c r="C177" s="121"/>
      <c r="D177" s="122" t="s">
        <v>393</v>
      </c>
      <c r="E177" s="122" t="s">
        <v>394</v>
      </c>
      <c r="F177" s="123"/>
    </row>
    <row r="178" ht="28.8" spans="1:6">
      <c r="A178" s="121"/>
      <c r="B178" s="121"/>
      <c r="C178" s="121"/>
      <c r="D178" s="122" t="s">
        <v>395</v>
      </c>
      <c r="E178" s="122" t="s">
        <v>396</v>
      </c>
      <c r="F178" s="123"/>
    </row>
    <row r="179" ht="28.8" spans="1:6">
      <c r="A179" s="121"/>
      <c r="B179" s="121"/>
      <c r="C179" s="121"/>
      <c r="D179" s="122" t="s">
        <v>397</v>
      </c>
      <c r="E179" s="122" t="s">
        <v>398</v>
      </c>
      <c r="F179" s="123"/>
    </row>
    <row r="180" ht="28.8" spans="1:6">
      <c r="A180" s="121"/>
      <c r="B180" s="121"/>
      <c r="C180" s="121"/>
      <c r="D180" s="122" t="s">
        <v>399</v>
      </c>
      <c r="E180" s="122" t="s">
        <v>400</v>
      </c>
      <c r="F180" s="123"/>
    </row>
    <row r="181" ht="28.8" spans="1:6">
      <c r="A181" s="121"/>
      <c r="B181" s="121" t="s">
        <v>401</v>
      </c>
      <c r="C181" s="129" t="s">
        <v>402</v>
      </c>
      <c r="D181" s="125" t="s">
        <v>403</v>
      </c>
      <c r="E181" s="125" t="s">
        <v>404</v>
      </c>
      <c r="F181" s="129" t="s">
        <v>36</v>
      </c>
    </row>
    <row r="182" ht="28.8" spans="1:6">
      <c r="A182" s="121"/>
      <c r="B182" s="121"/>
      <c r="C182" s="129"/>
      <c r="D182" s="125" t="s">
        <v>405</v>
      </c>
      <c r="E182" s="125" t="s">
        <v>406</v>
      </c>
      <c r="F182" s="129"/>
    </row>
    <row r="183" ht="28.8" spans="1:6">
      <c r="A183" s="121"/>
      <c r="B183" s="121"/>
      <c r="C183" s="129"/>
      <c r="D183" s="125" t="s">
        <v>407</v>
      </c>
      <c r="E183" s="125" t="s">
        <v>408</v>
      </c>
      <c r="F183" s="129"/>
    </row>
    <row r="184" ht="28.8" spans="1:6">
      <c r="A184" s="121"/>
      <c r="B184" s="121"/>
      <c r="C184" s="129"/>
      <c r="D184" s="125" t="s">
        <v>409</v>
      </c>
      <c r="E184" s="125" t="s">
        <v>410</v>
      </c>
      <c r="F184" s="129"/>
    </row>
    <row r="185" ht="16.5" customHeight="1" spans="1:6">
      <c r="A185" s="121"/>
      <c r="B185" s="121" t="s">
        <v>411</v>
      </c>
      <c r="C185" s="121" t="s">
        <v>412</v>
      </c>
      <c r="D185" s="122" t="s">
        <v>413</v>
      </c>
      <c r="E185" s="122" t="s">
        <v>414</v>
      </c>
      <c r="F185" s="123"/>
    </row>
  </sheetData>
  <sheetProtection formatCells="0" formatColumns="0" formatRows="0" insertRows="0" insertColumns="0" insertHyperlinks="0" deleteColumns="0" deleteRows="0" sort="0" autoFilter="0" pivotTables="0"/>
  <mergeCells count="44">
    <mergeCell ref="A2:A185"/>
    <mergeCell ref="B2:B18"/>
    <mergeCell ref="B19:B106"/>
    <mergeCell ref="B107:B154"/>
    <mergeCell ref="B155:B180"/>
    <mergeCell ref="B181:B184"/>
    <mergeCell ref="C2:C7"/>
    <mergeCell ref="C8:C9"/>
    <mergeCell ref="C10:C12"/>
    <mergeCell ref="C13:C14"/>
    <mergeCell ref="C16:C18"/>
    <mergeCell ref="C19:C20"/>
    <mergeCell ref="C21:C27"/>
    <mergeCell ref="C28:C47"/>
    <mergeCell ref="C48:C51"/>
    <mergeCell ref="C52:C85"/>
    <mergeCell ref="C86:C87"/>
    <mergeCell ref="C89:C90"/>
    <mergeCell ref="C91:C92"/>
    <mergeCell ref="C93:C94"/>
    <mergeCell ref="C95:C99"/>
    <mergeCell ref="C100:C102"/>
    <mergeCell ref="C103:C105"/>
    <mergeCell ref="C107:C118"/>
    <mergeCell ref="C119:C121"/>
    <mergeCell ref="C122:C130"/>
    <mergeCell ref="C131:C139"/>
    <mergeCell ref="C140:C148"/>
    <mergeCell ref="C149:C154"/>
    <mergeCell ref="C155:C158"/>
    <mergeCell ref="C159:C170"/>
    <mergeCell ref="C171:C172"/>
    <mergeCell ref="C173:C174"/>
    <mergeCell ref="C176:C180"/>
    <mergeCell ref="C181:C184"/>
    <mergeCell ref="F13:F14"/>
    <mergeCell ref="F21:F27"/>
    <mergeCell ref="F48:F51"/>
    <mergeCell ref="F52:F85"/>
    <mergeCell ref="F95:F99"/>
    <mergeCell ref="F140:F148"/>
    <mergeCell ref="F171:F172"/>
    <mergeCell ref="F173:F174"/>
    <mergeCell ref="F181:F184"/>
  </mergeCells>
  <pageMargins left="0.699305555555556" right="0.699305555555556"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dimension ref="A1"/>
  <sheetViews>
    <sheetView zoomScale="40" zoomScaleNormal="40" workbookViewId="0">
      <selection activeCell="U9" sqref="U9"/>
    </sheetView>
  </sheetViews>
  <sheetFormatPr defaultColWidth="9" defaultRowHeight="13.8"/>
  <sheetData/>
  <sheetProtection formatCells="0" formatColumns="0" formatRows="0" insertRows="0" insertColumns="0" insertHyperlinks="0" deleteColumns="0" deleteRows="0" sort="0" autoFilter="0" pivotTables="0"/>
  <pageMargins left="0.699305555555556" right="0.699305555555556"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pageSetUpPr fitToPage="1"/>
  </sheetPr>
  <dimension ref="A1:AL47"/>
  <sheetViews>
    <sheetView tabSelected="1" zoomScalePageLayoutView="25" zoomScaleSheetLayoutView="115" workbookViewId="0">
      <pane ySplit="3" topLeftCell="A4" activePane="bottomLeft" state="frozen"/>
      <selection/>
      <selection pane="bottomLeft" activeCell="AP39" sqref="AP39"/>
    </sheetView>
  </sheetViews>
  <sheetFormatPr defaultColWidth="8.58333333333333" defaultRowHeight="21"/>
  <cols>
    <col min="1" max="1" width="4.62962962962963" style="1" customWidth="1"/>
    <col min="2" max="2" width="4.62962962962963" style="2" customWidth="1"/>
    <col min="3" max="3" width="4.62962962962963" style="3" customWidth="1"/>
    <col min="4" max="4" width="4.62962962962963" style="1" customWidth="1"/>
    <col min="5" max="5" width="13.3333333333333" style="4" customWidth="1"/>
    <col min="6" max="6" width="17.6666666666667" style="4" customWidth="1"/>
    <col min="7" max="8" width="10.6296296296296" style="35" customWidth="1"/>
    <col min="9" max="9" width="18.1944444444444" style="2" customWidth="1"/>
    <col min="10" max="10" width="40.9722222222222" style="35" customWidth="1"/>
    <col min="11" max="19" width="3.62962962962963" style="2" customWidth="1"/>
    <col min="20" max="20" width="8.62962962962963" style="1" customWidth="1"/>
    <col min="21" max="21" width="13.6111111111111" style="1" customWidth="1"/>
    <col min="22" max="22" width="15.6296296296296" style="5" customWidth="1"/>
    <col min="23" max="23" width="32.0648148148148" style="4" customWidth="1"/>
    <col min="24" max="29" width="3.62962962962963" style="3" customWidth="1"/>
    <col min="30" max="30" width="9.2037037037037" style="4" customWidth="1"/>
    <col min="31" max="35" width="3.62962962962963" style="3" customWidth="1"/>
    <col min="36" max="36" width="30.6296296296296" style="3" customWidth="1"/>
    <col min="37" max="37" width="6.62962962962963" style="3" customWidth="1"/>
    <col min="38" max="38" width="17.6388888888889" style="3" customWidth="1"/>
    <col min="39" max="16384" width="8.58333333333333" style="3"/>
  </cols>
  <sheetData>
    <row r="1" spans="1:38">
      <c r="A1" s="37" t="s">
        <v>415</v>
      </c>
      <c r="B1" s="38"/>
      <c r="C1" s="38"/>
      <c r="D1" s="38"/>
      <c r="E1" s="39"/>
      <c r="F1" s="38"/>
      <c r="G1" s="39"/>
      <c r="H1" s="39"/>
      <c r="I1" s="38"/>
      <c r="J1" s="39"/>
      <c r="K1" s="38"/>
      <c r="L1" s="38"/>
      <c r="M1" s="38"/>
      <c r="N1" s="38"/>
      <c r="O1" s="38"/>
      <c r="P1" s="38"/>
      <c r="Q1" s="38"/>
      <c r="R1" s="38"/>
      <c r="S1" s="38"/>
      <c r="T1" s="38"/>
      <c r="U1" s="38"/>
      <c r="V1" s="39"/>
      <c r="W1" s="39"/>
      <c r="X1" s="38"/>
      <c r="Y1" s="38"/>
      <c r="Z1" s="38"/>
      <c r="AA1" s="38"/>
      <c r="AB1" s="38"/>
      <c r="AC1" s="38"/>
      <c r="AD1" s="39"/>
      <c r="AE1" s="38"/>
      <c r="AF1" s="38"/>
      <c r="AG1" s="38"/>
      <c r="AH1" s="38"/>
      <c r="AI1" s="38"/>
      <c r="AJ1" s="38"/>
      <c r="AK1" s="38"/>
    </row>
    <row r="2" spans="1:38">
      <c r="A2" s="40" t="s">
        <v>416</v>
      </c>
      <c r="B2" s="40" t="s">
        <v>417</v>
      </c>
      <c r="C2" s="40" t="s">
        <v>418</v>
      </c>
      <c r="D2" s="40" t="s">
        <v>419</v>
      </c>
      <c r="E2" s="40" t="s">
        <v>420</v>
      </c>
      <c r="F2" s="40" t="s">
        <v>421</v>
      </c>
      <c r="G2" s="40" t="s">
        <v>422</v>
      </c>
      <c r="H2" s="40" t="s">
        <v>423</v>
      </c>
      <c r="I2" s="40" t="s">
        <v>424</v>
      </c>
      <c r="J2" s="40" t="s">
        <v>425</v>
      </c>
      <c r="K2" s="40" t="s">
        <v>426</v>
      </c>
      <c r="L2" s="40"/>
      <c r="M2" s="40"/>
      <c r="N2" s="40"/>
      <c r="O2" s="40"/>
      <c r="P2" s="40"/>
      <c r="Q2" s="40"/>
      <c r="R2" s="40"/>
      <c r="S2" s="40"/>
      <c r="T2" s="40" t="s">
        <v>427</v>
      </c>
      <c r="U2" s="40" t="s">
        <v>428</v>
      </c>
      <c r="V2" s="40" t="s">
        <v>429</v>
      </c>
      <c r="W2" s="40" t="s">
        <v>430</v>
      </c>
      <c r="X2" s="40" t="s">
        <v>431</v>
      </c>
      <c r="Y2" s="40"/>
      <c r="Z2" s="40"/>
      <c r="AA2" s="40" t="s">
        <v>432</v>
      </c>
      <c r="AB2" s="40"/>
      <c r="AC2" s="40"/>
      <c r="AD2" s="40" t="s">
        <v>433</v>
      </c>
      <c r="AE2" s="40"/>
      <c r="AF2" s="40"/>
      <c r="AG2" s="40"/>
      <c r="AH2" s="40" t="s">
        <v>434</v>
      </c>
      <c r="AI2" s="40"/>
      <c r="AJ2" s="40"/>
      <c r="AK2" s="40" t="s">
        <v>435</v>
      </c>
      <c r="AL2" s="114" t="s">
        <v>436</v>
      </c>
    </row>
    <row r="3" ht="92.4" spans="1:38">
      <c r="A3" s="40"/>
      <c r="B3" s="40"/>
      <c r="C3" s="40"/>
      <c r="D3" s="40"/>
      <c r="E3" s="40"/>
      <c r="F3" s="40"/>
      <c r="G3" s="40"/>
      <c r="H3" s="40"/>
      <c r="I3" s="40"/>
      <c r="J3" s="40"/>
      <c r="K3" s="40" t="s">
        <v>437</v>
      </c>
      <c r="L3" s="40" t="s">
        <v>438</v>
      </c>
      <c r="M3" s="40" t="s">
        <v>439</v>
      </c>
      <c r="N3" s="40" t="s">
        <v>440</v>
      </c>
      <c r="O3" s="40" t="s">
        <v>441</v>
      </c>
      <c r="P3" s="40" t="s">
        <v>442</v>
      </c>
      <c r="Q3" s="40" t="s">
        <v>443</v>
      </c>
      <c r="R3" s="40" t="s">
        <v>444</v>
      </c>
      <c r="S3" s="40" t="s">
        <v>445</v>
      </c>
      <c r="T3" s="40"/>
      <c r="U3" s="40"/>
      <c r="V3" s="40"/>
      <c r="W3" s="40"/>
      <c r="X3" s="40" t="s">
        <v>446</v>
      </c>
      <c r="Y3" s="40" t="s">
        <v>447</v>
      </c>
      <c r="Z3" s="40" t="s">
        <v>448</v>
      </c>
      <c r="AA3" s="40" t="s">
        <v>446</v>
      </c>
      <c r="AB3" s="40" t="s">
        <v>447</v>
      </c>
      <c r="AC3" s="40" t="s">
        <v>448</v>
      </c>
      <c r="AD3" s="40" t="s">
        <v>433</v>
      </c>
      <c r="AE3" s="40" t="s">
        <v>446</v>
      </c>
      <c r="AF3" s="40" t="s">
        <v>447</v>
      </c>
      <c r="AG3" s="40" t="s">
        <v>448</v>
      </c>
      <c r="AH3" s="40" t="s">
        <v>449</v>
      </c>
      <c r="AI3" s="40" t="s">
        <v>450</v>
      </c>
      <c r="AJ3" s="40" t="s">
        <v>451</v>
      </c>
      <c r="AK3" s="40"/>
      <c r="AL3" s="114"/>
    </row>
    <row r="4" s="31" customFormat="1" ht="132" spans="1:38">
      <c r="A4" s="40" t="s">
        <v>452</v>
      </c>
      <c r="B4" s="40" t="s">
        <v>453</v>
      </c>
      <c r="C4" s="42" t="s">
        <v>454</v>
      </c>
      <c r="D4" s="42" t="s">
        <v>455</v>
      </c>
      <c r="E4" s="46" t="s">
        <v>456</v>
      </c>
      <c r="F4" s="115"/>
      <c r="G4" s="52" t="s">
        <v>457</v>
      </c>
      <c r="H4" s="52" t="s">
        <v>458</v>
      </c>
      <c r="I4" s="46" t="s">
        <v>459</v>
      </c>
      <c r="J4" s="47" t="s">
        <v>460</v>
      </c>
      <c r="K4" s="48"/>
      <c r="L4" s="49" t="s">
        <v>36</v>
      </c>
      <c r="M4" s="49" t="s">
        <v>36</v>
      </c>
      <c r="N4" s="48"/>
      <c r="O4" s="48"/>
      <c r="P4" s="48"/>
      <c r="Q4" s="48"/>
      <c r="R4" s="48"/>
      <c r="S4" s="48"/>
      <c r="T4" s="51" t="s">
        <v>461</v>
      </c>
      <c r="U4" s="47" t="s">
        <v>462</v>
      </c>
      <c r="V4" s="46" t="s">
        <v>463</v>
      </c>
      <c r="W4" s="46" t="s">
        <v>464</v>
      </c>
      <c r="X4" s="49" t="s">
        <v>465</v>
      </c>
      <c r="Y4" s="49" t="s">
        <v>466</v>
      </c>
      <c r="Z4" s="49"/>
      <c r="AA4" s="49" t="s">
        <v>467</v>
      </c>
      <c r="AB4" s="49" t="s">
        <v>466</v>
      </c>
      <c r="AC4" s="49"/>
      <c r="AD4" s="67" t="s">
        <v>468</v>
      </c>
      <c r="AE4" s="51"/>
      <c r="AF4" s="51"/>
      <c r="AG4" s="49"/>
      <c r="AH4" s="49" t="s">
        <v>469</v>
      </c>
      <c r="AI4" s="49" t="s">
        <v>469</v>
      </c>
      <c r="AJ4" s="47" t="s">
        <v>470</v>
      </c>
      <c r="AK4" s="52" t="s">
        <v>471</v>
      </c>
      <c r="AL4" s="46" t="s">
        <v>472</v>
      </c>
    </row>
    <row r="5" s="31" customFormat="1" ht="132" spans="1:38">
      <c r="A5" s="40"/>
      <c r="B5" s="40"/>
      <c r="C5" s="55"/>
      <c r="D5" s="55"/>
      <c r="E5" s="46"/>
      <c r="F5" s="115"/>
      <c r="G5" s="52"/>
      <c r="H5" s="52"/>
      <c r="I5" s="46" t="s">
        <v>473</v>
      </c>
      <c r="J5" s="47" t="s">
        <v>474</v>
      </c>
      <c r="K5" s="48"/>
      <c r="L5" s="49" t="s">
        <v>36</v>
      </c>
      <c r="M5" s="48"/>
      <c r="N5" s="48"/>
      <c r="O5" s="48"/>
      <c r="P5" s="48"/>
      <c r="Q5" s="48"/>
      <c r="R5" s="48"/>
      <c r="S5" s="49" t="s">
        <v>36</v>
      </c>
      <c r="T5" s="49" t="s">
        <v>475</v>
      </c>
      <c r="U5" s="47"/>
      <c r="V5" s="46" t="s">
        <v>476</v>
      </c>
      <c r="W5" s="46" t="s">
        <v>477</v>
      </c>
      <c r="X5" s="49" t="s">
        <v>465</v>
      </c>
      <c r="Y5" s="49" t="s">
        <v>466</v>
      </c>
      <c r="Z5" s="49"/>
      <c r="AA5" s="49" t="s">
        <v>467</v>
      </c>
      <c r="AB5" s="49" t="s">
        <v>466</v>
      </c>
      <c r="AC5" s="49"/>
      <c r="AD5" s="47"/>
      <c r="AE5" s="49"/>
      <c r="AF5" s="49"/>
      <c r="AG5" s="49"/>
      <c r="AH5" s="49" t="s">
        <v>469</v>
      </c>
      <c r="AI5" s="49" t="s">
        <v>469</v>
      </c>
      <c r="AJ5" s="47" t="s">
        <v>478</v>
      </c>
      <c r="AK5" s="52" t="s">
        <v>471</v>
      </c>
      <c r="AL5" s="46" t="s">
        <v>472</v>
      </c>
    </row>
    <row r="6" s="31" customFormat="1" ht="171.6" spans="1:38">
      <c r="A6" s="40"/>
      <c r="B6" s="40"/>
      <c r="C6" s="55"/>
      <c r="D6" s="55"/>
      <c r="E6" s="46"/>
      <c r="F6" s="115"/>
      <c r="G6" s="52"/>
      <c r="H6" s="52"/>
      <c r="I6" s="46" t="s">
        <v>479</v>
      </c>
      <c r="J6" s="47" t="s">
        <v>480</v>
      </c>
      <c r="K6" s="48"/>
      <c r="L6" s="48"/>
      <c r="M6" s="48"/>
      <c r="N6" s="48"/>
      <c r="O6" s="49" t="s">
        <v>36</v>
      </c>
      <c r="P6" s="48"/>
      <c r="Q6" s="48"/>
      <c r="R6" s="48"/>
      <c r="S6" s="49" t="s">
        <v>36</v>
      </c>
      <c r="T6" s="49" t="s">
        <v>475</v>
      </c>
      <c r="U6" s="47"/>
      <c r="V6" s="46" t="s">
        <v>481</v>
      </c>
      <c r="W6" s="46" t="s">
        <v>482</v>
      </c>
      <c r="X6" s="49" t="s">
        <v>465</v>
      </c>
      <c r="Y6" s="49" t="s">
        <v>466</v>
      </c>
      <c r="Z6" s="49"/>
      <c r="AA6" s="49" t="s">
        <v>467</v>
      </c>
      <c r="AB6" s="49" t="s">
        <v>466</v>
      </c>
      <c r="AC6" s="49"/>
      <c r="AD6" s="47"/>
      <c r="AE6" s="49"/>
      <c r="AF6" s="49"/>
      <c r="AG6" s="49"/>
      <c r="AH6" s="49" t="s">
        <v>469</v>
      </c>
      <c r="AI6" s="49" t="s">
        <v>469</v>
      </c>
      <c r="AJ6" s="47" t="s">
        <v>483</v>
      </c>
      <c r="AK6" s="52" t="s">
        <v>471</v>
      </c>
      <c r="AL6" s="46" t="s">
        <v>472</v>
      </c>
    </row>
    <row r="7" s="31" customFormat="1" ht="132" spans="1:38">
      <c r="A7" s="40"/>
      <c r="B7" s="40"/>
      <c r="C7" s="55"/>
      <c r="D7" s="58"/>
      <c r="E7" s="46"/>
      <c r="F7" s="115"/>
      <c r="G7" s="52"/>
      <c r="H7" s="52"/>
      <c r="I7" s="46" t="s">
        <v>484</v>
      </c>
      <c r="J7" s="47" t="s">
        <v>485</v>
      </c>
      <c r="K7" s="60"/>
      <c r="L7" s="48"/>
      <c r="M7" s="48"/>
      <c r="N7" s="48"/>
      <c r="O7" s="48"/>
      <c r="P7" s="48"/>
      <c r="Q7" s="48"/>
      <c r="R7" s="48"/>
      <c r="S7" s="48"/>
      <c r="T7" s="49" t="s">
        <v>475</v>
      </c>
      <c r="U7" s="47"/>
      <c r="V7" s="46" t="s">
        <v>486</v>
      </c>
      <c r="W7" s="46" t="s">
        <v>487</v>
      </c>
      <c r="X7" s="49" t="s">
        <v>465</v>
      </c>
      <c r="Y7" s="49" t="s">
        <v>466</v>
      </c>
      <c r="Z7" s="49"/>
      <c r="AA7" s="49" t="s">
        <v>467</v>
      </c>
      <c r="AB7" s="49" t="s">
        <v>466</v>
      </c>
      <c r="AC7" s="49"/>
      <c r="AD7" s="47"/>
      <c r="AE7" s="49"/>
      <c r="AF7" s="49"/>
      <c r="AG7" s="49"/>
      <c r="AH7" s="49" t="s">
        <v>469</v>
      </c>
      <c r="AI7" s="49" t="s">
        <v>469</v>
      </c>
      <c r="AJ7" s="47" t="s">
        <v>478</v>
      </c>
      <c r="AK7" s="52" t="s">
        <v>471</v>
      </c>
      <c r="AL7" s="46" t="s">
        <v>472</v>
      </c>
    </row>
    <row r="8" s="32" customFormat="1" ht="290.4" spans="1:38">
      <c r="A8" s="61"/>
      <c r="B8" s="61"/>
      <c r="C8" s="62"/>
      <c r="D8" s="63"/>
      <c r="E8" s="67"/>
      <c r="F8" s="65" t="s">
        <v>488</v>
      </c>
      <c r="G8" s="71"/>
      <c r="H8" s="71"/>
      <c r="I8" s="66" t="s">
        <v>489</v>
      </c>
      <c r="J8" s="67" t="s">
        <v>490</v>
      </c>
      <c r="K8" s="68"/>
      <c r="L8" s="69" t="s">
        <v>36</v>
      </c>
      <c r="M8" s="70"/>
      <c r="N8" s="69"/>
      <c r="O8" s="70"/>
      <c r="P8" s="70"/>
      <c r="Q8" s="69"/>
      <c r="R8" s="70"/>
      <c r="S8" s="69"/>
      <c r="T8" s="69" t="s">
        <v>475</v>
      </c>
      <c r="U8" s="67"/>
      <c r="V8" s="66" t="s">
        <v>491</v>
      </c>
      <c r="W8" s="66" t="s">
        <v>492</v>
      </c>
      <c r="X8" s="69" t="s">
        <v>465</v>
      </c>
      <c r="Y8" s="69" t="s">
        <v>466</v>
      </c>
      <c r="Z8" s="69"/>
      <c r="AA8" s="69" t="s">
        <v>467</v>
      </c>
      <c r="AB8" s="69" t="s">
        <v>466</v>
      </c>
      <c r="AC8" s="69"/>
      <c r="AD8" s="67"/>
      <c r="AE8" s="69"/>
      <c r="AF8" s="69"/>
      <c r="AG8" s="69"/>
      <c r="AH8" s="69"/>
      <c r="AI8" s="69"/>
      <c r="AJ8" s="67" t="s">
        <v>493</v>
      </c>
      <c r="AK8" s="71" t="s">
        <v>471</v>
      </c>
      <c r="AL8" s="46" t="s">
        <v>494</v>
      </c>
    </row>
    <row r="9" s="31" customFormat="1" ht="118.8" spans="1:38">
      <c r="A9" s="40"/>
      <c r="B9" s="40"/>
      <c r="C9" s="55"/>
      <c r="D9" s="73" t="s">
        <v>495</v>
      </c>
      <c r="E9" s="74" t="s">
        <v>496</v>
      </c>
      <c r="F9" s="75"/>
      <c r="G9" s="76" t="s">
        <v>497</v>
      </c>
      <c r="H9" s="76" t="s">
        <v>498</v>
      </c>
      <c r="I9" s="46" t="s">
        <v>499</v>
      </c>
      <c r="J9" s="47" t="s">
        <v>500</v>
      </c>
      <c r="K9" s="77"/>
      <c r="L9" s="49" t="s">
        <v>36</v>
      </c>
      <c r="M9" s="48"/>
      <c r="N9" s="49" t="s">
        <v>36</v>
      </c>
      <c r="O9" s="48"/>
      <c r="P9" s="48"/>
      <c r="Q9" s="49" t="s">
        <v>36</v>
      </c>
      <c r="R9" s="48"/>
      <c r="S9" s="49" t="s">
        <v>36</v>
      </c>
      <c r="T9" s="49" t="s">
        <v>475</v>
      </c>
      <c r="U9" s="47"/>
      <c r="V9" s="46" t="s">
        <v>501</v>
      </c>
      <c r="W9" s="46" t="s">
        <v>502</v>
      </c>
      <c r="X9" s="49" t="s">
        <v>503</v>
      </c>
      <c r="Y9" s="49" t="s">
        <v>466</v>
      </c>
      <c r="Z9" s="49"/>
      <c r="AA9" s="49" t="s">
        <v>467</v>
      </c>
      <c r="AB9" s="49" t="s">
        <v>466</v>
      </c>
      <c r="AC9" s="49"/>
      <c r="AD9" s="47"/>
      <c r="AE9" s="49"/>
      <c r="AF9" s="49"/>
      <c r="AG9" s="49"/>
      <c r="AH9" s="49" t="s">
        <v>469</v>
      </c>
      <c r="AI9" s="49" t="s">
        <v>469</v>
      </c>
      <c r="AJ9" s="47" t="s">
        <v>504</v>
      </c>
      <c r="AK9" s="52" t="s">
        <v>471</v>
      </c>
      <c r="AL9" s="46" t="s">
        <v>505</v>
      </c>
    </row>
    <row r="10" s="31" customFormat="1" ht="158.4" spans="1:38">
      <c r="A10" s="40"/>
      <c r="B10" s="40"/>
      <c r="C10" s="55"/>
      <c r="D10" s="78"/>
      <c r="E10" s="79"/>
      <c r="F10" s="80"/>
      <c r="G10" s="81"/>
      <c r="H10" s="81"/>
      <c r="I10" s="46" t="s">
        <v>506</v>
      </c>
      <c r="J10" s="47" t="s">
        <v>507</v>
      </c>
      <c r="K10" s="49"/>
      <c r="L10" s="48"/>
      <c r="M10" s="48"/>
      <c r="N10" s="49" t="s">
        <v>36</v>
      </c>
      <c r="O10" s="48"/>
      <c r="P10" s="48"/>
      <c r="Q10" s="49" t="s">
        <v>36</v>
      </c>
      <c r="R10" s="48"/>
      <c r="S10" s="49" t="s">
        <v>36</v>
      </c>
      <c r="T10" s="49" t="s">
        <v>475</v>
      </c>
      <c r="U10" s="47"/>
      <c r="V10" s="46" t="s">
        <v>508</v>
      </c>
      <c r="W10" s="46" t="s">
        <v>509</v>
      </c>
      <c r="X10" s="49" t="s">
        <v>503</v>
      </c>
      <c r="Y10" s="49" t="s">
        <v>466</v>
      </c>
      <c r="Z10" s="49"/>
      <c r="AA10" s="49" t="s">
        <v>467</v>
      </c>
      <c r="AB10" s="49" t="s">
        <v>466</v>
      </c>
      <c r="AC10" s="49"/>
      <c r="AD10" s="47"/>
      <c r="AE10" s="49"/>
      <c r="AF10" s="49"/>
      <c r="AG10" s="49"/>
      <c r="AH10" s="49" t="s">
        <v>469</v>
      </c>
      <c r="AI10" s="49" t="s">
        <v>469</v>
      </c>
      <c r="AJ10" s="47" t="s">
        <v>510</v>
      </c>
      <c r="AK10" s="52" t="s">
        <v>471</v>
      </c>
      <c r="AL10" s="46" t="s">
        <v>505</v>
      </c>
    </row>
    <row r="11" s="31" customFormat="1" ht="158.4" spans="1:38">
      <c r="A11" s="40"/>
      <c r="B11" s="40"/>
      <c r="C11" s="58"/>
      <c r="D11" s="82"/>
      <c r="E11" s="83"/>
      <c r="F11" s="84"/>
      <c r="G11" s="85"/>
      <c r="H11" s="85"/>
      <c r="I11" s="46" t="s">
        <v>511</v>
      </c>
      <c r="J11" s="47" t="s">
        <v>512</v>
      </c>
      <c r="K11" s="49"/>
      <c r="L11" s="48"/>
      <c r="M11" s="48"/>
      <c r="N11" s="49" t="s">
        <v>36</v>
      </c>
      <c r="O11" s="48"/>
      <c r="P11" s="48"/>
      <c r="Q11" s="49" t="s">
        <v>36</v>
      </c>
      <c r="R11" s="48"/>
      <c r="S11" s="49" t="s">
        <v>36</v>
      </c>
      <c r="T11" s="49" t="s">
        <v>475</v>
      </c>
      <c r="U11" s="50"/>
      <c r="V11" s="46" t="s">
        <v>513</v>
      </c>
      <c r="W11" s="46" t="s">
        <v>514</v>
      </c>
      <c r="X11" s="49" t="s">
        <v>503</v>
      </c>
      <c r="Y11" s="49" t="s">
        <v>466</v>
      </c>
      <c r="Z11" s="49"/>
      <c r="AA11" s="49" t="s">
        <v>467</v>
      </c>
      <c r="AB11" s="49" t="s">
        <v>466</v>
      </c>
      <c r="AC11" s="49"/>
      <c r="AD11" s="47"/>
      <c r="AE11" s="49"/>
      <c r="AF11" s="49"/>
      <c r="AG11" s="49"/>
      <c r="AH11" s="49" t="s">
        <v>469</v>
      </c>
      <c r="AI11" s="49" t="s">
        <v>469</v>
      </c>
      <c r="AJ11" s="47" t="s">
        <v>515</v>
      </c>
      <c r="AK11" s="52" t="s">
        <v>471</v>
      </c>
      <c r="AL11" s="46" t="s">
        <v>505</v>
      </c>
    </row>
    <row r="12" s="31" customFormat="1" ht="105.6" spans="1:38">
      <c r="A12" s="40" t="s">
        <v>452</v>
      </c>
      <c r="B12" s="75" t="s">
        <v>516</v>
      </c>
      <c r="C12" s="73" t="s">
        <v>517</v>
      </c>
      <c r="D12" s="73" t="s">
        <v>518</v>
      </c>
      <c r="E12" s="74" t="s">
        <v>519</v>
      </c>
      <c r="F12" s="86" t="s">
        <v>520</v>
      </c>
      <c r="G12" s="76" t="s">
        <v>521</v>
      </c>
      <c r="H12" s="76" t="s">
        <v>522</v>
      </c>
      <c r="I12" s="46" t="s">
        <v>523</v>
      </c>
      <c r="J12" s="47" t="s">
        <v>524</v>
      </c>
      <c r="K12" s="48"/>
      <c r="L12" s="49" t="s">
        <v>36</v>
      </c>
      <c r="M12" s="49" t="s">
        <v>36</v>
      </c>
      <c r="N12" s="48"/>
      <c r="O12" s="49" t="s">
        <v>36</v>
      </c>
      <c r="P12" s="48"/>
      <c r="Q12" s="48"/>
      <c r="R12" s="48"/>
      <c r="S12" s="48"/>
      <c r="T12" s="49" t="s">
        <v>475</v>
      </c>
      <c r="U12" s="47"/>
      <c r="V12" s="46" t="s">
        <v>525</v>
      </c>
      <c r="W12" s="46" t="s">
        <v>526</v>
      </c>
      <c r="X12" s="49" t="s">
        <v>527</v>
      </c>
      <c r="Y12" s="49" t="s">
        <v>466</v>
      </c>
      <c r="Z12" s="49"/>
      <c r="AA12" s="49" t="s">
        <v>467</v>
      </c>
      <c r="AB12" s="49" t="s">
        <v>466</v>
      </c>
      <c r="AC12" s="49"/>
      <c r="AD12" s="47"/>
      <c r="AE12" s="49"/>
      <c r="AF12" s="49"/>
      <c r="AG12" s="49"/>
      <c r="AH12" s="49" t="s">
        <v>469</v>
      </c>
      <c r="AI12" s="49" t="s">
        <v>469</v>
      </c>
      <c r="AJ12" s="47" t="s">
        <v>528</v>
      </c>
      <c r="AK12" s="52" t="s">
        <v>471</v>
      </c>
      <c r="AL12" s="46" t="s">
        <v>505</v>
      </c>
    </row>
    <row r="13" s="31" customFormat="1" ht="105.6" spans="1:38">
      <c r="A13" s="40"/>
      <c r="B13" s="80"/>
      <c r="C13" s="78"/>
      <c r="D13" s="78"/>
      <c r="E13" s="79"/>
      <c r="F13" s="87"/>
      <c r="G13" s="81"/>
      <c r="H13" s="81"/>
      <c r="I13" s="46" t="s">
        <v>529</v>
      </c>
      <c r="J13" s="47" t="s">
        <v>530</v>
      </c>
      <c r="K13" s="77"/>
      <c r="L13" s="48"/>
      <c r="M13" s="48"/>
      <c r="N13" s="48"/>
      <c r="O13" s="49" t="s">
        <v>36</v>
      </c>
      <c r="P13" s="48"/>
      <c r="Q13" s="48"/>
      <c r="R13" s="48"/>
      <c r="S13" s="48"/>
      <c r="T13" s="49" t="s">
        <v>475</v>
      </c>
      <c r="U13" s="47"/>
      <c r="V13" s="46" t="s">
        <v>531</v>
      </c>
      <c r="W13" s="46" t="s">
        <v>532</v>
      </c>
      <c r="X13" s="49" t="s">
        <v>527</v>
      </c>
      <c r="Y13" s="49" t="s">
        <v>466</v>
      </c>
      <c r="Z13" s="49"/>
      <c r="AA13" s="49" t="s">
        <v>467</v>
      </c>
      <c r="AB13" s="49" t="s">
        <v>466</v>
      </c>
      <c r="AC13" s="49"/>
      <c r="AD13" s="47"/>
      <c r="AE13" s="49"/>
      <c r="AF13" s="49"/>
      <c r="AG13" s="49"/>
      <c r="AH13" s="49" t="s">
        <v>469</v>
      </c>
      <c r="AI13" s="49" t="s">
        <v>469</v>
      </c>
      <c r="AJ13" s="47" t="s">
        <v>528</v>
      </c>
      <c r="AK13" s="52" t="s">
        <v>471</v>
      </c>
      <c r="AL13" s="46" t="s">
        <v>505</v>
      </c>
    </row>
    <row r="14" s="31" customFormat="1" ht="66" spans="1:38">
      <c r="A14" s="40"/>
      <c r="B14" s="84"/>
      <c r="C14" s="82"/>
      <c r="D14" s="82"/>
      <c r="E14" s="83"/>
      <c r="F14" s="88"/>
      <c r="G14" s="85"/>
      <c r="H14" s="85"/>
      <c r="I14" s="46" t="s">
        <v>533</v>
      </c>
      <c r="J14" s="47" t="s">
        <v>534</v>
      </c>
      <c r="K14" s="48"/>
      <c r="L14" s="48"/>
      <c r="M14" s="48"/>
      <c r="N14" s="49" t="s">
        <v>36</v>
      </c>
      <c r="O14" s="49" t="s">
        <v>36</v>
      </c>
      <c r="P14" s="49" t="s">
        <v>36</v>
      </c>
      <c r="Q14" s="49" t="s">
        <v>36</v>
      </c>
      <c r="R14" s="48"/>
      <c r="S14" s="48"/>
      <c r="T14" s="49" t="s">
        <v>535</v>
      </c>
      <c r="U14" s="47" t="s">
        <v>536</v>
      </c>
      <c r="V14" s="46" t="s">
        <v>537</v>
      </c>
      <c r="W14" s="46" t="s">
        <v>538</v>
      </c>
      <c r="X14" s="49" t="s">
        <v>527</v>
      </c>
      <c r="Y14" s="49" t="s">
        <v>466</v>
      </c>
      <c r="Z14" s="49"/>
      <c r="AA14" s="49" t="s">
        <v>467</v>
      </c>
      <c r="AB14" s="49" t="s">
        <v>466</v>
      </c>
      <c r="AC14" s="49"/>
      <c r="AD14" s="47" t="s">
        <v>539</v>
      </c>
      <c r="AE14" s="49" t="s">
        <v>503</v>
      </c>
      <c r="AF14" s="49" t="s">
        <v>540</v>
      </c>
      <c r="AG14" s="49"/>
      <c r="AH14" s="49" t="s">
        <v>469</v>
      </c>
      <c r="AI14" s="49" t="s">
        <v>469</v>
      </c>
      <c r="AJ14" s="47" t="s">
        <v>541</v>
      </c>
      <c r="AK14" s="52" t="s">
        <v>471</v>
      </c>
      <c r="AL14" s="46" t="s">
        <v>542</v>
      </c>
    </row>
    <row r="15" s="31" customFormat="1" ht="118.8" spans="1:38">
      <c r="A15" s="40"/>
      <c r="B15" s="75" t="s">
        <v>516</v>
      </c>
      <c r="C15" s="42" t="s">
        <v>454</v>
      </c>
      <c r="D15" s="42" t="s">
        <v>543</v>
      </c>
      <c r="E15" s="76" t="s">
        <v>544</v>
      </c>
      <c r="F15" s="89" t="s">
        <v>545</v>
      </c>
      <c r="G15" s="47" t="s">
        <v>546</v>
      </c>
      <c r="H15" s="46" t="s">
        <v>547</v>
      </c>
      <c r="I15" s="46" t="s">
        <v>548</v>
      </c>
      <c r="J15" s="47" t="s">
        <v>549</v>
      </c>
      <c r="K15" s="77"/>
      <c r="L15" s="48"/>
      <c r="M15" s="49" t="s">
        <v>36</v>
      </c>
      <c r="N15" s="48"/>
      <c r="O15" s="49" t="s">
        <v>36</v>
      </c>
      <c r="P15" s="48"/>
      <c r="Q15" s="48"/>
      <c r="R15" s="48"/>
      <c r="S15" s="48"/>
      <c r="T15" s="49" t="s">
        <v>475</v>
      </c>
      <c r="U15" s="47"/>
      <c r="V15" s="46" t="s">
        <v>550</v>
      </c>
      <c r="W15" s="46" t="s">
        <v>526</v>
      </c>
      <c r="X15" s="49" t="s">
        <v>503</v>
      </c>
      <c r="Y15" s="49" t="s">
        <v>466</v>
      </c>
      <c r="Z15" s="49"/>
      <c r="AA15" s="49" t="s">
        <v>467</v>
      </c>
      <c r="AB15" s="49" t="s">
        <v>466</v>
      </c>
      <c r="AC15" s="49"/>
      <c r="AD15" s="47"/>
      <c r="AE15" s="49"/>
      <c r="AF15" s="49"/>
      <c r="AG15" s="49"/>
      <c r="AH15" s="49" t="s">
        <v>469</v>
      </c>
      <c r="AI15" s="49" t="s">
        <v>469</v>
      </c>
      <c r="AJ15" s="47" t="s">
        <v>551</v>
      </c>
      <c r="AK15" s="52" t="s">
        <v>471</v>
      </c>
      <c r="AL15" s="46" t="s">
        <v>542</v>
      </c>
    </row>
    <row r="16" s="31" customFormat="1" ht="118.8" spans="1:38">
      <c r="A16" s="40"/>
      <c r="B16" s="80"/>
      <c r="C16" s="55"/>
      <c r="D16" s="55"/>
      <c r="E16" s="81"/>
      <c r="F16" s="80"/>
      <c r="G16" s="74" t="s">
        <v>546</v>
      </c>
      <c r="H16" s="76" t="s">
        <v>547</v>
      </c>
      <c r="I16" s="46" t="s">
        <v>552</v>
      </c>
      <c r="J16" s="47" t="s">
        <v>553</v>
      </c>
      <c r="K16" s="77"/>
      <c r="L16" s="48"/>
      <c r="M16" s="49" t="s">
        <v>36</v>
      </c>
      <c r="N16" s="48"/>
      <c r="O16" s="49" t="s">
        <v>36</v>
      </c>
      <c r="P16" s="48"/>
      <c r="Q16" s="48"/>
      <c r="R16" s="48"/>
      <c r="S16" s="48"/>
      <c r="T16" s="49" t="s">
        <v>475</v>
      </c>
      <c r="U16" s="47"/>
      <c r="V16" s="46" t="s">
        <v>550</v>
      </c>
      <c r="W16" s="46" t="s">
        <v>526</v>
      </c>
      <c r="X16" s="49" t="s">
        <v>503</v>
      </c>
      <c r="Y16" s="49" t="s">
        <v>466</v>
      </c>
      <c r="Z16" s="49"/>
      <c r="AA16" s="49" t="s">
        <v>467</v>
      </c>
      <c r="AB16" s="49" t="s">
        <v>466</v>
      </c>
      <c r="AC16" s="49"/>
      <c r="AD16" s="47"/>
      <c r="AE16" s="49"/>
      <c r="AF16" s="49"/>
      <c r="AG16" s="49"/>
      <c r="AH16" s="49" t="s">
        <v>469</v>
      </c>
      <c r="AI16" s="49" t="s">
        <v>469</v>
      </c>
      <c r="AJ16" s="47" t="s">
        <v>551</v>
      </c>
      <c r="AK16" s="52" t="s">
        <v>471</v>
      </c>
      <c r="AL16" s="46" t="s">
        <v>542</v>
      </c>
    </row>
    <row r="17" s="31" customFormat="1" ht="118.8" spans="1:38">
      <c r="A17" s="40"/>
      <c r="B17" s="80"/>
      <c r="C17" s="55"/>
      <c r="D17" s="55"/>
      <c r="E17" s="81"/>
      <c r="F17" s="80"/>
      <c r="G17" s="79"/>
      <c r="H17" s="81"/>
      <c r="I17" s="46" t="s">
        <v>554</v>
      </c>
      <c r="J17" s="90" t="s">
        <v>555</v>
      </c>
      <c r="K17" s="48"/>
      <c r="L17" s="48"/>
      <c r="M17" s="49" t="s">
        <v>36</v>
      </c>
      <c r="N17" s="48"/>
      <c r="O17" s="49" t="s">
        <v>36</v>
      </c>
      <c r="P17" s="48"/>
      <c r="Q17" s="48"/>
      <c r="R17" s="48"/>
      <c r="S17" s="49" t="s">
        <v>36</v>
      </c>
      <c r="T17" s="49" t="s">
        <v>556</v>
      </c>
      <c r="U17" s="47" t="s">
        <v>557</v>
      </c>
      <c r="V17" s="46" t="s">
        <v>550</v>
      </c>
      <c r="W17" s="46" t="s">
        <v>558</v>
      </c>
      <c r="X17" s="49" t="s">
        <v>503</v>
      </c>
      <c r="Y17" s="49" t="s">
        <v>466</v>
      </c>
      <c r="Z17" s="49"/>
      <c r="AA17" s="49" t="s">
        <v>467</v>
      </c>
      <c r="AB17" s="49" t="s">
        <v>466</v>
      </c>
      <c r="AC17" s="49"/>
      <c r="AD17" s="47" t="s">
        <v>559</v>
      </c>
      <c r="AE17" s="49" t="s">
        <v>527</v>
      </c>
      <c r="AF17" s="49" t="s">
        <v>466</v>
      </c>
      <c r="AG17" s="49"/>
      <c r="AH17" s="49" t="s">
        <v>469</v>
      </c>
      <c r="AI17" s="49" t="s">
        <v>469</v>
      </c>
      <c r="AJ17" s="47" t="s">
        <v>551</v>
      </c>
      <c r="AK17" s="52" t="s">
        <v>471</v>
      </c>
      <c r="AL17" s="46" t="s">
        <v>560</v>
      </c>
    </row>
    <row r="18" s="31" customFormat="1" ht="118.8" spans="1:38">
      <c r="A18" s="40"/>
      <c r="B18" s="80"/>
      <c r="C18" s="55"/>
      <c r="D18" s="55"/>
      <c r="E18" s="81"/>
      <c r="F18" s="80"/>
      <c r="G18" s="79"/>
      <c r="H18" s="81"/>
      <c r="I18" s="46" t="s">
        <v>561</v>
      </c>
      <c r="J18" s="50" t="s">
        <v>562</v>
      </c>
      <c r="K18" s="48"/>
      <c r="L18" s="48"/>
      <c r="M18" s="49" t="s">
        <v>36</v>
      </c>
      <c r="N18" s="48"/>
      <c r="O18" s="49" t="s">
        <v>36</v>
      </c>
      <c r="P18" s="48"/>
      <c r="Q18" s="48"/>
      <c r="R18" s="48"/>
      <c r="S18" s="49" t="s">
        <v>36</v>
      </c>
      <c r="T18" s="49" t="s">
        <v>475</v>
      </c>
      <c r="U18" s="50"/>
      <c r="V18" s="46" t="s">
        <v>550</v>
      </c>
      <c r="W18" s="46" t="s">
        <v>558</v>
      </c>
      <c r="X18" s="49" t="s">
        <v>503</v>
      </c>
      <c r="Y18" s="49" t="s">
        <v>466</v>
      </c>
      <c r="Z18" s="49"/>
      <c r="AA18" s="49" t="s">
        <v>467</v>
      </c>
      <c r="AB18" s="49" t="s">
        <v>466</v>
      </c>
      <c r="AC18" s="49"/>
      <c r="AD18" s="47" t="s">
        <v>559</v>
      </c>
      <c r="AE18" s="49" t="s">
        <v>527</v>
      </c>
      <c r="AF18" s="49" t="s">
        <v>466</v>
      </c>
      <c r="AG18" s="49"/>
      <c r="AH18" s="49" t="s">
        <v>469</v>
      </c>
      <c r="AI18" s="49" t="s">
        <v>469</v>
      </c>
      <c r="AJ18" s="47" t="s">
        <v>551</v>
      </c>
      <c r="AK18" s="52" t="s">
        <v>471</v>
      </c>
      <c r="AL18" s="46" t="s">
        <v>560</v>
      </c>
    </row>
    <row r="19" s="31" customFormat="1" ht="118.8" spans="1:38">
      <c r="A19" s="40"/>
      <c r="B19" s="84"/>
      <c r="C19" s="58"/>
      <c r="D19" s="58"/>
      <c r="E19" s="85"/>
      <c r="F19" s="84"/>
      <c r="G19" s="83"/>
      <c r="H19" s="85"/>
      <c r="I19" s="46" t="s">
        <v>563</v>
      </c>
      <c r="J19" s="47" t="s">
        <v>564</v>
      </c>
      <c r="K19" s="48"/>
      <c r="L19" s="48"/>
      <c r="M19" s="49" t="s">
        <v>36</v>
      </c>
      <c r="N19" s="48"/>
      <c r="O19" s="49" t="s">
        <v>36</v>
      </c>
      <c r="P19" s="49" t="s">
        <v>36</v>
      </c>
      <c r="Q19" s="49" t="s">
        <v>36</v>
      </c>
      <c r="R19" s="48"/>
      <c r="S19" s="49" t="s">
        <v>36</v>
      </c>
      <c r="T19" s="49" t="s">
        <v>556</v>
      </c>
      <c r="U19" s="47" t="s">
        <v>536</v>
      </c>
      <c r="V19" s="46" t="s">
        <v>550</v>
      </c>
      <c r="W19" s="46" t="s">
        <v>565</v>
      </c>
      <c r="X19" s="49" t="s">
        <v>503</v>
      </c>
      <c r="Y19" s="49" t="s">
        <v>466</v>
      </c>
      <c r="Z19" s="49"/>
      <c r="AA19" s="49" t="s">
        <v>467</v>
      </c>
      <c r="AB19" s="49" t="s">
        <v>466</v>
      </c>
      <c r="AC19" s="49"/>
      <c r="AD19" s="47" t="s">
        <v>559</v>
      </c>
      <c r="AE19" s="49" t="s">
        <v>527</v>
      </c>
      <c r="AF19" s="49" t="s">
        <v>466</v>
      </c>
      <c r="AG19" s="49"/>
      <c r="AH19" s="49" t="s">
        <v>469</v>
      </c>
      <c r="AI19" s="49" t="s">
        <v>469</v>
      </c>
      <c r="AJ19" s="47" t="s">
        <v>551</v>
      </c>
      <c r="AK19" s="52" t="s">
        <v>471</v>
      </c>
      <c r="AL19" s="46" t="s">
        <v>542</v>
      </c>
    </row>
    <row r="20" s="31" customFormat="1" ht="66" spans="1:38">
      <c r="A20" s="40" t="s">
        <v>452</v>
      </c>
      <c r="B20" s="75" t="s">
        <v>566</v>
      </c>
      <c r="C20" s="73" t="s">
        <v>454</v>
      </c>
      <c r="D20" s="73" t="s">
        <v>567</v>
      </c>
      <c r="E20" s="74" t="s">
        <v>568</v>
      </c>
      <c r="F20" s="86" t="s">
        <v>569</v>
      </c>
      <c r="G20" s="76" t="s">
        <v>570</v>
      </c>
      <c r="H20" s="76" t="s">
        <v>571</v>
      </c>
      <c r="I20" s="46" t="s">
        <v>572</v>
      </c>
      <c r="J20" s="47" t="s">
        <v>573</v>
      </c>
      <c r="K20" s="60"/>
      <c r="L20" s="49" t="s">
        <v>36</v>
      </c>
      <c r="M20" s="49" t="s">
        <v>36</v>
      </c>
      <c r="N20" s="48"/>
      <c r="O20" s="48"/>
      <c r="P20" s="48"/>
      <c r="Q20" s="48"/>
      <c r="R20" s="49" t="s">
        <v>36</v>
      </c>
      <c r="S20" s="48"/>
      <c r="T20" s="49" t="s">
        <v>535</v>
      </c>
      <c r="U20" s="47" t="s">
        <v>574</v>
      </c>
      <c r="V20" s="46" t="s">
        <v>575</v>
      </c>
      <c r="W20" s="46" t="s">
        <v>576</v>
      </c>
      <c r="X20" s="49" t="s">
        <v>527</v>
      </c>
      <c r="Y20" s="49" t="s">
        <v>466</v>
      </c>
      <c r="Z20" s="49"/>
      <c r="AA20" s="49" t="s">
        <v>467</v>
      </c>
      <c r="AB20" s="49" t="s">
        <v>466</v>
      </c>
      <c r="AC20" s="49"/>
      <c r="AD20" s="47" t="s">
        <v>577</v>
      </c>
      <c r="AE20" s="49" t="s">
        <v>465</v>
      </c>
      <c r="AF20" s="49" t="s">
        <v>466</v>
      </c>
      <c r="AG20" s="49"/>
      <c r="AH20" s="49" t="s">
        <v>469</v>
      </c>
      <c r="AI20" s="49" t="s">
        <v>469</v>
      </c>
      <c r="AJ20" s="47" t="s">
        <v>578</v>
      </c>
      <c r="AK20" s="52" t="s">
        <v>471</v>
      </c>
      <c r="AL20" s="46" t="s">
        <v>542</v>
      </c>
    </row>
    <row r="21" s="31" customFormat="1" ht="92.4" spans="1:38">
      <c r="A21" s="40"/>
      <c r="B21" s="80"/>
      <c r="C21" s="78"/>
      <c r="D21" s="78"/>
      <c r="E21" s="79"/>
      <c r="F21" s="87"/>
      <c r="G21" s="81"/>
      <c r="H21" s="81"/>
      <c r="I21" s="46" t="s">
        <v>579</v>
      </c>
      <c r="J21" s="50" t="s">
        <v>580</v>
      </c>
      <c r="K21" s="77"/>
      <c r="L21" s="48"/>
      <c r="M21" s="49" t="s">
        <v>36</v>
      </c>
      <c r="N21" s="48"/>
      <c r="O21" s="48"/>
      <c r="P21" s="48"/>
      <c r="Q21" s="48"/>
      <c r="R21" s="49" t="s">
        <v>36</v>
      </c>
      <c r="S21" s="48"/>
      <c r="T21" s="49" t="s">
        <v>475</v>
      </c>
      <c r="U21" s="47"/>
      <c r="V21" s="46" t="s">
        <v>581</v>
      </c>
      <c r="W21" s="116" t="s">
        <v>582</v>
      </c>
      <c r="X21" s="49" t="s">
        <v>527</v>
      </c>
      <c r="Y21" s="49" t="s">
        <v>466</v>
      </c>
      <c r="Z21" s="49"/>
      <c r="AA21" s="49" t="s">
        <v>467</v>
      </c>
      <c r="AB21" s="49" t="s">
        <v>466</v>
      </c>
      <c r="AC21" s="49"/>
      <c r="AD21" s="47"/>
      <c r="AE21" s="49"/>
      <c r="AF21" s="49"/>
      <c r="AG21" s="49"/>
      <c r="AH21" s="49" t="s">
        <v>469</v>
      </c>
      <c r="AI21" s="49" t="s">
        <v>469</v>
      </c>
      <c r="AJ21" s="47" t="s">
        <v>578</v>
      </c>
      <c r="AK21" s="52" t="s">
        <v>471</v>
      </c>
      <c r="AL21" s="46" t="s">
        <v>583</v>
      </c>
    </row>
    <row r="22" s="31" customFormat="1" ht="92.4" spans="1:38">
      <c r="A22" s="40"/>
      <c r="B22" s="80"/>
      <c r="C22" s="82"/>
      <c r="D22" s="82"/>
      <c r="E22" s="83"/>
      <c r="F22" s="88"/>
      <c r="G22" s="85"/>
      <c r="H22" s="85"/>
      <c r="I22" s="46" t="s">
        <v>584</v>
      </c>
      <c r="J22" s="47" t="s">
        <v>585</v>
      </c>
      <c r="K22" s="48"/>
      <c r="L22" s="48"/>
      <c r="M22" s="49"/>
      <c r="N22" s="48"/>
      <c r="O22" s="49" t="s">
        <v>36</v>
      </c>
      <c r="P22" s="48"/>
      <c r="Q22" s="49" t="s">
        <v>36</v>
      </c>
      <c r="R22" s="48"/>
      <c r="S22" s="48"/>
      <c r="T22" s="49" t="s">
        <v>556</v>
      </c>
      <c r="U22" s="47" t="s">
        <v>536</v>
      </c>
      <c r="V22" s="46" t="s">
        <v>586</v>
      </c>
      <c r="W22" s="46" t="s">
        <v>587</v>
      </c>
      <c r="X22" s="49" t="s">
        <v>527</v>
      </c>
      <c r="Y22" s="49" t="s">
        <v>466</v>
      </c>
      <c r="Z22" s="49"/>
      <c r="AA22" s="49" t="s">
        <v>467</v>
      </c>
      <c r="AB22" s="49" t="s">
        <v>466</v>
      </c>
      <c r="AC22" s="49"/>
      <c r="AD22" s="47" t="s">
        <v>577</v>
      </c>
      <c r="AE22" s="49" t="s">
        <v>465</v>
      </c>
      <c r="AF22" s="49" t="s">
        <v>466</v>
      </c>
      <c r="AG22" s="49"/>
      <c r="AH22" s="49" t="s">
        <v>469</v>
      </c>
      <c r="AI22" s="49" t="s">
        <v>469</v>
      </c>
      <c r="AJ22" s="47" t="s">
        <v>578</v>
      </c>
      <c r="AK22" s="52" t="s">
        <v>471</v>
      </c>
      <c r="AL22" s="46" t="s">
        <v>542</v>
      </c>
    </row>
    <row r="23" s="31" customFormat="1" ht="132" spans="1:38">
      <c r="A23" s="40"/>
      <c r="B23" s="80"/>
      <c r="C23" s="73" t="s">
        <v>454</v>
      </c>
      <c r="D23" s="73" t="s">
        <v>588</v>
      </c>
      <c r="E23" s="73" t="s">
        <v>589</v>
      </c>
      <c r="F23" s="91" t="s">
        <v>569</v>
      </c>
      <c r="G23" s="42" t="s">
        <v>590</v>
      </c>
      <c r="H23" s="42" t="s">
        <v>591</v>
      </c>
      <c r="I23" s="46" t="s">
        <v>592</v>
      </c>
      <c r="J23" s="47" t="s">
        <v>593</v>
      </c>
      <c r="K23" s="77"/>
      <c r="L23" s="49" t="s">
        <v>36</v>
      </c>
      <c r="M23" s="49" t="s">
        <v>36</v>
      </c>
      <c r="N23" s="48"/>
      <c r="O23" s="48"/>
      <c r="P23" s="48"/>
      <c r="Q23" s="48"/>
      <c r="R23" s="48"/>
      <c r="S23" s="48"/>
      <c r="T23" s="49" t="s">
        <v>475</v>
      </c>
      <c r="U23" s="47"/>
      <c r="V23" s="46" t="s">
        <v>594</v>
      </c>
      <c r="W23" s="116" t="s">
        <v>595</v>
      </c>
      <c r="X23" s="49" t="s">
        <v>503</v>
      </c>
      <c r="Y23" s="49" t="s">
        <v>466</v>
      </c>
      <c r="Z23" s="49"/>
      <c r="AA23" s="49" t="s">
        <v>467</v>
      </c>
      <c r="AB23" s="49" t="s">
        <v>466</v>
      </c>
      <c r="AC23" s="49"/>
      <c r="AD23" s="47"/>
      <c r="AE23" s="49"/>
      <c r="AF23" s="49"/>
      <c r="AG23" s="49"/>
      <c r="AH23" s="49" t="s">
        <v>469</v>
      </c>
      <c r="AI23" s="49" t="s">
        <v>469</v>
      </c>
      <c r="AJ23" s="47" t="s">
        <v>596</v>
      </c>
      <c r="AK23" s="52" t="s">
        <v>471</v>
      </c>
      <c r="AL23" s="46" t="s">
        <v>597</v>
      </c>
    </row>
    <row r="24" s="31" customFormat="1" ht="145.2" spans="1:38">
      <c r="A24" s="40"/>
      <c r="B24" s="80"/>
      <c r="C24" s="78"/>
      <c r="D24" s="78"/>
      <c r="E24" s="78"/>
      <c r="F24" s="87"/>
      <c r="G24" s="55"/>
      <c r="H24" s="55"/>
      <c r="I24" s="46" t="s">
        <v>598</v>
      </c>
      <c r="J24" s="47" t="s">
        <v>599</v>
      </c>
      <c r="K24" s="48"/>
      <c r="L24" s="48"/>
      <c r="M24" s="48"/>
      <c r="N24" s="48"/>
      <c r="O24" s="49" t="s">
        <v>36</v>
      </c>
      <c r="P24" s="48"/>
      <c r="Q24" s="48"/>
      <c r="R24" s="49" t="s">
        <v>36</v>
      </c>
      <c r="S24" s="48"/>
      <c r="T24" s="49" t="s">
        <v>475</v>
      </c>
      <c r="U24" s="47"/>
      <c r="V24" s="46" t="s">
        <v>600</v>
      </c>
      <c r="W24" s="46" t="s">
        <v>601</v>
      </c>
      <c r="X24" s="49" t="s">
        <v>503</v>
      </c>
      <c r="Y24" s="49" t="s">
        <v>466</v>
      </c>
      <c r="Z24" s="49"/>
      <c r="AA24" s="49" t="s">
        <v>467</v>
      </c>
      <c r="AB24" s="49" t="s">
        <v>466</v>
      </c>
      <c r="AC24" s="49"/>
      <c r="AD24" s="47"/>
      <c r="AE24" s="49"/>
      <c r="AF24" s="49"/>
      <c r="AG24" s="49"/>
      <c r="AH24" s="49" t="s">
        <v>469</v>
      </c>
      <c r="AI24" s="49" t="s">
        <v>469</v>
      </c>
      <c r="AJ24" s="47" t="s">
        <v>602</v>
      </c>
      <c r="AK24" s="52" t="s">
        <v>471</v>
      </c>
      <c r="AL24" s="46" t="s">
        <v>603</v>
      </c>
    </row>
    <row r="25" s="31" customFormat="1" ht="118.8" spans="1:38">
      <c r="A25" s="40"/>
      <c r="B25" s="80"/>
      <c r="C25" s="78"/>
      <c r="D25" s="78"/>
      <c r="E25" s="78"/>
      <c r="F25" s="87"/>
      <c r="G25" s="55"/>
      <c r="H25" s="55"/>
      <c r="I25" s="46" t="s">
        <v>604</v>
      </c>
      <c r="J25" s="47" t="s">
        <v>605</v>
      </c>
      <c r="K25" s="77"/>
      <c r="L25" s="48"/>
      <c r="M25" s="48"/>
      <c r="N25" s="48"/>
      <c r="O25" s="48"/>
      <c r="P25" s="48"/>
      <c r="Q25" s="48"/>
      <c r="R25" s="48"/>
      <c r="S25" s="49" t="s">
        <v>36</v>
      </c>
      <c r="T25" s="49" t="s">
        <v>475</v>
      </c>
      <c r="U25" s="47"/>
      <c r="V25" s="46" t="s">
        <v>606</v>
      </c>
      <c r="W25" s="46" t="s">
        <v>607</v>
      </c>
      <c r="X25" s="49" t="s">
        <v>503</v>
      </c>
      <c r="Y25" s="49" t="s">
        <v>466</v>
      </c>
      <c r="Z25" s="49"/>
      <c r="AA25" s="49" t="s">
        <v>467</v>
      </c>
      <c r="AB25" s="49" t="s">
        <v>466</v>
      </c>
      <c r="AC25" s="49"/>
      <c r="AD25" s="47"/>
      <c r="AE25" s="49"/>
      <c r="AF25" s="49"/>
      <c r="AG25" s="49"/>
      <c r="AH25" s="49" t="s">
        <v>469</v>
      </c>
      <c r="AI25" s="49" t="s">
        <v>469</v>
      </c>
      <c r="AJ25" s="47" t="s">
        <v>608</v>
      </c>
      <c r="AK25" s="52" t="s">
        <v>471</v>
      </c>
      <c r="AL25" s="46" t="s">
        <v>609</v>
      </c>
    </row>
    <row r="26" s="31" customFormat="1" ht="79.2" spans="1:38">
      <c r="A26" s="40"/>
      <c r="B26" s="80"/>
      <c r="C26" s="73" t="s">
        <v>610</v>
      </c>
      <c r="D26" s="73" t="s">
        <v>611</v>
      </c>
      <c r="E26" s="74" t="s">
        <v>612</v>
      </c>
      <c r="F26" s="75"/>
      <c r="G26" s="76" t="s">
        <v>613</v>
      </c>
      <c r="H26" s="76" t="s">
        <v>614</v>
      </c>
      <c r="I26" s="46" t="s">
        <v>615</v>
      </c>
      <c r="J26" s="47" t="s">
        <v>616</v>
      </c>
      <c r="K26" s="77"/>
      <c r="L26" s="48"/>
      <c r="M26" s="49" t="s">
        <v>36</v>
      </c>
      <c r="N26" s="48"/>
      <c r="O26" s="49" t="s">
        <v>36</v>
      </c>
      <c r="P26" s="48"/>
      <c r="Q26" s="48"/>
      <c r="R26" s="49" t="s">
        <v>36</v>
      </c>
      <c r="S26" s="48"/>
      <c r="T26" s="49" t="s">
        <v>475</v>
      </c>
      <c r="U26" s="47"/>
      <c r="V26" s="46" t="s">
        <v>617</v>
      </c>
      <c r="W26" s="46" t="s">
        <v>618</v>
      </c>
      <c r="X26" s="49" t="s">
        <v>465</v>
      </c>
      <c r="Y26" s="49" t="s">
        <v>540</v>
      </c>
      <c r="Z26" s="49"/>
      <c r="AA26" s="49" t="s">
        <v>467</v>
      </c>
      <c r="AB26" s="49" t="s">
        <v>466</v>
      </c>
      <c r="AC26" s="49"/>
      <c r="AD26" s="47"/>
      <c r="AE26" s="49"/>
      <c r="AF26" s="49"/>
      <c r="AG26" s="49"/>
      <c r="AH26" s="49" t="s">
        <v>469</v>
      </c>
      <c r="AI26" s="49" t="s">
        <v>469</v>
      </c>
      <c r="AJ26" s="47" t="s">
        <v>619</v>
      </c>
      <c r="AK26" s="52" t="s">
        <v>471</v>
      </c>
      <c r="AL26" s="46" t="s">
        <v>542</v>
      </c>
    </row>
    <row r="27" s="31" customFormat="1" ht="79.2" spans="1:38">
      <c r="A27" s="40"/>
      <c r="B27" s="84"/>
      <c r="C27" s="82"/>
      <c r="D27" s="82"/>
      <c r="E27" s="83"/>
      <c r="F27" s="84"/>
      <c r="G27" s="85"/>
      <c r="H27" s="85"/>
      <c r="I27" s="46" t="s">
        <v>620</v>
      </c>
      <c r="J27" s="47" t="s">
        <v>621</v>
      </c>
      <c r="K27" s="48"/>
      <c r="L27" s="48"/>
      <c r="M27" s="48"/>
      <c r="N27" s="48"/>
      <c r="O27" s="48"/>
      <c r="P27" s="48"/>
      <c r="Q27" s="49" t="s">
        <v>36</v>
      </c>
      <c r="R27" s="48"/>
      <c r="S27" s="48"/>
      <c r="T27" s="49" t="s">
        <v>535</v>
      </c>
      <c r="U27" s="47" t="s">
        <v>536</v>
      </c>
      <c r="V27" s="46" t="s">
        <v>622</v>
      </c>
      <c r="W27" s="46" t="s">
        <v>623</v>
      </c>
      <c r="X27" s="49" t="s">
        <v>465</v>
      </c>
      <c r="Y27" s="49" t="s">
        <v>540</v>
      </c>
      <c r="Z27" s="49"/>
      <c r="AA27" s="49" t="s">
        <v>467</v>
      </c>
      <c r="AB27" s="49" t="s">
        <v>466</v>
      </c>
      <c r="AC27" s="49"/>
      <c r="AD27" s="47"/>
      <c r="AE27" s="49"/>
      <c r="AF27" s="49"/>
      <c r="AG27" s="49"/>
      <c r="AH27" s="49" t="s">
        <v>469</v>
      </c>
      <c r="AI27" s="49" t="s">
        <v>469</v>
      </c>
      <c r="AJ27" s="47" t="s">
        <v>619</v>
      </c>
      <c r="AK27" s="52" t="s">
        <v>471</v>
      </c>
      <c r="AL27" s="46" t="s">
        <v>542</v>
      </c>
    </row>
    <row r="28" s="33" customFormat="1" ht="132" spans="1:38">
      <c r="A28" s="92" t="s">
        <v>624</v>
      </c>
      <c r="B28" s="93" t="s">
        <v>453</v>
      </c>
      <c r="C28" s="94" t="s">
        <v>454</v>
      </c>
      <c r="D28" s="94" t="s">
        <v>625</v>
      </c>
      <c r="E28" s="95" t="s">
        <v>626</v>
      </c>
      <c r="F28" s="93" t="s">
        <v>627</v>
      </c>
      <c r="G28" s="95" t="s">
        <v>628</v>
      </c>
      <c r="H28" s="95" t="s">
        <v>629</v>
      </c>
      <c r="I28" s="95" t="s">
        <v>630</v>
      </c>
      <c r="J28" s="95" t="s">
        <v>631</v>
      </c>
      <c r="K28" s="94"/>
      <c r="L28" s="94" t="s">
        <v>36</v>
      </c>
      <c r="M28" s="94" t="s">
        <v>36</v>
      </c>
      <c r="N28" s="94"/>
      <c r="O28" s="94"/>
      <c r="P28" s="94"/>
      <c r="Q28" s="94"/>
      <c r="R28" s="94"/>
      <c r="S28" s="94" t="s">
        <v>36</v>
      </c>
      <c r="T28" s="94" t="s">
        <v>535</v>
      </c>
      <c r="U28" s="95" t="s">
        <v>632</v>
      </c>
      <c r="V28" s="95" t="s">
        <v>633</v>
      </c>
      <c r="W28" s="95" t="s">
        <v>634</v>
      </c>
      <c r="X28" s="94" t="s">
        <v>467</v>
      </c>
      <c r="Y28" s="94" t="s">
        <v>635</v>
      </c>
      <c r="Z28" s="94"/>
      <c r="AA28" s="94" t="s">
        <v>467</v>
      </c>
      <c r="AB28" s="94" t="s">
        <v>635</v>
      </c>
      <c r="AC28" s="94"/>
      <c r="AD28" s="95"/>
      <c r="AE28" s="94"/>
      <c r="AF28" s="94"/>
      <c r="AG28" s="94"/>
      <c r="AH28" s="94" t="s">
        <v>469</v>
      </c>
      <c r="AI28" s="94" t="s">
        <v>469</v>
      </c>
      <c r="AJ28" s="96" t="s">
        <v>636</v>
      </c>
      <c r="AK28" s="94" t="s">
        <v>637</v>
      </c>
      <c r="AL28" s="46" t="s">
        <v>609</v>
      </c>
    </row>
    <row r="29" s="33" customFormat="1" ht="132" spans="1:38">
      <c r="A29" s="92"/>
      <c r="B29" s="93"/>
      <c r="C29" s="94"/>
      <c r="D29" s="94"/>
      <c r="E29" s="95"/>
      <c r="F29" s="92"/>
      <c r="G29" s="95"/>
      <c r="H29" s="95"/>
      <c r="I29" s="95" t="s">
        <v>638</v>
      </c>
      <c r="J29" s="95" t="s">
        <v>639</v>
      </c>
      <c r="K29" s="94"/>
      <c r="L29" s="94" t="s">
        <v>36</v>
      </c>
      <c r="M29" s="94" t="s">
        <v>36</v>
      </c>
      <c r="N29" s="94"/>
      <c r="O29" s="94"/>
      <c r="P29" s="94"/>
      <c r="Q29" s="94"/>
      <c r="R29" s="94"/>
      <c r="S29" s="94" t="s">
        <v>36</v>
      </c>
      <c r="T29" s="94" t="s">
        <v>475</v>
      </c>
      <c r="U29" s="95"/>
      <c r="V29" s="95" t="s">
        <v>640</v>
      </c>
      <c r="W29" s="95" t="s">
        <v>641</v>
      </c>
      <c r="X29" s="94" t="s">
        <v>467</v>
      </c>
      <c r="Y29" s="94" t="s">
        <v>635</v>
      </c>
      <c r="Z29" s="94"/>
      <c r="AA29" s="94" t="s">
        <v>467</v>
      </c>
      <c r="AB29" s="94" t="s">
        <v>635</v>
      </c>
      <c r="AC29" s="94"/>
      <c r="AD29" s="95"/>
      <c r="AE29" s="94"/>
      <c r="AF29" s="94"/>
      <c r="AG29" s="94"/>
      <c r="AH29" s="94" t="s">
        <v>469</v>
      </c>
      <c r="AI29" s="94" t="s">
        <v>469</v>
      </c>
      <c r="AJ29" s="96" t="s">
        <v>636</v>
      </c>
      <c r="AK29" s="94" t="s">
        <v>637</v>
      </c>
      <c r="AL29" s="46" t="s">
        <v>609</v>
      </c>
    </row>
    <row r="30" s="33" customFormat="1" ht="171.6" spans="1:38">
      <c r="A30" s="92" t="s">
        <v>624</v>
      </c>
      <c r="B30" s="92" t="s">
        <v>516</v>
      </c>
      <c r="C30" s="94" t="s">
        <v>517</v>
      </c>
      <c r="D30" s="94" t="s">
        <v>495</v>
      </c>
      <c r="E30" s="95" t="s">
        <v>642</v>
      </c>
      <c r="F30" s="92"/>
      <c r="G30" s="95" t="s">
        <v>643</v>
      </c>
      <c r="H30" s="95" t="s">
        <v>644</v>
      </c>
      <c r="I30" s="95" t="s">
        <v>645</v>
      </c>
      <c r="J30" s="95" t="s">
        <v>646</v>
      </c>
      <c r="K30" s="94"/>
      <c r="L30" s="94"/>
      <c r="M30" s="94" t="s">
        <v>36</v>
      </c>
      <c r="N30" s="94" t="s">
        <v>36</v>
      </c>
      <c r="O30" s="94"/>
      <c r="P30" s="94"/>
      <c r="Q30" s="94"/>
      <c r="R30" s="94"/>
      <c r="S30" s="94"/>
      <c r="T30" s="94" t="s">
        <v>535</v>
      </c>
      <c r="U30" s="95" t="s">
        <v>536</v>
      </c>
      <c r="V30" s="95" t="s">
        <v>647</v>
      </c>
      <c r="W30" s="95" t="s">
        <v>648</v>
      </c>
      <c r="X30" s="94" t="s">
        <v>467</v>
      </c>
      <c r="Y30" s="94" t="s">
        <v>466</v>
      </c>
      <c r="Z30" s="94"/>
      <c r="AA30" s="94" t="s">
        <v>467</v>
      </c>
      <c r="AB30" s="94" t="s">
        <v>466</v>
      </c>
      <c r="AC30" s="94"/>
      <c r="AD30" s="95" t="s">
        <v>649</v>
      </c>
      <c r="AE30" s="94" t="s">
        <v>467</v>
      </c>
      <c r="AF30" s="94" t="s">
        <v>466</v>
      </c>
      <c r="AG30" s="94"/>
      <c r="AH30" s="94" t="s">
        <v>469</v>
      </c>
      <c r="AI30" s="94" t="s">
        <v>469</v>
      </c>
      <c r="AJ30" s="96" t="s">
        <v>650</v>
      </c>
      <c r="AK30" s="94" t="s">
        <v>637</v>
      </c>
      <c r="AL30" s="46" t="s">
        <v>609</v>
      </c>
    </row>
    <row r="31" s="33" customFormat="1" ht="198" spans="1:38">
      <c r="A31" s="92"/>
      <c r="B31" s="92"/>
      <c r="C31" s="94"/>
      <c r="D31" s="94"/>
      <c r="E31" s="95"/>
      <c r="F31" s="92"/>
      <c r="G31" s="95"/>
      <c r="H31" s="95"/>
      <c r="I31" s="95" t="s">
        <v>651</v>
      </c>
      <c r="J31" s="95" t="s">
        <v>652</v>
      </c>
      <c r="K31" s="94"/>
      <c r="L31" s="94"/>
      <c r="M31" s="94"/>
      <c r="N31" s="94"/>
      <c r="O31" s="94"/>
      <c r="P31" s="94"/>
      <c r="Q31" s="94"/>
      <c r="R31" s="94"/>
      <c r="S31" s="94" t="s">
        <v>36</v>
      </c>
      <c r="T31" s="94" t="s">
        <v>475</v>
      </c>
      <c r="U31" s="95"/>
      <c r="V31" s="95" t="s">
        <v>653</v>
      </c>
      <c r="W31" s="95" t="s">
        <v>654</v>
      </c>
      <c r="X31" s="94" t="s">
        <v>467</v>
      </c>
      <c r="Y31" s="94" t="s">
        <v>466</v>
      </c>
      <c r="Z31" s="94"/>
      <c r="AA31" s="94" t="s">
        <v>467</v>
      </c>
      <c r="AB31" s="94" t="s">
        <v>466</v>
      </c>
      <c r="AC31" s="94"/>
      <c r="AD31" s="95"/>
      <c r="AE31" s="94"/>
      <c r="AF31" s="94"/>
      <c r="AG31" s="94"/>
      <c r="AH31" s="94" t="s">
        <v>469</v>
      </c>
      <c r="AI31" s="94" t="s">
        <v>469</v>
      </c>
      <c r="AJ31" s="96" t="s">
        <v>655</v>
      </c>
      <c r="AK31" s="94" t="s">
        <v>637</v>
      </c>
      <c r="AL31" s="46" t="s">
        <v>609</v>
      </c>
    </row>
    <row r="32" s="33" customFormat="1" ht="224.4" spans="1:38">
      <c r="A32" s="92"/>
      <c r="B32" s="92"/>
      <c r="C32" s="94"/>
      <c r="D32" s="94" t="s">
        <v>518</v>
      </c>
      <c r="E32" s="95" t="s">
        <v>656</v>
      </c>
      <c r="F32" s="93" t="s">
        <v>657</v>
      </c>
      <c r="G32" s="95" t="s">
        <v>658</v>
      </c>
      <c r="H32" s="95" t="s">
        <v>659</v>
      </c>
      <c r="I32" s="95" t="s">
        <v>660</v>
      </c>
      <c r="J32" s="95" t="s">
        <v>661</v>
      </c>
      <c r="K32" s="94"/>
      <c r="L32" s="94"/>
      <c r="M32" s="94" t="s">
        <v>36</v>
      </c>
      <c r="N32" s="94"/>
      <c r="O32" s="94" t="s">
        <v>36</v>
      </c>
      <c r="P32" s="94" t="s">
        <v>36</v>
      </c>
      <c r="Q32" s="94"/>
      <c r="R32" s="94"/>
      <c r="S32" s="94"/>
      <c r="T32" s="94" t="s">
        <v>535</v>
      </c>
      <c r="U32" s="95" t="s">
        <v>536</v>
      </c>
      <c r="V32" s="95" t="s">
        <v>662</v>
      </c>
      <c r="W32" s="95" t="s">
        <v>663</v>
      </c>
      <c r="X32" s="94" t="s">
        <v>503</v>
      </c>
      <c r="Y32" s="94" t="s">
        <v>540</v>
      </c>
      <c r="Z32" s="94"/>
      <c r="AA32" s="94" t="s">
        <v>503</v>
      </c>
      <c r="AB32" s="94" t="s">
        <v>540</v>
      </c>
      <c r="AC32" s="94"/>
      <c r="AD32" s="95" t="s">
        <v>664</v>
      </c>
      <c r="AE32" s="94" t="s">
        <v>665</v>
      </c>
      <c r="AF32" s="94" t="s">
        <v>540</v>
      </c>
      <c r="AG32" s="94"/>
      <c r="AH32" s="94" t="s">
        <v>469</v>
      </c>
      <c r="AI32" s="94" t="s">
        <v>469</v>
      </c>
      <c r="AJ32" s="96" t="s">
        <v>666</v>
      </c>
      <c r="AK32" s="94" t="s">
        <v>667</v>
      </c>
      <c r="AL32" s="46" t="s">
        <v>609</v>
      </c>
    </row>
    <row r="33" s="33" customFormat="1" ht="158.4" spans="1:38">
      <c r="A33" s="92"/>
      <c r="B33" s="92"/>
      <c r="C33" s="94"/>
      <c r="D33" s="94"/>
      <c r="E33" s="95"/>
      <c r="F33" s="92"/>
      <c r="G33" s="95"/>
      <c r="H33" s="95"/>
      <c r="I33" s="95" t="s">
        <v>668</v>
      </c>
      <c r="J33" s="95" t="s">
        <v>669</v>
      </c>
      <c r="K33" s="98"/>
      <c r="L33" s="94"/>
      <c r="M33" s="94" t="s">
        <v>36</v>
      </c>
      <c r="N33" s="94"/>
      <c r="O33" s="94" t="s">
        <v>36</v>
      </c>
      <c r="P33" s="94"/>
      <c r="Q33" s="94"/>
      <c r="R33" s="94"/>
      <c r="S33" s="94"/>
      <c r="T33" s="94" t="s">
        <v>475</v>
      </c>
      <c r="U33" s="95"/>
      <c r="V33" s="95" t="s">
        <v>670</v>
      </c>
      <c r="W33" s="95" t="s">
        <v>654</v>
      </c>
      <c r="X33" s="94" t="s">
        <v>503</v>
      </c>
      <c r="Y33" s="94" t="s">
        <v>540</v>
      </c>
      <c r="Z33" s="94"/>
      <c r="AA33" s="94" t="s">
        <v>503</v>
      </c>
      <c r="AB33" s="94" t="s">
        <v>540</v>
      </c>
      <c r="AC33" s="94"/>
      <c r="AD33" s="95"/>
      <c r="AE33" s="94"/>
      <c r="AF33" s="94"/>
      <c r="AG33" s="94"/>
      <c r="AH33" s="94" t="s">
        <v>469</v>
      </c>
      <c r="AI33" s="94" t="s">
        <v>469</v>
      </c>
      <c r="AJ33" s="96" t="s">
        <v>666</v>
      </c>
      <c r="AK33" s="94" t="s">
        <v>667</v>
      </c>
      <c r="AL33" s="46" t="s">
        <v>609</v>
      </c>
    </row>
    <row r="34" s="33" customFormat="1" ht="224.4" spans="1:38">
      <c r="A34" s="92"/>
      <c r="B34" s="92"/>
      <c r="C34" s="94"/>
      <c r="D34" s="94"/>
      <c r="E34" s="95"/>
      <c r="F34" s="92"/>
      <c r="G34" s="95"/>
      <c r="H34" s="95"/>
      <c r="I34" s="95" t="s">
        <v>671</v>
      </c>
      <c r="J34" s="95" t="s">
        <v>672</v>
      </c>
      <c r="K34" s="98"/>
      <c r="L34" s="94"/>
      <c r="M34" s="94"/>
      <c r="N34" s="94" t="s">
        <v>36</v>
      </c>
      <c r="O34" s="94" t="s">
        <v>36</v>
      </c>
      <c r="P34" s="94" t="s">
        <v>36</v>
      </c>
      <c r="Q34" s="94" t="s">
        <v>36</v>
      </c>
      <c r="R34" s="94"/>
      <c r="S34" s="94"/>
      <c r="T34" s="94" t="s">
        <v>535</v>
      </c>
      <c r="U34" s="95" t="s">
        <v>536</v>
      </c>
      <c r="V34" s="95" t="s">
        <v>673</v>
      </c>
      <c r="W34" s="95" t="s">
        <v>674</v>
      </c>
      <c r="X34" s="94" t="s">
        <v>503</v>
      </c>
      <c r="Y34" s="94" t="s">
        <v>540</v>
      </c>
      <c r="Z34" s="94"/>
      <c r="AA34" s="94" t="s">
        <v>503</v>
      </c>
      <c r="AB34" s="94" t="s">
        <v>540</v>
      </c>
      <c r="AC34" s="94"/>
      <c r="AD34" s="95" t="s">
        <v>675</v>
      </c>
      <c r="AE34" s="94" t="s">
        <v>665</v>
      </c>
      <c r="AF34" s="94" t="s">
        <v>540</v>
      </c>
      <c r="AG34" s="94"/>
      <c r="AH34" s="94" t="s">
        <v>469</v>
      </c>
      <c r="AI34" s="94" t="s">
        <v>469</v>
      </c>
      <c r="AJ34" s="96" t="s">
        <v>666</v>
      </c>
      <c r="AK34" s="94" t="s">
        <v>667</v>
      </c>
      <c r="AL34" s="46" t="s">
        <v>609</v>
      </c>
    </row>
    <row r="35" s="33" customFormat="1" ht="132" spans="1:38">
      <c r="A35" s="92"/>
      <c r="B35" s="92"/>
      <c r="C35" s="94" t="s">
        <v>610</v>
      </c>
      <c r="D35" s="94" t="s">
        <v>676</v>
      </c>
      <c r="E35" s="95" t="s">
        <v>677</v>
      </c>
      <c r="F35" s="92"/>
      <c r="G35" s="95" t="s">
        <v>678</v>
      </c>
      <c r="H35" s="95" t="s">
        <v>679</v>
      </c>
      <c r="I35" s="95" t="s">
        <v>680</v>
      </c>
      <c r="J35" s="95" t="s">
        <v>681</v>
      </c>
      <c r="K35" s="98"/>
      <c r="L35" s="94"/>
      <c r="M35" s="94" t="s">
        <v>36</v>
      </c>
      <c r="N35" s="94"/>
      <c r="O35" s="94" t="s">
        <v>36</v>
      </c>
      <c r="P35" s="94"/>
      <c r="Q35" s="94"/>
      <c r="R35" s="94"/>
      <c r="S35" s="94"/>
      <c r="T35" s="94" t="s">
        <v>475</v>
      </c>
      <c r="U35" s="95"/>
      <c r="V35" s="95" t="s">
        <v>682</v>
      </c>
      <c r="W35" s="95" t="s">
        <v>683</v>
      </c>
      <c r="X35" s="94" t="s">
        <v>465</v>
      </c>
      <c r="Y35" s="94" t="s">
        <v>466</v>
      </c>
      <c r="Z35" s="94"/>
      <c r="AA35" s="94" t="s">
        <v>465</v>
      </c>
      <c r="AB35" s="94" t="s">
        <v>466</v>
      </c>
      <c r="AC35" s="94"/>
      <c r="AD35" s="95"/>
      <c r="AE35" s="94"/>
      <c r="AF35" s="94"/>
      <c r="AG35" s="94"/>
      <c r="AH35" s="94" t="s">
        <v>469</v>
      </c>
      <c r="AI35" s="94" t="s">
        <v>469</v>
      </c>
      <c r="AJ35" s="96" t="s">
        <v>684</v>
      </c>
      <c r="AK35" s="94" t="s">
        <v>667</v>
      </c>
      <c r="AL35" s="46" t="s">
        <v>609</v>
      </c>
    </row>
    <row r="36" s="33" customFormat="1" ht="132" spans="1:38">
      <c r="A36" s="92"/>
      <c r="B36" s="92"/>
      <c r="C36" s="94"/>
      <c r="D36" s="94"/>
      <c r="E36" s="95"/>
      <c r="F36" s="92"/>
      <c r="G36" s="95"/>
      <c r="H36" s="95"/>
      <c r="I36" s="95" t="s">
        <v>685</v>
      </c>
      <c r="J36" s="95" t="s">
        <v>686</v>
      </c>
      <c r="K36" s="98"/>
      <c r="L36" s="94"/>
      <c r="M36" s="94" t="s">
        <v>36</v>
      </c>
      <c r="N36" s="94"/>
      <c r="O36" s="94" t="s">
        <v>36</v>
      </c>
      <c r="P36" s="94"/>
      <c r="Q36" s="94"/>
      <c r="R36" s="94"/>
      <c r="S36" s="94"/>
      <c r="T36" s="94" t="s">
        <v>475</v>
      </c>
      <c r="U36" s="95"/>
      <c r="V36" s="95" t="s">
        <v>682</v>
      </c>
      <c r="W36" s="95" t="s">
        <v>687</v>
      </c>
      <c r="X36" s="94" t="s">
        <v>465</v>
      </c>
      <c r="Y36" s="94" t="s">
        <v>466</v>
      </c>
      <c r="Z36" s="94"/>
      <c r="AA36" s="94" t="s">
        <v>465</v>
      </c>
      <c r="AB36" s="94" t="s">
        <v>466</v>
      </c>
      <c r="AC36" s="94"/>
      <c r="AD36" s="95"/>
      <c r="AE36" s="94"/>
      <c r="AF36" s="94"/>
      <c r="AG36" s="94"/>
      <c r="AH36" s="94" t="s">
        <v>469</v>
      </c>
      <c r="AI36" s="94" t="s">
        <v>469</v>
      </c>
      <c r="AJ36" s="96" t="s">
        <v>684</v>
      </c>
      <c r="AK36" s="94" t="s">
        <v>667</v>
      </c>
      <c r="AL36" s="46" t="s">
        <v>609</v>
      </c>
    </row>
    <row r="37" s="33" customFormat="1" ht="145.2" spans="1:38">
      <c r="A37" s="92" t="s">
        <v>624</v>
      </c>
      <c r="B37" s="92" t="s">
        <v>516</v>
      </c>
      <c r="C37" s="96" t="s">
        <v>610</v>
      </c>
      <c r="D37" s="96" t="s">
        <v>676</v>
      </c>
      <c r="E37" s="96" t="s">
        <v>677</v>
      </c>
      <c r="F37" s="99"/>
      <c r="G37" s="96" t="s">
        <v>678</v>
      </c>
      <c r="H37" s="96"/>
      <c r="I37" s="95" t="s">
        <v>688</v>
      </c>
      <c r="J37" s="95" t="s">
        <v>689</v>
      </c>
      <c r="K37" s="98"/>
      <c r="L37" s="94"/>
      <c r="M37" s="94" t="s">
        <v>36</v>
      </c>
      <c r="N37" s="94"/>
      <c r="O37" s="94" t="s">
        <v>36</v>
      </c>
      <c r="P37" s="94"/>
      <c r="Q37" s="94"/>
      <c r="R37" s="94"/>
      <c r="S37" s="94"/>
      <c r="T37" s="94" t="s">
        <v>535</v>
      </c>
      <c r="U37" s="95" t="s">
        <v>536</v>
      </c>
      <c r="V37" s="95" t="s">
        <v>682</v>
      </c>
      <c r="W37" s="95" t="s">
        <v>690</v>
      </c>
      <c r="X37" s="94" t="s">
        <v>465</v>
      </c>
      <c r="Y37" s="94" t="s">
        <v>466</v>
      </c>
      <c r="Z37" s="94"/>
      <c r="AA37" s="94" t="s">
        <v>465</v>
      </c>
      <c r="AB37" s="94" t="s">
        <v>466</v>
      </c>
      <c r="AC37" s="94"/>
      <c r="AD37" s="95" t="s">
        <v>691</v>
      </c>
      <c r="AE37" s="94" t="s">
        <v>503</v>
      </c>
      <c r="AF37" s="94" t="s">
        <v>466</v>
      </c>
      <c r="AG37" s="94"/>
      <c r="AH37" s="94" t="s">
        <v>469</v>
      </c>
      <c r="AI37" s="94" t="s">
        <v>469</v>
      </c>
      <c r="AJ37" s="96" t="s">
        <v>692</v>
      </c>
      <c r="AK37" s="94" t="s">
        <v>667</v>
      </c>
      <c r="AL37" s="117"/>
    </row>
    <row r="38" s="33" customFormat="1" ht="118.8" spans="1:38">
      <c r="A38" s="92"/>
      <c r="B38" s="92"/>
      <c r="C38" s="94" t="s">
        <v>517</v>
      </c>
      <c r="D38" s="94" t="s">
        <v>693</v>
      </c>
      <c r="E38" s="95" t="s">
        <v>694</v>
      </c>
      <c r="F38" s="93" t="s">
        <v>695</v>
      </c>
      <c r="G38" s="95" t="s">
        <v>696</v>
      </c>
      <c r="H38" s="95" t="s">
        <v>697</v>
      </c>
      <c r="I38" s="95" t="s">
        <v>698</v>
      </c>
      <c r="J38" s="95" t="s">
        <v>699</v>
      </c>
      <c r="K38" s="98"/>
      <c r="L38" s="94"/>
      <c r="M38" s="94" t="s">
        <v>36</v>
      </c>
      <c r="N38" s="94"/>
      <c r="O38" s="94"/>
      <c r="P38" s="94"/>
      <c r="Q38" s="94"/>
      <c r="R38" s="94"/>
      <c r="S38" s="94"/>
      <c r="T38" s="94" t="s">
        <v>535</v>
      </c>
      <c r="U38" s="95" t="s">
        <v>700</v>
      </c>
      <c r="V38" s="95" t="s">
        <v>701</v>
      </c>
      <c r="W38" s="95" t="s">
        <v>687</v>
      </c>
      <c r="X38" s="94" t="s">
        <v>467</v>
      </c>
      <c r="Y38" s="94" t="s">
        <v>540</v>
      </c>
      <c r="Z38" s="94"/>
      <c r="AA38" s="94" t="s">
        <v>467</v>
      </c>
      <c r="AB38" s="94" t="s">
        <v>540</v>
      </c>
      <c r="AC38" s="94"/>
      <c r="AD38" s="95" t="s">
        <v>702</v>
      </c>
      <c r="AE38" s="94" t="s">
        <v>467</v>
      </c>
      <c r="AF38" s="94" t="s">
        <v>540</v>
      </c>
      <c r="AG38" s="94"/>
      <c r="AH38" s="94" t="s">
        <v>469</v>
      </c>
      <c r="AI38" s="94" t="s">
        <v>469</v>
      </c>
      <c r="AJ38" s="96" t="s">
        <v>703</v>
      </c>
      <c r="AK38" s="94" t="s">
        <v>667</v>
      </c>
      <c r="AL38" s="46" t="s">
        <v>609</v>
      </c>
    </row>
    <row r="39" s="33" customFormat="1" ht="118.8" spans="1:38">
      <c r="A39" s="92"/>
      <c r="B39" s="92"/>
      <c r="C39" s="94"/>
      <c r="D39" s="94"/>
      <c r="E39" s="95"/>
      <c r="F39" s="92"/>
      <c r="G39" s="95"/>
      <c r="H39" s="95"/>
      <c r="I39" s="95" t="s">
        <v>704</v>
      </c>
      <c r="J39" s="95" t="s">
        <v>705</v>
      </c>
      <c r="K39" s="98"/>
      <c r="L39" s="94"/>
      <c r="M39" s="94"/>
      <c r="N39" s="94"/>
      <c r="O39" s="94"/>
      <c r="P39" s="94"/>
      <c r="Q39" s="94"/>
      <c r="R39" s="94"/>
      <c r="S39" s="94" t="s">
        <v>36</v>
      </c>
      <c r="T39" s="94" t="s">
        <v>475</v>
      </c>
      <c r="U39" s="95"/>
      <c r="V39" s="95" t="s">
        <v>701</v>
      </c>
      <c r="W39" s="95" t="s">
        <v>706</v>
      </c>
      <c r="X39" s="94" t="s">
        <v>467</v>
      </c>
      <c r="Y39" s="94" t="s">
        <v>540</v>
      </c>
      <c r="Z39" s="94"/>
      <c r="AA39" s="94" t="s">
        <v>467</v>
      </c>
      <c r="AB39" s="94" t="s">
        <v>540</v>
      </c>
      <c r="AC39" s="94"/>
      <c r="AD39" s="95"/>
      <c r="AE39" s="94"/>
      <c r="AF39" s="94"/>
      <c r="AG39" s="94"/>
      <c r="AH39" s="94" t="s">
        <v>469</v>
      </c>
      <c r="AI39" s="94" t="s">
        <v>469</v>
      </c>
      <c r="AJ39" s="96" t="s">
        <v>703</v>
      </c>
      <c r="AK39" s="94" t="s">
        <v>667</v>
      </c>
      <c r="AL39" s="46" t="s">
        <v>609</v>
      </c>
    </row>
    <row r="40" s="33" customFormat="1" ht="250.8" spans="1:38">
      <c r="A40" s="92"/>
      <c r="B40" s="92"/>
      <c r="C40" s="94"/>
      <c r="D40" s="95" t="s">
        <v>707</v>
      </c>
      <c r="E40" s="95" t="s">
        <v>708</v>
      </c>
      <c r="F40" s="93"/>
      <c r="G40" s="95" t="s">
        <v>709</v>
      </c>
      <c r="H40" s="95" t="s">
        <v>710</v>
      </c>
      <c r="I40" s="95" t="s">
        <v>711</v>
      </c>
      <c r="J40" s="95" t="s">
        <v>712</v>
      </c>
      <c r="K40" s="98"/>
      <c r="L40" s="94"/>
      <c r="M40" s="94" t="s">
        <v>36</v>
      </c>
      <c r="N40" s="94"/>
      <c r="O40" s="94" t="s">
        <v>36</v>
      </c>
      <c r="P40" s="94" t="s">
        <v>36</v>
      </c>
      <c r="Q40" s="94" t="s">
        <v>36</v>
      </c>
      <c r="R40" s="94"/>
      <c r="S40" s="94"/>
      <c r="T40" s="94" t="s">
        <v>535</v>
      </c>
      <c r="U40" s="95" t="s">
        <v>713</v>
      </c>
      <c r="V40" s="95" t="s">
        <v>714</v>
      </c>
      <c r="W40" s="95" t="s">
        <v>683</v>
      </c>
      <c r="X40" s="94" t="s">
        <v>465</v>
      </c>
      <c r="Y40" s="94" t="s">
        <v>540</v>
      </c>
      <c r="Z40" s="94"/>
      <c r="AA40" s="94" t="s">
        <v>465</v>
      </c>
      <c r="AB40" s="94" t="s">
        <v>540</v>
      </c>
      <c r="AC40" s="94"/>
      <c r="AD40" s="95" t="s">
        <v>715</v>
      </c>
      <c r="AE40" s="94" t="s">
        <v>527</v>
      </c>
      <c r="AF40" s="94" t="s">
        <v>540</v>
      </c>
      <c r="AG40" s="94"/>
      <c r="AH40" s="94" t="s">
        <v>469</v>
      </c>
      <c r="AI40" s="94" t="s">
        <v>469</v>
      </c>
      <c r="AJ40" s="95" t="s">
        <v>716</v>
      </c>
      <c r="AK40" s="94" t="s">
        <v>637</v>
      </c>
      <c r="AL40" s="46" t="s">
        <v>609</v>
      </c>
    </row>
    <row r="41" s="33" customFormat="1" ht="92.4" spans="1:38">
      <c r="A41" s="92"/>
      <c r="B41" s="92" t="s">
        <v>566</v>
      </c>
      <c r="C41" s="94" t="s">
        <v>454</v>
      </c>
      <c r="D41" s="94" t="s">
        <v>588</v>
      </c>
      <c r="E41" s="95" t="s">
        <v>717</v>
      </c>
      <c r="F41" s="92"/>
      <c r="G41" s="95" t="s">
        <v>718</v>
      </c>
      <c r="H41" s="95" t="s">
        <v>719</v>
      </c>
      <c r="I41" s="95" t="s">
        <v>720</v>
      </c>
      <c r="J41" s="95" t="s">
        <v>721</v>
      </c>
      <c r="K41" s="94"/>
      <c r="L41" s="94"/>
      <c r="M41" s="94" t="s">
        <v>36</v>
      </c>
      <c r="N41" s="94"/>
      <c r="O41" s="94"/>
      <c r="P41" s="94"/>
      <c r="Q41" s="94"/>
      <c r="R41" s="94"/>
      <c r="S41" s="94"/>
      <c r="T41" s="94" t="s">
        <v>475</v>
      </c>
      <c r="U41" s="95"/>
      <c r="V41" s="95" t="s">
        <v>722</v>
      </c>
      <c r="W41" s="95" t="s">
        <v>683</v>
      </c>
      <c r="X41" s="94" t="s">
        <v>503</v>
      </c>
      <c r="Y41" s="94" t="s">
        <v>540</v>
      </c>
      <c r="Z41" s="94"/>
      <c r="AA41" s="94" t="s">
        <v>503</v>
      </c>
      <c r="AB41" s="94" t="s">
        <v>540</v>
      </c>
      <c r="AC41" s="94"/>
      <c r="AD41" s="95"/>
      <c r="AE41" s="94"/>
      <c r="AF41" s="94"/>
      <c r="AG41" s="94"/>
      <c r="AH41" s="94" t="s">
        <v>469</v>
      </c>
      <c r="AI41" s="94" t="s">
        <v>469</v>
      </c>
      <c r="AJ41" s="96" t="s">
        <v>723</v>
      </c>
      <c r="AK41" s="94" t="s">
        <v>637</v>
      </c>
      <c r="AL41" s="46" t="s">
        <v>609</v>
      </c>
    </row>
    <row r="42" s="33" customFormat="1" ht="92.4" spans="1:38">
      <c r="A42" s="92"/>
      <c r="B42" s="92"/>
      <c r="C42" s="94"/>
      <c r="D42" s="94"/>
      <c r="E42" s="95"/>
      <c r="F42" s="92"/>
      <c r="G42" s="95"/>
      <c r="H42" s="95"/>
      <c r="I42" s="95" t="s">
        <v>724</v>
      </c>
      <c r="J42" s="95" t="s">
        <v>725</v>
      </c>
      <c r="K42" s="94"/>
      <c r="L42" s="94"/>
      <c r="M42" s="94" t="s">
        <v>36</v>
      </c>
      <c r="N42" s="94"/>
      <c r="O42" s="94" t="s">
        <v>36</v>
      </c>
      <c r="P42" s="94"/>
      <c r="Q42" s="94"/>
      <c r="R42" s="94"/>
      <c r="S42" s="94"/>
      <c r="T42" s="94" t="s">
        <v>475</v>
      </c>
      <c r="U42" s="95"/>
      <c r="V42" s="95" t="s">
        <v>726</v>
      </c>
      <c r="W42" s="95" t="s">
        <v>683</v>
      </c>
      <c r="X42" s="94" t="s">
        <v>503</v>
      </c>
      <c r="Y42" s="94" t="s">
        <v>540</v>
      </c>
      <c r="Z42" s="94"/>
      <c r="AA42" s="94" t="s">
        <v>503</v>
      </c>
      <c r="AB42" s="94" t="s">
        <v>540</v>
      </c>
      <c r="AC42" s="94"/>
      <c r="AD42" s="95"/>
      <c r="AE42" s="94"/>
      <c r="AF42" s="94"/>
      <c r="AG42" s="94"/>
      <c r="AH42" s="94" t="s">
        <v>469</v>
      </c>
      <c r="AI42" s="94" t="s">
        <v>469</v>
      </c>
      <c r="AJ42" s="96" t="s">
        <v>723</v>
      </c>
      <c r="AK42" s="94" t="s">
        <v>637</v>
      </c>
      <c r="AL42" s="46" t="s">
        <v>609</v>
      </c>
    </row>
    <row r="43" s="33" customFormat="1" ht="92.4" spans="1:38">
      <c r="A43" s="92"/>
      <c r="B43" s="92"/>
      <c r="C43" s="94"/>
      <c r="D43" s="94"/>
      <c r="E43" s="95"/>
      <c r="F43" s="92"/>
      <c r="G43" s="95"/>
      <c r="H43" s="95"/>
      <c r="I43" s="95" t="s">
        <v>727</v>
      </c>
      <c r="J43" s="95" t="s">
        <v>728</v>
      </c>
      <c r="K43" s="98"/>
      <c r="L43" s="94"/>
      <c r="M43" s="94" t="s">
        <v>36</v>
      </c>
      <c r="N43" s="94"/>
      <c r="O43" s="94"/>
      <c r="P43" s="94"/>
      <c r="Q43" s="94"/>
      <c r="R43" s="94"/>
      <c r="S43" s="94"/>
      <c r="T43" s="94" t="s">
        <v>535</v>
      </c>
      <c r="U43" s="95" t="s">
        <v>713</v>
      </c>
      <c r="V43" s="95" t="s">
        <v>729</v>
      </c>
      <c r="W43" s="95" t="s">
        <v>706</v>
      </c>
      <c r="X43" s="94" t="s">
        <v>503</v>
      </c>
      <c r="Y43" s="94" t="s">
        <v>540</v>
      </c>
      <c r="Z43" s="94"/>
      <c r="AA43" s="94" t="s">
        <v>503</v>
      </c>
      <c r="AB43" s="94" t="s">
        <v>540</v>
      </c>
      <c r="AC43" s="94"/>
      <c r="AD43" s="95" t="s">
        <v>730</v>
      </c>
      <c r="AE43" s="94" t="s">
        <v>467</v>
      </c>
      <c r="AF43" s="94" t="s">
        <v>466</v>
      </c>
      <c r="AG43" s="94"/>
      <c r="AH43" s="94" t="s">
        <v>469</v>
      </c>
      <c r="AI43" s="94" t="s">
        <v>469</v>
      </c>
      <c r="AJ43" s="96" t="s">
        <v>723</v>
      </c>
      <c r="AK43" s="94" t="s">
        <v>637</v>
      </c>
      <c r="AL43" s="46" t="s">
        <v>609</v>
      </c>
    </row>
    <row r="44" s="33" customFormat="1" ht="92.4" spans="1:38">
      <c r="A44" s="92"/>
      <c r="B44" s="92"/>
      <c r="C44" s="94" t="s">
        <v>454</v>
      </c>
      <c r="D44" s="94" t="s">
        <v>731</v>
      </c>
      <c r="E44" s="94" t="s">
        <v>732</v>
      </c>
      <c r="F44" s="92" t="s">
        <v>733</v>
      </c>
      <c r="G44" s="94" t="s">
        <v>734</v>
      </c>
      <c r="H44" s="94" t="s">
        <v>735</v>
      </c>
      <c r="I44" s="95" t="s">
        <v>736</v>
      </c>
      <c r="J44" s="95" t="s">
        <v>737</v>
      </c>
      <c r="K44" s="94"/>
      <c r="L44" s="94"/>
      <c r="M44" s="94" t="s">
        <v>36</v>
      </c>
      <c r="N44" s="94"/>
      <c r="O44" s="94" t="s">
        <v>36</v>
      </c>
      <c r="P44" s="94"/>
      <c r="Q44" s="94"/>
      <c r="R44" s="94" t="s">
        <v>36</v>
      </c>
      <c r="S44" s="94"/>
      <c r="T44" s="94" t="s">
        <v>475</v>
      </c>
      <c r="U44" s="95"/>
      <c r="V44" s="95" t="s">
        <v>738</v>
      </c>
      <c r="W44" s="95" t="s">
        <v>654</v>
      </c>
      <c r="X44" s="94" t="s">
        <v>467</v>
      </c>
      <c r="Y44" s="94" t="s">
        <v>466</v>
      </c>
      <c r="Z44" s="94"/>
      <c r="AA44" s="94" t="s">
        <v>467</v>
      </c>
      <c r="AB44" s="94" t="s">
        <v>466</v>
      </c>
      <c r="AC44" s="94"/>
      <c r="AD44" s="95"/>
      <c r="AE44" s="94"/>
      <c r="AF44" s="94"/>
      <c r="AG44" s="94"/>
      <c r="AH44" s="94" t="s">
        <v>469</v>
      </c>
      <c r="AI44" s="94" t="s">
        <v>469</v>
      </c>
      <c r="AJ44" s="95" t="s">
        <v>739</v>
      </c>
      <c r="AK44" s="94" t="s">
        <v>637</v>
      </c>
      <c r="AL44" s="46" t="s">
        <v>609</v>
      </c>
    </row>
    <row r="45" s="33" customFormat="1" ht="92.4" spans="1:38">
      <c r="A45" s="92"/>
      <c r="B45" s="92"/>
      <c r="C45" s="94"/>
      <c r="D45" s="94"/>
      <c r="E45" s="94"/>
      <c r="F45" s="92"/>
      <c r="G45" s="94"/>
      <c r="H45" s="94"/>
      <c r="I45" s="95" t="s">
        <v>740</v>
      </c>
      <c r="J45" s="95" t="s">
        <v>741</v>
      </c>
      <c r="K45" s="94"/>
      <c r="L45" s="94"/>
      <c r="M45" s="94" t="s">
        <v>36</v>
      </c>
      <c r="N45" s="94"/>
      <c r="O45" s="94" t="s">
        <v>36</v>
      </c>
      <c r="P45" s="94"/>
      <c r="Q45" s="94"/>
      <c r="R45" s="94" t="s">
        <v>36</v>
      </c>
      <c r="S45" s="94"/>
      <c r="T45" s="94" t="s">
        <v>475</v>
      </c>
      <c r="U45" s="95"/>
      <c r="V45" s="95" t="s">
        <v>738</v>
      </c>
      <c r="W45" s="95" t="s">
        <v>654</v>
      </c>
      <c r="X45" s="94" t="s">
        <v>467</v>
      </c>
      <c r="Y45" s="94" t="s">
        <v>466</v>
      </c>
      <c r="Z45" s="94"/>
      <c r="AA45" s="94" t="s">
        <v>467</v>
      </c>
      <c r="AB45" s="94" t="s">
        <v>466</v>
      </c>
      <c r="AC45" s="94"/>
      <c r="AD45" s="95"/>
      <c r="AE45" s="94"/>
      <c r="AF45" s="94"/>
      <c r="AG45" s="94"/>
      <c r="AH45" s="94" t="s">
        <v>469</v>
      </c>
      <c r="AI45" s="94" t="s">
        <v>469</v>
      </c>
      <c r="AJ45" s="95" t="s">
        <v>739</v>
      </c>
      <c r="AK45" s="94" t="s">
        <v>637</v>
      </c>
      <c r="AL45" s="46" t="s">
        <v>609</v>
      </c>
    </row>
    <row r="46" s="33" customFormat="1" ht="92.4" spans="1:38">
      <c r="A46" s="92"/>
      <c r="B46" s="92"/>
      <c r="C46" s="94"/>
      <c r="D46" s="94"/>
      <c r="E46" s="94"/>
      <c r="F46" s="92"/>
      <c r="G46" s="94"/>
      <c r="H46" s="94"/>
      <c r="I46" s="95" t="s">
        <v>742</v>
      </c>
      <c r="J46" s="95" t="s">
        <v>743</v>
      </c>
      <c r="K46" s="94"/>
      <c r="L46" s="94"/>
      <c r="M46" s="94"/>
      <c r="N46" s="94"/>
      <c r="O46" s="94"/>
      <c r="P46" s="94"/>
      <c r="Q46" s="94"/>
      <c r="R46" s="94"/>
      <c r="S46" s="94" t="s">
        <v>36</v>
      </c>
      <c r="T46" s="94" t="s">
        <v>475</v>
      </c>
      <c r="U46" s="95"/>
      <c r="V46" s="95" t="s">
        <v>738</v>
      </c>
      <c r="W46" s="95" t="s">
        <v>706</v>
      </c>
      <c r="X46" s="94" t="s">
        <v>467</v>
      </c>
      <c r="Y46" s="94" t="s">
        <v>466</v>
      </c>
      <c r="Z46" s="94"/>
      <c r="AA46" s="94" t="s">
        <v>467</v>
      </c>
      <c r="AB46" s="94" t="s">
        <v>466</v>
      </c>
      <c r="AC46" s="94"/>
      <c r="AD46" s="95"/>
      <c r="AE46" s="94"/>
      <c r="AF46" s="94"/>
      <c r="AG46" s="94"/>
      <c r="AH46" s="94" t="s">
        <v>469</v>
      </c>
      <c r="AI46" s="94" t="s">
        <v>469</v>
      </c>
      <c r="AJ46" s="95" t="s">
        <v>739</v>
      </c>
      <c r="AK46" s="94" t="s">
        <v>637</v>
      </c>
      <c r="AL46" s="46" t="s">
        <v>609</v>
      </c>
    </row>
    <row r="47" s="34" customFormat="1" ht="52.8" spans="1:38">
      <c r="A47" s="92"/>
      <c r="B47" s="92"/>
      <c r="C47" s="94"/>
      <c r="D47" s="94"/>
      <c r="E47" s="94"/>
      <c r="F47" s="92"/>
      <c r="G47" s="94"/>
      <c r="H47" s="94"/>
      <c r="I47" s="109" t="s">
        <v>744</v>
      </c>
      <c r="J47" s="109" t="s">
        <v>745</v>
      </c>
      <c r="K47" s="110"/>
      <c r="L47" s="110"/>
      <c r="M47" s="110"/>
      <c r="N47" s="110"/>
      <c r="O47" s="110"/>
      <c r="P47" s="110"/>
      <c r="Q47" s="110"/>
      <c r="R47" s="110"/>
      <c r="S47" s="104" t="s">
        <v>36</v>
      </c>
      <c r="T47" s="104" t="s">
        <v>475</v>
      </c>
      <c r="U47" s="111"/>
      <c r="V47" s="109" t="s">
        <v>746</v>
      </c>
      <c r="W47" s="109" t="s">
        <v>706</v>
      </c>
      <c r="X47" s="104" t="s">
        <v>467</v>
      </c>
      <c r="Y47" s="104" t="s">
        <v>466</v>
      </c>
      <c r="Z47" s="104"/>
      <c r="AA47" s="104" t="s">
        <v>467</v>
      </c>
      <c r="AB47" s="104" t="s">
        <v>466</v>
      </c>
      <c r="AC47" s="104"/>
      <c r="AD47" s="109"/>
      <c r="AE47" s="104"/>
      <c r="AF47" s="104"/>
      <c r="AG47" s="104"/>
      <c r="AH47" s="104" t="s">
        <v>469</v>
      </c>
      <c r="AI47" s="104" t="s">
        <v>469</v>
      </c>
      <c r="AJ47" s="109" t="s">
        <v>747</v>
      </c>
      <c r="AK47" s="104" t="s">
        <v>637</v>
      </c>
      <c r="AL47" s="118" t="s">
        <v>748</v>
      </c>
    </row>
  </sheetData>
  <sheetProtection formatCells="0" formatColumns="0" formatRows="0" insertRows="0" insertColumns="0" insertHyperlinks="0" deleteColumns="0" deleteRows="0" sort="0" autoFilter="0" pivotTables="0"/>
  <autoFilter xmlns:etc="http://www.wps.cn/officeDocument/2017/etCustomData" ref="A3:AL47" etc:filterBottomFollowUsedRange="0">
    <extLst/>
  </autoFilter>
  <mergeCells count="118">
    <mergeCell ref="A1:AK1"/>
    <mergeCell ref="K2:S2"/>
    <mergeCell ref="X2:Z2"/>
    <mergeCell ref="AA2:AC2"/>
    <mergeCell ref="AD2:AG2"/>
    <mergeCell ref="AH2:AJ2"/>
    <mergeCell ref="A2:A3"/>
    <mergeCell ref="A4:A11"/>
    <mergeCell ref="A12:A19"/>
    <mergeCell ref="A20:A27"/>
    <mergeCell ref="A28:A29"/>
    <mergeCell ref="A30:A36"/>
    <mergeCell ref="A37:A47"/>
    <mergeCell ref="B2:B3"/>
    <mergeCell ref="B4:B11"/>
    <mergeCell ref="B12:B14"/>
    <mergeCell ref="B15:B19"/>
    <mergeCell ref="B20:B27"/>
    <mergeCell ref="B28:B29"/>
    <mergeCell ref="B30:B36"/>
    <mergeCell ref="B37:B40"/>
    <mergeCell ref="B41:B47"/>
    <mergeCell ref="C2:C3"/>
    <mergeCell ref="C4:C11"/>
    <mergeCell ref="C12:C14"/>
    <mergeCell ref="C15:C19"/>
    <mergeCell ref="C20:C22"/>
    <mergeCell ref="C23:C25"/>
    <mergeCell ref="C26:C27"/>
    <mergeCell ref="C28:C29"/>
    <mergeCell ref="C30:C34"/>
    <mergeCell ref="C35:C36"/>
    <mergeCell ref="C38:C40"/>
    <mergeCell ref="C41:C43"/>
    <mergeCell ref="C44:C47"/>
    <mergeCell ref="D2:D3"/>
    <mergeCell ref="D4:D7"/>
    <mergeCell ref="D9:D11"/>
    <mergeCell ref="D12:D14"/>
    <mergeCell ref="D15:D19"/>
    <mergeCell ref="D20:D22"/>
    <mergeCell ref="D23:D25"/>
    <mergeCell ref="D26:D27"/>
    <mergeCell ref="D28:D29"/>
    <mergeCell ref="D30:D31"/>
    <mergeCell ref="D32:D34"/>
    <mergeCell ref="D35:D36"/>
    <mergeCell ref="D38:D39"/>
    <mergeCell ref="D41:D43"/>
    <mergeCell ref="D44:D47"/>
    <mergeCell ref="E2:E3"/>
    <mergeCell ref="E4:E7"/>
    <mergeCell ref="E9:E11"/>
    <mergeCell ref="E12:E14"/>
    <mergeCell ref="E15:E19"/>
    <mergeCell ref="E20:E22"/>
    <mergeCell ref="E23:E25"/>
    <mergeCell ref="E26:E27"/>
    <mergeCell ref="E28:E29"/>
    <mergeCell ref="E30:E31"/>
    <mergeCell ref="E32:E34"/>
    <mergeCell ref="E35:E36"/>
    <mergeCell ref="E38:E39"/>
    <mergeCell ref="E41:E43"/>
    <mergeCell ref="E44:E47"/>
    <mergeCell ref="F2:F3"/>
    <mergeCell ref="F4:F7"/>
    <mergeCell ref="F9:F11"/>
    <mergeCell ref="F12:F14"/>
    <mergeCell ref="F15:F19"/>
    <mergeCell ref="F20:F22"/>
    <mergeCell ref="F23:F25"/>
    <mergeCell ref="F26:F27"/>
    <mergeCell ref="F28:F29"/>
    <mergeCell ref="F30:F31"/>
    <mergeCell ref="F32:F34"/>
    <mergeCell ref="F35:F36"/>
    <mergeCell ref="F38:F39"/>
    <mergeCell ref="F41:F43"/>
    <mergeCell ref="F44:F47"/>
    <mergeCell ref="G2:G3"/>
    <mergeCell ref="G4:G8"/>
    <mergeCell ref="G9:G11"/>
    <mergeCell ref="G12:G14"/>
    <mergeCell ref="G16:G19"/>
    <mergeCell ref="G20:G22"/>
    <mergeCell ref="G23:G25"/>
    <mergeCell ref="G26:G27"/>
    <mergeCell ref="G28:G29"/>
    <mergeCell ref="G30:G31"/>
    <mergeCell ref="G32:G34"/>
    <mergeCell ref="G35:G36"/>
    <mergeCell ref="G38:G39"/>
    <mergeCell ref="G41:G43"/>
    <mergeCell ref="G44:G47"/>
    <mergeCell ref="H2:H3"/>
    <mergeCell ref="H4:H8"/>
    <mergeCell ref="H9:H11"/>
    <mergeCell ref="H12:H14"/>
    <mergeCell ref="H16:H19"/>
    <mergeCell ref="H20:H22"/>
    <mergeCell ref="H23:H25"/>
    <mergeCell ref="H26:H27"/>
    <mergeCell ref="H28:H29"/>
    <mergeCell ref="H30:H31"/>
    <mergeCell ref="H32:H34"/>
    <mergeCell ref="H35:H36"/>
    <mergeCell ref="H38:H39"/>
    <mergeCell ref="H41:H43"/>
    <mergeCell ref="H44:H47"/>
    <mergeCell ref="I2:I3"/>
    <mergeCell ref="J2:J3"/>
    <mergeCell ref="T2:T3"/>
    <mergeCell ref="U2:U3"/>
    <mergeCell ref="V2:V3"/>
    <mergeCell ref="W2:W3"/>
    <mergeCell ref="AK2:AK3"/>
    <mergeCell ref="AL2:AL3"/>
  </mergeCells>
  <dataValidations count="1">
    <dataValidation allowBlank="1" showInputMessage="1" showErrorMessage="1" sqref="V3 U38 J4:J27 J44:J46 U4:U27 U43:U46"/>
  </dataValidations>
  <printOptions horizontalCentered="1"/>
  <pageMargins left="0.444444444444444" right="0.472222222222222" top="0.511805555555556" bottom="0.275" header="0.298611111111111" footer="0.298611111111111"/>
  <pageSetup paperSize="8" scale="63" fitToHeight="0" orientation="landscape" horizontalDpi="600"/>
  <headerFooter/>
  <rowBreaks count="3" manualBreakCount="3">
    <brk id="11" max="37" man="1"/>
    <brk id="19" max="37" man="1"/>
    <brk id="27" max="37" man="1"/>
  </rowBreaks>
  <ignoredErrors>
    <ignoredError sqref="T2" listDataValidation="1"/>
  </ignoredError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X47"/>
  <sheetViews>
    <sheetView zoomScale="70" zoomScaleNormal="70" zoomScalePageLayoutView="25" zoomScaleSheetLayoutView="115" workbookViewId="0">
      <pane ySplit="3" topLeftCell="A13" activePane="bottomLeft" state="frozen"/>
      <selection/>
      <selection pane="bottomLeft" activeCell="I15" sqref="I15"/>
    </sheetView>
  </sheetViews>
  <sheetFormatPr defaultColWidth="8.58333333333333" defaultRowHeight="21"/>
  <cols>
    <col min="1" max="1" width="4.62962962962963" style="1" customWidth="1"/>
    <col min="2" max="2" width="4.62962962962963" style="2" customWidth="1"/>
    <col min="3" max="3" width="4.62962962962963" style="3" customWidth="1"/>
    <col min="4" max="4" width="4.62962962962963" style="1" customWidth="1"/>
    <col min="5" max="5" width="13.3333333333333" style="4" customWidth="1"/>
    <col min="6" max="6" width="17.6666666666667" style="4" customWidth="1"/>
    <col min="7" max="8" width="10.6296296296296" style="35" customWidth="1"/>
    <col min="9" max="9" width="24.0185185185185" style="2" customWidth="1"/>
    <col min="10" max="10" width="17.0648148148148" style="35" customWidth="1"/>
    <col min="11" max="18" width="3.62962962962963" style="2" customWidth="1"/>
    <col min="19" max="19" width="41.25" style="2" customWidth="1"/>
    <col min="20" max="21" width="8.62962962962963" style="1" customWidth="1"/>
    <col min="22" max="22" width="15.6296296296296" style="5" customWidth="1"/>
    <col min="23" max="23" width="32.0648148148148" style="4" customWidth="1"/>
    <col min="24" max="29" width="3.62962962962963" style="3" customWidth="1"/>
    <col min="30" max="30" width="4.15740740740741" style="4" customWidth="1"/>
    <col min="31" max="35" width="3.62962962962963" style="3" customWidth="1"/>
    <col min="36" max="36" width="30.6296296296296" style="3" customWidth="1"/>
    <col min="37" max="37" width="6.62962962962963" style="3" customWidth="1"/>
    <col min="38" max="38" width="25.787037037037" style="3" customWidth="1"/>
    <col min="39" max="39" width="12.2685185185185" style="36" customWidth="1"/>
    <col min="40" max="61" width="8.58333333333333" style="3" hidden="1" customWidth="1"/>
    <col min="62" max="62" width="9.41666666666667" style="3" hidden="1" customWidth="1"/>
    <col min="63" max="16384" width="8.58333333333333" style="3" hidden="1" customWidth="1"/>
  </cols>
  <sheetData>
    <row r="1" spans="1:76">
      <c r="A1" s="37" t="s">
        <v>415</v>
      </c>
      <c r="B1" s="38"/>
      <c r="C1" s="38"/>
      <c r="D1" s="38"/>
      <c r="E1" s="39"/>
      <c r="F1" s="38"/>
      <c r="G1" s="39"/>
      <c r="H1" s="39"/>
      <c r="I1" s="38"/>
      <c r="J1" s="39"/>
      <c r="K1" s="38"/>
      <c r="L1" s="38"/>
      <c r="M1" s="38"/>
      <c r="N1" s="38"/>
      <c r="O1" s="38"/>
      <c r="P1" s="38"/>
      <c r="Q1" s="38"/>
      <c r="R1" s="38"/>
      <c r="S1" s="38"/>
      <c r="T1" s="38"/>
      <c r="U1" s="38"/>
      <c r="V1" s="39"/>
      <c r="W1" s="39"/>
      <c r="X1" s="38"/>
      <c r="Y1" s="38"/>
      <c r="Z1" s="38"/>
      <c r="AA1" s="38"/>
      <c r="AB1" s="38"/>
      <c r="AC1" s="38"/>
      <c r="AD1" s="39"/>
      <c r="AE1" s="38"/>
      <c r="AF1" s="38"/>
      <c r="AG1" s="38"/>
      <c r="AH1" s="38"/>
      <c r="AI1" s="38"/>
      <c r="AJ1" s="38"/>
      <c r="AK1" s="38"/>
    </row>
    <row r="2" spans="1:76">
      <c r="A2" s="40" t="s">
        <v>416</v>
      </c>
      <c r="B2" s="40" t="s">
        <v>417</v>
      </c>
      <c r="C2" s="40" t="s">
        <v>418</v>
      </c>
      <c r="D2" s="40" t="s">
        <v>419</v>
      </c>
      <c r="E2" s="40" t="s">
        <v>420</v>
      </c>
      <c r="F2" s="40" t="s">
        <v>421</v>
      </c>
      <c r="G2" s="40" t="s">
        <v>422</v>
      </c>
      <c r="H2" s="40" t="s">
        <v>423</v>
      </c>
      <c r="I2" s="40" t="s">
        <v>424</v>
      </c>
      <c r="J2" s="40" t="s">
        <v>425</v>
      </c>
      <c r="K2" s="40" t="s">
        <v>426</v>
      </c>
      <c r="L2" s="40"/>
      <c r="M2" s="40"/>
      <c r="N2" s="40"/>
      <c r="O2" s="40"/>
      <c r="P2" s="40"/>
      <c r="Q2" s="40"/>
      <c r="R2" s="40"/>
      <c r="S2" s="40"/>
      <c r="T2" s="40" t="s">
        <v>427</v>
      </c>
      <c r="U2" s="40" t="s">
        <v>428</v>
      </c>
      <c r="V2" s="40" t="s">
        <v>429</v>
      </c>
      <c r="W2" s="40" t="s">
        <v>430</v>
      </c>
      <c r="X2" s="40" t="s">
        <v>431</v>
      </c>
      <c r="Y2" s="40"/>
      <c r="Z2" s="40"/>
      <c r="AA2" s="40" t="s">
        <v>432</v>
      </c>
      <c r="AB2" s="40"/>
      <c r="AC2" s="40"/>
      <c r="AD2" s="40" t="s">
        <v>433</v>
      </c>
      <c r="AE2" s="40"/>
      <c r="AF2" s="40"/>
      <c r="AG2" s="40"/>
      <c r="AH2" s="40" t="s">
        <v>434</v>
      </c>
      <c r="AI2" s="40"/>
      <c r="AJ2" s="40"/>
      <c r="AK2" s="40" t="s">
        <v>435</v>
      </c>
      <c r="AL2" s="41" t="s">
        <v>436</v>
      </c>
    </row>
    <row r="3" ht="92.4" spans="1:76">
      <c r="A3" s="40"/>
      <c r="B3" s="40"/>
      <c r="C3" s="40"/>
      <c r="D3" s="40"/>
      <c r="E3" s="40"/>
      <c r="F3" s="40"/>
      <c r="G3" s="40"/>
      <c r="H3" s="40"/>
      <c r="I3" s="40"/>
      <c r="J3" s="40"/>
      <c r="K3" s="40" t="s">
        <v>437</v>
      </c>
      <c r="L3" s="40" t="s">
        <v>438</v>
      </c>
      <c r="M3" s="40" t="s">
        <v>439</v>
      </c>
      <c r="N3" s="40" t="s">
        <v>440</v>
      </c>
      <c r="O3" s="40" t="s">
        <v>441</v>
      </c>
      <c r="P3" s="40" t="s">
        <v>442</v>
      </c>
      <c r="Q3" s="40" t="s">
        <v>443</v>
      </c>
      <c r="R3" s="40" t="s">
        <v>444</v>
      </c>
      <c r="S3" s="40" t="s">
        <v>445</v>
      </c>
      <c r="T3" s="40"/>
      <c r="U3" s="40"/>
      <c r="V3" s="40"/>
      <c r="W3" s="40"/>
      <c r="X3" s="40" t="s">
        <v>446</v>
      </c>
      <c r="Y3" s="40" t="s">
        <v>447</v>
      </c>
      <c r="Z3" s="40" t="s">
        <v>448</v>
      </c>
      <c r="AA3" s="40" t="s">
        <v>446</v>
      </c>
      <c r="AB3" s="40" t="s">
        <v>447</v>
      </c>
      <c r="AC3" s="40" t="s">
        <v>448</v>
      </c>
      <c r="AD3" s="40" t="s">
        <v>433</v>
      </c>
      <c r="AE3" s="40" t="s">
        <v>446</v>
      </c>
      <c r="AF3" s="40" t="s">
        <v>447</v>
      </c>
      <c r="AG3" s="40" t="s">
        <v>448</v>
      </c>
      <c r="AH3" s="40" t="s">
        <v>449</v>
      </c>
      <c r="AI3" s="40" t="s">
        <v>450</v>
      </c>
      <c r="AJ3" s="40" t="s">
        <v>451</v>
      </c>
      <c r="AK3" s="40"/>
      <c r="AL3" s="41"/>
      <c r="AM3" s="36">
        <v>7.27</v>
      </c>
    </row>
    <row r="4" s="31" customFormat="1" ht="188" customHeight="1" spans="1:76">
      <c r="A4" s="40" t="s">
        <v>452</v>
      </c>
      <c r="B4" s="40" t="s">
        <v>453</v>
      </c>
      <c r="C4" s="42" t="s">
        <v>454</v>
      </c>
      <c r="D4" s="42" t="s">
        <v>455</v>
      </c>
      <c r="E4" s="43" t="s">
        <v>456</v>
      </c>
      <c r="F4" s="44"/>
      <c r="G4" s="45" t="s">
        <v>457</v>
      </c>
      <c r="H4" s="42" t="s">
        <v>458</v>
      </c>
      <c r="I4" s="46" t="s">
        <v>459</v>
      </c>
      <c r="J4" s="47" t="s">
        <v>460</v>
      </c>
      <c r="K4" s="48"/>
      <c r="L4" s="49" t="s">
        <v>36</v>
      </c>
      <c r="M4" s="49" t="s">
        <v>36</v>
      </c>
      <c r="N4" s="48"/>
      <c r="O4" s="48"/>
      <c r="P4" s="48"/>
      <c r="Q4" s="48"/>
      <c r="R4" s="48"/>
      <c r="S4" s="48"/>
      <c r="T4" s="51" t="s">
        <v>461</v>
      </c>
      <c r="U4" s="47" t="s">
        <v>462</v>
      </c>
      <c r="V4" s="46" t="s">
        <v>463</v>
      </c>
      <c r="W4" s="46" t="s">
        <v>464</v>
      </c>
      <c r="X4" s="49" t="s">
        <v>465</v>
      </c>
      <c r="Y4" s="49" t="s">
        <v>466</v>
      </c>
      <c r="Z4" s="49"/>
      <c r="AA4" s="49" t="s">
        <v>467</v>
      </c>
      <c r="AB4" s="49" t="s">
        <v>466</v>
      </c>
      <c r="AC4" s="49"/>
      <c r="AD4" s="67" t="s">
        <v>468</v>
      </c>
      <c r="AE4" s="51"/>
      <c r="AF4" s="51"/>
      <c r="AG4" s="49"/>
      <c r="AH4" s="49" t="s">
        <v>469</v>
      </c>
      <c r="AI4" s="49" t="s">
        <v>469</v>
      </c>
      <c r="AJ4" s="47" t="s">
        <v>470</v>
      </c>
      <c r="AK4" s="52" t="s">
        <v>471</v>
      </c>
      <c r="AL4" s="53" t="s">
        <v>749</v>
      </c>
      <c r="AM4" s="54" t="s">
        <v>750</v>
      </c>
      <c r="AN4" s="31" t="b">
        <f>A4=[2]数字化与研发投入!A4</f>
        <v>1</v>
      </c>
      <c r="AO4" s="31" t="b">
        <f>B4=[2]数字化与研发投入!B4</f>
        <v>1</v>
      </c>
      <c r="AP4" s="31" t="b">
        <f>C4=[2]数字化与研发投入!C4</f>
        <v>1</v>
      </c>
      <c r="AQ4" s="31" t="b">
        <f>D4=[2]数字化与研发投入!D4</f>
        <v>1</v>
      </c>
      <c r="AR4" s="31" t="b">
        <f>E4=[2]数字化与研发投入!E4</f>
        <v>1</v>
      </c>
      <c r="AS4" s="31" t="b">
        <f>F4=[2]数字化与研发投入!F4</f>
        <v>1</v>
      </c>
      <c r="AT4" s="31" t="b">
        <f>G4=[2]数字化与研发投入!G4</f>
        <v>1</v>
      </c>
      <c r="AU4" s="31" t="b">
        <f>H4=[2]数字化与研发投入!H4</f>
        <v>1</v>
      </c>
      <c r="AV4" s="31" t="b">
        <f>I4=[2]数字化与研发投入!I4</f>
        <v>1</v>
      </c>
      <c r="AW4" s="31" t="b">
        <f>J4=[2]数字化与研发投入!J4</f>
        <v>1</v>
      </c>
      <c r="AX4" s="31" t="b">
        <f>K4=[2]数字化与研发投入!K4</f>
        <v>1</v>
      </c>
      <c r="AY4" s="31" t="b">
        <f>L4=[2]数字化与研发投入!L4</f>
        <v>1</v>
      </c>
      <c r="AZ4" s="31" t="b">
        <f>M4=[2]数字化与研发投入!M4</f>
        <v>1</v>
      </c>
      <c r="BA4" s="31" t="b">
        <f>N4=[2]数字化与研发投入!N4</f>
        <v>1</v>
      </c>
      <c r="BB4" s="31" t="b">
        <f>O4=[2]数字化与研发投入!O4</f>
        <v>1</v>
      </c>
      <c r="BC4" s="31" t="b">
        <f>P4=[2]数字化与研发投入!P4</f>
        <v>1</v>
      </c>
      <c r="BD4" s="31" t="b">
        <f>Q4=[2]数字化与研发投入!Q4</f>
        <v>1</v>
      </c>
      <c r="BE4" s="31" t="b">
        <f>R4=[2]数字化与研发投入!R4</f>
        <v>1</v>
      </c>
      <c r="BF4" s="31" t="b">
        <f>S4=[2]数字化与研发投入!S4</f>
        <v>1</v>
      </c>
      <c r="BG4" s="31" t="b">
        <f>T4=[2]数字化与研发投入!T4</f>
        <v>1</v>
      </c>
      <c r="BH4" s="31" t="b">
        <f>U4=[2]数字化与研发投入!U4</f>
        <v>1</v>
      </c>
      <c r="BI4" s="31" t="b">
        <f>V4=[2]数字化与研发投入!V4</f>
        <v>1</v>
      </c>
      <c r="BJ4" s="31" t="b">
        <f>W4=[2]数字化与研发投入!W4</f>
        <v>0</v>
      </c>
      <c r="BK4" s="31" t="b">
        <f>X4=[2]数字化与研发投入!X4</f>
        <v>1</v>
      </c>
      <c r="BL4" s="31" t="b">
        <f>Y4=[2]数字化与研发投入!Y4</f>
        <v>1</v>
      </c>
      <c r="BM4" s="31" t="b">
        <f>Z4=[2]数字化与研发投入!Z4</f>
        <v>1</v>
      </c>
      <c r="BN4" s="31" t="b">
        <f>AA4=[2]数字化与研发投入!AA4</f>
        <v>1</v>
      </c>
      <c r="BO4" s="31" t="b">
        <f>AB4=[2]数字化与研发投入!AB4</f>
        <v>1</v>
      </c>
      <c r="BP4" s="31" t="b">
        <f>AC4=[2]数字化与研发投入!AC4</f>
        <v>1</v>
      </c>
      <c r="BQ4" s="31" t="b">
        <f>AD4=[2]数字化与研发投入!AD4</f>
        <v>1</v>
      </c>
      <c r="BR4" s="31" t="b">
        <f>AE4=[2]数字化与研发投入!AE4</f>
        <v>1</v>
      </c>
      <c r="BS4" s="31" t="b">
        <f>AF4=[2]数字化与研发投入!AF4</f>
        <v>1</v>
      </c>
      <c r="BT4" s="31" t="b">
        <f>AG4=[2]数字化与研发投入!AG4</f>
        <v>1</v>
      </c>
      <c r="BU4" s="31" t="b">
        <f>AH4=[2]数字化与研发投入!AH4</f>
        <v>1</v>
      </c>
      <c r="BV4" s="31" t="b">
        <f>AI4=[2]数字化与研发投入!AI4</f>
        <v>1</v>
      </c>
      <c r="BW4" s="31" t="b">
        <f>AJ4=[2]数字化与研发投入!AJ4</f>
        <v>1</v>
      </c>
      <c r="BX4" s="31" t="b">
        <f>AK4=[2]数字化与研发投入!AK4</f>
        <v>1</v>
      </c>
    </row>
    <row r="5" s="31" customFormat="1" ht="132" spans="1:76">
      <c r="A5" s="40"/>
      <c r="B5" s="40"/>
      <c r="C5" s="55"/>
      <c r="D5" s="55"/>
      <c r="E5" s="56"/>
      <c r="F5" s="44"/>
      <c r="G5" s="57"/>
      <c r="H5" s="55"/>
      <c r="I5" s="46" t="s">
        <v>473</v>
      </c>
      <c r="J5" s="47" t="s">
        <v>474</v>
      </c>
      <c r="K5" s="48"/>
      <c r="L5" s="49" t="s">
        <v>36</v>
      </c>
      <c r="M5" s="48"/>
      <c r="N5" s="48"/>
      <c r="O5" s="48"/>
      <c r="P5" s="48"/>
      <c r="Q5" s="48"/>
      <c r="R5" s="48"/>
      <c r="S5" s="49" t="s">
        <v>36</v>
      </c>
      <c r="T5" s="49" t="s">
        <v>475</v>
      </c>
      <c r="U5" s="47"/>
      <c r="V5" s="46" t="s">
        <v>476</v>
      </c>
      <c r="W5" s="46" t="s">
        <v>477</v>
      </c>
      <c r="X5" s="49" t="s">
        <v>465</v>
      </c>
      <c r="Y5" s="49" t="s">
        <v>466</v>
      </c>
      <c r="Z5" s="49"/>
      <c r="AA5" s="49" t="s">
        <v>467</v>
      </c>
      <c r="AB5" s="49" t="s">
        <v>466</v>
      </c>
      <c r="AC5" s="49"/>
      <c r="AD5" s="47"/>
      <c r="AE5" s="49"/>
      <c r="AF5" s="49"/>
      <c r="AG5" s="49"/>
      <c r="AH5" s="49" t="s">
        <v>469</v>
      </c>
      <c r="AI5" s="49" t="s">
        <v>469</v>
      </c>
      <c r="AJ5" s="47" t="s">
        <v>478</v>
      </c>
      <c r="AK5" s="52" t="s">
        <v>471</v>
      </c>
      <c r="AL5" s="53" t="s">
        <v>749</v>
      </c>
      <c r="AM5" s="54" t="s">
        <v>751</v>
      </c>
      <c r="AN5" s="31" t="b">
        <f>A5=[2]数字化与研发投入!A5</f>
        <v>1</v>
      </c>
      <c r="AO5" s="31" t="b">
        <f>B5=[2]数字化与研发投入!B5</f>
        <v>1</v>
      </c>
      <c r="AP5" s="31" t="b">
        <f>C5=[2]数字化与研发投入!C5</f>
        <v>1</v>
      </c>
      <c r="AQ5" s="31" t="b">
        <f>D5=[2]数字化与研发投入!D5</f>
        <v>1</v>
      </c>
      <c r="AR5" s="31" t="b">
        <f>E5=[2]数字化与研发投入!E5</f>
        <v>1</v>
      </c>
      <c r="AS5" s="31" t="b">
        <f>F5=[2]数字化与研发投入!F5</f>
        <v>1</v>
      </c>
      <c r="AT5" s="31" t="b">
        <f>G5=[2]数字化与研发投入!G5</f>
        <v>1</v>
      </c>
      <c r="AU5" s="31" t="b">
        <f>H5=[2]数字化与研发投入!H5</f>
        <v>1</v>
      </c>
      <c r="AV5" s="31" t="b">
        <f>I5=[2]数字化与研发投入!I5</f>
        <v>1</v>
      </c>
      <c r="AW5" s="31" t="b">
        <f>J5=[2]数字化与研发投入!J5</f>
        <v>1</v>
      </c>
      <c r="AX5" s="31" t="b">
        <f>K5=[2]数字化与研发投入!K5</f>
        <v>1</v>
      </c>
      <c r="AY5" s="31" t="b">
        <f>L5=[2]数字化与研发投入!L5</f>
        <v>1</v>
      </c>
      <c r="AZ5" s="31" t="b">
        <f>M5=[2]数字化与研发投入!M5</f>
        <v>1</v>
      </c>
      <c r="BA5" s="31" t="b">
        <f>N5=[2]数字化与研发投入!N5</f>
        <v>1</v>
      </c>
      <c r="BB5" s="31" t="b">
        <f>O5=[2]数字化与研发投入!O5</f>
        <v>1</v>
      </c>
      <c r="BC5" s="31" t="b">
        <f>P5=[2]数字化与研发投入!P5</f>
        <v>1</v>
      </c>
      <c r="BD5" s="31" t="b">
        <f>Q5=[2]数字化与研发投入!Q5</f>
        <v>1</v>
      </c>
      <c r="BE5" s="31" t="b">
        <f>R5=[2]数字化与研发投入!R5</f>
        <v>1</v>
      </c>
      <c r="BF5" s="31" t="b">
        <f>S5=[2]数字化与研发投入!S5</f>
        <v>1</v>
      </c>
      <c r="BG5" s="31" t="b">
        <f>T5=[2]数字化与研发投入!T5</f>
        <v>1</v>
      </c>
      <c r="BH5" s="31" t="b">
        <f>U5=[2]数字化与研发投入!U5</f>
        <v>1</v>
      </c>
      <c r="BI5" s="31" t="b">
        <f>V5=[2]数字化与研发投入!V5</f>
        <v>1</v>
      </c>
      <c r="BJ5" s="31" t="b">
        <f>W5=[2]数字化与研发投入!W5</f>
        <v>1</v>
      </c>
      <c r="BK5" s="31" t="b">
        <f>X5=[2]数字化与研发投入!X5</f>
        <v>1</v>
      </c>
      <c r="BL5" s="31" t="b">
        <f>Y5=[2]数字化与研发投入!Y5</f>
        <v>1</v>
      </c>
      <c r="BM5" s="31" t="b">
        <f>Z5=[2]数字化与研发投入!Z5</f>
        <v>1</v>
      </c>
      <c r="BN5" s="31" t="b">
        <f>AA5=[2]数字化与研发投入!AA5</f>
        <v>1</v>
      </c>
      <c r="BO5" s="31" t="b">
        <f>AB5=[2]数字化与研发投入!AB5</f>
        <v>1</v>
      </c>
      <c r="BP5" s="31" t="b">
        <f>AC5=[2]数字化与研发投入!AC5</f>
        <v>1</v>
      </c>
      <c r="BQ5" s="31" t="b">
        <f>AD5=[2]数字化与研发投入!AD5</f>
        <v>1</v>
      </c>
      <c r="BR5" s="31" t="b">
        <f>AE5=[2]数字化与研发投入!AE5</f>
        <v>1</v>
      </c>
      <c r="BS5" s="31" t="b">
        <f>AF5=[2]数字化与研发投入!AF5</f>
        <v>1</v>
      </c>
      <c r="BT5" s="31" t="b">
        <f>AG5=[2]数字化与研发投入!AG5</f>
        <v>1</v>
      </c>
      <c r="BU5" s="31" t="b">
        <f>AH5=[2]数字化与研发投入!AH5</f>
        <v>1</v>
      </c>
      <c r="BV5" s="31" t="b">
        <f>AI5=[2]数字化与研发投入!AI5</f>
        <v>1</v>
      </c>
      <c r="BW5" s="31" t="b">
        <f>AJ5=[2]数字化与研发投入!AJ5</f>
        <v>1</v>
      </c>
      <c r="BX5" s="31" t="b">
        <f>AK5=[2]数字化与研发投入!AK5</f>
        <v>1</v>
      </c>
    </row>
    <row r="6" s="31" customFormat="1" ht="182" customHeight="1" spans="1:76">
      <c r="A6" s="40"/>
      <c r="B6" s="40"/>
      <c r="C6" s="55"/>
      <c r="D6" s="55"/>
      <c r="E6" s="56"/>
      <c r="F6" s="44"/>
      <c r="G6" s="57"/>
      <c r="H6" s="55"/>
      <c r="I6" s="46" t="s">
        <v>479</v>
      </c>
      <c r="J6" s="47" t="s">
        <v>480</v>
      </c>
      <c r="K6" s="48"/>
      <c r="L6" s="48"/>
      <c r="M6" s="48"/>
      <c r="N6" s="48"/>
      <c r="O6" s="49" t="s">
        <v>36</v>
      </c>
      <c r="P6" s="48"/>
      <c r="Q6" s="48"/>
      <c r="R6" s="48"/>
      <c r="S6" s="49" t="s">
        <v>36</v>
      </c>
      <c r="T6" s="49" t="s">
        <v>475</v>
      </c>
      <c r="U6" s="47"/>
      <c r="V6" s="46" t="s">
        <v>481</v>
      </c>
      <c r="W6" s="46" t="s">
        <v>482</v>
      </c>
      <c r="X6" s="49" t="s">
        <v>465</v>
      </c>
      <c r="Y6" s="49" t="s">
        <v>466</v>
      </c>
      <c r="Z6" s="49"/>
      <c r="AA6" s="49" t="s">
        <v>467</v>
      </c>
      <c r="AB6" s="49" t="s">
        <v>466</v>
      </c>
      <c r="AC6" s="49"/>
      <c r="AD6" s="47"/>
      <c r="AE6" s="49"/>
      <c r="AF6" s="49"/>
      <c r="AG6" s="49"/>
      <c r="AH6" s="49" t="s">
        <v>469</v>
      </c>
      <c r="AI6" s="49" t="s">
        <v>469</v>
      </c>
      <c r="AJ6" s="47" t="s">
        <v>483</v>
      </c>
      <c r="AK6" s="52" t="s">
        <v>471</v>
      </c>
      <c r="AL6" s="53" t="s">
        <v>749</v>
      </c>
      <c r="AM6" s="54" t="s">
        <v>751</v>
      </c>
      <c r="AN6" s="31" t="b">
        <f>A6=[2]数字化与研发投入!A6</f>
        <v>1</v>
      </c>
      <c r="AO6" s="31" t="b">
        <f>B6=[2]数字化与研发投入!B6</f>
        <v>1</v>
      </c>
      <c r="AP6" s="31" t="b">
        <f>C6=[2]数字化与研发投入!C6</f>
        <v>1</v>
      </c>
      <c r="AQ6" s="31" t="b">
        <f>D6=[2]数字化与研发投入!D6</f>
        <v>1</v>
      </c>
      <c r="AR6" s="31" t="b">
        <f>E6=[2]数字化与研发投入!E6</f>
        <v>1</v>
      </c>
      <c r="AS6" s="31" t="b">
        <f>F6=[2]数字化与研发投入!F6</f>
        <v>1</v>
      </c>
      <c r="AT6" s="31" t="b">
        <f>G6=[2]数字化与研发投入!G6</f>
        <v>1</v>
      </c>
      <c r="AU6" s="31" t="b">
        <f>H6=[2]数字化与研发投入!H6</f>
        <v>1</v>
      </c>
      <c r="AV6" s="31" t="b">
        <f>I6=[2]数字化与研发投入!I6</f>
        <v>1</v>
      </c>
      <c r="AW6" s="31" t="b">
        <f>J6=[2]数字化与研发投入!J6</f>
        <v>1</v>
      </c>
      <c r="AX6" s="31" t="b">
        <f>K6=[2]数字化与研发投入!K6</f>
        <v>1</v>
      </c>
      <c r="AY6" s="31" t="b">
        <f>L6=[2]数字化与研发投入!L6</f>
        <v>1</v>
      </c>
      <c r="AZ6" s="31" t="b">
        <f>M6=[2]数字化与研发投入!M6</f>
        <v>1</v>
      </c>
      <c r="BA6" s="31" t="b">
        <f>N6=[2]数字化与研发投入!N6</f>
        <v>1</v>
      </c>
      <c r="BB6" s="31" t="b">
        <f>O6=[2]数字化与研发投入!O6</f>
        <v>1</v>
      </c>
      <c r="BC6" s="31" t="b">
        <f>P6=[2]数字化与研发投入!P6</f>
        <v>1</v>
      </c>
      <c r="BD6" s="31" t="b">
        <f>Q6=[2]数字化与研发投入!Q6</f>
        <v>1</v>
      </c>
      <c r="BE6" s="31" t="b">
        <f>R6=[2]数字化与研发投入!R6</f>
        <v>1</v>
      </c>
      <c r="BF6" s="31" t="b">
        <f>S6=[2]数字化与研发投入!S6</f>
        <v>1</v>
      </c>
      <c r="BG6" s="31" t="b">
        <f>T6=[2]数字化与研发投入!T6</f>
        <v>1</v>
      </c>
      <c r="BH6" s="31" t="b">
        <f>U6=[2]数字化与研发投入!U6</f>
        <v>1</v>
      </c>
      <c r="BI6" s="31" t="b">
        <f>V6=[2]数字化与研发投入!V6</f>
        <v>1</v>
      </c>
      <c r="BJ6" s="31" t="b">
        <f>W6=[2]数字化与研发投入!W6</f>
        <v>0</v>
      </c>
      <c r="BK6" s="31" t="b">
        <f>X6=[2]数字化与研发投入!X6</f>
        <v>1</v>
      </c>
      <c r="BL6" s="31" t="b">
        <f>Y6=[2]数字化与研发投入!Y6</f>
        <v>1</v>
      </c>
      <c r="BM6" s="31" t="b">
        <f>Z6=[2]数字化与研发投入!Z6</f>
        <v>1</v>
      </c>
      <c r="BN6" s="31" t="b">
        <f>AA6=[2]数字化与研发投入!AA6</f>
        <v>1</v>
      </c>
      <c r="BO6" s="31" t="b">
        <f>AB6=[2]数字化与研发投入!AB6</f>
        <v>1</v>
      </c>
      <c r="BP6" s="31" t="b">
        <f>AC6=[2]数字化与研发投入!AC6</f>
        <v>1</v>
      </c>
      <c r="BQ6" s="31" t="b">
        <f>AD6=[2]数字化与研发投入!AD6</f>
        <v>1</v>
      </c>
      <c r="BR6" s="31" t="b">
        <f>AE6=[2]数字化与研发投入!AE6</f>
        <v>1</v>
      </c>
      <c r="BS6" s="31" t="b">
        <f>AF6=[2]数字化与研发投入!AF6</f>
        <v>1</v>
      </c>
      <c r="BT6" s="31" t="b">
        <f>AG6=[2]数字化与研发投入!AG6</f>
        <v>1</v>
      </c>
      <c r="BU6" s="31" t="b">
        <f>AH6=[2]数字化与研发投入!AH6</f>
        <v>1</v>
      </c>
      <c r="BV6" s="31" t="b">
        <f>AI6=[2]数字化与研发投入!AI6</f>
        <v>1</v>
      </c>
      <c r="BW6" s="31" t="b">
        <f>AJ6=[2]数字化与研发投入!AJ6</f>
        <v>1</v>
      </c>
      <c r="BX6" s="31" t="b">
        <f>AK6=[2]数字化与研发投入!AK6</f>
        <v>1</v>
      </c>
    </row>
    <row r="7" s="31" customFormat="1" ht="132" spans="1:76">
      <c r="A7" s="40"/>
      <c r="B7" s="40"/>
      <c r="C7" s="55"/>
      <c r="D7" s="58"/>
      <c r="E7" s="59"/>
      <c r="F7" s="44"/>
      <c r="G7" s="57"/>
      <c r="H7" s="55"/>
      <c r="I7" s="46" t="s">
        <v>484</v>
      </c>
      <c r="J7" s="47" t="s">
        <v>485</v>
      </c>
      <c r="K7" s="60"/>
      <c r="L7" s="48"/>
      <c r="M7" s="48"/>
      <c r="N7" s="48"/>
      <c r="O7" s="48"/>
      <c r="P7" s="48"/>
      <c r="Q7" s="48"/>
      <c r="R7" s="48"/>
      <c r="S7" s="48"/>
      <c r="T7" s="49" t="s">
        <v>475</v>
      </c>
      <c r="U7" s="47"/>
      <c r="V7" s="46" t="s">
        <v>486</v>
      </c>
      <c r="W7" s="46" t="s">
        <v>487</v>
      </c>
      <c r="X7" s="49" t="s">
        <v>465</v>
      </c>
      <c r="Y7" s="49" t="s">
        <v>466</v>
      </c>
      <c r="Z7" s="49"/>
      <c r="AA7" s="49" t="s">
        <v>467</v>
      </c>
      <c r="AB7" s="49" t="s">
        <v>466</v>
      </c>
      <c r="AC7" s="49"/>
      <c r="AD7" s="47"/>
      <c r="AE7" s="49"/>
      <c r="AF7" s="49"/>
      <c r="AG7" s="49"/>
      <c r="AH7" s="49" t="s">
        <v>469</v>
      </c>
      <c r="AI7" s="49" t="s">
        <v>469</v>
      </c>
      <c r="AJ7" s="47" t="s">
        <v>478</v>
      </c>
      <c r="AK7" s="52" t="s">
        <v>471</v>
      </c>
      <c r="AL7" s="53" t="s">
        <v>752</v>
      </c>
      <c r="AM7" s="54" t="s">
        <v>751</v>
      </c>
      <c r="AN7" s="31" t="b">
        <f>A7=[2]数字化与研发投入!A7</f>
        <v>1</v>
      </c>
      <c r="AO7" s="31" t="b">
        <f>B7=[2]数字化与研发投入!B7</f>
        <v>1</v>
      </c>
      <c r="AP7" s="31" t="b">
        <f>C7=[2]数字化与研发投入!C7</f>
        <v>1</v>
      </c>
      <c r="AQ7" s="31" t="b">
        <f>D7=[2]数字化与研发投入!D7</f>
        <v>1</v>
      </c>
      <c r="AR7" s="31" t="b">
        <f>E7=[2]数字化与研发投入!E7</f>
        <v>1</v>
      </c>
      <c r="AS7" s="31" t="b">
        <f>F7=[2]数字化与研发投入!F7</f>
        <v>1</v>
      </c>
      <c r="AT7" s="31" t="b">
        <f>G7=[2]数字化与研发投入!G7</f>
        <v>1</v>
      </c>
      <c r="AU7" s="31" t="b">
        <f>H7=[2]数字化与研发投入!H7</f>
        <v>1</v>
      </c>
      <c r="AV7" s="31" t="b">
        <f>I7=[2]数字化与研发投入!I7</f>
        <v>1</v>
      </c>
      <c r="AW7" s="31" t="b">
        <f>J7=[2]数字化与研发投入!J7</f>
        <v>1</v>
      </c>
      <c r="AX7" s="31" t="b">
        <f>K7=[2]数字化与研发投入!K7</f>
        <v>1</v>
      </c>
      <c r="AY7" s="31" t="b">
        <f>L7=[2]数字化与研发投入!L7</f>
        <v>1</v>
      </c>
      <c r="AZ7" s="31" t="b">
        <f>M7=[2]数字化与研发投入!M7</f>
        <v>1</v>
      </c>
      <c r="BA7" s="31" t="b">
        <f>N7=[2]数字化与研发投入!N7</f>
        <v>1</v>
      </c>
      <c r="BB7" s="31" t="b">
        <f>O7=[2]数字化与研发投入!O7</f>
        <v>1</v>
      </c>
      <c r="BC7" s="31" t="b">
        <f>P7=[2]数字化与研发投入!P7</f>
        <v>1</v>
      </c>
      <c r="BD7" s="31" t="b">
        <f>Q7=[2]数字化与研发投入!Q7</f>
        <v>1</v>
      </c>
      <c r="BE7" s="31" t="b">
        <f>R7=[2]数字化与研发投入!R7</f>
        <v>1</v>
      </c>
      <c r="BF7" s="31" t="b">
        <f>S7=[2]数字化与研发投入!S7</f>
        <v>1</v>
      </c>
      <c r="BG7" s="31" t="b">
        <f>T7=[2]数字化与研发投入!T7</f>
        <v>1</v>
      </c>
      <c r="BH7" s="31" t="b">
        <f>U7=[2]数字化与研发投入!U7</f>
        <v>1</v>
      </c>
      <c r="BI7" s="31" t="b">
        <f>V7=[2]数字化与研发投入!V7</f>
        <v>1</v>
      </c>
      <c r="BJ7" s="31" t="b">
        <f>W7=[2]数字化与研发投入!W7</f>
        <v>0</v>
      </c>
      <c r="BK7" s="31" t="b">
        <f>X7=[2]数字化与研发投入!X7</f>
        <v>1</v>
      </c>
      <c r="BL7" s="31" t="b">
        <f>Y7=[2]数字化与研发投入!Y7</f>
        <v>1</v>
      </c>
      <c r="BM7" s="31" t="b">
        <f>Z7=[2]数字化与研发投入!Z7</f>
        <v>1</v>
      </c>
      <c r="BN7" s="31" t="b">
        <f>AA7=[2]数字化与研发投入!AA7</f>
        <v>1</v>
      </c>
      <c r="BO7" s="31" t="b">
        <f>AB7=[2]数字化与研发投入!AB7</f>
        <v>1</v>
      </c>
      <c r="BP7" s="31" t="b">
        <f>AC7=[2]数字化与研发投入!AC7</f>
        <v>1</v>
      </c>
      <c r="BQ7" s="31" t="b">
        <f>AD7=[2]数字化与研发投入!AD7</f>
        <v>1</v>
      </c>
      <c r="BR7" s="31" t="b">
        <f>AE7=[2]数字化与研发投入!AE7</f>
        <v>1</v>
      </c>
      <c r="BS7" s="31" t="b">
        <f>AF7=[2]数字化与研发投入!AF7</f>
        <v>1</v>
      </c>
      <c r="BT7" s="31" t="b">
        <f>AG7=[2]数字化与研发投入!AG7</f>
        <v>1</v>
      </c>
      <c r="BU7" s="31" t="b">
        <f>AH7=[2]数字化与研发投入!AH7</f>
        <v>1</v>
      </c>
      <c r="BV7" s="31" t="b">
        <f>AI7=[2]数字化与研发投入!AI7</f>
        <v>1</v>
      </c>
      <c r="BW7" s="31" t="b">
        <f>AJ7=[2]数字化与研发投入!AJ7</f>
        <v>1</v>
      </c>
      <c r="BX7" s="31" t="b">
        <f>AK7=[2]数字化与研发投入!AK7</f>
        <v>1</v>
      </c>
    </row>
    <row r="8" s="32" customFormat="1" ht="171" customHeight="1" spans="1:76">
      <c r="A8" s="61"/>
      <c r="B8" s="61"/>
      <c r="C8" s="62"/>
      <c r="D8" s="63"/>
      <c r="E8" s="64"/>
      <c r="F8" s="65" t="s">
        <v>753</v>
      </c>
      <c r="G8" s="62"/>
      <c r="H8" s="62"/>
      <c r="I8" s="66" t="s">
        <v>489</v>
      </c>
      <c r="J8" s="67" t="s">
        <v>490</v>
      </c>
      <c r="K8" s="68"/>
      <c r="L8" s="69" t="s">
        <v>36</v>
      </c>
      <c r="M8" s="70"/>
      <c r="N8" s="69"/>
      <c r="O8" s="70"/>
      <c r="P8" s="70"/>
      <c r="Q8" s="69"/>
      <c r="R8" s="70"/>
      <c r="S8" s="69"/>
      <c r="T8" s="69" t="s">
        <v>475</v>
      </c>
      <c r="U8" s="67"/>
      <c r="V8" s="66" t="s">
        <v>491</v>
      </c>
      <c r="W8" s="66" t="s">
        <v>492</v>
      </c>
      <c r="X8" s="69" t="s">
        <v>465</v>
      </c>
      <c r="Y8" s="69" t="s">
        <v>466</v>
      </c>
      <c r="Z8" s="69"/>
      <c r="AA8" s="69" t="s">
        <v>467</v>
      </c>
      <c r="AB8" s="69" t="s">
        <v>466</v>
      </c>
      <c r="AC8" s="69"/>
      <c r="AD8" s="67"/>
      <c r="AE8" s="69"/>
      <c r="AF8" s="69"/>
      <c r="AG8" s="69"/>
      <c r="AH8" s="69"/>
      <c r="AI8" s="69"/>
      <c r="AJ8" s="67" t="s">
        <v>493</v>
      </c>
      <c r="AK8" s="71" t="s">
        <v>471</v>
      </c>
      <c r="AL8" s="53" t="s">
        <v>754</v>
      </c>
      <c r="AM8" s="54" t="s">
        <v>748</v>
      </c>
      <c r="AN8" s="31" t="b">
        <f>A8=[2]数字化与研发投入!A8</f>
        <v>1</v>
      </c>
      <c r="AO8" s="31" t="b">
        <f>B8=[2]数字化与研发投入!B8</f>
        <v>1</v>
      </c>
      <c r="AP8" s="31" t="b">
        <f>C8=[2]数字化与研发投入!C8</f>
        <v>1</v>
      </c>
      <c r="AQ8" s="31" t="b">
        <f>D8=[2]数字化与研发投入!D8</f>
        <v>1</v>
      </c>
      <c r="AR8" s="31" t="b">
        <f>E8=[2]数字化与研发投入!E8</f>
        <v>1</v>
      </c>
      <c r="AS8" s="31" t="b">
        <f>F8=[2]数字化与研发投入!F8</f>
        <v>1</v>
      </c>
      <c r="AT8" s="31" t="b">
        <f>G8=[2]数字化与研发投入!G8</f>
        <v>1</v>
      </c>
      <c r="AU8" s="31" t="b">
        <f>H8=[2]数字化与研发投入!H8</f>
        <v>1</v>
      </c>
      <c r="AV8" s="31" t="b">
        <f>I8=[2]数字化与研发投入!I8</f>
        <v>1</v>
      </c>
      <c r="AW8" s="31" t="b">
        <f>J8=[2]数字化与研发投入!J8</f>
        <v>1</v>
      </c>
      <c r="AX8" s="31" t="b">
        <f>K8=[2]数字化与研发投入!K8</f>
        <v>1</v>
      </c>
      <c r="AY8" s="31" t="b">
        <f>L8=[2]数字化与研发投入!L8</f>
        <v>1</v>
      </c>
      <c r="AZ8" s="31" t="b">
        <f>M8=[2]数字化与研发投入!M8</f>
        <v>1</v>
      </c>
      <c r="BA8" s="31" t="b">
        <f>N8=[2]数字化与研发投入!N8</f>
        <v>1</v>
      </c>
      <c r="BB8" s="31" t="b">
        <f>O8=[2]数字化与研发投入!O8</f>
        <v>1</v>
      </c>
      <c r="BC8" s="31" t="b">
        <f>P8=[2]数字化与研发投入!P8</f>
        <v>1</v>
      </c>
      <c r="BD8" s="31" t="b">
        <f>Q8=[2]数字化与研发投入!Q8</f>
        <v>1</v>
      </c>
      <c r="BE8" s="31" t="b">
        <f>R8=[2]数字化与研发投入!R8</f>
        <v>1</v>
      </c>
      <c r="BF8" s="31" t="b">
        <f>S8=[2]数字化与研发投入!S8</f>
        <v>1</v>
      </c>
      <c r="BG8" s="31" t="b">
        <f>T8=[2]数字化与研发投入!T8</f>
        <v>1</v>
      </c>
      <c r="BH8" s="31" t="b">
        <f>U8=[2]数字化与研发投入!U8</f>
        <v>1</v>
      </c>
      <c r="BI8" s="31" t="b">
        <f>V8=[2]数字化与研发投入!V8</f>
        <v>1</v>
      </c>
      <c r="BJ8" s="31" t="b">
        <f>W8=[2]数字化与研发投入!W8</f>
        <v>1</v>
      </c>
      <c r="BK8" s="31" t="b">
        <f>X8=[2]数字化与研发投入!X8</f>
        <v>1</v>
      </c>
      <c r="BL8" s="31" t="b">
        <f>Y8=[2]数字化与研发投入!Y8</f>
        <v>1</v>
      </c>
      <c r="BM8" s="31" t="b">
        <f>Z8=[2]数字化与研发投入!Z8</f>
        <v>1</v>
      </c>
      <c r="BN8" s="31" t="b">
        <f>AA8=[2]数字化与研发投入!AA8</f>
        <v>1</v>
      </c>
      <c r="BO8" s="31" t="b">
        <f>AB8=[2]数字化与研发投入!AB8</f>
        <v>1</v>
      </c>
      <c r="BP8" s="31" t="b">
        <f>AC8=[2]数字化与研发投入!AC8</f>
        <v>1</v>
      </c>
      <c r="BQ8" s="31" t="b">
        <f>AD8=[2]数字化与研发投入!AD8</f>
        <v>1</v>
      </c>
      <c r="BR8" s="31" t="b">
        <f>AE8=[2]数字化与研发投入!AE8</f>
        <v>1</v>
      </c>
      <c r="BS8" s="31" t="b">
        <f>AF8=[2]数字化与研发投入!AF8</f>
        <v>1</v>
      </c>
      <c r="BT8" s="31" t="b">
        <f>AG8=[2]数字化与研发投入!AG8</f>
        <v>1</v>
      </c>
      <c r="BU8" s="31" t="b">
        <f>AH8=[2]数字化与研发投入!AH8</f>
        <v>1</v>
      </c>
      <c r="BV8" s="31" t="b">
        <f>AI8=[2]数字化与研发投入!AI8</f>
        <v>1</v>
      </c>
      <c r="BW8" s="31" t="b">
        <f>AJ8=[2]数字化与研发投入!AJ8</f>
        <v>1</v>
      </c>
      <c r="BX8" s="31" t="b">
        <f>AK8=[2]数字化与研发投入!AK8</f>
        <v>1</v>
      </c>
    </row>
    <row r="9" s="31" customFormat="1" ht="112" customHeight="1" spans="1:76">
      <c r="A9" s="40"/>
      <c r="B9" s="40"/>
      <c r="C9" s="55"/>
      <c r="D9" s="73" t="s">
        <v>495</v>
      </c>
      <c r="E9" s="74" t="s">
        <v>496</v>
      </c>
      <c r="F9" s="75"/>
      <c r="G9" s="76" t="s">
        <v>497</v>
      </c>
      <c r="H9" s="76" t="s">
        <v>498</v>
      </c>
      <c r="I9" s="46" t="s">
        <v>499</v>
      </c>
      <c r="J9" s="47" t="s">
        <v>500</v>
      </c>
      <c r="K9" s="77"/>
      <c r="L9" s="49" t="s">
        <v>36</v>
      </c>
      <c r="M9" s="48"/>
      <c r="N9" s="49" t="s">
        <v>36</v>
      </c>
      <c r="O9" s="48"/>
      <c r="P9" s="48"/>
      <c r="Q9" s="49" t="s">
        <v>36</v>
      </c>
      <c r="R9" s="48"/>
      <c r="S9" s="49" t="s">
        <v>36</v>
      </c>
      <c r="T9" s="49" t="s">
        <v>475</v>
      </c>
      <c r="U9" s="47"/>
      <c r="V9" s="46" t="s">
        <v>501</v>
      </c>
      <c r="W9" s="46" t="s">
        <v>755</v>
      </c>
      <c r="X9" s="49" t="s">
        <v>503</v>
      </c>
      <c r="Y9" s="49" t="s">
        <v>466</v>
      </c>
      <c r="Z9" s="49"/>
      <c r="AA9" s="49" t="s">
        <v>467</v>
      </c>
      <c r="AB9" s="49" t="s">
        <v>466</v>
      </c>
      <c r="AC9" s="49"/>
      <c r="AD9" s="47"/>
      <c r="AE9" s="49"/>
      <c r="AF9" s="49"/>
      <c r="AG9" s="49"/>
      <c r="AH9" s="49" t="s">
        <v>469</v>
      </c>
      <c r="AI9" s="49" t="s">
        <v>469</v>
      </c>
      <c r="AJ9" s="47" t="s">
        <v>504</v>
      </c>
      <c r="AK9" s="52" t="s">
        <v>471</v>
      </c>
      <c r="AL9" s="53" t="s">
        <v>752</v>
      </c>
      <c r="AM9" s="54" t="s">
        <v>751</v>
      </c>
      <c r="AN9" s="31" t="b">
        <f>A9=[2]数字化与研发投入!A9</f>
        <v>1</v>
      </c>
      <c r="AO9" s="31" t="b">
        <f>B9=[2]数字化与研发投入!B9</f>
        <v>1</v>
      </c>
      <c r="AP9" s="31" t="b">
        <f>C9=[2]数字化与研发投入!C9</f>
        <v>1</v>
      </c>
      <c r="AQ9" s="31" t="b">
        <f>D9=[2]数字化与研发投入!D9</f>
        <v>1</v>
      </c>
      <c r="AR9" s="31" t="b">
        <f>E9=[2]数字化与研发投入!E9</f>
        <v>1</v>
      </c>
      <c r="AS9" s="31" t="b">
        <f>F9=[2]数字化与研发投入!F9</f>
        <v>1</v>
      </c>
      <c r="AT9" s="31" t="b">
        <f>G9=[2]数字化与研发投入!G9</f>
        <v>1</v>
      </c>
      <c r="AU9" s="31" t="b">
        <f>H9=[2]数字化与研发投入!H9</f>
        <v>1</v>
      </c>
      <c r="AV9" s="31" t="b">
        <f>I9=[2]数字化与研发投入!I9</f>
        <v>1</v>
      </c>
      <c r="AW9" s="31" t="b">
        <f>J9=[2]数字化与研发投入!J9</f>
        <v>1</v>
      </c>
      <c r="AX9" s="31" t="b">
        <f>K9=[2]数字化与研发投入!K9</f>
        <v>1</v>
      </c>
      <c r="AY9" s="31" t="b">
        <f>L9=[2]数字化与研发投入!L9</f>
        <v>1</v>
      </c>
      <c r="AZ9" s="31" t="b">
        <f>M9=[2]数字化与研发投入!M9</f>
        <v>1</v>
      </c>
      <c r="BA9" s="31" t="b">
        <f>N9=[2]数字化与研发投入!N9</f>
        <v>1</v>
      </c>
      <c r="BB9" s="31" t="b">
        <f>O9=[2]数字化与研发投入!O9</f>
        <v>1</v>
      </c>
      <c r="BC9" s="31" t="b">
        <f>P9=[2]数字化与研发投入!P9</f>
        <v>1</v>
      </c>
      <c r="BD9" s="31" t="b">
        <f>Q9=[2]数字化与研发投入!Q9</f>
        <v>1</v>
      </c>
      <c r="BE9" s="31" t="b">
        <f>R9=[2]数字化与研发投入!R9</f>
        <v>1</v>
      </c>
      <c r="BF9" s="31" t="b">
        <f>S9=[2]数字化与研发投入!S9</f>
        <v>1</v>
      </c>
      <c r="BG9" s="31" t="b">
        <f>T9=[2]数字化与研发投入!T9</f>
        <v>1</v>
      </c>
      <c r="BH9" s="31" t="b">
        <f>U9=[2]数字化与研发投入!U9</f>
        <v>1</v>
      </c>
      <c r="BI9" s="31" t="b">
        <f>V9=[2]数字化与研发投入!V9</f>
        <v>1</v>
      </c>
      <c r="BJ9" s="31" t="b">
        <f>W9=[2]数字化与研发投入!W9</f>
        <v>1</v>
      </c>
      <c r="BK9" s="31" t="b">
        <f>X9=[2]数字化与研发投入!X9</f>
        <v>1</v>
      </c>
      <c r="BL9" s="31" t="b">
        <f>Y9=[2]数字化与研发投入!Y9</f>
        <v>1</v>
      </c>
      <c r="BM9" s="31" t="b">
        <f>Z9=[2]数字化与研发投入!Z9</f>
        <v>1</v>
      </c>
      <c r="BN9" s="31" t="b">
        <f>AA9=[2]数字化与研发投入!AA9</f>
        <v>1</v>
      </c>
      <c r="BO9" s="31" t="b">
        <f>AB9=[2]数字化与研发投入!AB9</f>
        <v>1</v>
      </c>
      <c r="BP9" s="31" t="b">
        <f>AC9=[2]数字化与研发投入!AC9</f>
        <v>1</v>
      </c>
      <c r="BQ9" s="31" t="b">
        <f>AD9=[2]数字化与研发投入!AD9</f>
        <v>1</v>
      </c>
      <c r="BR9" s="31" t="b">
        <f>AE9=[2]数字化与研发投入!AE9</f>
        <v>1</v>
      </c>
      <c r="BS9" s="31" t="b">
        <f>AF9=[2]数字化与研发投入!AF9</f>
        <v>1</v>
      </c>
      <c r="BT9" s="31" t="b">
        <f>AG9=[2]数字化与研发投入!AG9</f>
        <v>1</v>
      </c>
      <c r="BU9" s="31" t="b">
        <f>AH9=[2]数字化与研发投入!AH9</f>
        <v>1</v>
      </c>
      <c r="BV9" s="31" t="b">
        <f>AI9=[2]数字化与研发投入!AI9</f>
        <v>1</v>
      </c>
      <c r="BW9" s="31" t="b">
        <f>AJ9=[2]数字化与研发投入!AJ9</f>
        <v>1</v>
      </c>
      <c r="BX9" s="31" t="b">
        <f>AK9=[2]数字化与研发投入!AK9</f>
        <v>1</v>
      </c>
    </row>
    <row r="10" s="31" customFormat="1" ht="158.4" spans="1:76">
      <c r="A10" s="40"/>
      <c r="B10" s="40"/>
      <c r="C10" s="55"/>
      <c r="D10" s="78"/>
      <c r="E10" s="79"/>
      <c r="F10" s="80"/>
      <c r="G10" s="81"/>
      <c r="H10" s="81"/>
      <c r="I10" s="46" t="s">
        <v>506</v>
      </c>
      <c r="J10" s="47" t="s">
        <v>507</v>
      </c>
      <c r="K10" s="49"/>
      <c r="L10" s="48"/>
      <c r="M10" s="48"/>
      <c r="N10" s="49" t="s">
        <v>36</v>
      </c>
      <c r="O10" s="48"/>
      <c r="P10" s="48"/>
      <c r="Q10" s="49" t="s">
        <v>36</v>
      </c>
      <c r="R10" s="48"/>
      <c r="S10" s="49" t="s">
        <v>36</v>
      </c>
      <c r="T10" s="49" t="s">
        <v>475</v>
      </c>
      <c r="U10" s="47"/>
      <c r="V10" s="46" t="s">
        <v>508</v>
      </c>
      <c r="W10" s="46" t="s">
        <v>756</v>
      </c>
      <c r="X10" s="49" t="s">
        <v>503</v>
      </c>
      <c r="Y10" s="49" t="s">
        <v>466</v>
      </c>
      <c r="Z10" s="49"/>
      <c r="AA10" s="49" t="s">
        <v>467</v>
      </c>
      <c r="AB10" s="49" t="s">
        <v>466</v>
      </c>
      <c r="AC10" s="49"/>
      <c r="AD10" s="47"/>
      <c r="AE10" s="49"/>
      <c r="AF10" s="49"/>
      <c r="AG10" s="49"/>
      <c r="AH10" s="49" t="s">
        <v>469</v>
      </c>
      <c r="AI10" s="49" t="s">
        <v>469</v>
      </c>
      <c r="AJ10" s="47" t="s">
        <v>510</v>
      </c>
      <c r="AK10" s="52" t="s">
        <v>471</v>
      </c>
      <c r="AL10" s="53" t="s">
        <v>752</v>
      </c>
      <c r="AM10" s="54" t="s">
        <v>751</v>
      </c>
      <c r="AN10" s="31" t="b">
        <f>A10=[2]数字化与研发投入!A10</f>
        <v>1</v>
      </c>
      <c r="AO10" s="31" t="b">
        <f>B10=[2]数字化与研发投入!B10</f>
        <v>1</v>
      </c>
      <c r="AP10" s="31" t="b">
        <f>C10=[2]数字化与研发投入!C10</f>
        <v>1</v>
      </c>
      <c r="AQ10" s="31" t="b">
        <f>D10=[2]数字化与研发投入!D10</f>
        <v>1</v>
      </c>
      <c r="AR10" s="31" t="b">
        <f>E10=[2]数字化与研发投入!E10</f>
        <v>1</v>
      </c>
      <c r="AS10" s="31" t="b">
        <f>F10=[2]数字化与研发投入!F10</f>
        <v>1</v>
      </c>
      <c r="AT10" s="31" t="b">
        <f>G10=[2]数字化与研发投入!G10</f>
        <v>1</v>
      </c>
      <c r="AU10" s="31" t="b">
        <f>H10=[2]数字化与研发投入!H10</f>
        <v>1</v>
      </c>
      <c r="AV10" s="31" t="b">
        <f>I10=[2]数字化与研发投入!I10</f>
        <v>1</v>
      </c>
      <c r="AW10" s="31" t="b">
        <f>J10=[2]数字化与研发投入!J10</f>
        <v>1</v>
      </c>
      <c r="AX10" s="31" t="b">
        <f>K10=[2]数字化与研发投入!K10</f>
        <v>1</v>
      </c>
      <c r="AY10" s="31" t="b">
        <f>L10=[2]数字化与研发投入!L10</f>
        <v>1</v>
      </c>
      <c r="AZ10" s="31" t="b">
        <f>M10=[2]数字化与研发投入!M10</f>
        <v>1</v>
      </c>
      <c r="BA10" s="31" t="b">
        <f>N10=[2]数字化与研发投入!N10</f>
        <v>1</v>
      </c>
      <c r="BB10" s="31" t="b">
        <f>O10=[2]数字化与研发投入!O10</f>
        <v>1</v>
      </c>
      <c r="BC10" s="31" t="b">
        <f>P10=[2]数字化与研发投入!P10</f>
        <v>1</v>
      </c>
      <c r="BD10" s="31" t="b">
        <f>Q10=[2]数字化与研发投入!Q10</f>
        <v>1</v>
      </c>
      <c r="BE10" s="31" t="b">
        <f>R10=[2]数字化与研发投入!R10</f>
        <v>1</v>
      </c>
      <c r="BF10" s="31" t="b">
        <f>S10=[2]数字化与研发投入!S10</f>
        <v>1</v>
      </c>
      <c r="BG10" s="31" t="b">
        <f>T10=[2]数字化与研发投入!T10</f>
        <v>1</v>
      </c>
      <c r="BH10" s="31" t="b">
        <f>U10=[2]数字化与研发投入!U10</f>
        <v>1</v>
      </c>
      <c r="BI10" s="31" t="b">
        <f>V10=[2]数字化与研发投入!V10</f>
        <v>1</v>
      </c>
      <c r="BJ10" s="31" t="b">
        <f>W10=[2]数字化与研发投入!W10</f>
        <v>1</v>
      </c>
      <c r="BK10" s="31" t="b">
        <f>X10=[2]数字化与研发投入!X10</f>
        <v>1</v>
      </c>
      <c r="BL10" s="31" t="b">
        <f>Y10=[2]数字化与研发投入!Y10</f>
        <v>1</v>
      </c>
      <c r="BM10" s="31" t="b">
        <f>Z10=[2]数字化与研发投入!Z10</f>
        <v>1</v>
      </c>
      <c r="BN10" s="31" t="b">
        <f>AA10=[2]数字化与研发投入!AA10</f>
        <v>1</v>
      </c>
      <c r="BO10" s="31" t="b">
        <f>AB10=[2]数字化与研发投入!AB10</f>
        <v>1</v>
      </c>
      <c r="BP10" s="31" t="b">
        <f>AC10=[2]数字化与研发投入!AC10</f>
        <v>1</v>
      </c>
      <c r="BQ10" s="31" t="b">
        <f>AD10=[2]数字化与研发投入!AD10</f>
        <v>1</v>
      </c>
      <c r="BR10" s="31" t="b">
        <f>AE10=[2]数字化与研发投入!AE10</f>
        <v>1</v>
      </c>
      <c r="BS10" s="31" t="b">
        <f>AF10=[2]数字化与研发投入!AF10</f>
        <v>1</v>
      </c>
      <c r="BT10" s="31" t="b">
        <f>AG10=[2]数字化与研发投入!AG10</f>
        <v>1</v>
      </c>
      <c r="BU10" s="31" t="b">
        <f>AH10=[2]数字化与研发投入!AH10</f>
        <v>1</v>
      </c>
      <c r="BV10" s="31" t="b">
        <f>AI10=[2]数字化与研发投入!AI10</f>
        <v>1</v>
      </c>
      <c r="BW10" s="31" t="b">
        <f>AJ10=[2]数字化与研发投入!AJ10</f>
        <v>1</v>
      </c>
      <c r="BX10" s="31" t="b">
        <f>AK10=[2]数字化与研发投入!AK10</f>
        <v>1</v>
      </c>
    </row>
    <row r="11" s="31" customFormat="1" ht="158.4" spans="1:76">
      <c r="A11" s="40"/>
      <c r="B11" s="40"/>
      <c r="C11" s="58"/>
      <c r="D11" s="82"/>
      <c r="E11" s="83"/>
      <c r="F11" s="84"/>
      <c r="G11" s="85"/>
      <c r="H11" s="85"/>
      <c r="I11" s="46" t="s">
        <v>511</v>
      </c>
      <c r="J11" s="47" t="s">
        <v>512</v>
      </c>
      <c r="K11" s="49"/>
      <c r="L11" s="48"/>
      <c r="M11" s="48"/>
      <c r="N11" s="49" t="s">
        <v>36</v>
      </c>
      <c r="O11" s="48"/>
      <c r="P11" s="48"/>
      <c r="Q11" s="49" t="s">
        <v>36</v>
      </c>
      <c r="R11" s="48"/>
      <c r="S11" s="49" t="s">
        <v>36</v>
      </c>
      <c r="T11" s="49" t="s">
        <v>475</v>
      </c>
      <c r="U11" s="50"/>
      <c r="V11" s="46" t="s">
        <v>513</v>
      </c>
      <c r="W11" s="46" t="s">
        <v>757</v>
      </c>
      <c r="X11" s="49" t="s">
        <v>503</v>
      </c>
      <c r="Y11" s="49" t="s">
        <v>466</v>
      </c>
      <c r="Z11" s="49"/>
      <c r="AA11" s="49" t="s">
        <v>467</v>
      </c>
      <c r="AB11" s="49" t="s">
        <v>466</v>
      </c>
      <c r="AC11" s="49"/>
      <c r="AD11" s="47"/>
      <c r="AE11" s="49"/>
      <c r="AF11" s="49"/>
      <c r="AG11" s="49"/>
      <c r="AH11" s="49" t="s">
        <v>469</v>
      </c>
      <c r="AI11" s="49" t="s">
        <v>469</v>
      </c>
      <c r="AJ11" s="47" t="s">
        <v>515</v>
      </c>
      <c r="AK11" s="52" t="s">
        <v>471</v>
      </c>
      <c r="AL11" s="53" t="s">
        <v>752</v>
      </c>
      <c r="AM11" s="54" t="s">
        <v>751</v>
      </c>
      <c r="AN11" s="31" t="b">
        <f>A11=[2]数字化与研发投入!A11</f>
        <v>1</v>
      </c>
      <c r="AO11" s="31" t="b">
        <f>B11=[2]数字化与研发投入!B11</f>
        <v>1</v>
      </c>
      <c r="AP11" s="31" t="b">
        <f>C11=[2]数字化与研发投入!C11</f>
        <v>1</v>
      </c>
      <c r="AQ11" s="31" t="b">
        <f>D11=[2]数字化与研发投入!D11</f>
        <v>1</v>
      </c>
      <c r="AR11" s="31" t="b">
        <f>E11=[2]数字化与研发投入!E11</f>
        <v>1</v>
      </c>
      <c r="AS11" s="31" t="b">
        <f>F11=[2]数字化与研发投入!F11</f>
        <v>1</v>
      </c>
      <c r="AT11" s="31" t="b">
        <f>G11=[2]数字化与研发投入!G11</f>
        <v>1</v>
      </c>
      <c r="AU11" s="31" t="b">
        <f>H11=[2]数字化与研发投入!H11</f>
        <v>1</v>
      </c>
      <c r="AV11" s="31" t="b">
        <f>I11=[2]数字化与研发投入!I11</f>
        <v>1</v>
      </c>
      <c r="AW11" s="31" t="b">
        <f>J11=[2]数字化与研发投入!J11</f>
        <v>1</v>
      </c>
      <c r="AX11" s="31" t="b">
        <f>K11=[2]数字化与研发投入!K11</f>
        <v>1</v>
      </c>
      <c r="AY11" s="31" t="b">
        <f>L11=[2]数字化与研发投入!L11</f>
        <v>1</v>
      </c>
      <c r="AZ11" s="31" t="b">
        <f>M11=[2]数字化与研发投入!M11</f>
        <v>1</v>
      </c>
      <c r="BA11" s="31" t="b">
        <f>N11=[2]数字化与研发投入!N11</f>
        <v>1</v>
      </c>
      <c r="BB11" s="31" t="b">
        <f>O11=[2]数字化与研发投入!O11</f>
        <v>1</v>
      </c>
      <c r="BC11" s="31" t="b">
        <f>P11=[2]数字化与研发投入!P11</f>
        <v>1</v>
      </c>
      <c r="BD11" s="31" t="b">
        <f>Q11=[2]数字化与研发投入!Q11</f>
        <v>1</v>
      </c>
      <c r="BE11" s="31" t="b">
        <f>R11=[2]数字化与研发投入!R11</f>
        <v>1</v>
      </c>
      <c r="BF11" s="31" t="b">
        <f>S11=[2]数字化与研发投入!S11</f>
        <v>1</v>
      </c>
      <c r="BG11" s="31" t="b">
        <f>T11=[2]数字化与研发投入!T11</f>
        <v>1</v>
      </c>
      <c r="BH11" s="31" t="b">
        <f>U11=[2]数字化与研发投入!U11</f>
        <v>1</v>
      </c>
      <c r="BI11" s="31" t="b">
        <f>V11=[2]数字化与研发投入!V11</f>
        <v>1</v>
      </c>
      <c r="BJ11" s="31" t="b">
        <f>W11=[2]数字化与研发投入!W11</f>
        <v>1</v>
      </c>
      <c r="BK11" s="31" t="b">
        <f>X11=[2]数字化与研发投入!X11</f>
        <v>1</v>
      </c>
      <c r="BL11" s="31" t="b">
        <f>Y11=[2]数字化与研发投入!Y11</f>
        <v>1</v>
      </c>
      <c r="BM11" s="31" t="b">
        <f>Z11=[2]数字化与研发投入!Z11</f>
        <v>1</v>
      </c>
      <c r="BN11" s="31" t="b">
        <f>AA11=[2]数字化与研发投入!AA11</f>
        <v>1</v>
      </c>
      <c r="BO11" s="31" t="b">
        <f>AB11=[2]数字化与研发投入!AB11</f>
        <v>1</v>
      </c>
      <c r="BP11" s="31" t="b">
        <f>AC11=[2]数字化与研发投入!AC11</f>
        <v>1</v>
      </c>
      <c r="BQ11" s="31" t="b">
        <f>AD11=[2]数字化与研发投入!AD11</f>
        <v>1</v>
      </c>
      <c r="BR11" s="31" t="b">
        <f>AE11=[2]数字化与研发投入!AE11</f>
        <v>1</v>
      </c>
      <c r="BS11" s="31" t="b">
        <f>AF11=[2]数字化与研发投入!AF11</f>
        <v>1</v>
      </c>
      <c r="BT11" s="31" t="b">
        <f>AG11=[2]数字化与研发投入!AG11</f>
        <v>1</v>
      </c>
      <c r="BU11" s="31" t="b">
        <f>AH11=[2]数字化与研发投入!AH11</f>
        <v>1</v>
      </c>
      <c r="BV11" s="31" t="b">
        <f>AI11=[2]数字化与研发投入!AI11</f>
        <v>1</v>
      </c>
      <c r="BW11" s="31" t="b">
        <f>AJ11=[2]数字化与研发投入!AJ11</f>
        <v>1</v>
      </c>
      <c r="BX11" s="31" t="b">
        <f>AK11=[2]数字化与研发投入!AK11</f>
        <v>1</v>
      </c>
    </row>
    <row r="12" s="31" customFormat="1" ht="105.6" spans="1:76">
      <c r="A12" s="40" t="s">
        <v>452</v>
      </c>
      <c r="B12" s="75" t="s">
        <v>516</v>
      </c>
      <c r="C12" s="73" t="s">
        <v>517</v>
      </c>
      <c r="D12" s="73" t="s">
        <v>518</v>
      </c>
      <c r="E12" s="74" t="s">
        <v>519</v>
      </c>
      <c r="F12" s="86" t="s">
        <v>520</v>
      </c>
      <c r="G12" s="76" t="s">
        <v>521</v>
      </c>
      <c r="H12" s="76" t="s">
        <v>522</v>
      </c>
      <c r="I12" s="46" t="s">
        <v>523</v>
      </c>
      <c r="J12" s="47" t="s">
        <v>524</v>
      </c>
      <c r="K12" s="48"/>
      <c r="L12" s="49" t="s">
        <v>36</v>
      </c>
      <c r="M12" s="49" t="s">
        <v>36</v>
      </c>
      <c r="N12" s="48"/>
      <c r="O12" s="49" t="s">
        <v>36</v>
      </c>
      <c r="P12" s="48"/>
      <c r="Q12" s="48"/>
      <c r="R12" s="48"/>
      <c r="S12" s="48"/>
      <c r="T12" s="49" t="s">
        <v>475</v>
      </c>
      <c r="U12" s="47"/>
      <c r="V12" s="46" t="s">
        <v>525</v>
      </c>
      <c r="W12" s="46" t="s">
        <v>526</v>
      </c>
      <c r="X12" s="49" t="s">
        <v>527</v>
      </c>
      <c r="Y12" s="49" t="s">
        <v>466</v>
      </c>
      <c r="Z12" s="49"/>
      <c r="AA12" s="49" t="s">
        <v>467</v>
      </c>
      <c r="AB12" s="49" t="s">
        <v>466</v>
      </c>
      <c r="AC12" s="49"/>
      <c r="AD12" s="47"/>
      <c r="AE12" s="49"/>
      <c r="AF12" s="49"/>
      <c r="AG12" s="49"/>
      <c r="AH12" s="49" t="s">
        <v>469</v>
      </c>
      <c r="AI12" s="49" t="s">
        <v>469</v>
      </c>
      <c r="AJ12" s="47" t="s">
        <v>528</v>
      </c>
      <c r="AK12" s="52" t="s">
        <v>471</v>
      </c>
      <c r="AL12" s="53" t="s">
        <v>758</v>
      </c>
      <c r="AM12" s="54" t="s">
        <v>759</v>
      </c>
      <c r="AN12" s="31" t="b">
        <f>A12=[2]数字化与研发投入!A12</f>
        <v>1</v>
      </c>
      <c r="AO12" s="31" t="b">
        <f>B12=[2]数字化与研发投入!B12</f>
        <v>1</v>
      </c>
      <c r="AP12" s="31" t="b">
        <f>C12=[2]数字化与研发投入!C12</f>
        <v>1</v>
      </c>
      <c r="AQ12" s="31" t="b">
        <f>D12=[2]数字化与研发投入!D12</f>
        <v>1</v>
      </c>
      <c r="AR12" s="31" t="b">
        <f>E12=[2]数字化与研发投入!E12</f>
        <v>1</v>
      </c>
      <c r="AS12" s="31" t="b">
        <f>F12=[2]数字化与研发投入!F12</f>
        <v>1</v>
      </c>
      <c r="AT12" s="31" t="b">
        <f>G12=[2]数字化与研发投入!G12</f>
        <v>1</v>
      </c>
      <c r="AU12" s="31" t="b">
        <f>H12=[2]数字化与研发投入!H12</f>
        <v>1</v>
      </c>
      <c r="AV12" s="31" t="b">
        <f>I12=[2]数字化与研发投入!I12</f>
        <v>1</v>
      </c>
      <c r="AW12" s="31" t="b">
        <f>J12=[2]数字化与研发投入!J12</f>
        <v>1</v>
      </c>
      <c r="AX12" s="31" t="b">
        <f>K12=[2]数字化与研发投入!K12</f>
        <v>1</v>
      </c>
      <c r="AY12" s="31" t="b">
        <f>L12=[2]数字化与研发投入!L12</f>
        <v>1</v>
      </c>
      <c r="AZ12" s="31" t="b">
        <f>M12=[2]数字化与研发投入!M12</f>
        <v>1</v>
      </c>
      <c r="BA12" s="31" t="b">
        <f>N12=[2]数字化与研发投入!N12</f>
        <v>1</v>
      </c>
      <c r="BB12" s="31" t="b">
        <f>O12=[2]数字化与研发投入!O12</f>
        <v>1</v>
      </c>
      <c r="BC12" s="31" t="b">
        <f>P12=[2]数字化与研发投入!P12</f>
        <v>1</v>
      </c>
      <c r="BD12" s="31" t="b">
        <f>Q12=[2]数字化与研发投入!Q12</f>
        <v>1</v>
      </c>
      <c r="BE12" s="31" t="b">
        <f>R12=[2]数字化与研发投入!R12</f>
        <v>1</v>
      </c>
      <c r="BF12" s="31" t="b">
        <f>S12=[2]数字化与研发投入!S12</f>
        <v>1</v>
      </c>
      <c r="BG12" s="31" t="b">
        <f>T12=[2]数字化与研发投入!T12</f>
        <v>1</v>
      </c>
      <c r="BH12" s="31" t="b">
        <f>U12=[2]数字化与研发投入!U12</f>
        <v>1</v>
      </c>
      <c r="BI12" s="31" t="b">
        <f>V12=[2]数字化与研发投入!V12</f>
        <v>1</v>
      </c>
      <c r="BJ12" s="31" t="b">
        <f>W12=[2]数字化与研发投入!W12</f>
        <v>1</v>
      </c>
      <c r="BK12" s="31" t="b">
        <f>X12=[2]数字化与研发投入!X12</f>
        <v>1</v>
      </c>
      <c r="BL12" s="31" t="b">
        <f>Y12=[2]数字化与研发投入!Y12</f>
        <v>1</v>
      </c>
      <c r="BM12" s="31" t="b">
        <f>Z12=[2]数字化与研发投入!Z12</f>
        <v>1</v>
      </c>
      <c r="BN12" s="31" t="b">
        <f>AA12=[2]数字化与研发投入!AA12</f>
        <v>1</v>
      </c>
      <c r="BO12" s="31" t="b">
        <f>AB12=[2]数字化与研发投入!AB12</f>
        <v>1</v>
      </c>
      <c r="BP12" s="31" t="b">
        <f>AC12=[2]数字化与研发投入!AC12</f>
        <v>1</v>
      </c>
      <c r="BQ12" s="31" t="b">
        <f>AD12=[2]数字化与研发投入!AD12</f>
        <v>1</v>
      </c>
      <c r="BR12" s="31" t="b">
        <f>AE12=[2]数字化与研发投入!AE12</f>
        <v>1</v>
      </c>
      <c r="BS12" s="31" t="b">
        <f>AF12=[2]数字化与研发投入!AF12</f>
        <v>1</v>
      </c>
      <c r="BT12" s="31" t="b">
        <f>AG12=[2]数字化与研发投入!AG12</f>
        <v>1</v>
      </c>
      <c r="BU12" s="31" t="b">
        <f>AH12=[2]数字化与研发投入!AH12</f>
        <v>1</v>
      </c>
      <c r="BV12" s="31" t="b">
        <f>AI12=[2]数字化与研发投入!AI12</f>
        <v>1</v>
      </c>
      <c r="BW12" s="31" t="b">
        <f>AJ12=[2]数字化与研发投入!AJ12</f>
        <v>1</v>
      </c>
      <c r="BX12" s="31" t="b">
        <f>AK12=[2]数字化与研发投入!AK12</f>
        <v>1</v>
      </c>
    </row>
    <row r="13" s="31" customFormat="1" ht="105.6" spans="1:76">
      <c r="A13" s="40"/>
      <c r="B13" s="80"/>
      <c r="C13" s="78"/>
      <c r="D13" s="78"/>
      <c r="E13" s="79"/>
      <c r="F13" s="87"/>
      <c r="G13" s="81"/>
      <c r="H13" s="81"/>
      <c r="I13" s="46" t="s">
        <v>529</v>
      </c>
      <c r="J13" s="47" t="s">
        <v>530</v>
      </c>
      <c r="K13" s="77"/>
      <c r="L13" s="48"/>
      <c r="M13" s="48"/>
      <c r="N13" s="48"/>
      <c r="O13" s="49" t="s">
        <v>36</v>
      </c>
      <c r="P13" s="48"/>
      <c r="Q13" s="48"/>
      <c r="R13" s="48"/>
      <c r="S13" s="48"/>
      <c r="T13" s="49" t="s">
        <v>475</v>
      </c>
      <c r="U13" s="47"/>
      <c r="V13" s="46" t="s">
        <v>531</v>
      </c>
      <c r="W13" s="46" t="s">
        <v>532</v>
      </c>
      <c r="X13" s="49" t="s">
        <v>527</v>
      </c>
      <c r="Y13" s="49" t="s">
        <v>466</v>
      </c>
      <c r="Z13" s="49"/>
      <c r="AA13" s="49" t="s">
        <v>467</v>
      </c>
      <c r="AB13" s="49" t="s">
        <v>466</v>
      </c>
      <c r="AC13" s="49"/>
      <c r="AD13" s="47"/>
      <c r="AE13" s="49"/>
      <c r="AF13" s="49"/>
      <c r="AG13" s="49"/>
      <c r="AH13" s="49" t="s">
        <v>469</v>
      </c>
      <c r="AI13" s="49" t="s">
        <v>469</v>
      </c>
      <c r="AJ13" s="47" t="s">
        <v>528</v>
      </c>
      <c r="AK13" s="52" t="s">
        <v>471</v>
      </c>
      <c r="AL13" s="53" t="s">
        <v>760</v>
      </c>
      <c r="AM13" s="54" t="s">
        <v>751</v>
      </c>
      <c r="AN13" s="31" t="b">
        <f>A13=[2]数字化与研发投入!A13</f>
        <v>1</v>
      </c>
      <c r="AO13" s="31" t="b">
        <f>B13=[2]数字化与研发投入!B13</f>
        <v>1</v>
      </c>
      <c r="AP13" s="31" t="b">
        <f>C13=[2]数字化与研发投入!C13</f>
        <v>1</v>
      </c>
      <c r="AQ13" s="31" t="b">
        <f>D13=[2]数字化与研发投入!D13</f>
        <v>1</v>
      </c>
      <c r="AR13" s="31" t="b">
        <f>E13=[2]数字化与研发投入!E13</f>
        <v>1</v>
      </c>
      <c r="AS13" s="31" t="b">
        <f>F13=[2]数字化与研发投入!F13</f>
        <v>1</v>
      </c>
      <c r="AT13" s="31" t="b">
        <f>G13=[2]数字化与研发投入!G13</f>
        <v>1</v>
      </c>
      <c r="AU13" s="31" t="b">
        <f>H13=[2]数字化与研发投入!H13</f>
        <v>1</v>
      </c>
      <c r="AV13" s="31" t="b">
        <f>I13=[2]数字化与研发投入!I13</f>
        <v>1</v>
      </c>
      <c r="AW13" s="31" t="b">
        <f>J13=[2]数字化与研发投入!J13</f>
        <v>1</v>
      </c>
      <c r="AX13" s="31" t="b">
        <f>K13=[2]数字化与研发投入!K13</f>
        <v>1</v>
      </c>
      <c r="AY13" s="31" t="b">
        <f>L13=[2]数字化与研发投入!L13</f>
        <v>1</v>
      </c>
      <c r="AZ13" s="31" t="b">
        <f>M13=[2]数字化与研发投入!M13</f>
        <v>1</v>
      </c>
      <c r="BA13" s="31" t="b">
        <f>N13=[2]数字化与研发投入!N13</f>
        <v>1</v>
      </c>
      <c r="BB13" s="31" t="b">
        <f>O13=[2]数字化与研发投入!O13</f>
        <v>1</v>
      </c>
      <c r="BC13" s="31" t="b">
        <f>P13=[2]数字化与研发投入!P13</f>
        <v>1</v>
      </c>
      <c r="BD13" s="31" t="b">
        <f>Q13=[2]数字化与研发投入!Q13</f>
        <v>1</v>
      </c>
      <c r="BE13" s="31" t="b">
        <f>R13=[2]数字化与研发投入!R13</f>
        <v>1</v>
      </c>
      <c r="BF13" s="31" t="b">
        <f>S13=[2]数字化与研发投入!S13</f>
        <v>1</v>
      </c>
      <c r="BG13" s="31" t="b">
        <f>T13=[2]数字化与研发投入!T13</f>
        <v>1</v>
      </c>
      <c r="BH13" s="31" t="b">
        <f>U13=[2]数字化与研发投入!U13</f>
        <v>1</v>
      </c>
      <c r="BI13" s="31" t="b">
        <f>V13=[2]数字化与研发投入!V13</f>
        <v>1</v>
      </c>
      <c r="BJ13" s="31" t="b">
        <f>W13=[2]数字化与研发投入!W13</f>
        <v>0</v>
      </c>
      <c r="BK13" s="31" t="b">
        <f>X13=[2]数字化与研发投入!X13</f>
        <v>1</v>
      </c>
      <c r="BL13" s="31" t="b">
        <f>Y13=[2]数字化与研发投入!Y13</f>
        <v>1</v>
      </c>
      <c r="BM13" s="31" t="b">
        <f>Z13=[2]数字化与研发投入!Z13</f>
        <v>1</v>
      </c>
      <c r="BN13" s="31" t="b">
        <f>AA13=[2]数字化与研发投入!AA13</f>
        <v>1</v>
      </c>
      <c r="BO13" s="31" t="b">
        <f>AB13=[2]数字化与研发投入!AB13</f>
        <v>1</v>
      </c>
      <c r="BP13" s="31" t="b">
        <f>AC13=[2]数字化与研发投入!AC13</f>
        <v>1</v>
      </c>
      <c r="BQ13" s="31" t="b">
        <f>AD13=[2]数字化与研发投入!AD13</f>
        <v>1</v>
      </c>
      <c r="BR13" s="31" t="b">
        <f>AE13=[2]数字化与研发投入!AE13</f>
        <v>1</v>
      </c>
      <c r="BS13" s="31" t="b">
        <f>AF13=[2]数字化与研发投入!AF13</f>
        <v>1</v>
      </c>
      <c r="BT13" s="31" t="b">
        <f>AG13=[2]数字化与研发投入!AG13</f>
        <v>1</v>
      </c>
      <c r="BU13" s="31" t="b">
        <f>AH13=[2]数字化与研发投入!AH13</f>
        <v>1</v>
      </c>
      <c r="BV13" s="31" t="b">
        <f>AI13=[2]数字化与研发投入!AI13</f>
        <v>1</v>
      </c>
      <c r="BW13" s="31" t="b">
        <f>AJ13=[2]数字化与研发投入!AJ13</f>
        <v>1</v>
      </c>
      <c r="BX13" s="31" t="b">
        <f>AK13=[2]数字化与研发投入!AK13</f>
        <v>1</v>
      </c>
    </row>
    <row r="14" s="31" customFormat="1" ht="105.6" spans="1:76">
      <c r="A14" s="40"/>
      <c r="B14" s="84"/>
      <c r="C14" s="82"/>
      <c r="D14" s="82"/>
      <c r="E14" s="83"/>
      <c r="F14" s="88"/>
      <c r="G14" s="85"/>
      <c r="H14" s="85"/>
      <c r="I14" s="46" t="s">
        <v>533</v>
      </c>
      <c r="J14" s="47" t="s">
        <v>534</v>
      </c>
      <c r="K14" s="48"/>
      <c r="L14" s="48"/>
      <c r="M14" s="48"/>
      <c r="N14" s="49" t="s">
        <v>36</v>
      </c>
      <c r="O14" s="49" t="s">
        <v>36</v>
      </c>
      <c r="P14" s="49" t="s">
        <v>36</v>
      </c>
      <c r="Q14" s="49" t="s">
        <v>36</v>
      </c>
      <c r="R14" s="48"/>
      <c r="S14" s="48"/>
      <c r="T14" s="49" t="s">
        <v>535</v>
      </c>
      <c r="U14" s="47" t="s">
        <v>536</v>
      </c>
      <c r="V14" s="46" t="s">
        <v>537</v>
      </c>
      <c r="W14" s="46" t="s">
        <v>538</v>
      </c>
      <c r="X14" s="49" t="s">
        <v>527</v>
      </c>
      <c r="Y14" s="49" t="s">
        <v>466</v>
      </c>
      <c r="Z14" s="49"/>
      <c r="AA14" s="49" t="s">
        <v>467</v>
      </c>
      <c r="AB14" s="49" t="s">
        <v>466</v>
      </c>
      <c r="AC14" s="49"/>
      <c r="AD14" s="47" t="s">
        <v>539</v>
      </c>
      <c r="AE14" s="49" t="s">
        <v>503</v>
      </c>
      <c r="AF14" s="49" t="s">
        <v>540</v>
      </c>
      <c r="AG14" s="49"/>
      <c r="AH14" s="49" t="s">
        <v>469</v>
      </c>
      <c r="AI14" s="49" t="s">
        <v>469</v>
      </c>
      <c r="AJ14" s="47" t="s">
        <v>541</v>
      </c>
      <c r="AK14" s="52" t="s">
        <v>471</v>
      </c>
      <c r="AL14" s="53" t="s">
        <v>542</v>
      </c>
      <c r="AM14" s="54"/>
      <c r="AN14" s="31" t="b">
        <f>A14=[2]数字化与研发投入!A14</f>
        <v>1</v>
      </c>
      <c r="AO14" s="31" t="b">
        <f>B14=[2]数字化与研发投入!B14</f>
        <v>1</v>
      </c>
      <c r="AP14" s="31" t="b">
        <f>C14=[2]数字化与研发投入!C14</f>
        <v>1</v>
      </c>
      <c r="AQ14" s="31" t="b">
        <f>D14=[2]数字化与研发投入!D14</f>
        <v>1</v>
      </c>
      <c r="AR14" s="31" t="b">
        <f>E14=[2]数字化与研发投入!E14</f>
        <v>1</v>
      </c>
      <c r="AS14" s="31" t="b">
        <f>F14=[2]数字化与研发投入!F14</f>
        <v>1</v>
      </c>
      <c r="AT14" s="31" t="b">
        <f>G14=[2]数字化与研发投入!G14</f>
        <v>1</v>
      </c>
      <c r="AU14" s="31" t="b">
        <f>H14=[2]数字化与研发投入!H14</f>
        <v>1</v>
      </c>
      <c r="AV14" s="31" t="b">
        <f>I14=[2]数字化与研发投入!I14</f>
        <v>1</v>
      </c>
      <c r="AW14" s="31" t="b">
        <f>J14=[2]数字化与研发投入!J14</f>
        <v>1</v>
      </c>
      <c r="AX14" s="31" t="b">
        <f>K14=[2]数字化与研发投入!K14</f>
        <v>1</v>
      </c>
      <c r="AY14" s="31" t="b">
        <f>L14=[2]数字化与研发投入!L14</f>
        <v>1</v>
      </c>
      <c r="AZ14" s="31" t="b">
        <f>M14=[2]数字化与研发投入!M14</f>
        <v>1</v>
      </c>
      <c r="BA14" s="31" t="b">
        <f>N14=[2]数字化与研发投入!N14</f>
        <v>1</v>
      </c>
      <c r="BB14" s="31" t="b">
        <f>O14=[2]数字化与研发投入!O14</f>
        <v>1</v>
      </c>
      <c r="BC14" s="31" t="b">
        <f>P14=[2]数字化与研发投入!P14</f>
        <v>1</v>
      </c>
      <c r="BD14" s="31" t="b">
        <f>Q14=[2]数字化与研发投入!Q14</f>
        <v>1</v>
      </c>
      <c r="BE14" s="31" t="b">
        <f>R14=[2]数字化与研发投入!R14</f>
        <v>1</v>
      </c>
      <c r="BF14" s="31" t="b">
        <f>S14=[2]数字化与研发投入!S14</f>
        <v>1</v>
      </c>
      <c r="BG14" s="31" t="b">
        <f>T14=[2]数字化与研发投入!T14</f>
        <v>1</v>
      </c>
      <c r="BH14" s="31" t="b">
        <f>U14=[2]数字化与研发投入!U14</f>
        <v>1</v>
      </c>
      <c r="BI14" s="31" t="b">
        <f>V14=[2]数字化与研发投入!V14</f>
        <v>1</v>
      </c>
      <c r="BJ14" s="31" t="b">
        <f>W14=[2]数字化与研发投入!W14</f>
        <v>1</v>
      </c>
      <c r="BK14" s="31" t="b">
        <f>X14=[2]数字化与研发投入!X14</f>
        <v>1</v>
      </c>
      <c r="BL14" s="31" t="b">
        <f>Y14=[2]数字化与研发投入!Y14</f>
        <v>1</v>
      </c>
      <c r="BM14" s="31" t="b">
        <f>Z14=[2]数字化与研发投入!Z14</f>
        <v>1</v>
      </c>
      <c r="BN14" s="31" t="b">
        <f>AA14=[2]数字化与研发投入!AA14</f>
        <v>1</v>
      </c>
      <c r="BO14" s="31" t="b">
        <f>AB14=[2]数字化与研发投入!AB14</f>
        <v>1</v>
      </c>
      <c r="BP14" s="31" t="b">
        <f>AC14=[2]数字化与研发投入!AC14</f>
        <v>1</v>
      </c>
      <c r="BQ14" s="31" t="b">
        <f>AD14=[2]数字化与研发投入!AD14</f>
        <v>1</v>
      </c>
      <c r="BR14" s="31" t="b">
        <f>AE14=[2]数字化与研发投入!AE14</f>
        <v>1</v>
      </c>
      <c r="BS14" s="31" t="b">
        <f>AF14=[2]数字化与研发投入!AF14</f>
        <v>1</v>
      </c>
      <c r="BT14" s="31" t="b">
        <f>AG14=[2]数字化与研发投入!AG14</f>
        <v>1</v>
      </c>
      <c r="BU14" s="31" t="b">
        <f>AH14=[2]数字化与研发投入!AH14</f>
        <v>1</v>
      </c>
      <c r="BV14" s="31" t="b">
        <f>AI14=[2]数字化与研发投入!AI14</f>
        <v>1</v>
      </c>
      <c r="BW14" s="31" t="b">
        <f>AJ14=[2]数字化与研发投入!AJ14</f>
        <v>1</v>
      </c>
      <c r="BX14" s="31" t="b">
        <f>AK14=[2]数字化与研发投入!AK14</f>
        <v>1</v>
      </c>
    </row>
    <row r="15" s="31" customFormat="1" ht="177" customHeight="1" spans="1:76">
      <c r="A15" s="40"/>
      <c r="B15" s="75" t="s">
        <v>516</v>
      </c>
      <c r="C15" s="42" t="s">
        <v>454</v>
      </c>
      <c r="D15" s="42" t="s">
        <v>543</v>
      </c>
      <c r="E15" s="76" t="s">
        <v>544</v>
      </c>
      <c r="F15" s="89" t="s">
        <v>545</v>
      </c>
      <c r="G15" s="47" t="s">
        <v>546</v>
      </c>
      <c r="H15" s="46" t="s">
        <v>547</v>
      </c>
      <c r="I15" s="46" t="s">
        <v>548</v>
      </c>
      <c r="J15" s="47" t="s">
        <v>549</v>
      </c>
      <c r="K15" s="77"/>
      <c r="L15" s="48"/>
      <c r="M15" s="49" t="s">
        <v>36</v>
      </c>
      <c r="N15" s="48"/>
      <c r="O15" s="49" t="s">
        <v>36</v>
      </c>
      <c r="P15" s="48"/>
      <c r="Q15" s="48"/>
      <c r="R15" s="48"/>
      <c r="S15" s="48"/>
      <c r="T15" s="49" t="s">
        <v>475</v>
      </c>
      <c r="U15" s="47"/>
      <c r="V15" s="46" t="s">
        <v>550</v>
      </c>
      <c r="W15" s="46" t="s">
        <v>526</v>
      </c>
      <c r="X15" s="49" t="s">
        <v>503</v>
      </c>
      <c r="Y15" s="49" t="s">
        <v>466</v>
      </c>
      <c r="Z15" s="49"/>
      <c r="AA15" s="49" t="s">
        <v>467</v>
      </c>
      <c r="AB15" s="49" t="s">
        <v>466</v>
      </c>
      <c r="AC15" s="49"/>
      <c r="AD15" s="47"/>
      <c r="AE15" s="49"/>
      <c r="AF15" s="49"/>
      <c r="AG15" s="49"/>
      <c r="AH15" s="49" t="s">
        <v>469</v>
      </c>
      <c r="AI15" s="49" t="s">
        <v>469</v>
      </c>
      <c r="AJ15" s="47" t="s">
        <v>551</v>
      </c>
      <c r="AK15" s="52" t="s">
        <v>471</v>
      </c>
      <c r="AL15" s="53" t="s">
        <v>542</v>
      </c>
      <c r="AM15" s="54"/>
      <c r="AN15" s="31" t="b">
        <f>A15=[2]数字化与研发投入!A15</f>
        <v>1</v>
      </c>
      <c r="AO15" s="31" t="b">
        <f>B15=[2]数字化与研发投入!B15</f>
        <v>1</v>
      </c>
      <c r="AP15" s="31" t="b">
        <f>C15=[2]数字化与研发投入!C15</f>
        <v>1</v>
      </c>
      <c r="AQ15" s="31" t="b">
        <f>D15=[2]数字化与研发投入!D15</f>
        <v>1</v>
      </c>
      <c r="AR15" s="31" t="b">
        <f>E15=[2]数字化与研发投入!E15</f>
        <v>1</v>
      </c>
      <c r="AS15" s="31" t="b">
        <f>F15=[2]数字化与研发投入!F15</f>
        <v>1</v>
      </c>
      <c r="AT15" s="31" t="b">
        <f>G15=[2]数字化与研发投入!G15</f>
        <v>1</v>
      </c>
      <c r="AU15" s="31" t="b">
        <f>H15=[2]数字化与研发投入!H15</f>
        <v>1</v>
      </c>
      <c r="AV15" s="31" t="b">
        <f>I15=[2]数字化与研发投入!I15</f>
        <v>1</v>
      </c>
      <c r="AW15" s="31" t="b">
        <f>J15=[2]数字化与研发投入!J15</f>
        <v>1</v>
      </c>
      <c r="AX15" s="31" t="b">
        <f>K15=[2]数字化与研发投入!K15</f>
        <v>1</v>
      </c>
      <c r="AY15" s="31" t="b">
        <f>L15=[2]数字化与研发投入!L15</f>
        <v>1</v>
      </c>
      <c r="AZ15" s="31" t="b">
        <f>M15=[2]数字化与研发投入!M15</f>
        <v>1</v>
      </c>
      <c r="BA15" s="31" t="b">
        <f>N15=[2]数字化与研发投入!N15</f>
        <v>1</v>
      </c>
      <c r="BB15" s="31" t="b">
        <f>O15=[2]数字化与研发投入!O15</f>
        <v>1</v>
      </c>
      <c r="BC15" s="31" t="b">
        <f>P15=[2]数字化与研发投入!P15</f>
        <v>1</v>
      </c>
      <c r="BD15" s="31" t="b">
        <f>Q15=[2]数字化与研发投入!Q15</f>
        <v>1</v>
      </c>
      <c r="BE15" s="31" t="b">
        <f>R15=[2]数字化与研发投入!R15</f>
        <v>1</v>
      </c>
      <c r="BF15" s="31" t="b">
        <f>S15=[2]数字化与研发投入!S15</f>
        <v>1</v>
      </c>
      <c r="BG15" s="31" t="b">
        <f>T15=[2]数字化与研发投入!T15</f>
        <v>1</v>
      </c>
      <c r="BH15" s="31" t="b">
        <f>U15=[2]数字化与研发投入!U15</f>
        <v>1</v>
      </c>
      <c r="BI15" s="31" t="b">
        <f>V15=[2]数字化与研发投入!V15</f>
        <v>1</v>
      </c>
      <c r="BJ15" s="31" t="b">
        <f>W15=[2]数字化与研发投入!W15</f>
        <v>1</v>
      </c>
      <c r="BK15" s="31" t="b">
        <f>X15=[2]数字化与研发投入!X15</f>
        <v>1</v>
      </c>
      <c r="BL15" s="31" t="b">
        <f>Y15=[2]数字化与研发投入!Y15</f>
        <v>1</v>
      </c>
      <c r="BM15" s="31" t="b">
        <f>Z15=[2]数字化与研发投入!Z15</f>
        <v>1</v>
      </c>
      <c r="BN15" s="31" t="b">
        <f>AA15=[2]数字化与研发投入!AA15</f>
        <v>1</v>
      </c>
      <c r="BO15" s="31" t="b">
        <f>AB15=[2]数字化与研发投入!AB15</f>
        <v>1</v>
      </c>
      <c r="BP15" s="31" t="b">
        <f>AC15=[2]数字化与研发投入!AC15</f>
        <v>1</v>
      </c>
      <c r="BQ15" s="31" t="b">
        <f>AD15=[2]数字化与研发投入!AD15</f>
        <v>1</v>
      </c>
      <c r="BR15" s="31" t="b">
        <f>AE15=[2]数字化与研发投入!AE15</f>
        <v>1</v>
      </c>
      <c r="BS15" s="31" t="b">
        <f>AF15=[2]数字化与研发投入!AF15</f>
        <v>1</v>
      </c>
      <c r="BT15" s="31" t="b">
        <f>AG15=[2]数字化与研发投入!AG15</f>
        <v>1</v>
      </c>
      <c r="BU15" s="31" t="b">
        <f>AH15=[2]数字化与研发投入!AH15</f>
        <v>1</v>
      </c>
      <c r="BV15" s="31" t="b">
        <f>AI15=[2]数字化与研发投入!AI15</f>
        <v>1</v>
      </c>
      <c r="BW15" s="31" t="b">
        <f>AJ15=[2]数字化与研发投入!AJ15</f>
        <v>1</v>
      </c>
      <c r="BX15" s="31" t="b">
        <f>AK15=[2]数字化与研发投入!AK15</f>
        <v>1</v>
      </c>
    </row>
    <row r="16" s="31" customFormat="1" ht="118.8" spans="1:76">
      <c r="A16" s="40"/>
      <c r="B16" s="80"/>
      <c r="C16" s="55"/>
      <c r="D16" s="55"/>
      <c r="E16" s="81"/>
      <c r="F16" s="80"/>
      <c r="G16" s="74" t="s">
        <v>546</v>
      </c>
      <c r="H16" s="76" t="s">
        <v>547</v>
      </c>
      <c r="I16" s="46" t="s">
        <v>552</v>
      </c>
      <c r="J16" s="47" t="s">
        <v>553</v>
      </c>
      <c r="K16" s="77"/>
      <c r="L16" s="48"/>
      <c r="M16" s="49" t="s">
        <v>36</v>
      </c>
      <c r="N16" s="48"/>
      <c r="O16" s="49" t="s">
        <v>36</v>
      </c>
      <c r="P16" s="48"/>
      <c r="Q16" s="48"/>
      <c r="R16" s="48"/>
      <c r="S16" s="48"/>
      <c r="T16" s="49" t="s">
        <v>475</v>
      </c>
      <c r="U16" s="47"/>
      <c r="V16" s="46" t="s">
        <v>550</v>
      </c>
      <c r="W16" s="46" t="s">
        <v>526</v>
      </c>
      <c r="X16" s="49" t="s">
        <v>503</v>
      </c>
      <c r="Y16" s="49" t="s">
        <v>466</v>
      </c>
      <c r="Z16" s="49"/>
      <c r="AA16" s="49" t="s">
        <v>467</v>
      </c>
      <c r="AB16" s="49" t="s">
        <v>466</v>
      </c>
      <c r="AC16" s="49"/>
      <c r="AD16" s="47"/>
      <c r="AE16" s="49"/>
      <c r="AF16" s="49"/>
      <c r="AG16" s="49"/>
      <c r="AH16" s="49" t="s">
        <v>469</v>
      </c>
      <c r="AI16" s="49" t="s">
        <v>469</v>
      </c>
      <c r="AJ16" s="47" t="s">
        <v>551</v>
      </c>
      <c r="AK16" s="52" t="s">
        <v>471</v>
      </c>
      <c r="AL16" s="53" t="s">
        <v>542</v>
      </c>
      <c r="AM16" s="54"/>
      <c r="AN16" s="31" t="b">
        <f>A16=[2]数字化与研发投入!A16</f>
        <v>1</v>
      </c>
      <c r="AO16" s="31" t="b">
        <f>B16=[2]数字化与研发投入!B16</f>
        <v>1</v>
      </c>
      <c r="AP16" s="31" t="b">
        <f>C16=[2]数字化与研发投入!C16</f>
        <v>1</v>
      </c>
      <c r="AQ16" s="31" t="b">
        <f>D16=[2]数字化与研发投入!D16</f>
        <v>1</v>
      </c>
      <c r="AR16" s="31" t="b">
        <f>E16=[2]数字化与研发投入!E16</f>
        <v>1</v>
      </c>
      <c r="AS16" s="31" t="b">
        <f>F16=[2]数字化与研发投入!F16</f>
        <v>1</v>
      </c>
      <c r="AT16" s="31" t="b">
        <f>G16=[2]数字化与研发投入!G16</f>
        <v>1</v>
      </c>
      <c r="AU16" s="31" t="b">
        <f>H16=[2]数字化与研发投入!H16</f>
        <v>1</v>
      </c>
      <c r="AV16" s="31" t="b">
        <f>I16=[2]数字化与研发投入!I16</f>
        <v>1</v>
      </c>
      <c r="AW16" s="31" t="b">
        <f>J16=[2]数字化与研发投入!J16</f>
        <v>1</v>
      </c>
      <c r="AX16" s="31" t="b">
        <f>K16=[2]数字化与研发投入!K16</f>
        <v>1</v>
      </c>
      <c r="AY16" s="31" t="b">
        <f>L16=[2]数字化与研发投入!L16</f>
        <v>1</v>
      </c>
      <c r="AZ16" s="31" t="b">
        <f>M16=[2]数字化与研发投入!M16</f>
        <v>1</v>
      </c>
      <c r="BA16" s="31" t="b">
        <f>N16=[2]数字化与研发投入!N16</f>
        <v>1</v>
      </c>
      <c r="BB16" s="31" t="b">
        <f>O16=[2]数字化与研发投入!O16</f>
        <v>1</v>
      </c>
      <c r="BC16" s="31" t="b">
        <f>P16=[2]数字化与研发投入!P16</f>
        <v>1</v>
      </c>
      <c r="BD16" s="31" t="b">
        <f>Q16=[2]数字化与研发投入!Q16</f>
        <v>1</v>
      </c>
      <c r="BE16" s="31" t="b">
        <f>R16=[2]数字化与研发投入!R16</f>
        <v>1</v>
      </c>
      <c r="BF16" s="31" t="b">
        <f>S16=[2]数字化与研发投入!S16</f>
        <v>1</v>
      </c>
      <c r="BG16" s="31" t="b">
        <f>T16=[2]数字化与研发投入!T16</f>
        <v>1</v>
      </c>
      <c r="BH16" s="31" t="b">
        <f>U16=[2]数字化与研发投入!U16</f>
        <v>1</v>
      </c>
      <c r="BI16" s="31" t="b">
        <f>V16=[2]数字化与研发投入!V16</f>
        <v>1</v>
      </c>
      <c r="BJ16" s="31" t="b">
        <f>W16=[2]数字化与研发投入!W16</f>
        <v>1</v>
      </c>
      <c r="BK16" s="31" t="b">
        <f>X16=[2]数字化与研发投入!X16</f>
        <v>1</v>
      </c>
      <c r="BL16" s="31" t="b">
        <f>Y16=[2]数字化与研发投入!Y16</f>
        <v>1</v>
      </c>
      <c r="BM16" s="31" t="b">
        <f>Z16=[2]数字化与研发投入!Z16</f>
        <v>1</v>
      </c>
      <c r="BN16" s="31" t="b">
        <f>AA16=[2]数字化与研发投入!AA16</f>
        <v>1</v>
      </c>
      <c r="BO16" s="31" t="b">
        <f>AB16=[2]数字化与研发投入!AB16</f>
        <v>1</v>
      </c>
      <c r="BP16" s="31" t="b">
        <f>AC16=[2]数字化与研发投入!AC16</f>
        <v>1</v>
      </c>
      <c r="BQ16" s="31" t="b">
        <f>AD16=[2]数字化与研发投入!AD16</f>
        <v>1</v>
      </c>
      <c r="BR16" s="31" t="b">
        <f>AE16=[2]数字化与研发投入!AE16</f>
        <v>1</v>
      </c>
      <c r="BS16" s="31" t="b">
        <f>AF16=[2]数字化与研发投入!AF16</f>
        <v>1</v>
      </c>
      <c r="BT16" s="31" t="b">
        <f>AG16=[2]数字化与研发投入!AG16</f>
        <v>1</v>
      </c>
      <c r="BU16" s="31" t="b">
        <f>AH16=[2]数字化与研发投入!AH16</f>
        <v>1</v>
      </c>
      <c r="BV16" s="31" t="b">
        <f>AI16=[2]数字化与研发投入!AI16</f>
        <v>1</v>
      </c>
      <c r="BW16" s="31" t="b">
        <f>AJ16=[2]数字化与研发投入!AJ16</f>
        <v>1</v>
      </c>
      <c r="BX16" s="31" t="b">
        <f>AK16=[2]数字化与研发投入!AK16</f>
        <v>1</v>
      </c>
    </row>
    <row r="17" s="31" customFormat="1" ht="198" spans="1:76">
      <c r="A17" s="40"/>
      <c r="B17" s="80"/>
      <c r="C17" s="55"/>
      <c r="D17" s="55"/>
      <c r="E17" s="81"/>
      <c r="F17" s="80"/>
      <c r="G17" s="79"/>
      <c r="H17" s="81"/>
      <c r="I17" s="46" t="s">
        <v>554</v>
      </c>
      <c r="J17" s="90" t="s">
        <v>555</v>
      </c>
      <c r="K17" s="48"/>
      <c r="L17" s="48"/>
      <c r="M17" s="49" t="s">
        <v>36</v>
      </c>
      <c r="N17" s="48"/>
      <c r="O17" s="49" t="s">
        <v>36</v>
      </c>
      <c r="P17" s="48"/>
      <c r="Q17" s="48"/>
      <c r="R17" s="48"/>
      <c r="S17" s="49" t="s">
        <v>36</v>
      </c>
      <c r="T17" s="49" t="s">
        <v>556</v>
      </c>
      <c r="U17" s="47" t="s">
        <v>557</v>
      </c>
      <c r="V17" s="46" t="s">
        <v>550</v>
      </c>
      <c r="W17" s="46" t="s">
        <v>558</v>
      </c>
      <c r="X17" s="49" t="s">
        <v>503</v>
      </c>
      <c r="Y17" s="49" t="s">
        <v>466</v>
      </c>
      <c r="Z17" s="49"/>
      <c r="AA17" s="49" t="s">
        <v>467</v>
      </c>
      <c r="AB17" s="49" t="s">
        <v>466</v>
      </c>
      <c r="AC17" s="49"/>
      <c r="AD17" s="47" t="s">
        <v>559</v>
      </c>
      <c r="AE17" s="49" t="s">
        <v>527</v>
      </c>
      <c r="AF17" s="49" t="s">
        <v>466</v>
      </c>
      <c r="AG17" s="49"/>
      <c r="AH17" s="49" t="s">
        <v>469</v>
      </c>
      <c r="AI17" s="49" t="s">
        <v>469</v>
      </c>
      <c r="AJ17" s="47" t="s">
        <v>551</v>
      </c>
      <c r="AK17" s="52" t="s">
        <v>471</v>
      </c>
      <c r="AL17" s="53" t="s">
        <v>560</v>
      </c>
      <c r="AM17" s="54" t="s">
        <v>761</v>
      </c>
      <c r="AN17" s="31" t="b">
        <f>A17=[2]数字化与研发投入!A17</f>
        <v>1</v>
      </c>
      <c r="AO17" s="31" t="b">
        <f>B17=[2]数字化与研发投入!B17</f>
        <v>1</v>
      </c>
      <c r="AP17" s="31" t="b">
        <f>C17=[2]数字化与研发投入!C17</f>
        <v>1</v>
      </c>
      <c r="AQ17" s="31" t="b">
        <f>D17=[2]数字化与研发投入!D17</f>
        <v>1</v>
      </c>
      <c r="AR17" s="31" t="b">
        <f>E17=[2]数字化与研发投入!E17</f>
        <v>1</v>
      </c>
      <c r="AS17" s="31" t="b">
        <f>F17=[2]数字化与研发投入!F17</f>
        <v>1</v>
      </c>
      <c r="AT17" s="31" t="b">
        <f>G17=[2]数字化与研发投入!G17</f>
        <v>1</v>
      </c>
      <c r="AU17" s="31" t="b">
        <f>H17=[2]数字化与研发投入!H17</f>
        <v>1</v>
      </c>
      <c r="AV17" s="31" t="b">
        <f>I17=[2]数字化与研发投入!I17</f>
        <v>1</v>
      </c>
      <c r="AW17" s="31" t="b">
        <f>J17=[2]数字化与研发投入!J17</f>
        <v>1</v>
      </c>
      <c r="AX17" s="31" t="b">
        <f>K17=[2]数字化与研发投入!K17</f>
        <v>1</v>
      </c>
      <c r="AY17" s="31" t="b">
        <f>L17=[2]数字化与研发投入!L17</f>
        <v>1</v>
      </c>
      <c r="AZ17" s="31" t="b">
        <f>M17=[2]数字化与研发投入!M17</f>
        <v>1</v>
      </c>
      <c r="BA17" s="31" t="b">
        <f>N17=[2]数字化与研发投入!N17</f>
        <v>1</v>
      </c>
      <c r="BB17" s="31" t="b">
        <f>O17=[2]数字化与研发投入!O17</f>
        <v>1</v>
      </c>
      <c r="BC17" s="31" t="b">
        <f>P17=[2]数字化与研发投入!P17</f>
        <v>1</v>
      </c>
      <c r="BD17" s="31" t="b">
        <f>Q17=[2]数字化与研发投入!Q17</f>
        <v>1</v>
      </c>
      <c r="BE17" s="31" t="b">
        <f>R17=[2]数字化与研发投入!R17</f>
        <v>1</v>
      </c>
      <c r="BF17" s="31" t="b">
        <f>S17=[2]数字化与研发投入!S17</f>
        <v>1</v>
      </c>
      <c r="BG17" s="31" t="b">
        <f>T17=[2]数字化与研发投入!T17</f>
        <v>1</v>
      </c>
      <c r="BH17" s="31" t="b">
        <f>U17=[2]数字化与研发投入!U17</f>
        <v>1</v>
      </c>
      <c r="BI17" s="31" t="b">
        <f>V17=[2]数字化与研发投入!V17</f>
        <v>1</v>
      </c>
      <c r="BJ17" s="31" t="b">
        <f>W17=[2]数字化与研发投入!W17</f>
        <v>1</v>
      </c>
      <c r="BK17" s="31" t="b">
        <f>X17=[2]数字化与研发投入!X17</f>
        <v>1</v>
      </c>
      <c r="BL17" s="31" t="b">
        <f>Y17=[2]数字化与研发投入!Y17</f>
        <v>1</v>
      </c>
      <c r="BM17" s="31" t="b">
        <f>Z17=[2]数字化与研发投入!Z17</f>
        <v>1</v>
      </c>
      <c r="BN17" s="31" t="b">
        <f>AA17=[2]数字化与研发投入!AA17</f>
        <v>1</v>
      </c>
      <c r="BO17" s="31" t="b">
        <f>AB17=[2]数字化与研发投入!AB17</f>
        <v>1</v>
      </c>
      <c r="BP17" s="31" t="b">
        <f>AC17=[2]数字化与研发投入!AC17</f>
        <v>1</v>
      </c>
      <c r="BQ17" s="31" t="b">
        <f>AD17=[2]数字化与研发投入!AD17</f>
        <v>1</v>
      </c>
      <c r="BR17" s="31" t="b">
        <f>AE17=[2]数字化与研发投入!AE17</f>
        <v>1</v>
      </c>
      <c r="BS17" s="31" t="b">
        <f>AF17=[2]数字化与研发投入!AF17</f>
        <v>1</v>
      </c>
      <c r="BT17" s="31" t="b">
        <f>AG17=[2]数字化与研发投入!AG17</f>
        <v>1</v>
      </c>
      <c r="BU17" s="31" t="b">
        <f>AH17=[2]数字化与研发投入!AH17</f>
        <v>1</v>
      </c>
      <c r="BV17" s="31" t="b">
        <f>AI17=[2]数字化与研发投入!AI17</f>
        <v>1</v>
      </c>
      <c r="BW17" s="31" t="b">
        <f>AJ17=[2]数字化与研发投入!AJ17</f>
        <v>1</v>
      </c>
      <c r="BX17" s="31" t="b">
        <f>AK17=[2]数字化与研发投入!AK17</f>
        <v>1</v>
      </c>
    </row>
    <row r="18" s="31" customFormat="1" ht="158.4" spans="1:76">
      <c r="A18" s="40"/>
      <c r="B18" s="80"/>
      <c r="C18" s="55"/>
      <c r="D18" s="55"/>
      <c r="E18" s="81"/>
      <c r="F18" s="80"/>
      <c r="G18" s="79"/>
      <c r="H18" s="81"/>
      <c r="I18" s="46" t="s">
        <v>561</v>
      </c>
      <c r="J18" s="50" t="s">
        <v>562</v>
      </c>
      <c r="K18" s="48"/>
      <c r="L18" s="48"/>
      <c r="M18" s="49" t="s">
        <v>36</v>
      </c>
      <c r="N18" s="48"/>
      <c r="O18" s="49" t="s">
        <v>36</v>
      </c>
      <c r="P18" s="48"/>
      <c r="Q18" s="48"/>
      <c r="R18" s="48"/>
      <c r="S18" s="49" t="s">
        <v>36</v>
      </c>
      <c r="T18" s="49" t="s">
        <v>475</v>
      </c>
      <c r="U18" s="50"/>
      <c r="V18" s="46" t="s">
        <v>550</v>
      </c>
      <c r="W18" s="46" t="s">
        <v>558</v>
      </c>
      <c r="X18" s="49" t="s">
        <v>503</v>
      </c>
      <c r="Y18" s="49" t="s">
        <v>466</v>
      </c>
      <c r="Z18" s="49"/>
      <c r="AA18" s="49" t="s">
        <v>467</v>
      </c>
      <c r="AB18" s="49" t="s">
        <v>466</v>
      </c>
      <c r="AC18" s="49"/>
      <c r="AD18" s="47" t="s">
        <v>559</v>
      </c>
      <c r="AE18" s="49" t="s">
        <v>527</v>
      </c>
      <c r="AF18" s="49" t="s">
        <v>466</v>
      </c>
      <c r="AG18" s="49"/>
      <c r="AH18" s="49" t="s">
        <v>469</v>
      </c>
      <c r="AI18" s="49" t="s">
        <v>469</v>
      </c>
      <c r="AJ18" s="47" t="s">
        <v>551</v>
      </c>
      <c r="AK18" s="52" t="s">
        <v>471</v>
      </c>
      <c r="AL18" s="53" t="s">
        <v>560</v>
      </c>
      <c r="AM18" s="54" t="s">
        <v>761</v>
      </c>
      <c r="AN18" s="31" t="b">
        <f>A18=[2]数字化与研发投入!A18</f>
        <v>1</v>
      </c>
      <c r="AO18" s="31" t="b">
        <f>B18=[2]数字化与研发投入!B18</f>
        <v>1</v>
      </c>
      <c r="AP18" s="31" t="b">
        <f>C18=[2]数字化与研发投入!C18</f>
        <v>1</v>
      </c>
      <c r="AQ18" s="31" t="b">
        <f>D18=[2]数字化与研发投入!D18</f>
        <v>1</v>
      </c>
      <c r="AR18" s="31" t="b">
        <f>E18=[2]数字化与研发投入!E18</f>
        <v>1</v>
      </c>
      <c r="AS18" s="31" t="b">
        <f>F18=[2]数字化与研发投入!F18</f>
        <v>1</v>
      </c>
      <c r="AT18" s="31" t="b">
        <f>G18=[2]数字化与研发投入!G18</f>
        <v>1</v>
      </c>
      <c r="AU18" s="31" t="b">
        <f>H18=[2]数字化与研发投入!H18</f>
        <v>1</v>
      </c>
      <c r="AV18" s="31" t="b">
        <f>I18=[2]数字化与研发投入!I18</f>
        <v>1</v>
      </c>
      <c r="AW18" s="31" t="b">
        <f>J18=[2]数字化与研发投入!J18</f>
        <v>1</v>
      </c>
      <c r="AX18" s="31" t="b">
        <f>K18=[2]数字化与研发投入!K18</f>
        <v>1</v>
      </c>
      <c r="AY18" s="31" t="b">
        <f>L18=[2]数字化与研发投入!L18</f>
        <v>1</v>
      </c>
      <c r="AZ18" s="31" t="b">
        <f>M18=[2]数字化与研发投入!M18</f>
        <v>1</v>
      </c>
      <c r="BA18" s="31" t="b">
        <f>N18=[2]数字化与研发投入!N18</f>
        <v>1</v>
      </c>
      <c r="BB18" s="31" t="b">
        <f>O18=[2]数字化与研发投入!O18</f>
        <v>1</v>
      </c>
      <c r="BC18" s="31" t="b">
        <f>P18=[2]数字化与研发投入!P18</f>
        <v>1</v>
      </c>
      <c r="BD18" s="31" t="b">
        <f>Q18=[2]数字化与研发投入!Q18</f>
        <v>1</v>
      </c>
      <c r="BE18" s="31" t="b">
        <f>R18=[2]数字化与研发投入!R18</f>
        <v>1</v>
      </c>
      <c r="BF18" s="31" t="b">
        <f>S18=[2]数字化与研发投入!S18</f>
        <v>1</v>
      </c>
      <c r="BG18" s="31" t="b">
        <f>T18=[2]数字化与研发投入!T18</f>
        <v>1</v>
      </c>
      <c r="BH18" s="31" t="b">
        <f>U18=[2]数字化与研发投入!U18</f>
        <v>1</v>
      </c>
      <c r="BI18" s="31" t="b">
        <f>V18=[2]数字化与研发投入!V18</f>
        <v>1</v>
      </c>
      <c r="BJ18" s="31" t="b">
        <f>W18=[2]数字化与研发投入!W18</f>
        <v>1</v>
      </c>
      <c r="BK18" s="31" t="b">
        <f>X18=[2]数字化与研发投入!X18</f>
        <v>1</v>
      </c>
      <c r="BL18" s="31" t="b">
        <f>Y18=[2]数字化与研发投入!Y18</f>
        <v>1</v>
      </c>
      <c r="BM18" s="31" t="b">
        <f>Z18=[2]数字化与研发投入!Z18</f>
        <v>1</v>
      </c>
      <c r="BN18" s="31" t="b">
        <f>AA18=[2]数字化与研发投入!AA18</f>
        <v>1</v>
      </c>
      <c r="BO18" s="31" t="b">
        <f>AB18=[2]数字化与研发投入!AB18</f>
        <v>1</v>
      </c>
      <c r="BP18" s="31" t="b">
        <f>AC18=[2]数字化与研发投入!AC18</f>
        <v>1</v>
      </c>
      <c r="BQ18" s="31" t="b">
        <f>AD18=[2]数字化与研发投入!AD18</f>
        <v>1</v>
      </c>
      <c r="BR18" s="31" t="b">
        <f>AE18=[2]数字化与研发投入!AE18</f>
        <v>1</v>
      </c>
      <c r="BS18" s="31" t="b">
        <f>AF18=[2]数字化与研发投入!AF18</f>
        <v>1</v>
      </c>
      <c r="BT18" s="31" t="b">
        <f>AG18=[2]数字化与研发投入!AG18</f>
        <v>1</v>
      </c>
      <c r="BU18" s="31" t="b">
        <f>AH18=[2]数字化与研发投入!AH18</f>
        <v>1</v>
      </c>
      <c r="BV18" s="31" t="b">
        <f>AI18=[2]数字化与研发投入!AI18</f>
        <v>1</v>
      </c>
      <c r="BW18" s="31" t="b">
        <f>AJ18=[2]数字化与研发投入!AJ18</f>
        <v>1</v>
      </c>
      <c r="BX18" s="31" t="b">
        <f>AK18=[2]数字化与研发投入!AK18</f>
        <v>1</v>
      </c>
    </row>
    <row r="19" s="31" customFormat="1" ht="132" spans="1:76">
      <c r="A19" s="40"/>
      <c r="B19" s="84"/>
      <c r="C19" s="58"/>
      <c r="D19" s="58"/>
      <c r="E19" s="85"/>
      <c r="F19" s="84"/>
      <c r="G19" s="83"/>
      <c r="H19" s="85"/>
      <c r="I19" s="46" t="s">
        <v>563</v>
      </c>
      <c r="J19" s="47" t="s">
        <v>564</v>
      </c>
      <c r="K19" s="48"/>
      <c r="L19" s="48"/>
      <c r="M19" s="49" t="s">
        <v>36</v>
      </c>
      <c r="N19" s="48"/>
      <c r="O19" s="49" t="s">
        <v>36</v>
      </c>
      <c r="P19" s="49" t="s">
        <v>36</v>
      </c>
      <c r="Q19" s="49" t="s">
        <v>36</v>
      </c>
      <c r="R19" s="48"/>
      <c r="S19" s="49" t="s">
        <v>36</v>
      </c>
      <c r="T19" s="49" t="s">
        <v>556</v>
      </c>
      <c r="U19" s="47" t="s">
        <v>536</v>
      </c>
      <c r="V19" s="46" t="s">
        <v>550</v>
      </c>
      <c r="W19" s="46" t="s">
        <v>565</v>
      </c>
      <c r="X19" s="49" t="s">
        <v>503</v>
      </c>
      <c r="Y19" s="49" t="s">
        <v>466</v>
      </c>
      <c r="Z19" s="49"/>
      <c r="AA19" s="49" t="s">
        <v>467</v>
      </c>
      <c r="AB19" s="49" t="s">
        <v>466</v>
      </c>
      <c r="AC19" s="49"/>
      <c r="AD19" s="47" t="s">
        <v>559</v>
      </c>
      <c r="AE19" s="49" t="s">
        <v>527</v>
      </c>
      <c r="AF19" s="49" t="s">
        <v>466</v>
      </c>
      <c r="AG19" s="49"/>
      <c r="AH19" s="49" t="s">
        <v>469</v>
      </c>
      <c r="AI19" s="49" t="s">
        <v>469</v>
      </c>
      <c r="AJ19" s="47" t="s">
        <v>551</v>
      </c>
      <c r="AK19" s="52" t="s">
        <v>471</v>
      </c>
      <c r="AL19" s="53" t="s">
        <v>542</v>
      </c>
      <c r="AM19" s="54"/>
      <c r="AN19" s="31" t="b">
        <f>A19=[2]数字化与研发投入!A19</f>
        <v>1</v>
      </c>
      <c r="AO19" s="31" t="b">
        <f>B19=[2]数字化与研发投入!B19</f>
        <v>1</v>
      </c>
      <c r="AP19" s="31" t="b">
        <f>C19=[2]数字化与研发投入!C19</f>
        <v>1</v>
      </c>
      <c r="AQ19" s="31" t="b">
        <f>D19=[2]数字化与研发投入!D19</f>
        <v>1</v>
      </c>
      <c r="AR19" s="31" t="b">
        <f>E19=[2]数字化与研发投入!E19</f>
        <v>1</v>
      </c>
      <c r="AS19" s="31" t="b">
        <f>F19=[2]数字化与研发投入!F19</f>
        <v>1</v>
      </c>
      <c r="AT19" s="31" t="b">
        <f>G19=[2]数字化与研发投入!G19</f>
        <v>1</v>
      </c>
      <c r="AU19" s="31" t="b">
        <f>H19=[2]数字化与研发投入!H19</f>
        <v>1</v>
      </c>
      <c r="AV19" s="31" t="b">
        <f>I19=[2]数字化与研发投入!I19</f>
        <v>1</v>
      </c>
      <c r="AW19" s="31" t="b">
        <f>J19=[2]数字化与研发投入!J19</f>
        <v>1</v>
      </c>
      <c r="AX19" s="31" t="b">
        <f>K19=[2]数字化与研发投入!K19</f>
        <v>1</v>
      </c>
      <c r="AY19" s="31" t="b">
        <f>L19=[2]数字化与研发投入!L19</f>
        <v>1</v>
      </c>
      <c r="AZ19" s="31" t="b">
        <f>M19=[2]数字化与研发投入!M19</f>
        <v>1</v>
      </c>
      <c r="BA19" s="31" t="b">
        <f>N19=[2]数字化与研发投入!N19</f>
        <v>1</v>
      </c>
      <c r="BB19" s="31" t="b">
        <f>O19=[2]数字化与研发投入!O19</f>
        <v>1</v>
      </c>
      <c r="BC19" s="31" t="b">
        <f>P19=[2]数字化与研发投入!P19</f>
        <v>1</v>
      </c>
      <c r="BD19" s="31" t="b">
        <f>Q19=[2]数字化与研发投入!Q19</f>
        <v>1</v>
      </c>
      <c r="BE19" s="31" t="b">
        <f>R19=[2]数字化与研发投入!R19</f>
        <v>1</v>
      </c>
      <c r="BF19" s="31" t="b">
        <f>S19=[2]数字化与研发投入!S19</f>
        <v>1</v>
      </c>
      <c r="BG19" s="31" t="b">
        <f>T19=[2]数字化与研发投入!T19</f>
        <v>1</v>
      </c>
      <c r="BH19" s="31" t="b">
        <f>U19=[2]数字化与研发投入!U19</f>
        <v>1</v>
      </c>
      <c r="BI19" s="31" t="b">
        <f>V19=[2]数字化与研发投入!V19</f>
        <v>1</v>
      </c>
      <c r="BJ19" s="31" t="b">
        <f>W19=[2]数字化与研发投入!W19</f>
        <v>1</v>
      </c>
      <c r="BK19" s="31" t="b">
        <f>X19=[2]数字化与研发投入!X19</f>
        <v>1</v>
      </c>
      <c r="BL19" s="31" t="b">
        <f>Y19=[2]数字化与研发投入!Y19</f>
        <v>1</v>
      </c>
      <c r="BM19" s="31" t="b">
        <f>Z19=[2]数字化与研发投入!Z19</f>
        <v>1</v>
      </c>
      <c r="BN19" s="31" t="b">
        <f>AA19=[2]数字化与研发投入!AA19</f>
        <v>1</v>
      </c>
      <c r="BO19" s="31" t="b">
        <f>AB19=[2]数字化与研发投入!AB19</f>
        <v>1</v>
      </c>
      <c r="BP19" s="31" t="b">
        <f>AC19=[2]数字化与研发投入!AC19</f>
        <v>1</v>
      </c>
      <c r="BQ19" s="31" t="b">
        <f>AD19=[2]数字化与研发投入!AD19</f>
        <v>1</v>
      </c>
      <c r="BR19" s="31" t="b">
        <f>AE19=[2]数字化与研发投入!AE19</f>
        <v>1</v>
      </c>
      <c r="BS19" s="31" t="b">
        <f>AF19=[2]数字化与研发投入!AF19</f>
        <v>1</v>
      </c>
      <c r="BT19" s="31" t="b">
        <f>AG19=[2]数字化与研发投入!AG19</f>
        <v>1</v>
      </c>
      <c r="BU19" s="31" t="b">
        <f>AH19=[2]数字化与研发投入!AH19</f>
        <v>1</v>
      </c>
      <c r="BV19" s="31" t="b">
        <f>AI19=[2]数字化与研发投入!AI19</f>
        <v>1</v>
      </c>
      <c r="BW19" s="31" t="b">
        <f>AJ19=[2]数字化与研发投入!AJ19</f>
        <v>1</v>
      </c>
      <c r="BX19" s="31" t="b">
        <f>AK19=[2]数字化与研发投入!AK19</f>
        <v>1</v>
      </c>
    </row>
    <row r="20" s="31" customFormat="1" ht="145.2" spans="1:76">
      <c r="A20" s="40" t="s">
        <v>452</v>
      </c>
      <c r="B20" s="75" t="s">
        <v>566</v>
      </c>
      <c r="C20" s="73" t="s">
        <v>454</v>
      </c>
      <c r="D20" s="73" t="s">
        <v>567</v>
      </c>
      <c r="E20" s="74" t="s">
        <v>568</v>
      </c>
      <c r="F20" s="86" t="s">
        <v>569</v>
      </c>
      <c r="G20" s="76" t="s">
        <v>570</v>
      </c>
      <c r="H20" s="76" t="s">
        <v>571</v>
      </c>
      <c r="I20" s="46" t="s">
        <v>572</v>
      </c>
      <c r="J20" s="47" t="s">
        <v>573</v>
      </c>
      <c r="K20" s="60"/>
      <c r="L20" s="49" t="s">
        <v>36</v>
      </c>
      <c r="M20" s="49" t="s">
        <v>36</v>
      </c>
      <c r="N20" s="48"/>
      <c r="O20" s="48"/>
      <c r="P20" s="48"/>
      <c r="Q20" s="48"/>
      <c r="R20" s="49" t="s">
        <v>36</v>
      </c>
      <c r="S20" s="48"/>
      <c r="T20" s="49" t="s">
        <v>535</v>
      </c>
      <c r="U20" s="47" t="s">
        <v>574</v>
      </c>
      <c r="V20" s="46" t="s">
        <v>575</v>
      </c>
      <c r="W20" s="46" t="s">
        <v>576</v>
      </c>
      <c r="X20" s="49" t="s">
        <v>527</v>
      </c>
      <c r="Y20" s="49" t="s">
        <v>466</v>
      </c>
      <c r="Z20" s="49"/>
      <c r="AA20" s="49" t="s">
        <v>467</v>
      </c>
      <c r="AB20" s="49" t="s">
        <v>466</v>
      </c>
      <c r="AC20" s="49"/>
      <c r="AD20" s="47" t="s">
        <v>577</v>
      </c>
      <c r="AE20" s="49" t="s">
        <v>465</v>
      </c>
      <c r="AF20" s="49" t="s">
        <v>466</v>
      </c>
      <c r="AG20" s="49"/>
      <c r="AH20" s="49" t="s">
        <v>469</v>
      </c>
      <c r="AI20" s="49" t="s">
        <v>469</v>
      </c>
      <c r="AJ20" s="47" t="s">
        <v>578</v>
      </c>
      <c r="AK20" s="52" t="s">
        <v>471</v>
      </c>
      <c r="AL20" s="53" t="s">
        <v>542</v>
      </c>
      <c r="AM20" s="54"/>
      <c r="AN20" s="31" t="b">
        <f>A20=[2]数字化与研发投入!A20</f>
        <v>1</v>
      </c>
      <c r="AO20" s="31" t="b">
        <f>B20=[2]数字化与研发投入!B20</f>
        <v>1</v>
      </c>
      <c r="AP20" s="31" t="b">
        <f>C20=[2]数字化与研发投入!C20</f>
        <v>1</v>
      </c>
      <c r="AQ20" s="31" t="b">
        <f>D20=[2]数字化与研发投入!D20</f>
        <v>1</v>
      </c>
      <c r="AR20" s="31" t="b">
        <f>E20=[2]数字化与研发投入!E20</f>
        <v>1</v>
      </c>
      <c r="AS20" s="31" t="b">
        <f>F20=[2]数字化与研发投入!F20</f>
        <v>1</v>
      </c>
      <c r="AT20" s="31" t="b">
        <f>G20=[2]数字化与研发投入!G20</f>
        <v>1</v>
      </c>
      <c r="AU20" s="31" t="b">
        <f>H20=[2]数字化与研发投入!H20</f>
        <v>1</v>
      </c>
      <c r="AV20" s="31" t="b">
        <f>I20=[2]数字化与研发投入!I20</f>
        <v>1</v>
      </c>
      <c r="AW20" s="31" t="b">
        <f>J20=[2]数字化与研发投入!J20</f>
        <v>1</v>
      </c>
      <c r="AX20" s="31" t="b">
        <f>K20=[2]数字化与研发投入!K20</f>
        <v>1</v>
      </c>
      <c r="AY20" s="31" t="b">
        <f>L20=[2]数字化与研发投入!L20</f>
        <v>1</v>
      </c>
      <c r="AZ20" s="31" t="b">
        <f>M20=[2]数字化与研发投入!M20</f>
        <v>1</v>
      </c>
      <c r="BA20" s="31" t="b">
        <f>N20=[2]数字化与研发投入!N20</f>
        <v>1</v>
      </c>
      <c r="BB20" s="31" t="b">
        <f>O20=[2]数字化与研发投入!O20</f>
        <v>1</v>
      </c>
      <c r="BC20" s="31" t="b">
        <f>P20=[2]数字化与研发投入!P20</f>
        <v>1</v>
      </c>
      <c r="BD20" s="31" t="b">
        <f>Q20=[2]数字化与研发投入!Q20</f>
        <v>1</v>
      </c>
      <c r="BE20" s="31" t="b">
        <f>R20=[2]数字化与研发投入!R20</f>
        <v>1</v>
      </c>
      <c r="BF20" s="31" t="b">
        <f>S20=[2]数字化与研发投入!S20</f>
        <v>1</v>
      </c>
      <c r="BG20" s="31" t="b">
        <f>T20=[2]数字化与研发投入!T20</f>
        <v>1</v>
      </c>
      <c r="BH20" s="31" t="b">
        <f>U20=[2]数字化与研发投入!U20</f>
        <v>1</v>
      </c>
      <c r="BI20" s="31" t="b">
        <f>V20=[2]数字化与研发投入!V20</f>
        <v>1</v>
      </c>
      <c r="BJ20" s="31" t="b">
        <f>W20=[2]数字化与研发投入!W20</f>
        <v>1</v>
      </c>
      <c r="BK20" s="31" t="b">
        <f>X20=[2]数字化与研发投入!X20</f>
        <v>1</v>
      </c>
      <c r="BL20" s="31" t="b">
        <f>Y20=[2]数字化与研发投入!Y20</f>
        <v>1</v>
      </c>
      <c r="BM20" s="31" t="b">
        <f>Z20=[2]数字化与研发投入!Z20</f>
        <v>1</v>
      </c>
      <c r="BN20" s="31" t="b">
        <f>AA20=[2]数字化与研发投入!AA20</f>
        <v>1</v>
      </c>
      <c r="BO20" s="31" t="b">
        <f>AB20=[2]数字化与研发投入!AB20</f>
        <v>1</v>
      </c>
      <c r="BP20" s="31" t="b">
        <f>AC20=[2]数字化与研发投入!AC20</f>
        <v>1</v>
      </c>
      <c r="BQ20" s="31" t="b">
        <f>AD20=[2]数字化与研发投入!AD20</f>
        <v>1</v>
      </c>
      <c r="BR20" s="31" t="b">
        <f>AE20=[2]数字化与研发投入!AE20</f>
        <v>1</v>
      </c>
      <c r="BS20" s="31" t="b">
        <f>AF20=[2]数字化与研发投入!AF20</f>
        <v>1</v>
      </c>
      <c r="BT20" s="31" t="b">
        <f>AG20=[2]数字化与研发投入!AG20</f>
        <v>1</v>
      </c>
      <c r="BU20" s="31" t="b">
        <f>AH20=[2]数字化与研发投入!AH20</f>
        <v>1</v>
      </c>
      <c r="BV20" s="31" t="b">
        <f>AI20=[2]数字化与研发投入!AI20</f>
        <v>1</v>
      </c>
      <c r="BW20" s="31" t="b">
        <f>AJ20=[2]数字化与研发投入!AJ20</f>
        <v>1</v>
      </c>
      <c r="BX20" s="31" t="b">
        <f>AK20=[2]数字化与研发投入!AK20</f>
        <v>1</v>
      </c>
    </row>
    <row r="21" s="31" customFormat="1" ht="90" customHeight="1" spans="1:76">
      <c r="A21" s="40"/>
      <c r="B21" s="80"/>
      <c r="C21" s="78"/>
      <c r="D21" s="78"/>
      <c r="E21" s="79"/>
      <c r="F21" s="87"/>
      <c r="G21" s="81"/>
      <c r="H21" s="81"/>
      <c r="I21" s="46" t="s">
        <v>579</v>
      </c>
      <c r="J21" s="50" t="s">
        <v>580</v>
      </c>
      <c r="K21" s="77"/>
      <c r="L21" s="48"/>
      <c r="M21" s="49" t="s">
        <v>36</v>
      </c>
      <c r="N21" s="48"/>
      <c r="O21" s="48"/>
      <c r="P21" s="48"/>
      <c r="Q21" s="48"/>
      <c r="R21" s="49" t="s">
        <v>36</v>
      </c>
      <c r="S21" s="48"/>
      <c r="T21" s="49" t="s">
        <v>475</v>
      </c>
      <c r="U21" s="47"/>
      <c r="V21" s="46" t="s">
        <v>581</v>
      </c>
      <c r="W21" s="46" t="s">
        <v>762</v>
      </c>
      <c r="X21" s="49" t="s">
        <v>527</v>
      </c>
      <c r="Y21" s="49" t="s">
        <v>466</v>
      </c>
      <c r="Z21" s="49"/>
      <c r="AA21" s="49" t="s">
        <v>467</v>
      </c>
      <c r="AB21" s="49" t="s">
        <v>466</v>
      </c>
      <c r="AC21" s="49"/>
      <c r="AD21" s="47"/>
      <c r="AE21" s="49"/>
      <c r="AF21" s="49"/>
      <c r="AG21" s="49"/>
      <c r="AH21" s="49" t="s">
        <v>469</v>
      </c>
      <c r="AI21" s="49" t="s">
        <v>469</v>
      </c>
      <c r="AJ21" s="47" t="s">
        <v>578</v>
      </c>
      <c r="AK21" s="52" t="s">
        <v>471</v>
      </c>
      <c r="AL21" s="53" t="s">
        <v>542</v>
      </c>
      <c r="AM21" s="54" t="s">
        <v>761</v>
      </c>
      <c r="AN21" s="31" t="b">
        <f>A21=[2]数字化与研发投入!A21</f>
        <v>1</v>
      </c>
      <c r="AO21" s="31" t="b">
        <f>B21=[2]数字化与研发投入!B21</f>
        <v>1</v>
      </c>
      <c r="AP21" s="31" t="b">
        <f>C21=[2]数字化与研发投入!C21</f>
        <v>1</v>
      </c>
      <c r="AQ21" s="31" t="b">
        <f>D21=[2]数字化与研发投入!D21</f>
        <v>1</v>
      </c>
      <c r="AR21" s="31" t="b">
        <f>E21=[2]数字化与研发投入!E21</f>
        <v>1</v>
      </c>
      <c r="AS21" s="31" t="b">
        <f>F21=[2]数字化与研发投入!F21</f>
        <v>1</v>
      </c>
      <c r="AT21" s="31" t="b">
        <f>G21=[2]数字化与研发投入!G21</f>
        <v>1</v>
      </c>
      <c r="AU21" s="31" t="b">
        <f>H21=[2]数字化与研发投入!H21</f>
        <v>1</v>
      </c>
      <c r="AV21" s="31" t="b">
        <f>I21=[2]数字化与研发投入!I21</f>
        <v>1</v>
      </c>
      <c r="AW21" s="31" t="b">
        <f>J21=[2]数字化与研发投入!J21</f>
        <v>1</v>
      </c>
      <c r="AX21" s="31" t="b">
        <f>K21=[2]数字化与研发投入!K21</f>
        <v>1</v>
      </c>
      <c r="AY21" s="31" t="b">
        <f>L21=[2]数字化与研发投入!L21</f>
        <v>1</v>
      </c>
      <c r="AZ21" s="31" t="b">
        <f>M21=[2]数字化与研发投入!M21</f>
        <v>1</v>
      </c>
      <c r="BA21" s="31" t="b">
        <f>N21=[2]数字化与研发投入!N21</f>
        <v>1</v>
      </c>
      <c r="BB21" s="31" t="b">
        <f>O21=[2]数字化与研发投入!O21</f>
        <v>1</v>
      </c>
      <c r="BC21" s="31" t="b">
        <f>P21=[2]数字化与研发投入!P21</f>
        <v>1</v>
      </c>
      <c r="BD21" s="31" t="b">
        <f>Q21=[2]数字化与研发投入!Q21</f>
        <v>1</v>
      </c>
      <c r="BE21" s="31" t="b">
        <f>R21=[2]数字化与研发投入!R21</f>
        <v>1</v>
      </c>
      <c r="BF21" s="31" t="b">
        <f>S21=[2]数字化与研发投入!S21</f>
        <v>1</v>
      </c>
      <c r="BG21" s="31" t="b">
        <f>T21=[2]数字化与研发投入!T21</f>
        <v>1</v>
      </c>
      <c r="BH21" s="31" t="b">
        <f>U21=[2]数字化与研发投入!U21</f>
        <v>1</v>
      </c>
      <c r="BI21" s="31" t="b">
        <f>V21=[2]数字化与研发投入!V21</f>
        <v>1</v>
      </c>
      <c r="BJ21" s="31" t="b">
        <f>W21=[2]数字化与研发投入!W21</f>
        <v>1</v>
      </c>
      <c r="BK21" s="31" t="b">
        <f>X21=[2]数字化与研发投入!X21</f>
        <v>1</v>
      </c>
      <c r="BL21" s="31" t="b">
        <f>Y21=[2]数字化与研发投入!Y21</f>
        <v>1</v>
      </c>
      <c r="BM21" s="31" t="b">
        <f>Z21=[2]数字化与研发投入!Z21</f>
        <v>1</v>
      </c>
      <c r="BN21" s="31" t="b">
        <f>AA21=[2]数字化与研发投入!AA21</f>
        <v>1</v>
      </c>
      <c r="BO21" s="31" t="b">
        <f>AB21=[2]数字化与研发投入!AB21</f>
        <v>1</v>
      </c>
      <c r="BP21" s="31" t="b">
        <f>AC21=[2]数字化与研发投入!AC21</f>
        <v>1</v>
      </c>
      <c r="BQ21" s="31" t="b">
        <f>AD21=[2]数字化与研发投入!AD21</f>
        <v>1</v>
      </c>
      <c r="BR21" s="31" t="b">
        <f>AE21=[2]数字化与研发投入!AE21</f>
        <v>1</v>
      </c>
      <c r="BS21" s="31" t="b">
        <f>AF21=[2]数字化与研发投入!AF21</f>
        <v>1</v>
      </c>
      <c r="BT21" s="31" t="b">
        <f>AG21=[2]数字化与研发投入!AG21</f>
        <v>1</v>
      </c>
      <c r="BU21" s="31" t="b">
        <f>AH21=[2]数字化与研发投入!AH21</f>
        <v>1</v>
      </c>
      <c r="BV21" s="31" t="b">
        <f>AI21=[2]数字化与研发投入!AI21</f>
        <v>1</v>
      </c>
      <c r="BW21" s="31" t="b">
        <f>AJ21=[2]数字化与研发投入!AJ21</f>
        <v>1</v>
      </c>
      <c r="BX21" s="31" t="b">
        <f>AK21=[2]数字化与研发投入!AK21</f>
        <v>1</v>
      </c>
    </row>
    <row r="22" s="31" customFormat="1" ht="145.2" spans="1:76">
      <c r="A22" s="40"/>
      <c r="B22" s="80"/>
      <c r="C22" s="82"/>
      <c r="D22" s="82"/>
      <c r="E22" s="83"/>
      <c r="F22" s="88"/>
      <c r="G22" s="85"/>
      <c r="H22" s="85"/>
      <c r="I22" s="46" t="s">
        <v>584</v>
      </c>
      <c r="J22" s="47" t="s">
        <v>585</v>
      </c>
      <c r="K22" s="48"/>
      <c r="L22" s="48"/>
      <c r="M22" s="49"/>
      <c r="N22" s="48"/>
      <c r="O22" s="49" t="s">
        <v>36</v>
      </c>
      <c r="P22" s="48"/>
      <c r="Q22" s="49" t="s">
        <v>36</v>
      </c>
      <c r="R22" s="48"/>
      <c r="S22" s="48"/>
      <c r="T22" s="49" t="s">
        <v>556</v>
      </c>
      <c r="U22" s="47" t="s">
        <v>536</v>
      </c>
      <c r="V22" s="46" t="s">
        <v>586</v>
      </c>
      <c r="W22" s="46" t="s">
        <v>587</v>
      </c>
      <c r="X22" s="49" t="s">
        <v>527</v>
      </c>
      <c r="Y22" s="49" t="s">
        <v>466</v>
      </c>
      <c r="Z22" s="49"/>
      <c r="AA22" s="49" t="s">
        <v>467</v>
      </c>
      <c r="AB22" s="49" t="s">
        <v>466</v>
      </c>
      <c r="AC22" s="49"/>
      <c r="AD22" s="47" t="s">
        <v>577</v>
      </c>
      <c r="AE22" s="49" t="s">
        <v>465</v>
      </c>
      <c r="AF22" s="49" t="s">
        <v>466</v>
      </c>
      <c r="AG22" s="49"/>
      <c r="AH22" s="49" t="s">
        <v>469</v>
      </c>
      <c r="AI22" s="49" t="s">
        <v>469</v>
      </c>
      <c r="AJ22" s="47" t="s">
        <v>578</v>
      </c>
      <c r="AK22" s="52" t="s">
        <v>471</v>
      </c>
      <c r="AL22" s="53" t="s">
        <v>542</v>
      </c>
      <c r="AM22" s="54"/>
      <c r="AN22" s="31" t="b">
        <f>A22=[2]数字化与研发投入!A22</f>
        <v>1</v>
      </c>
      <c r="AO22" s="31" t="b">
        <f>B22=[2]数字化与研发投入!B22</f>
        <v>1</v>
      </c>
      <c r="AP22" s="31" t="b">
        <f>C22=[2]数字化与研发投入!C22</f>
        <v>1</v>
      </c>
      <c r="AQ22" s="31" t="b">
        <f>D22=[2]数字化与研发投入!D22</f>
        <v>1</v>
      </c>
      <c r="AR22" s="31" t="b">
        <f>E22=[2]数字化与研发投入!E22</f>
        <v>1</v>
      </c>
      <c r="AS22" s="31" t="b">
        <f>F22=[2]数字化与研发投入!F22</f>
        <v>1</v>
      </c>
      <c r="AT22" s="31" t="b">
        <f>G22=[2]数字化与研发投入!G22</f>
        <v>1</v>
      </c>
      <c r="AU22" s="31" t="b">
        <f>H22=[2]数字化与研发投入!H22</f>
        <v>1</v>
      </c>
      <c r="AV22" s="31" t="b">
        <f>I22=[2]数字化与研发投入!I22</f>
        <v>1</v>
      </c>
      <c r="AW22" s="31" t="b">
        <f>J22=[2]数字化与研发投入!J22</f>
        <v>1</v>
      </c>
      <c r="AX22" s="31" t="b">
        <f>K22=[2]数字化与研发投入!K22</f>
        <v>1</v>
      </c>
      <c r="AY22" s="31" t="b">
        <f>L22=[2]数字化与研发投入!L22</f>
        <v>1</v>
      </c>
      <c r="AZ22" s="31" t="b">
        <f>M22=[2]数字化与研发投入!M22</f>
        <v>1</v>
      </c>
      <c r="BA22" s="31" t="b">
        <f>N22=[2]数字化与研发投入!N22</f>
        <v>1</v>
      </c>
      <c r="BB22" s="31" t="b">
        <f>O22=[2]数字化与研发投入!O22</f>
        <v>1</v>
      </c>
      <c r="BC22" s="31" t="b">
        <f>P22=[2]数字化与研发投入!P22</f>
        <v>1</v>
      </c>
      <c r="BD22" s="31" t="b">
        <f>Q22=[2]数字化与研发投入!Q22</f>
        <v>1</v>
      </c>
      <c r="BE22" s="31" t="b">
        <f>R22=[2]数字化与研发投入!R22</f>
        <v>1</v>
      </c>
      <c r="BF22" s="31" t="b">
        <f>S22=[2]数字化与研发投入!S22</f>
        <v>1</v>
      </c>
      <c r="BG22" s="31" t="b">
        <f>T22=[2]数字化与研发投入!T22</f>
        <v>1</v>
      </c>
      <c r="BH22" s="31" t="b">
        <f>U22=[2]数字化与研发投入!U22</f>
        <v>1</v>
      </c>
      <c r="BI22" s="31" t="b">
        <f>V22=[2]数字化与研发投入!V22</f>
        <v>1</v>
      </c>
      <c r="BJ22" s="31" t="b">
        <f>W22=[2]数字化与研发投入!W22</f>
        <v>1</v>
      </c>
      <c r="BK22" s="31" t="b">
        <f>X22=[2]数字化与研发投入!X22</f>
        <v>1</v>
      </c>
      <c r="BL22" s="31" t="b">
        <f>Y22=[2]数字化与研发投入!Y22</f>
        <v>1</v>
      </c>
      <c r="BM22" s="31" t="b">
        <f>Z22=[2]数字化与研发投入!Z22</f>
        <v>1</v>
      </c>
      <c r="BN22" s="31" t="b">
        <f>AA22=[2]数字化与研发投入!AA22</f>
        <v>1</v>
      </c>
      <c r="BO22" s="31" t="b">
        <f>AB22=[2]数字化与研发投入!AB22</f>
        <v>1</v>
      </c>
      <c r="BP22" s="31" t="b">
        <f>AC22=[2]数字化与研发投入!AC22</f>
        <v>1</v>
      </c>
      <c r="BQ22" s="31" t="b">
        <f>AD22=[2]数字化与研发投入!AD22</f>
        <v>1</v>
      </c>
      <c r="BR22" s="31" t="b">
        <f>AE22=[2]数字化与研发投入!AE22</f>
        <v>1</v>
      </c>
      <c r="BS22" s="31" t="b">
        <f>AF22=[2]数字化与研发投入!AF22</f>
        <v>1</v>
      </c>
      <c r="BT22" s="31" t="b">
        <f>AG22=[2]数字化与研发投入!AG22</f>
        <v>1</v>
      </c>
      <c r="BU22" s="31" t="b">
        <f>AH22=[2]数字化与研发投入!AH22</f>
        <v>1</v>
      </c>
      <c r="BV22" s="31" t="b">
        <f>AI22=[2]数字化与研发投入!AI22</f>
        <v>1</v>
      </c>
      <c r="BW22" s="31" t="b">
        <f>AJ22=[2]数字化与研发投入!AJ22</f>
        <v>1</v>
      </c>
      <c r="BX22" s="31" t="b">
        <f>AK22=[2]数字化与研发投入!AK22</f>
        <v>1</v>
      </c>
    </row>
    <row r="23" s="31" customFormat="1" ht="118.8" spans="1:76">
      <c r="A23" s="40"/>
      <c r="B23" s="80"/>
      <c r="C23" s="73" t="s">
        <v>454</v>
      </c>
      <c r="D23" s="73" t="s">
        <v>588</v>
      </c>
      <c r="E23" s="73" t="s">
        <v>589</v>
      </c>
      <c r="F23" s="91" t="s">
        <v>569</v>
      </c>
      <c r="G23" s="42" t="s">
        <v>590</v>
      </c>
      <c r="H23" s="42" t="s">
        <v>591</v>
      </c>
      <c r="I23" s="46" t="s">
        <v>592</v>
      </c>
      <c r="J23" s="47" t="s">
        <v>593</v>
      </c>
      <c r="K23" s="77"/>
      <c r="L23" s="49" t="s">
        <v>36</v>
      </c>
      <c r="M23" s="49" t="s">
        <v>36</v>
      </c>
      <c r="N23" s="48"/>
      <c r="O23" s="48"/>
      <c r="P23" s="48"/>
      <c r="Q23" s="48"/>
      <c r="R23" s="48"/>
      <c r="S23" s="48"/>
      <c r="T23" s="49" t="s">
        <v>475</v>
      </c>
      <c r="U23" s="47"/>
      <c r="V23" s="46" t="s">
        <v>594</v>
      </c>
      <c r="W23" s="46" t="s">
        <v>763</v>
      </c>
      <c r="X23" s="49" t="s">
        <v>503</v>
      </c>
      <c r="Y23" s="49" t="s">
        <v>466</v>
      </c>
      <c r="Z23" s="49"/>
      <c r="AA23" s="49" t="s">
        <v>467</v>
      </c>
      <c r="AB23" s="49" t="s">
        <v>466</v>
      </c>
      <c r="AC23" s="49"/>
      <c r="AD23" s="47"/>
      <c r="AE23" s="49"/>
      <c r="AF23" s="49"/>
      <c r="AG23" s="49"/>
      <c r="AH23" s="49" t="s">
        <v>469</v>
      </c>
      <c r="AI23" s="49" t="s">
        <v>469</v>
      </c>
      <c r="AJ23" s="47" t="s">
        <v>596</v>
      </c>
      <c r="AK23" s="52" t="s">
        <v>471</v>
      </c>
      <c r="AL23" s="53" t="s">
        <v>597</v>
      </c>
      <c r="AM23" s="54" t="s">
        <v>751</v>
      </c>
      <c r="AN23" s="31" t="b">
        <f>A23=[2]数字化与研发投入!A23</f>
        <v>1</v>
      </c>
      <c r="AO23" s="31" t="b">
        <f>B23=[2]数字化与研发投入!B23</f>
        <v>1</v>
      </c>
      <c r="AP23" s="31" t="b">
        <f>C23=[2]数字化与研发投入!C23</f>
        <v>1</v>
      </c>
      <c r="AQ23" s="31" t="b">
        <f>D23=[2]数字化与研发投入!D23</f>
        <v>1</v>
      </c>
      <c r="AR23" s="31" t="b">
        <f>E23=[2]数字化与研发投入!E23</f>
        <v>1</v>
      </c>
      <c r="AS23" s="31" t="b">
        <f>F23=[2]数字化与研发投入!F23</f>
        <v>1</v>
      </c>
      <c r="AT23" s="31" t="b">
        <f>G23=[2]数字化与研发投入!G23</f>
        <v>1</v>
      </c>
      <c r="AU23" s="31" t="b">
        <f>H23=[2]数字化与研发投入!H23</f>
        <v>1</v>
      </c>
      <c r="AV23" s="31" t="b">
        <f>I23=[2]数字化与研发投入!I23</f>
        <v>1</v>
      </c>
      <c r="AW23" s="31" t="b">
        <f>J23=[2]数字化与研发投入!J23</f>
        <v>1</v>
      </c>
      <c r="AX23" s="31" t="b">
        <f>K23=[2]数字化与研发投入!K23</f>
        <v>1</v>
      </c>
      <c r="AY23" s="31" t="b">
        <f>L23=[2]数字化与研发投入!L23</f>
        <v>1</v>
      </c>
      <c r="AZ23" s="31" t="b">
        <f>M23=[2]数字化与研发投入!M23</f>
        <v>1</v>
      </c>
      <c r="BA23" s="31" t="b">
        <f>N23=[2]数字化与研发投入!N23</f>
        <v>1</v>
      </c>
      <c r="BB23" s="31" t="b">
        <f>O23=[2]数字化与研发投入!O23</f>
        <v>1</v>
      </c>
      <c r="BC23" s="31" t="b">
        <f>P23=[2]数字化与研发投入!P23</f>
        <v>1</v>
      </c>
      <c r="BD23" s="31" t="b">
        <f>Q23=[2]数字化与研发投入!Q23</f>
        <v>1</v>
      </c>
      <c r="BE23" s="31" t="b">
        <f>R23=[2]数字化与研发投入!R23</f>
        <v>1</v>
      </c>
      <c r="BF23" s="31" t="b">
        <f>S23=[2]数字化与研发投入!S23</f>
        <v>1</v>
      </c>
      <c r="BG23" s="31" t="b">
        <f>T23=[2]数字化与研发投入!T23</f>
        <v>1</v>
      </c>
      <c r="BH23" s="31" t="b">
        <f>U23=[2]数字化与研发投入!U23</f>
        <v>1</v>
      </c>
      <c r="BI23" s="31" t="b">
        <f>V23=[2]数字化与研发投入!V23</f>
        <v>1</v>
      </c>
      <c r="BJ23" s="31" t="b">
        <f>W23=[2]数字化与研发投入!W23</f>
        <v>1</v>
      </c>
      <c r="BK23" s="31" t="b">
        <f>X23=[2]数字化与研发投入!X23</f>
        <v>1</v>
      </c>
      <c r="BL23" s="31" t="b">
        <f>Y23=[2]数字化与研发投入!Y23</f>
        <v>1</v>
      </c>
      <c r="BM23" s="31" t="b">
        <f>Z23=[2]数字化与研发投入!Z23</f>
        <v>1</v>
      </c>
      <c r="BN23" s="31" t="b">
        <f>AA23=[2]数字化与研发投入!AA23</f>
        <v>1</v>
      </c>
      <c r="BO23" s="31" t="b">
        <f>AB23=[2]数字化与研发投入!AB23</f>
        <v>1</v>
      </c>
      <c r="BP23" s="31" t="b">
        <f>AC23=[2]数字化与研发投入!AC23</f>
        <v>1</v>
      </c>
      <c r="BQ23" s="31" t="b">
        <f>AD23=[2]数字化与研发投入!AD23</f>
        <v>1</v>
      </c>
      <c r="BR23" s="31" t="b">
        <f>AE23=[2]数字化与研发投入!AE23</f>
        <v>1</v>
      </c>
      <c r="BS23" s="31" t="b">
        <f>AF23=[2]数字化与研发投入!AF23</f>
        <v>1</v>
      </c>
      <c r="BT23" s="31" t="b">
        <f>AG23=[2]数字化与研发投入!AG23</f>
        <v>1</v>
      </c>
      <c r="BU23" s="31" t="b">
        <f>AH23=[2]数字化与研发投入!AH23</f>
        <v>1</v>
      </c>
      <c r="BV23" s="31" t="b">
        <f>AI23=[2]数字化与研发投入!AI23</f>
        <v>1</v>
      </c>
      <c r="BW23" s="31" t="b">
        <f>AJ23=[2]数字化与研发投入!AJ23</f>
        <v>1</v>
      </c>
      <c r="BX23" s="31" t="b">
        <f>AK23=[2]数字化与研发投入!AK23</f>
        <v>1</v>
      </c>
    </row>
    <row r="24" s="31" customFormat="1" ht="145.2" spans="1:76">
      <c r="A24" s="40"/>
      <c r="B24" s="80"/>
      <c r="C24" s="78"/>
      <c r="D24" s="78"/>
      <c r="E24" s="78"/>
      <c r="F24" s="87"/>
      <c r="G24" s="55"/>
      <c r="H24" s="55"/>
      <c r="I24" s="46" t="s">
        <v>598</v>
      </c>
      <c r="J24" s="47" t="s">
        <v>599</v>
      </c>
      <c r="K24" s="48"/>
      <c r="L24" s="48"/>
      <c r="M24" s="48"/>
      <c r="N24" s="48"/>
      <c r="O24" s="49" t="s">
        <v>36</v>
      </c>
      <c r="P24" s="48"/>
      <c r="Q24" s="48"/>
      <c r="R24" s="49" t="s">
        <v>36</v>
      </c>
      <c r="S24" s="48"/>
      <c r="T24" s="49" t="s">
        <v>475</v>
      </c>
      <c r="U24" s="47"/>
      <c r="V24" s="46" t="s">
        <v>600</v>
      </c>
      <c r="W24" s="46" t="s">
        <v>764</v>
      </c>
      <c r="X24" s="49" t="s">
        <v>503</v>
      </c>
      <c r="Y24" s="49" t="s">
        <v>466</v>
      </c>
      <c r="Z24" s="49"/>
      <c r="AA24" s="49" t="s">
        <v>467</v>
      </c>
      <c r="AB24" s="49" t="s">
        <v>466</v>
      </c>
      <c r="AC24" s="49"/>
      <c r="AD24" s="47"/>
      <c r="AE24" s="49"/>
      <c r="AF24" s="49"/>
      <c r="AG24" s="49"/>
      <c r="AH24" s="49" t="s">
        <v>469</v>
      </c>
      <c r="AI24" s="49" t="s">
        <v>469</v>
      </c>
      <c r="AJ24" s="47" t="s">
        <v>602</v>
      </c>
      <c r="AK24" s="52" t="s">
        <v>471</v>
      </c>
      <c r="AL24" s="53" t="s">
        <v>597</v>
      </c>
      <c r="AM24" s="54" t="s">
        <v>751</v>
      </c>
      <c r="AN24" s="31" t="b">
        <f>A24=[2]数字化与研发投入!A24</f>
        <v>1</v>
      </c>
      <c r="AO24" s="31" t="b">
        <f>B24=[2]数字化与研发投入!B24</f>
        <v>1</v>
      </c>
      <c r="AP24" s="31" t="b">
        <f>C24=[2]数字化与研发投入!C24</f>
        <v>1</v>
      </c>
      <c r="AQ24" s="31" t="b">
        <f>D24=[2]数字化与研发投入!D24</f>
        <v>1</v>
      </c>
      <c r="AR24" s="31" t="b">
        <f>E24=[2]数字化与研发投入!E24</f>
        <v>1</v>
      </c>
      <c r="AS24" s="31" t="b">
        <f>F24=[2]数字化与研发投入!F24</f>
        <v>1</v>
      </c>
      <c r="AT24" s="31" t="b">
        <f>G24=[2]数字化与研发投入!G24</f>
        <v>1</v>
      </c>
      <c r="AU24" s="31" t="b">
        <f>H24=[2]数字化与研发投入!H24</f>
        <v>1</v>
      </c>
      <c r="AV24" s="31" t="b">
        <f>I24=[2]数字化与研发投入!I24</f>
        <v>1</v>
      </c>
      <c r="AW24" s="31" t="b">
        <f>J24=[2]数字化与研发投入!J24</f>
        <v>1</v>
      </c>
      <c r="AX24" s="31" t="b">
        <f>K24=[2]数字化与研发投入!K24</f>
        <v>1</v>
      </c>
      <c r="AY24" s="31" t="b">
        <f>L24=[2]数字化与研发投入!L24</f>
        <v>1</v>
      </c>
      <c r="AZ24" s="31" t="b">
        <f>M24=[2]数字化与研发投入!M24</f>
        <v>1</v>
      </c>
      <c r="BA24" s="31" t="b">
        <f>N24=[2]数字化与研发投入!N24</f>
        <v>1</v>
      </c>
      <c r="BB24" s="31" t="b">
        <f>O24=[2]数字化与研发投入!O24</f>
        <v>1</v>
      </c>
      <c r="BC24" s="31" t="b">
        <f>P24=[2]数字化与研发投入!P24</f>
        <v>1</v>
      </c>
      <c r="BD24" s="31" t="b">
        <f>Q24=[2]数字化与研发投入!Q24</f>
        <v>1</v>
      </c>
      <c r="BE24" s="31" t="b">
        <f>R24=[2]数字化与研发投入!R24</f>
        <v>1</v>
      </c>
      <c r="BF24" s="31" t="b">
        <f>S24=[2]数字化与研发投入!S24</f>
        <v>1</v>
      </c>
      <c r="BG24" s="31" t="b">
        <f>T24=[2]数字化与研发投入!T24</f>
        <v>1</v>
      </c>
      <c r="BH24" s="31" t="b">
        <f>U24=[2]数字化与研发投入!U24</f>
        <v>1</v>
      </c>
      <c r="BI24" s="31" t="b">
        <f>V24=[2]数字化与研发投入!V24</f>
        <v>1</v>
      </c>
      <c r="BJ24" s="31" t="b">
        <f>W24=[2]数字化与研发投入!W24</f>
        <v>0</v>
      </c>
      <c r="BK24" s="31" t="b">
        <f>X24=[2]数字化与研发投入!X24</f>
        <v>1</v>
      </c>
      <c r="BL24" s="31" t="b">
        <f>Y24=[2]数字化与研发投入!Y24</f>
        <v>1</v>
      </c>
      <c r="BM24" s="31" t="b">
        <f>Z24=[2]数字化与研发投入!Z24</f>
        <v>1</v>
      </c>
      <c r="BN24" s="31" t="b">
        <f>AA24=[2]数字化与研发投入!AA24</f>
        <v>1</v>
      </c>
      <c r="BO24" s="31" t="b">
        <f>AB24=[2]数字化与研发投入!AB24</f>
        <v>1</v>
      </c>
      <c r="BP24" s="31" t="b">
        <f>AC24=[2]数字化与研发投入!AC24</f>
        <v>1</v>
      </c>
      <c r="BQ24" s="31" t="b">
        <f>AD24=[2]数字化与研发投入!AD24</f>
        <v>1</v>
      </c>
      <c r="BR24" s="31" t="b">
        <f>AE24=[2]数字化与研发投入!AE24</f>
        <v>1</v>
      </c>
      <c r="BS24" s="31" t="b">
        <f>AF24=[2]数字化与研发投入!AF24</f>
        <v>1</v>
      </c>
      <c r="BT24" s="31" t="b">
        <f>AG24=[2]数字化与研发投入!AG24</f>
        <v>1</v>
      </c>
      <c r="BU24" s="31" t="b">
        <f>AH24=[2]数字化与研发投入!AH24</f>
        <v>1</v>
      </c>
      <c r="BV24" s="31" t="b">
        <f>AI24=[2]数字化与研发投入!AI24</f>
        <v>1</v>
      </c>
      <c r="BW24" s="31" t="b">
        <f>AJ24=[2]数字化与研发投入!AJ24</f>
        <v>1</v>
      </c>
      <c r="BX24" s="31" t="b">
        <f>AK24=[2]数字化与研发投入!AK24</f>
        <v>1</v>
      </c>
    </row>
    <row r="25" s="31" customFormat="1" ht="118.8" spans="1:76">
      <c r="A25" s="40"/>
      <c r="B25" s="80"/>
      <c r="C25" s="78"/>
      <c r="D25" s="78"/>
      <c r="E25" s="78"/>
      <c r="F25" s="87"/>
      <c r="G25" s="55"/>
      <c r="H25" s="55"/>
      <c r="I25" s="46" t="s">
        <v>604</v>
      </c>
      <c r="J25" s="47" t="s">
        <v>605</v>
      </c>
      <c r="K25" s="77"/>
      <c r="L25" s="48"/>
      <c r="M25" s="48"/>
      <c r="N25" s="48"/>
      <c r="O25" s="48"/>
      <c r="P25" s="48"/>
      <c r="Q25" s="48"/>
      <c r="R25" s="48"/>
      <c r="S25" s="49" t="s">
        <v>36</v>
      </c>
      <c r="T25" s="49" t="s">
        <v>475</v>
      </c>
      <c r="U25" s="47"/>
      <c r="V25" s="46" t="s">
        <v>606</v>
      </c>
      <c r="W25" s="108" t="s">
        <v>765</v>
      </c>
      <c r="X25" s="49" t="s">
        <v>503</v>
      </c>
      <c r="Y25" s="49" t="s">
        <v>466</v>
      </c>
      <c r="Z25" s="49"/>
      <c r="AA25" s="49" t="s">
        <v>467</v>
      </c>
      <c r="AB25" s="49" t="s">
        <v>466</v>
      </c>
      <c r="AC25" s="49"/>
      <c r="AD25" s="47"/>
      <c r="AE25" s="49"/>
      <c r="AF25" s="49"/>
      <c r="AG25" s="49"/>
      <c r="AH25" s="49" t="s">
        <v>469</v>
      </c>
      <c r="AI25" s="49" t="s">
        <v>469</v>
      </c>
      <c r="AJ25" s="47" t="s">
        <v>608</v>
      </c>
      <c r="AK25" s="52" t="s">
        <v>471</v>
      </c>
      <c r="AL25" s="53" t="s">
        <v>597</v>
      </c>
      <c r="AM25" s="54" t="s">
        <v>751</v>
      </c>
      <c r="AN25" s="31" t="b">
        <f>A25=[2]数字化与研发投入!A25</f>
        <v>1</v>
      </c>
      <c r="AO25" s="31" t="b">
        <f>B25=[2]数字化与研发投入!B25</f>
        <v>1</v>
      </c>
      <c r="AP25" s="31" t="b">
        <f>C25=[2]数字化与研发投入!C25</f>
        <v>1</v>
      </c>
      <c r="AQ25" s="31" t="b">
        <f>D25=[2]数字化与研发投入!D25</f>
        <v>1</v>
      </c>
      <c r="AR25" s="31" t="b">
        <f>E25=[2]数字化与研发投入!E25</f>
        <v>1</v>
      </c>
      <c r="AS25" s="31" t="b">
        <f>F25=[2]数字化与研发投入!F25</f>
        <v>1</v>
      </c>
      <c r="AT25" s="31" t="b">
        <f>G25=[2]数字化与研发投入!G25</f>
        <v>1</v>
      </c>
      <c r="AU25" s="31" t="b">
        <f>H25=[2]数字化与研发投入!H25</f>
        <v>1</v>
      </c>
      <c r="AV25" s="31" t="b">
        <f>I25=[2]数字化与研发投入!I25</f>
        <v>1</v>
      </c>
      <c r="AW25" s="31" t="b">
        <f>J25=[2]数字化与研发投入!J25</f>
        <v>1</v>
      </c>
      <c r="AX25" s="31" t="b">
        <f>K25=[2]数字化与研发投入!K25</f>
        <v>1</v>
      </c>
      <c r="AY25" s="31" t="b">
        <f>L25=[2]数字化与研发投入!L25</f>
        <v>1</v>
      </c>
      <c r="AZ25" s="31" t="b">
        <f>M25=[2]数字化与研发投入!M25</f>
        <v>1</v>
      </c>
      <c r="BA25" s="31" t="b">
        <f>N25=[2]数字化与研发投入!N25</f>
        <v>1</v>
      </c>
      <c r="BB25" s="31" t="b">
        <f>O25=[2]数字化与研发投入!O25</f>
        <v>1</v>
      </c>
      <c r="BC25" s="31" t="b">
        <f>P25=[2]数字化与研发投入!P25</f>
        <v>1</v>
      </c>
      <c r="BD25" s="31" t="b">
        <f>Q25=[2]数字化与研发投入!Q25</f>
        <v>1</v>
      </c>
      <c r="BE25" s="31" t="b">
        <f>R25=[2]数字化与研发投入!R25</f>
        <v>1</v>
      </c>
      <c r="BF25" s="31" t="b">
        <f>S25=[2]数字化与研发投入!S25</f>
        <v>1</v>
      </c>
      <c r="BG25" s="31" t="b">
        <f>T25=[2]数字化与研发投入!T25</f>
        <v>1</v>
      </c>
      <c r="BH25" s="31" t="b">
        <f>U25=[2]数字化与研发投入!U25</f>
        <v>1</v>
      </c>
      <c r="BI25" s="31" t="b">
        <f>V25=[2]数字化与研发投入!V25</f>
        <v>1</v>
      </c>
      <c r="BJ25" s="31" t="b">
        <f>W25=[2]数字化与研发投入!W25</f>
        <v>0</v>
      </c>
      <c r="BK25" s="31" t="b">
        <f>X25=[2]数字化与研发投入!X25</f>
        <v>1</v>
      </c>
      <c r="BL25" s="31" t="b">
        <f>Y25=[2]数字化与研发投入!Y25</f>
        <v>1</v>
      </c>
      <c r="BM25" s="31" t="b">
        <f>Z25=[2]数字化与研发投入!Z25</f>
        <v>1</v>
      </c>
      <c r="BN25" s="31" t="b">
        <f>AA25=[2]数字化与研发投入!AA25</f>
        <v>1</v>
      </c>
      <c r="BO25" s="31" t="b">
        <f>AB25=[2]数字化与研发投入!AB25</f>
        <v>1</v>
      </c>
      <c r="BP25" s="31" t="b">
        <f>AC25=[2]数字化与研发投入!AC25</f>
        <v>1</v>
      </c>
      <c r="BQ25" s="31" t="b">
        <f>AD25=[2]数字化与研发投入!AD25</f>
        <v>1</v>
      </c>
      <c r="BR25" s="31" t="b">
        <f>AE25=[2]数字化与研发投入!AE25</f>
        <v>1</v>
      </c>
      <c r="BS25" s="31" t="b">
        <f>AF25=[2]数字化与研发投入!AF25</f>
        <v>1</v>
      </c>
      <c r="BT25" s="31" t="b">
        <f>AG25=[2]数字化与研发投入!AG25</f>
        <v>1</v>
      </c>
      <c r="BU25" s="31" t="b">
        <f>AH25=[2]数字化与研发投入!AH25</f>
        <v>1</v>
      </c>
      <c r="BV25" s="31" t="b">
        <f>AI25=[2]数字化与研发投入!AI25</f>
        <v>1</v>
      </c>
      <c r="BW25" s="31" t="b">
        <f>AJ25=[2]数字化与研发投入!AJ25</f>
        <v>1</v>
      </c>
      <c r="BX25" s="31" t="b">
        <f>AK25=[2]数字化与研发投入!AK25</f>
        <v>1</v>
      </c>
    </row>
    <row r="26" s="31" customFormat="1" ht="79.2" spans="1:76">
      <c r="A26" s="40"/>
      <c r="B26" s="80"/>
      <c r="C26" s="73" t="s">
        <v>610</v>
      </c>
      <c r="D26" s="73" t="s">
        <v>611</v>
      </c>
      <c r="E26" s="74" t="s">
        <v>612</v>
      </c>
      <c r="F26" s="75"/>
      <c r="G26" s="76" t="s">
        <v>613</v>
      </c>
      <c r="H26" s="76" t="s">
        <v>614</v>
      </c>
      <c r="I26" s="46" t="s">
        <v>615</v>
      </c>
      <c r="J26" s="47" t="s">
        <v>616</v>
      </c>
      <c r="K26" s="77"/>
      <c r="L26" s="48"/>
      <c r="M26" s="49" t="s">
        <v>36</v>
      </c>
      <c r="N26" s="48"/>
      <c r="O26" s="49" t="s">
        <v>36</v>
      </c>
      <c r="P26" s="48"/>
      <c r="Q26" s="48"/>
      <c r="R26" s="49" t="s">
        <v>36</v>
      </c>
      <c r="S26" s="48"/>
      <c r="T26" s="49" t="s">
        <v>475</v>
      </c>
      <c r="U26" s="47"/>
      <c r="V26" s="46" t="s">
        <v>617</v>
      </c>
      <c r="W26" s="46" t="s">
        <v>618</v>
      </c>
      <c r="X26" s="49" t="s">
        <v>465</v>
      </c>
      <c r="Y26" s="49" t="s">
        <v>540</v>
      </c>
      <c r="Z26" s="49"/>
      <c r="AA26" s="49" t="s">
        <v>467</v>
      </c>
      <c r="AB26" s="49" t="s">
        <v>466</v>
      </c>
      <c r="AC26" s="49"/>
      <c r="AD26" s="47"/>
      <c r="AE26" s="49"/>
      <c r="AF26" s="49"/>
      <c r="AG26" s="49"/>
      <c r="AH26" s="49" t="s">
        <v>469</v>
      </c>
      <c r="AI26" s="49" t="s">
        <v>469</v>
      </c>
      <c r="AJ26" s="47" t="s">
        <v>619</v>
      </c>
      <c r="AK26" s="52" t="s">
        <v>471</v>
      </c>
      <c r="AL26" s="53" t="s">
        <v>542</v>
      </c>
      <c r="AM26" s="54"/>
      <c r="AN26" s="31" t="b">
        <f>A26=[2]数字化与研发投入!A26</f>
        <v>1</v>
      </c>
      <c r="AO26" s="31" t="b">
        <f>B26=[2]数字化与研发投入!B26</f>
        <v>1</v>
      </c>
      <c r="AP26" s="31" t="b">
        <f>C26=[2]数字化与研发投入!C26</f>
        <v>1</v>
      </c>
      <c r="AQ26" s="31" t="b">
        <f>D26=[2]数字化与研发投入!D26</f>
        <v>1</v>
      </c>
      <c r="AR26" s="31" t="b">
        <f>E26=[2]数字化与研发投入!E26</f>
        <v>1</v>
      </c>
      <c r="AS26" s="31" t="b">
        <f>F26=[2]数字化与研发投入!F26</f>
        <v>1</v>
      </c>
      <c r="AT26" s="31" t="b">
        <f>G26=[2]数字化与研发投入!G26</f>
        <v>1</v>
      </c>
      <c r="AU26" s="31" t="b">
        <f>H26=[2]数字化与研发投入!H26</f>
        <v>1</v>
      </c>
      <c r="AV26" s="31" t="b">
        <f>I26=[2]数字化与研发投入!I26</f>
        <v>1</v>
      </c>
      <c r="AW26" s="31" t="b">
        <f>J26=[2]数字化与研发投入!J26</f>
        <v>1</v>
      </c>
      <c r="AX26" s="31" t="b">
        <f>K26=[2]数字化与研发投入!K26</f>
        <v>1</v>
      </c>
      <c r="AY26" s="31" t="b">
        <f>L26=[2]数字化与研发投入!L26</f>
        <v>1</v>
      </c>
      <c r="AZ26" s="31" t="b">
        <f>M26=[2]数字化与研发投入!M26</f>
        <v>1</v>
      </c>
      <c r="BA26" s="31" t="b">
        <f>N26=[2]数字化与研发投入!N26</f>
        <v>1</v>
      </c>
      <c r="BB26" s="31" t="b">
        <f>O26=[2]数字化与研发投入!O26</f>
        <v>1</v>
      </c>
      <c r="BC26" s="31" t="b">
        <f>P26=[2]数字化与研发投入!P26</f>
        <v>1</v>
      </c>
      <c r="BD26" s="31" t="b">
        <f>Q26=[2]数字化与研发投入!Q26</f>
        <v>1</v>
      </c>
      <c r="BE26" s="31" t="b">
        <f>R26=[2]数字化与研发投入!R26</f>
        <v>1</v>
      </c>
      <c r="BF26" s="31" t="b">
        <f>S26=[2]数字化与研发投入!S26</f>
        <v>1</v>
      </c>
      <c r="BG26" s="31" t="b">
        <f>T26=[2]数字化与研发投入!T26</f>
        <v>1</v>
      </c>
      <c r="BH26" s="31" t="b">
        <f>U26=[2]数字化与研发投入!U26</f>
        <v>1</v>
      </c>
      <c r="BI26" s="31" t="b">
        <f>V26=[2]数字化与研发投入!V26</f>
        <v>1</v>
      </c>
      <c r="BJ26" s="31" t="b">
        <f>W26=[2]数字化与研发投入!W26</f>
        <v>1</v>
      </c>
      <c r="BK26" s="31" t="b">
        <f>X26=[2]数字化与研发投入!X26</f>
        <v>1</v>
      </c>
      <c r="BL26" s="31" t="b">
        <f>Y26=[2]数字化与研发投入!Y26</f>
        <v>1</v>
      </c>
      <c r="BM26" s="31" t="b">
        <f>Z26=[2]数字化与研发投入!Z26</f>
        <v>1</v>
      </c>
      <c r="BN26" s="31" t="b">
        <f>AA26=[2]数字化与研发投入!AA26</f>
        <v>1</v>
      </c>
      <c r="BO26" s="31" t="b">
        <f>AB26=[2]数字化与研发投入!AB26</f>
        <v>1</v>
      </c>
      <c r="BP26" s="31" t="b">
        <f>AC26=[2]数字化与研发投入!AC26</f>
        <v>1</v>
      </c>
      <c r="BQ26" s="31" t="b">
        <f>AD26=[2]数字化与研发投入!AD26</f>
        <v>1</v>
      </c>
      <c r="BR26" s="31" t="b">
        <f>AE26=[2]数字化与研发投入!AE26</f>
        <v>1</v>
      </c>
      <c r="BS26" s="31" t="b">
        <f>AF26=[2]数字化与研发投入!AF26</f>
        <v>1</v>
      </c>
      <c r="BT26" s="31" t="b">
        <f>AG26=[2]数字化与研发投入!AG26</f>
        <v>1</v>
      </c>
      <c r="BU26" s="31" t="b">
        <f>AH26=[2]数字化与研发投入!AH26</f>
        <v>1</v>
      </c>
      <c r="BV26" s="31" t="b">
        <f>AI26=[2]数字化与研发投入!AI26</f>
        <v>1</v>
      </c>
      <c r="BW26" s="31" t="b">
        <f>AJ26=[2]数字化与研发投入!AJ26</f>
        <v>1</v>
      </c>
      <c r="BX26" s="31" t="b">
        <f>AK26=[2]数字化与研发投入!AK26</f>
        <v>1</v>
      </c>
    </row>
    <row r="27" s="31" customFormat="1" ht="79.2" spans="1:76">
      <c r="A27" s="40"/>
      <c r="B27" s="84"/>
      <c r="C27" s="82"/>
      <c r="D27" s="82"/>
      <c r="E27" s="83"/>
      <c r="F27" s="84"/>
      <c r="G27" s="85"/>
      <c r="H27" s="85"/>
      <c r="I27" s="46" t="s">
        <v>620</v>
      </c>
      <c r="J27" s="47" t="s">
        <v>621</v>
      </c>
      <c r="K27" s="48"/>
      <c r="L27" s="48"/>
      <c r="M27" s="48"/>
      <c r="N27" s="48"/>
      <c r="O27" s="48"/>
      <c r="P27" s="48"/>
      <c r="Q27" s="49" t="s">
        <v>36</v>
      </c>
      <c r="R27" s="48"/>
      <c r="S27" s="48"/>
      <c r="T27" s="49" t="s">
        <v>535</v>
      </c>
      <c r="U27" s="47" t="s">
        <v>536</v>
      </c>
      <c r="V27" s="46" t="s">
        <v>622</v>
      </c>
      <c r="W27" s="46" t="s">
        <v>623</v>
      </c>
      <c r="X27" s="49" t="s">
        <v>465</v>
      </c>
      <c r="Y27" s="49" t="s">
        <v>540</v>
      </c>
      <c r="Z27" s="49"/>
      <c r="AA27" s="49" t="s">
        <v>467</v>
      </c>
      <c r="AB27" s="49" t="s">
        <v>466</v>
      </c>
      <c r="AC27" s="49"/>
      <c r="AD27" s="47"/>
      <c r="AE27" s="49"/>
      <c r="AF27" s="49"/>
      <c r="AG27" s="49"/>
      <c r="AH27" s="49" t="s">
        <v>469</v>
      </c>
      <c r="AI27" s="49" t="s">
        <v>469</v>
      </c>
      <c r="AJ27" s="47" t="s">
        <v>619</v>
      </c>
      <c r="AK27" s="52" t="s">
        <v>471</v>
      </c>
      <c r="AL27" s="53" t="s">
        <v>542</v>
      </c>
      <c r="AM27" s="54"/>
      <c r="AN27" s="31" t="b">
        <f>A27=[2]数字化与研发投入!A27</f>
        <v>1</v>
      </c>
      <c r="AO27" s="31" t="b">
        <f>B27=[2]数字化与研发投入!B27</f>
        <v>1</v>
      </c>
      <c r="AP27" s="31" t="b">
        <f>C27=[2]数字化与研发投入!C27</f>
        <v>1</v>
      </c>
      <c r="AQ27" s="31" t="b">
        <f>D27=[2]数字化与研发投入!D27</f>
        <v>1</v>
      </c>
      <c r="AR27" s="31" t="b">
        <f>E27=[2]数字化与研发投入!E27</f>
        <v>1</v>
      </c>
      <c r="AS27" s="31" t="b">
        <f>F27=[2]数字化与研发投入!F27</f>
        <v>1</v>
      </c>
      <c r="AT27" s="31" t="b">
        <f>G27=[2]数字化与研发投入!G27</f>
        <v>1</v>
      </c>
      <c r="AU27" s="31" t="b">
        <f>H27=[2]数字化与研发投入!H27</f>
        <v>1</v>
      </c>
      <c r="AV27" s="31" t="b">
        <f>I27=[2]数字化与研发投入!I27</f>
        <v>1</v>
      </c>
      <c r="AW27" s="31" t="b">
        <f>J27=[2]数字化与研发投入!J27</f>
        <v>1</v>
      </c>
      <c r="AX27" s="31" t="b">
        <f>K27=[2]数字化与研发投入!K27</f>
        <v>1</v>
      </c>
      <c r="AY27" s="31" t="b">
        <f>L27=[2]数字化与研发投入!L27</f>
        <v>1</v>
      </c>
      <c r="AZ27" s="31" t="b">
        <f>M27=[2]数字化与研发投入!M27</f>
        <v>1</v>
      </c>
      <c r="BA27" s="31" t="b">
        <f>N27=[2]数字化与研发投入!N27</f>
        <v>1</v>
      </c>
      <c r="BB27" s="31" t="b">
        <f>O27=[2]数字化与研发投入!O27</f>
        <v>1</v>
      </c>
      <c r="BC27" s="31" t="b">
        <f>P27=[2]数字化与研发投入!P27</f>
        <v>1</v>
      </c>
      <c r="BD27" s="31" t="b">
        <f>Q27=[2]数字化与研发投入!Q27</f>
        <v>1</v>
      </c>
      <c r="BE27" s="31" t="b">
        <f>R27=[2]数字化与研发投入!R27</f>
        <v>1</v>
      </c>
      <c r="BF27" s="31" t="b">
        <f>S27=[2]数字化与研发投入!S27</f>
        <v>1</v>
      </c>
      <c r="BG27" s="31" t="b">
        <f>T27=[2]数字化与研发投入!T27</f>
        <v>1</v>
      </c>
      <c r="BH27" s="31" t="b">
        <f>U27=[2]数字化与研发投入!U27</f>
        <v>1</v>
      </c>
      <c r="BI27" s="31" t="b">
        <f>V27=[2]数字化与研发投入!V27</f>
        <v>1</v>
      </c>
      <c r="BJ27" s="31" t="b">
        <f>W27=[2]数字化与研发投入!W27</f>
        <v>1</v>
      </c>
      <c r="BK27" s="31" t="b">
        <f>X27=[2]数字化与研发投入!X27</f>
        <v>1</v>
      </c>
      <c r="BL27" s="31" t="b">
        <f>Y27=[2]数字化与研发投入!Y27</f>
        <v>1</v>
      </c>
      <c r="BM27" s="31" t="b">
        <f>Z27=[2]数字化与研发投入!Z27</f>
        <v>1</v>
      </c>
      <c r="BN27" s="31" t="b">
        <f>AA27=[2]数字化与研发投入!AA27</f>
        <v>1</v>
      </c>
      <c r="BO27" s="31" t="b">
        <f>AB27=[2]数字化与研发投入!AB27</f>
        <v>1</v>
      </c>
      <c r="BP27" s="31" t="b">
        <f>AC27=[2]数字化与研发投入!AC27</f>
        <v>1</v>
      </c>
      <c r="BQ27" s="31" t="b">
        <f>AD27=[2]数字化与研发投入!AD27</f>
        <v>1</v>
      </c>
      <c r="BR27" s="31" t="b">
        <f>AE27=[2]数字化与研发投入!AE27</f>
        <v>1</v>
      </c>
      <c r="BS27" s="31" t="b">
        <f>AF27=[2]数字化与研发投入!AF27</f>
        <v>1</v>
      </c>
      <c r="BT27" s="31" t="b">
        <f>AG27=[2]数字化与研发投入!AG27</f>
        <v>1</v>
      </c>
      <c r="BU27" s="31" t="b">
        <f>AH27=[2]数字化与研发投入!AH27</f>
        <v>1</v>
      </c>
      <c r="BV27" s="31" t="b">
        <f>AI27=[2]数字化与研发投入!AI27</f>
        <v>1</v>
      </c>
      <c r="BW27" s="31" t="b">
        <f>AJ27=[2]数字化与研发投入!AJ27</f>
        <v>1</v>
      </c>
      <c r="BX27" s="31" t="b">
        <f>AK27=[2]数字化与研发投入!AK27</f>
        <v>1</v>
      </c>
    </row>
    <row r="28" s="33" customFormat="1" ht="83" customHeight="1" spans="1:76">
      <c r="A28" s="92" t="s">
        <v>624</v>
      </c>
      <c r="B28" s="93" t="s">
        <v>453</v>
      </c>
      <c r="C28" s="94" t="s">
        <v>454</v>
      </c>
      <c r="D28" s="94" t="s">
        <v>625</v>
      </c>
      <c r="E28" s="95" t="s">
        <v>626</v>
      </c>
      <c r="F28" s="93" t="s">
        <v>627</v>
      </c>
      <c r="G28" s="95" t="s">
        <v>628</v>
      </c>
      <c r="H28" s="95" t="s">
        <v>629</v>
      </c>
      <c r="I28" s="95" t="s">
        <v>630</v>
      </c>
      <c r="J28" s="95" t="s">
        <v>631</v>
      </c>
      <c r="K28" s="94"/>
      <c r="L28" s="94" t="s">
        <v>36</v>
      </c>
      <c r="M28" s="94" t="s">
        <v>36</v>
      </c>
      <c r="N28" s="94"/>
      <c r="O28" s="94"/>
      <c r="P28" s="94"/>
      <c r="Q28" s="94"/>
      <c r="R28" s="94"/>
      <c r="S28" s="94" t="s">
        <v>36</v>
      </c>
      <c r="T28" s="94" t="s">
        <v>535</v>
      </c>
      <c r="U28" s="95" t="s">
        <v>632</v>
      </c>
      <c r="V28" s="95" t="s">
        <v>633</v>
      </c>
      <c r="W28" s="95" t="s">
        <v>634</v>
      </c>
      <c r="X28" s="94" t="s">
        <v>467</v>
      </c>
      <c r="Y28" s="94" t="s">
        <v>635</v>
      </c>
      <c r="Z28" s="94"/>
      <c r="AA28" s="94" t="s">
        <v>467</v>
      </c>
      <c r="AB28" s="94" t="s">
        <v>635</v>
      </c>
      <c r="AC28" s="94"/>
      <c r="AD28" s="95"/>
      <c r="AE28" s="94"/>
      <c r="AF28" s="94"/>
      <c r="AG28" s="94"/>
      <c r="AH28" s="94" t="s">
        <v>469</v>
      </c>
      <c r="AI28" s="94" t="s">
        <v>469</v>
      </c>
      <c r="AJ28" s="96" t="s">
        <v>636</v>
      </c>
      <c r="AK28" s="94" t="s">
        <v>637</v>
      </c>
      <c r="AL28" s="97"/>
      <c r="AM28" s="54" t="s">
        <v>759</v>
      </c>
      <c r="AN28" s="31" t="b">
        <f>A28=[2]数字化与研发投入!A28</f>
        <v>1</v>
      </c>
      <c r="AO28" s="31" t="b">
        <f>B28=[2]数字化与研发投入!B28</f>
        <v>1</v>
      </c>
      <c r="AP28" s="31" t="b">
        <f>C28=[2]数字化与研发投入!C28</f>
        <v>1</v>
      </c>
      <c r="AQ28" s="31" t="b">
        <f>D28=[2]数字化与研发投入!D28</f>
        <v>1</v>
      </c>
      <c r="AR28" s="31" t="b">
        <f>E28=[2]数字化与研发投入!E28</f>
        <v>1</v>
      </c>
      <c r="AS28" s="31" t="b">
        <f>F28=[2]数字化与研发投入!F28</f>
        <v>1</v>
      </c>
      <c r="AT28" s="31" t="b">
        <f>G28=[2]数字化与研发投入!G28</f>
        <v>1</v>
      </c>
      <c r="AU28" s="31" t="b">
        <f>H28=[2]数字化与研发投入!H28</f>
        <v>1</v>
      </c>
      <c r="AV28" s="31" t="b">
        <f>I28=[2]数字化与研发投入!I28</f>
        <v>1</v>
      </c>
      <c r="AW28" s="31" t="b">
        <f>J28=[2]数字化与研发投入!J28</f>
        <v>1</v>
      </c>
      <c r="AX28" s="31" t="b">
        <f>K28=[2]数字化与研发投入!K28</f>
        <v>1</v>
      </c>
      <c r="AY28" s="31" t="b">
        <f>L28=[2]数字化与研发投入!L28</f>
        <v>1</v>
      </c>
      <c r="AZ28" s="31" t="b">
        <f>M28=[2]数字化与研发投入!M28</f>
        <v>1</v>
      </c>
      <c r="BA28" s="31" t="b">
        <f>N28=[2]数字化与研发投入!N28</f>
        <v>1</v>
      </c>
      <c r="BB28" s="31" t="b">
        <f>O28=[2]数字化与研发投入!O28</f>
        <v>1</v>
      </c>
      <c r="BC28" s="31" t="b">
        <f>P28=[2]数字化与研发投入!P28</f>
        <v>1</v>
      </c>
      <c r="BD28" s="31" t="b">
        <f>Q28=[2]数字化与研发投入!Q28</f>
        <v>1</v>
      </c>
      <c r="BE28" s="31" t="b">
        <f>R28=[2]数字化与研发投入!R28</f>
        <v>1</v>
      </c>
      <c r="BF28" s="31" t="b">
        <f>S28=[2]数字化与研发投入!S28</f>
        <v>1</v>
      </c>
      <c r="BG28" s="31" t="b">
        <f>T28=[2]数字化与研发投入!T28</f>
        <v>1</v>
      </c>
      <c r="BH28" s="31" t="b">
        <f>U28=[2]数字化与研发投入!U28</f>
        <v>1</v>
      </c>
      <c r="BI28" s="31" t="b">
        <f>V28=[2]数字化与研发投入!V28</f>
        <v>1</v>
      </c>
      <c r="BJ28" s="31" t="b">
        <f>W28=[2]数字化与研发投入!W28</f>
        <v>1</v>
      </c>
      <c r="BK28" s="31" t="b">
        <f>X28=[2]数字化与研发投入!X28</f>
        <v>1</v>
      </c>
      <c r="BL28" s="31" t="b">
        <f>Y28=[2]数字化与研发投入!Y28</f>
        <v>1</v>
      </c>
      <c r="BM28" s="31" t="b">
        <f>Z28=[2]数字化与研发投入!Z28</f>
        <v>1</v>
      </c>
      <c r="BN28" s="31" t="b">
        <f>AA28=[2]数字化与研发投入!AA28</f>
        <v>1</v>
      </c>
      <c r="BO28" s="31" t="b">
        <f>AB28=[2]数字化与研发投入!AB28</f>
        <v>1</v>
      </c>
      <c r="BP28" s="31" t="b">
        <f>AC28=[2]数字化与研发投入!AC28</f>
        <v>1</v>
      </c>
      <c r="BQ28" s="31" t="b">
        <f>AD28=[2]数字化与研发投入!AD28</f>
        <v>1</v>
      </c>
      <c r="BR28" s="31" t="b">
        <f>AE28=[2]数字化与研发投入!AE28</f>
        <v>1</v>
      </c>
      <c r="BS28" s="31" t="b">
        <f>AF28=[2]数字化与研发投入!AF28</f>
        <v>1</v>
      </c>
      <c r="BT28" s="31" t="b">
        <f>AG28=[2]数字化与研发投入!AG28</f>
        <v>1</v>
      </c>
      <c r="BU28" s="31" t="b">
        <f>AH28=[2]数字化与研发投入!AH28</f>
        <v>1</v>
      </c>
      <c r="BV28" s="31" t="b">
        <f>AI28=[2]数字化与研发投入!AI28</f>
        <v>1</v>
      </c>
      <c r="BW28" s="31" t="b">
        <f>AJ28=[2]数字化与研发投入!AJ28</f>
        <v>1</v>
      </c>
      <c r="BX28" s="31" t="b">
        <f>AK28=[2]数字化与研发投入!AK28</f>
        <v>1</v>
      </c>
    </row>
    <row r="29" s="33" customFormat="1" ht="125" customHeight="1" spans="1:76">
      <c r="A29" s="92"/>
      <c r="B29" s="93"/>
      <c r="C29" s="94"/>
      <c r="D29" s="94"/>
      <c r="E29" s="95"/>
      <c r="F29" s="92"/>
      <c r="G29" s="95"/>
      <c r="H29" s="95"/>
      <c r="I29" s="95" t="s">
        <v>638</v>
      </c>
      <c r="J29" s="95" t="s">
        <v>639</v>
      </c>
      <c r="K29" s="94"/>
      <c r="L29" s="94" t="s">
        <v>36</v>
      </c>
      <c r="M29" s="94" t="s">
        <v>36</v>
      </c>
      <c r="N29" s="94"/>
      <c r="O29" s="94"/>
      <c r="P29" s="94"/>
      <c r="Q29" s="94"/>
      <c r="R29" s="94"/>
      <c r="S29" s="94" t="s">
        <v>36</v>
      </c>
      <c r="T29" s="94" t="s">
        <v>475</v>
      </c>
      <c r="U29" s="95"/>
      <c r="V29" s="95" t="s">
        <v>640</v>
      </c>
      <c r="W29" s="95" t="s">
        <v>641</v>
      </c>
      <c r="X29" s="94" t="s">
        <v>467</v>
      </c>
      <c r="Y29" s="94" t="s">
        <v>635</v>
      </c>
      <c r="Z29" s="94"/>
      <c r="AA29" s="94" t="s">
        <v>467</v>
      </c>
      <c r="AB29" s="94" t="s">
        <v>635</v>
      </c>
      <c r="AC29" s="94"/>
      <c r="AD29" s="95"/>
      <c r="AE29" s="94"/>
      <c r="AF29" s="94"/>
      <c r="AG29" s="94"/>
      <c r="AH29" s="94" t="s">
        <v>469</v>
      </c>
      <c r="AI29" s="94" t="s">
        <v>469</v>
      </c>
      <c r="AJ29" s="96" t="s">
        <v>636</v>
      </c>
      <c r="AK29" s="94" t="s">
        <v>637</v>
      </c>
      <c r="AL29" s="97"/>
      <c r="AM29" s="54" t="s">
        <v>759</v>
      </c>
      <c r="AN29" s="31" t="b">
        <f>A29=[2]数字化与研发投入!A29</f>
        <v>1</v>
      </c>
      <c r="AO29" s="31" t="b">
        <f>B29=[2]数字化与研发投入!B29</f>
        <v>1</v>
      </c>
      <c r="AP29" s="31" t="b">
        <f>C29=[2]数字化与研发投入!C29</f>
        <v>1</v>
      </c>
      <c r="AQ29" s="31" t="b">
        <f>D29=[2]数字化与研发投入!D29</f>
        <v>1</v>
      </c>
      <c r="AR29" s="31" t="b">
        <f>E29=[2]数字化与研发投入!E29</f>
        <v>1</v>
      </c>
      <c r="AS29" s="31" t="b">
        <f>F29=[2]数字化与研发投入!F29</f>
        <v>1</v>
      </c>
      <c r="AT29" s="31" t="b">
        <f>G29=[2]数字化与研发投入!G29</f>
        <v>1</v>
      </c>
      <c r="AU29" s="31" t="b">
        <f>H29=[2]数字化与研发投入!H29</f>
        <v>1</v>
      </c>
      <c r="AV29" s="31" t="b">
        <f>I29=[2]数字化与研发投入!I29</f>
        <v>1</v>
      </c>
      <c r="AW29" s="31" t="b">
        <f>J29=[2]数字化与研发投入!J29</f>
        <v>1</v>
      </c>
      <c r="AX29" s="31" t="b">
        <f>K29=[2]数字化与研发投入!K29</f>
        <v>1</v>
      </c>
      <c r="AY29" s="31" t="b">
        <f>L29=[2]数字化与研发投入!L29</f>
        <v>1</v>
      </c>
      <c r="AZ29" s="31" t="b">
        <f>M29=[2]数字化与研发投入!M29</f>
        <v>1</v>
      </c>
      <c r="BA29" s="31" t="b">
        <f>N29=[2]数字化与研发投入!N29</f>
        <v>1</v>
      </c>
      <c r="BB29" s="31" t="b">
        <f>O29=[2]数字化与研发投入!O29</f>
        <v>1</v>
      </c>
      <c r="BC29" s="31" t="b">
        <f>P29=[2]数字化与研发投入!P29</f>
        <v>1</v>
      </c>
      <c r="BD29" s="31" t="b">
        <f>Q29=[2]数字化与研发投入!Q29</f>
        <v>1</v>
      </c>
      <c r="BE29" s="31" t="b">
        <f>R29=[2]数字化与研发投入!R29</f>
        <v>1</v>
      </c>
      <c r="BF29" s="31" t="b">
        <f>S29=[2]数字化与研发投入!S29</f>
        <v>1</v>
      </c>
      <c r="BG29" s="31" t="b">
        <f>T29=[2]数字化与研发投入!T29</f>
        <v>1</v>
      </c>
      <c r="BH29" s="31" t="b">
        <f>U29=[2]数字化与研发投入!U29</f>
        <v>1</v>
      </c>
      <c r="BI29" s="31" t="b">
        <f>V29=[2]数字化与研发投入!V29</f>
        <v>1</v>
      </c>
      <c r="BJ29" s="31" t="b">
        <f>W29=[2]数字化与研发投入!W29</f>
        <v>1</v>
      </c>
      <c r="BK29" s="31" t="b">
        <f>X29=[2]数字化与研发投入!X29</f>
        <v>1</v>
      </c>
      <c r="BL29" s="31" t="b">
        <f>Y29=[2]数字化与研发投入!Y29</f>
        <v>1</v>
      </c>
      <c r="BM29" s="31" t="b">
        <f>Z29=[2]数字化与研发投入!Z29</f>
        <v>1</v>
      </c>
      <c r="BN29" s="31" t="b">
        <f>AA29=[2]数字化与研发投入!AA29</f>
        <v>1</v>
      </c>
      <c r="BO29" s="31" t="b">
        <f>AB29=[2]数字化与研发投入!AB29</f>
        <v>1</v>
      </c>
      <c r="BP29" s="31" t="b">
        <f>AC29=[2]数字化与研发投入!AC29</f>
        <v>1</v>
      </c>
      <c r="BQ29" s="31" t="b">
        <f>AD29=[2]数字化与研发投入!AD29</f>
        <v>1</v>
      </c>
      <c r="BR29" s="31" t="b">
        <f>AE29=[2]数字化与研发投入!AE29</f>
        <v>1</v>
      </c>
      <c r="BS29" s="31" t="b">
        <f>AF29=[2]数字化与研发投入!AF29</f>
        <v>1</v>
      </c>
      <c r="BT29" s="31" t="b">
        <f>AG29=[2]数字化与研发投入!AG29</f>
        <v>1</v>
      </c>
      <c r="BU29" s="31" t="b">
        <f>AH29=[2]数字化与研发投入!AH29</f>
        <v>1</v>
      </c>
      <c r="BV29" s="31" t="b">
        <f>AI29=[2]数字化与研发投入!AI29</f>
        <v>1</v>
      </c>
      <c r="BW29" s="31" t="b">
        <f>AJ29=[2]数字化与研发投入!AJ29</f>
        <v>1</v>
      </c>
      <c r="BX29" s="31" t="b">
        <f>AK29=[2]数字化与研发投入!AK29</f>
        <v>1</v>
      </c>
    </row>
    <row r="30" s="33" customFormat="1" ht="253" customHeight="1" spans="1:76">
      <c r="A30" s="92" t="s">
        <v>624</v>
      </c>
      <c r="B30" s="92" t="s">
        <v>516</v>
      </c>
      <c r="C30" s="94" t="s">
        <v>517</v>
      </c>
      <c r="D30" s="94" t="s">
        <v>495</v>
      </c>
      <c r="E30" s="95" t="s">
        <v>642</v>
      </c>
      <c r="F30" s="92"/>
      <c r="G30" s="95" t="s">
        <v>643</v>
      </c>
      <c r="H30" s="95" t="s">
        <v>644</v>
      </c>
      <c r="I30" s="95" t="s">
        <v>645</v>
      </c>
      <c r="J30" s="95" t="s">
        <v>646</v>
      </c>
      <c r="K30" s="94"/>
      <c r="L30" s="94"/>
      <c r="M30" s="94" t="s">
        <v>36</v>
      </c>
      <c r="N30" s="94" t="s">
        <v>36</v>
      </c>
      <c r="O30" s="94"/>
      <c r="P30" s="94"/>
      <c r="Q30" s="94"/>
      <c r="R30" s="94"/>
      <c r="S30" s="94"/>
      <c r="T30" s="94" t="s">
        <v>535</v>
      </c>
      <c r="U30" s="95" t="s">
        <v>536</v>
      </c>
      <c r="V30" s="95" t="s">
        <v>647</v>
      </c>
      <c r="W30" s="95" t="s">
        <v>648</v>
      </c>
      <c r="X30" s="94" t="s">
        <v>467</v>
      </c>
      <c r="Y30" s="94" t="s">
        <v>466</v>
      </c>
      <c r="Z30" s="94"/>
      <c r="AA30" s="94" t="s">
        <v>467</v>
      </c>
      <c r="AB30" s="94" t="s">
        <v>466</v>
      </c>
      <c r="AC30" s="94"/>
      <c r="AD30" s="95" t="s">
        <v>649</v>
      </c>
      <c r="AE30" s="94" t="s">
        <v>467</v>
      </c>
      <c r="AF30" s="94" t="s">
        <v>466</v>
      </c>
      <c r="AG30" s="94"/>
      <c r="AH30" s="94" t="s">
        <v>469</v>
      </c>
      <c r="AI30" s="94" t="s">
        <v>469</v>
      </c>
      <c r="AJ30" s="96" t="s">
        <v>650</v>
      </c>
      <c r="AK30" s="94" t="s">
        <v>637</v>
      </c>
      <c r="AL30" s="97"/>
      <c r="AM30" s="54" t="s">
        <v>759</v>
      </c>
      <c r="AN30" s="31" t="b">
        <f>A30=[2]数字化与研发投入!A30</f>
        <v>1</v>
      </c>
      <c r="AO30" s="31" t="b">
        <f>B30=[2]数字化与研发投入!B30</f>
        <v>1</v>
      </c>
      <c r="AP30" s="31" t="b">
        <f>C30=[2]数字化与研发投入!C30</f>
        <v>1</v>
      </c>
      <c r="AQ30" s="31" t="b">
        <f>D30=[2]数字化与研发投入!D30</f>
        <v>1</v>
      </c>
      <c r="AR30" s="31" t="b">
        <f>E30=[2]数字化与研发投入!E30</f>
        <v>1</v>
      </c>
      <c r="AS30" s="31" t="b">
        <f>F30=[2]数字化与研发投入!F30</f>
        <v>1</v>
      </c>
      <c r="AT30" s="31" t="b">
        <f>G30=[2]数字化与研发投入!G30</f>
        <v>1</v>
      </c>
      <c r="AU30" s="31" t="b">
        <f>H30=[2]数字化与研发投入!H30</f>
        <v>1</v>
      </c>
      <c r="AV30" s="31" t="b">
        <f>I30=[2]数字化与研发投入!I30</f>
        <v>1</v>
      </c>
      <c r="AW30" s="31" t="b">
        <f>J30=[2]数字化与研发投入!J30</f>
        <v>1</v>
      </c>
      <c r="AX30" s="31" t="b">
        <f>K30=[2]数字化与研发投入!K30</f>
        <v>1</v>
      </c>
      <c r="AY30" s="31" t="b">
        <f>L30=[2]数字化与研发投入!L30</f>
        <v>1</v>
      </c>
      <c r="AZ30" s="31" t="b">
        <f>M30=[2]数字化与研发投入!M30</f>
        <v>1</v>
      </c>
      <c r="BA30" s="31" t="b">
        <f>N30=[2]数字化与研发投入!N30</f>
        <v>1</v>
      </c>
      <c r="BB30" s="31" t="b">
        <f>O30=[2]数字化与研发投入!O30</f>
        <v>1</v>
      </c>
      <c r="BC30" s="31" t="b">
        <f>P30=[2]数字化与研发投入!P30</f>
        <v>1</v>
      </c>
      <c r="BD30" s="31" t="b">
        <f>Q30=[2]数字化与研发投入!Q30</f>
        <v>1</v>
      </c>
      <c r="BE30" s="31" t="b">
        <f>R30=[2]数字化与研发投入!R30</f>
        <v>1</v>
      </c>
      <c r="BF30" s="31" t="b">
        <f>S30=[2]数字化与研发投入!S30</f>
        <v>1</v>
      </c>
      <c r="BG30" s="31" t="b">
        <f>T30=[2]数字化与研发投入!T30</f>
        <v>1</v>
      </c>
      <c r="BH30" s="31" t="b">
        <f>U30=[2]数字化与研发投入!U30</f>
        <v>1</v>
      </c>
      <c r="BI30" s="31" t="b">
        <f>V30=[2]数字化与研发投入!V30</f>
        <v>1</v>
      </c>
      <c r="BJ30" s="31" t="b">
        <f>W30=[2]数字化与研发投入!W30</f>
        <v>1</v>
      </c>
      <c r="BK30" s="31" t="b">
        <f>X30=[2]数字化与研发投入!X30</f>
        <v>1</v>
      </c>
      <c r="BL30" s="31" t="b">
        <f>Y30=[2]数字化与研发投入!Y30</f>
        <v>1</v>
      </c>
      <c r="BM30" s="31" t="b">
        <f>Z30=[2]数字化与研发投入!Z30</f>
        <v>1</v>
      </c>
      <c r="BN30" s="31" t="b">
        <f>AA30=[2]数字化与研发投入!AA30</f>
        <v>1</v>
      </c>
      <c r="BO30" s="31" t="b">
        <f>AB30=[2]数字化与研发投入!AB30</f>
        <v>1</v>
      </c>
      <c r="BP30" s="31" t="b">
        <f>AC30=[2]数字化与研发投入!AC30</f>
        <v>1</v>
      </c>
      <c r="BQ30" s="31" t="b">
        <f>AD30=[2]数字化与研发投入!AD30</f>
        <v>1</v>
      </c>
      <c r="BR30" s="31" t="b">
        <f>AE30=[2]数字化与研发投入!AE30</f>
        <v>1</v>
      </c>
      <c r="BS30" s="31" t="b">
        <f>AF30=[2]数字化与研发投入!AF30</f>
        <v>1</v>
      </c>
      <c r="BT30" s="31" t="b">
        <f>AG30=[2]数字化与研发投入!AG30</f>
        <v>1</v>
      </c>
      <c r="BU30" s="31" t="b">
        <f>AH30=[2]数字化与研发投入!AH30</f>
        <v>1</v>
      </c>
      <c r="BV30" s="31" t="b">
        <f>AI30=[2]数字化与研发投入!AI30</f>
        <v>1</v>
      </c>
      <c r="BW30" s="31" t="b">
        <f>AJ30=[2]数字化与研发投入!AJ30</f>
        <v>1</v>
      </c>
      <c r="BX30" s="31" t="b">
        <f>AK30=[2]数字化与研发投入!AK30</f>
        <v>1</v>
      </c>
    </row>
    <row r="31" s="33" customFormat="1" ht="201" customHeight="1" spans="1:76">
      <c r="A31" s="92"/>
      <c r="B31" s="92"/>
      <c r="C31" s="94"/>
      <c r="D31" s="94"/>
      <c r="E31" s="95"/>
      <c r="F31" s="92"/>
      <c r="G31" s="95"/>
      <c r="H31" s="95"/>
      <c r="I31" s="95" t="s">
        <v>651</v>
      </c>
      <c r="J31" s="95" t="s">
        <v>652</v>
      </c>
      <c r="K31" s="94"/>
      <c r="L31" s="94"/>
      <c r="M31" s="94"/>
      <c r="N31" s="94"/>
      <c r="O31" s="94"/>
      <c r="P31" s="94"/>
      <c r="Q31" s="94"/>
      <c r="R31" s="94"/>
      <c r="S31" s="94" t="s">
        <v>36</v>
      </c>
      <c r="T31" s="94" t="s">
        <v>475</v>
      </c>
      <c r="U31" s="95"/>
      <c r="V31" s="95" t="s">
        <v>653</v>
      </c>
      <c r="W31" s="95" t="s">
        <v>654</v>
      </c>
      <c r="X31" s="94" t="s">
        <v>467</v>
      </c>
      <c r="Y31" s="94" t="s">
        <v>466</v>
      </c>
      <c r="Z31" s="94"/>
      <c r="AA31" s="94" t="s">
        <v>467</v>
      </c>
      <c r="AB31" s="94" t="s">
        <v>466</v>
      </c>
      <c r="AC31" s="94"/>
      <c r="AD31" s="95"/>
      <c r="AE31" s="94"/>
      <c r="AF31" s="94"/>
      <c r="AG31" s="94"/>
      <c r="AH31" s="94" t="s">
        <v>469</v>
      </c>
      <c r="AI31" s="94" t="s">
        <v>469</v>
      </c>
      <c r="AJ31" s="96" t="s">
        <v>655</v>
      </c>
      <c r="AK31" s="94" t="s">
        <v>637</v>
      </c>
      <c r="AL31" s="97"/>
      <c r="AM31" s="54" t="s">
        <v>759</v>
      </c>
      <c r="AN31" s="31" t="b">
        <f>A31=[2]数字化与研发投入!A31</f>
        <v>1</v>
      </c>
      <c r="AO31" s="31" t="b">
        <f>B31=[2]数字化与研发投入!B31</f>
        <v>1</v>
      </c>
      <c r="AP31" s="31" t="b">
        <f>C31=[2]数字化与研发投入!C31</f>
        <v>1</v>
      </c>
      <c r="AQ31" s="31" t="b">
        <f>D31=[2]数字化与研发投入!D31</f>
        <v>1</v>
      </c>
      <c r="AR31" s="31" t="b">
        <f>E31=[2]数字化与研发投入!E31</f>
        <v>1</v>
      </c>
      <c r="AS31" s="31" t="b">
        <f>F31=[2]数字化与研发投入!F31</f>
        <v>1</v>
      </c>
      <c r="AT31" s="31" t="b">
        <f>G31=[2]数字化与研发投入!G31</f>
        <v>1</v>
      </c>
      <c r="AU31" s="31" t="b">
        <f>H31=[2]数字化与研发投入!H31</f>
        <v>1</v>
      </c>
      <c r="AV31" s="31" t="b">
        <f>I31=[2]数字化与研发投入!I31</f>
        <v>1</v>
      </c>
      <c r="AW31" s="31" t="b">
        <f>J31=[2]数字化与研发投入!J31</f>
        <v>1</v>
      </c>
      <c r="AX31" s="31" t="b">
        <f>K31=[2]数字化与研发投入!K31</f>
        <v>1</v>
      </c>
      <c r="AY31" s="31" t="b">
        <f>L31=[2]数字化与研发投入!L31</f>
        <v>1</v>
      </c>
      <c r="AZ31" s="31" t="b">
        <f>M31=[2]数字化与研发投入!M31</f>
        <v>1</v>
      </c>
      <c r="BA31" s="31" t="b">
        <f>N31=[2]数字化与研发投入!N31</f>
        <v>1</v>
      </c>
      <c r="BB31" s="31" t="b">
        <f>O31=[2]数字化与研发投入!O31</f>
        <v>1</v>
      </c>
      <c r="BC31" s="31" t="b">
        <f>P31=[2]数字化与研发投入!P31</f>
        <v>1</v>
      </c>
      <c r="BD31" s="31" t="b">
        <f>Q31=[2]数字化与研发投入!Q31</f>
        <v>1</v>
      </c>
      <c r="BE31" s="31" t="b">
        <f>R31=[2]数字化与研发投入!R31</f>
        <v>1</v>
      </c>
      <c r="BF31" s="31" t="b">
        <f>S31=[2]数字化与研发投入!S31</f>
        <v>1</v>
      </c>
      <c r="BG31" s="31" t="b">
        <f>T31=[2]数字化与研发投入!T31</f>
        <v>1</v>
      </c>
      <c r="BH31" s="31" t="b">
        <f>U31=[2]数字化与研发投入!U31</f>
        <v>1</v>
      </c>
      <c r="BI31" s="31" t="b">
        <f>V31=[2]数字化与研发投入!V31</f>
        <v>1</v>
      </c>
      <c r="BJ31" s="31" t="b">
        <f>W31=[2]数字化与研发投入!W31</f>
        <v>1</v>
      </c>
      <c r="BK31" s="31" t="b">
        <f>X31=[2]数字化与研发投入!X31</f>
        <v>1</v>
      </c>
      <c r="BL31" s="31" t="b">
        <f>Y31=[2]数字化与研发投入!Y31</f>
        <v>1</v>
      </c>
      <c r="BM31" s="31" t="b">
        <f>Z31=[2]数字化与研发投入!Z31</f>
        <v>1</v>
      </c>
      <c r="BN31" s="31" t="b">
        <f>AA31=[2]数字化与研发投入!AA31</f>
        <v>1</v>
      </c>
      <c r="BO31" s="31" t="b">
        <f>AB31=[2]数字化与研发投入!AB31</f>
        <v>1</v>
      </c>
      <c r="BP31" s="31" t="b">
        <f>AC31=[2]数字化与研发投入!AC31</f>
        <v>1</v>
      </c>
      <c r="BQ31" s="31" t="b">
        <f>AD31=[2]数字化与研发投入!AD31</f>
        <v>1</v>
      </c>
      <c r="BR31" s="31" t="b">
        <f>AE31=[2]数字化与研发投入!AE31</f>
        <v>1</v>
      </c>
      <c r="BS31" s="31" t="b">
        <f>AF31=[2]数字化与研发投入!AF31</f>
        <v>1</v>
      </c>
      <c r="BT31" s="31" t="b">
        <f>AG31=[2]数字化与研发投入!AG31</f>
        <v>1</v>
      </c>
      <c r="BU31" s="31" t="b">
        <f>AH31=[2]数字化与研发投入!AH31</f>
        <v>1</v>
      </c>
      <c r="BV31" s="31" t="b">
        <f>AI31=[2]数字化与研发投入!AI31</f>
        <v>1</v>
      </c>
      <c r="BW31" s="31" t="b">
        <f>AJ31=[2]数字化与研发投入!AJ31</f>
        <v>1</v>
      </c>
      <c r="BX31" s="31" t="b">
        <f>AK31=[2]数字化与研发投入!AK31</f>
        <v>1</v>
      </c>
    </row>
    <row r="32" s="33" customFormat="1" ht="187" customHeight="1" spans="1:76">
      <c r="A32" s="92"/>
      <c r="B32" s="92"/>
      <c r="C32" s="94"/>
      <c r="D32" s="94" t="s">
        <v>518</v>
      </c>
      <c r="E32" s="95" t="s">
        <v>656</v>
      </c>
      <c r="F32" s="93" t="s">
        <v>657</v>
      </c>
      <c r="G32" s="95" t="s">
        <v>658</v>
      </c>
      <c r="H32" s="95" t="s">
        <v>659</v>
      </c>
      <c r="I32" s="95" t="s">
        <v>660</v>
      </c>
      <c r="J32" s="95" t="s">
        <v>661</v>
      </c>
      <c r="K32" s="94"/>
      <c r="L32" s="94"/>
      <c r="M32" s="94" t="s">
        <v>36</v>
      </c>
      <c r="N32" s="94"/>
      <c r="O32" s="94" t="s">
        <v>36</v>
      </c>
      <c r="P32" s="94" t="s">
        <v>36</v>
      </c>
      <c r="Q32" s="94"/>
      <c r="R32" s="94"/>
      <c r="S32" s="94"/>
      <c r="T32" s="94" t="s">
        <v>535</v>
      </c>
      <c r="U32" s="95" t="s">
        <v>536</v>
      </c>
      <c r="V32" s="95" t="s">
        <v>662</v>
      </c>
      <c r="W32" s="95" t="s">
        <v>663</v>
      </c>
      <c r="X32" s="94" t="s">
        <v>503</v>
      </c>
      <c r="Y32" s="94" t="s">
        <v>540</v>
      </c>
      <c r="Z32" s="94"/>
      <c r="AA32" s="94" t="s">
        <v>503</v>
      </c>
      <c r="AB32" s="94" t="s">
        <v>540</v>
      </c>
      <c r="AC32" s="94"/>
      <c r="AD32" s="95" t="s">
        <v>664</v>
      </c>
      <c r="AE32" s="94" t="s">
        <v>665</v>
      </c>
      <c r="AF32" s="94" t="s">
        <v>540</v>
      </c>
      <c r="AG32" s="94"/>
      <c r="AH32" s="94" t="s">
        <v>469</v>
      </c>
      <c r="AI32" s="94" t="s">
        <v>469</v>
      </c>
      <c r="AJ32" s="96" t="s">
        <v>666</v>
      </c>
      <c r="AK32" s="94" t="s">
        <v>667</v>
      </c>
      <c r="AL32" s="97"/>
      <c r="AM32" s="54" t="s">
        <v>759</v>
      </c>
      <c r="AN32" s="31" t="b">
        <f>A32=[2]数字化与研发投入!A32</f>
        <v>1</v>
      </c>
      <c r="AO32" s="31" t="b">
        <f>B32=[2]数字化与研发投入!B32</f>
        <v>1</v>
      </c>
      <c r="AP32" s="31" t="b">
        <f>C32=[2]数字化与研发投入!C32</f>
        <v>1</v>
      </c>
      <c r="AQ32" s="31" t="b">
        <f>D32=[2]数字化与研发投入!D32</f>
        <v>1</v>
      </c>
      <c r="AR32" s="31" t="b">
        <f>E32=[2]数字化与研发投入!E32</f>
        <v>1</v>
      </c>
      <c r="AS32" s="31" t="b">
        <f>F32=[2]数字化与研发投入!F32</f>
        <v>1</v>
      </c>
      <c r="AT32" s="31" t="b">
        <f>G32=[2]数字化与研发投入!G32</f>
        <v>1</v>
      </c>
      <c r="AU32" s="31" t="b">
        <f>H32=[2]数字化与研发投入!H32</f>
        <v>1</v>
      </c>
      <c r="AV32" s="31" t="b">
        <f>I32=[2]数字化与研发投入!I32</f>
        <v>1</v>
      </c>
      <c r="AW32" s="31" t="b">
        <f>J32=[2]数字化与研发投入!J32</f>
        <v>1</v>
      </c>
      <c r="AX32" s="31" t="b">
        <f>K32=[2]数字化与研发投入!K32</f>
        <v>1</v>
      </c>
      <c r="AY32" s="31" t="b">
        <f>L32=[2]数字化与研发投入!L32</f>
        <v>1</v>
      </c>
      <c r="AZ32" s="31" t="b">
        <f>M32=[2]数字化与研发投入!M32</f>
        <v>1</v>
      </c>
      <c r="BA32" s="31" t="b">
        <f>N32=[2]数字化与研发投入!N32</f>
        <v>1</v>
      </c>
      <c r="BB32" s="31" t="b">
        <f>O32=[2]数字化与研发投入!O32</f>
        <v>1</v>
      </c>
      <c r="BC32" s="31" t="b">
        <f>P32=[2]数字化与研发投入!P32</f>
        <v>1</v>
      </c>
      <c r="BD32" s="31" t="b">
        <f>Q32=[2]数字化与研发投入!Q32</f>
        <v>1</v>
      </c>
      <c r="BE32" s="31" t="b">
        <f>R32=[2]数字化与研发投入!R32</f>
        <v>1</v>
      </c>
      <c r="BF32" s="31" t="b">
        <f>S32=[2]数字化与研发投入!S32</f>
        <v>1</v>
      </c>
      <c r="BG32" s="31" t="b">
        <f>T32=[2]数字化与研发投入!T32</f>
        <v>1</v>
      </c>
      <c r="BH32" s="31" t="b">
        <f>U32=[2]数字化与研发投入!U32</f>
        <v>1</v>
      </c>
      <c r="BI32" s="31" t="b">
        <f>V32=[2]数字化与研发投入!V32</f>
        <v>1</v>
      </c>
      <c r="BJ32" s="31" t="b">
        <f>W32=[2]数字化与研发投入!W32</f>
        <v>1</v>
      </c>
      <c r="BK32" s="31" t="b">
        <f>X32=[2]数字化与研发投入!X32</f>
        <v>1</v>
      </c>
      <c r="BL32" s="31" t="b">
        <f>Y32=[2]数字化与研发投入!Y32</f>
        <v>1</v>
      </c>
      <c r="BM32" s="31" t="b">
        <f>Z32=[2]数字化与研发投入!Z32</f>
        <v>1</v>
      </c>
      <c r="BN32" s="31" t="b">
        <f>AA32=[2]数字化与研发投入!AA32</f>
        <v>1</v>
      </c>
      <c r="BO32" s="31" t="b">
        <f>AB32=[2]数字化与研发投入!AB32</f>
        <v>1</v>
      </c>
      <c r="BP32" s="31" t="b">
        <f>AC32=[2]数字化与研发投入!AC32</f>
        <v>1</v>
      </c>
      <c r="BQ32" s="31" t="b">
        <f>AD32=[2]数字化与研发投入!AD32</f>
        <v>1</v>
      </c>
      <c r="BR32" s="31" t="b">
        <f>AE32=[2]数字化与研发投入!AE32</f>
        <v>1</v>
      </c>
      <c r="BS32" s="31" t="b">
        <f>AF32=[2]数字化与研发投入!AF32</f>
        <v>1</v>
      </c>
      <c r="BT32" s="31" t="b">
        <f>AG32=[2]数字化与研发投入!AG32</f>
        <v>1</v>
      </c>
      <c r="BU32" s="31" t="b">
        <f>AH32=[2]数字化与研发投入!AH32</f>
        <v>1</v>
      </c>
      <c r="BV32" s="31" t="b">
        <f>AI32=[2]数字化与研发投入!AI32</f>
        <v>1</v>
      </c>
      <c r="BW32" s="31" t="b">
        <f>AJ32=[2]数字化与研发投入!AJ32</f>
        <v>1</v>
      </c>
      <c r="BX32" s="31" t="b">
        <f>AK32=[2]数字化与研发投入!AK32</f>
        <v>1</v>
      </c>
    </row>
    <row r="33" s="33" customFormat="1" ht="151" customHeight="1" spans="1:76">
      <c r="A33" s="92"/>
      <c r="B33" s="92"/>
      <c r="C33" s="94"/>
      <c r="D33" s="94"/>
      <c r="E33" s="95"/>
      <c r="F33" s="92"/>
      <c r="G33" s="95"/>
      <c r="H33" s="95"/>
      <c r="I33" s="95" t="s">
        <v>668</v>
      </c>
      <c r="J33" s="95" t="s">
        <v>669</v>
      </c>
      <c r="K33" s="98"/>
      <c r="L33" s="94"/>
      <c r="M33" s="94" t="s">
        <v>36</v>
      </c>
      <c r="N33" s="94"/>
      <c r="O33" s="94" t="s">
        <v>36</v>
      </c>
      <c r="P33" s="94"/>
      <c r="Q33" s="94"/>
      <c r="R33" s="94"/>
      <c r="S33" s="94"/>
      <c r="T33" s="94" t="s">
        <v>475</v>
      </c>
      <c r="U33" s="95"/>
      <c r="V33" s="95" t="s">
        <v>670</v>
      </c>
      <c r="W33" s="95" t="s">
        <v>654</v>
      </c>
      <c r="X33" s="94" t="s">
        <v>503</v>
      </c>
      <c r="Y33" s="94" t="s">
        <v>540</v>
      </c>
      <c r="Z33" s="94"/>
      <c r="AA33" s="94" t="s">
        <v>503</v>
      </c>
      <c r="AB33" s="94" t="s">
        <v>540</v>
      </c>
      <c r="AC33" s="94"/>
      <c r="AD33" s="95"/>
      <c r="AE33" s="94"/>
      <c r="AF33" s="94"/>
      <c r="AG33" s="94"/>
      <c r="AH33" s="94" t="s">
        <v>469</v>
      </c>
      <c r="AI33" s="94" t="s">
        <v>469</v>
      </c>
      <c r="AJ33" s="96" t="s">
        <v>666</v>
      </c>
      <c r="AK33" s="94" t="s">
        <v>667</v>
      </c>
      <c r="AL33" s="97"/>
      <c r="AM33" s="54" t="s">
        <v>759</v>
      </c>
      <c r="AN33" s="31" t="b">
        <f>A33=[2]数字化与研发投入!A33</f>
        <v>1</v>
      </c>
      <c r="AO33" s="31" t="b">
        <f>B33=[2]数字化与研发投入!B33</f>
        <v>1</v>
      </c>
      <c r="AP33" s="31" t="b">
        <f>C33=[2]数字化与研发投入!C33</f>
        <v>1</v>
      </c>
      <c r="AQ33" s="31" t="b">
        <f>D33=[2]数字化与研发投入!D33</f>
        <v>1</v>
      </c>
      <c r="AR33" s="31" t="b">
        <f>E33=[2]数字化与研发投入!E33</f>
        <v>1</v>
      </c>
      <c r="AS33" s="31" t="b">
        <f>F33=[2]数字化与研发投入!F33</f>
        <v>1</v>
      </c>
      <c r="AT33" s="31" t="b">
        <f>G33=[2]数字化与研发投入!G33</f>
        <v>1</v>
      </c>
      <c r="AU33" s="31" t="b">
        <f>H33=[2]数字化与研发投入!H33</f>
        <v>1</v>
      </c>
      <c r="AV33" s="31" t="b">
        <f>I33=[2]数字化与研发投入!I33</f>
        <v>1</v>
      </c>
      <c r="AW33" s="31" t="b">
        <f>J33=[2]数字化与研发投入!J33</f>
        <v>1</v>
      </c>
      <c r="AX33" s="31" t="b">
        <f>K33=[2]数字化与研发投入!K33</f>
        <v>1</v>
      </c>
      <c r="AY33" s="31" t="b">
        <f>L33=[2]数字化与研发投入!L33</f>
        <v>1</v>
      </c>
      <c r="AZ33" s="31" t="b">
        <f>M33=[2]数字化与研发投入!M33</f>
        <v>1</v>
      </c>
      <c r="BA33" s="31" t="b">
        <f>N33=[2]数字化与研发投入!N33</f>
        <v>1</v>
      </c>
      <c r="BB33" s="31" t="b">
        <f>O33=[2]数字化与研发投入!O33</f>
        <v>1</v>
      </c>
      <c r="BC33" s="31" t="b">
        <f>P33=[2]数字化与研发投入!P33</f>
        <v>1</v>
      </c>
      <c r="BD33" s="31" t="b">
        <f>Q33=[2]数字化与研发投入!Q33</f>
        <v>1</v>
      </c>
      <c r="BE33" s="31" t="b">
        <f>R33=[2]数字化与研发投入!R33</f>
        <v>1</v>
      </c>
      <c r="BF33" s="31" t="b">
        <f>S33=[2]数字化与研发投入!S33</f>
        <v>1</v>
      </c>
      <c r="BG33" s="31" t="b">
        <f>T33=[2]数字化与研发投入!T33</f>
        <v>1</v>
      </c>
      <c r="BH33" s="31" t="b">
        <f>U33=[2]数字化与研发投入!U33</f>
        <v>1</v>
      </c>
      <c r="BI33" s="31" t="b">
        <f>V33=[2]数字化与研发投入!V33</f>
        <v>1</v>
      </c>
      <c r="BJ33" s="31" t="b">
        <f>W33=[2]数字化与研发投入!W33</f>
        <v>1</v>
      </c>
      <c r="BK33" s="31" t="b">
        <f>X33=[2]数字化与研发投入!X33</f>
        <v>1</v>
      </c>
      <c r="BL33" s="31" t="b">
        <f>Y33=[2]数字化与研发投入!Y33</f>
        <v>1</v>
      </c>
      <c r="BM33" s="31" t="b">
        <f>Z33=[2]数字化与研发投入!Z33</f>
        <v>1</v>
      </c>
      <c r="BN33" s="31" t="b">
        <f>AA33=[2]数字化与研发投入!AA33</f>
        <v>1</v>
      </c>
      <c r="BO33" s="31" t="b">
        <f>AB33=[2]数字化与研发投入!AB33</f>
        <v>1</v>
      </c>
      <c r="BP33" s="31" t="b">
        <f>AC33=[2]数字化与研发投入!AC33</f>
        <v>1</v>
      </c>
      <c r="BQ33" s="31" t="b">
        <f>AD33=[2]数字化与研发投入!AD33</f>
        <v>1</v>
      </c>
      <c r="BR33" s="31" t="b">
        <f>AE33=[2]数字化与研发投入!AE33</f>
        <v>1</v>
      </c>
      <c r="BS33" s="31" t="b">
        <f>AF33=[2]数字化与研发投入!AF33</f>
        <v>1</v>
      </c>
      <c r="BT33" s="31" t="b">
        <f>AG33=[2]数字化与研发投入!AG33</f>
        <v>1</v>
      </c>
      <c r="BU33" s="31" t="b">
        <f>AH33=[2]数字化与研发投入!AH33</f>
        <v>1</v>
      </c>
      <c r="BV33" s="31" t="b">
        <f>AI33=[2]数字化与研发投入!AI33</f>
        <v>1</v>
      </c>
      <c r="BW33" s="31" t="b">
        <f>AJ33=[2]数字化与研发投入!AJ33</f>
        <v>1</v>
      </c>
      <c r="BX33" s="31" t="b">
        <f>AK33=[2]数字化与研发投入!AK33</f>
        <v>1</v>
      </c>
    </row>
    <row r="34" s="33" customFormat="1" ht="200" customHeight="1" spans="1:76">
      <c r="A34" s="92"/>
      <c r="B34" s="92"/>
      <c r="C34" s="94"/>
      <c r="D34" s="94"/>
      <c r="E34" s="95"/>
      <c r="F34" s="92"/>
      <c r="G34" s="95"/>
      <c r="H34" s="95"/>
      <c r="I34" s="95" t="s">
        <v>671</v>
      </c>
      <c r="J34" s="95" t="s">
        <v>672</v>
      </c>
      <c r="K34" s="98"/>
      <c r="L34" s="94"/>
      <c r="M34" s="94"/>
      <c r="N34" s="94" t="s">
        <v>36</v>
      </c>
      <c r="O34" s="94" t="s">
        <v>36</v>
      </c>
      <c r="P34" s="94" t="s">
        <v>36</v>
      </c>
      <c r="Q34" s="94" t="s">
        <v>36</v>
      </c>
      <c r="R34" s="94"/>
      <c r="S34" s="94"/>
      <c r="T34" s="94" t="s">
        <v>535</v>
      </c>
      <c r="U34" s="95" t="s">
        <v>536</v>
      </c>
      <c r="V34" s="95" t="s">
        <v>673</v>
      </c>
      <c r="W34" s="95" t="s">
        <v>674</v>
      </c>
      <c r="X34" s="94" t="s">
        <v>503</v>
      </c>
      <c r="Y34" s="94" t="s">
        <v>540</v>
      </c>
      <c r="Z34" s="94"/>
      <c r="AA34" s="94" t="s">
        <v>503</v>
      </c>
      <c r="AB34" s="94" t="s">
        <v>540</v>
      </c>
      <c r="AC34" s="94"/>
      <c r="AD34" s="95" t="s">
        <v>675</v>
      </c>
      <c r="AE34" s="94" t="s">
        <v>665</v>
      </c>
      <c r="AF34" s="94" t="s">
        <v>540</v>
      </c>
      <c r="AG34" s="94"/>
      <c r="AH34" s="94" t="s">
        <v>469</v>
      </c>
      <c r="AI34" s="94" t="s">
        <v>469</v>
      </c>
      <c r="AJ34" s="96" t="s">
        <v>666</v>
      </c>
      <c r="AK34" s="94" t="s">
        <v>667</v>
      </c>
      <c r="AL34" s="97"/>
      <c r="AM34" s="54" t="s">
        <v>759</v>
      </c>
      <c r="AN34" s="31" t="b">
        <f>A34=[2]数字化与研发投入!A34</f>
        <v>1</v>
      </c>
      <c r="AO34" s="31" t="b">
        <f>B34=[2]数字化与研发投入!B34</f>
        <v>1</v>
      </c>
      <c r="AP34" s="31" t="b">
        <f>C34=[2]数字化与研发投入!C34</f>
        <v>1</v>
      </c>
      <c r="AQ34" s="31" t="b">
        <f>D34=[2]数字化与研发投入!D34</f>
        <v>1</v>
      </c>
      <c r="AR34" s="31" t="b">
        <f>E34=[2]数字化与研发投入!E34</f>
        <v>1</v>
      </c>
      <c r="AS34" s="31" t="b">
        <f>F34=[2]数字化与研发投入!F34</f>
        <v>1</v>
      </c>
      <c r="AT34" s="31" t="b">
        <f>G34=[2]数字化与研发投入!G34</f>
        <v>1</v>
      </c>
      <c r="AU34" s="31" t="b">
        <f>H34=[2]数字化与研发投入!H34</f>
        <v>1</v>
      </c>
      <c r="AV34" s="31" t="b">
        <f>I34=[2]数字化与研发投入!I34</f>
        <v>1</v>
      </c>
      <c r="AW34" s="31" t="b">
        <f>J34=[2]数字化与研发投入!J34</f>
        <v>1</v>
      </c>
      <c r="AX34" s="31" t="b">
        <f>K34=[2]数字化与研发投入!K34</f>
        <v>1</v>
      </c>
      <c r="AY34" s="31" t="b">
        <f>L34=[2]数字化与研发投入!L34</f>
        <v>1</v>
      </c>
      <c r="AZ34" s="31" t="b">
        <f>M34=[2]数字化与研发投入!M34</f>
        <v>1</v>
      </c>
      <c r="BA34" s="31" t="b">
        <f>N34=[2]数字化与研发投入!N34</f>
        <v>1</v>
      </c>
      <c r="BB34" s="31" t="b">
        <f>O34=[2]数字化与研发投入!O34</f>
        <v>1</v>
      </c>
      <c r="BC34" s="31" t="b">
        <f>P34=[2]数字化与研发投入!P34</f>
        <v>1</v>
      </c>
      <c r="BD34" s="31" t="b">
        <f>Q34=[2]数字化与研发投入!Q34</f>
        <v>1</v>
      </c>
      <c r="BE34" s="31" t="b">
        <f>R34=[2]数字化与研发投入!R34</f>
        <v>1</v>
      </c>
      <c r="BF34" s="31" t="b">
        <f>S34=[2]数字化与研发投入!S34</f>
        <v>1</v>
      </c>
      <c r="BG34" s="31" t="b">
        <f>T34=[2]数字化与研发投入!T34</f>
        <v>1</v>
      </c>
      <c r="BH34" s="31" t="b">
        <f>U34=[2]数字化与研发投入!U34</f>
        <v>1</v>
      </c>
      <c r="BI34" s="31" t="b">
        <f>V34=[2]数字化与研发投入!V34</f>
        <v>1</v>
      </c>
      <c r="BJ34" s="31" t="b">
        <f>W34=[2]数字化与研发投入!W34</f>
        <v>1</v>
      </c>
      <c r="BK34" s="31" t="b">
        <f>X34=[2]数字化与研发投入!X34</f>
        <v>1</v>
      </c>
      <c r="BL34" s="31" t="b">
        <f>Y34=[2]数字化与研发投入!Y34</f>
        <v>1</v>
      </c>
      <c r="BM34" s="31" t="b">
        <f>Z34=[2]数字化与研发投入!Z34</f>
        <v>1</v>
      </c>
      <c r="BN34" s="31" t="b">
        <f>AA34=[2]数字化与研发投入!AA34</f>
        <v>1</v>
      </c>
      <c r="BO34" s="31" t="b">
        <f>AB34=[2]数字化与研发投入!AB34</f>
        <v>1</v>
      </c>
      <c r="BP34" s="31" t="b">
        <f>AC34=[2]数字化与研发投入!AC34</f>
        <v>1</v>
      </c>
      <c r="BQ34" s="31" t="b">
        <f>AD34=[2]数字化与研发投入!AD34</f>
        <v>1</v>
      </c>
      <c r="BR34" s="31" t="b">
        <f>AE34=[2]数字化与研发投入!AE34</f>
        <v>1</v>
      </c>
      <c r="BS34" s="31" t="b">
        <f>AF34=[2]数字化与研发投入!AF34</f>
        <v>1</v>
      </c>
      <c r="BT34" s="31" t="b">
        <f>AG34=[2]数字化与研发投入!AG34</f>
        <v>1</v>
      </c>
      <c r="BU34" s="31" t="b">
        <f>AH34=[2]数字化与研发投入!AH34</f>
        <v>1</v>
      </c>
      <c r="BV34" s="31" t="b">
        <f>AI34=[2]数字化与研发投入!AI34</f>
        <v>1</v>
      </c>
      <c r="BW34" s="31" t="b">
        <f>AJ34=[2]数字化与研发投入!AJ34</f>
        <v>1</v>
      </c>
      <c r="BX34" s="31" t="b">
        <f>AK34=[2]数字化与研发投入!AK34</f>
        <v>1</v>
      </c>
    </row>
    <row r="35" s="33" customFormat="1" ht="140" customHeight="1" spans="1:76">
      <c r="A35" s="92"/>
      <c r="B35" s="92"/>
      <c r="C35" s="94" t="s">
        <v>610</v>
      </c>
      <c r="D35" s="94" t="s">
        <v>676</v>
      </c>
      <c r="E35" s="95" t="s">
        <v>677</v>
      </c>
      <c r="F35" s="92"/>
      <c r="G35" s="95" t="s">
        <v>678</v>
      </c>
      <c r="H35" s="95" t="s">
        <v>679</v>
      </c>
      <c r="I35" s="95" t="s">
        <v>680</v>
      </c>
      <c r="J35" s="95" t="s">
        <v>681</v>
      </c>
      <c r="K35" s="98"/>
      <c r="L35" s="94"/>
      <c r="M35" s="94" t="s">
        <v>36</v>
      </c>
      <c r="N35" s="94"/>
      <c r="O35" s="94" t="s">
        <v>36</v>
      </c>
      <c r="P35" s="94"/>
      <c r="Q35" s="94"/>
      <c r="R35" s="94"/>
      <c r="S35" s="94"/>
      <c r="T35" s="94" t="s">
        <v>475</v>
      </c>
      <c r="U35" s="95"/>
      <c r="V35" s="95" t="s">
        <v>682</v>
      </c>
      <c r="W35" s="95" t="s">
        <v>683</v>
      </c>
      <c r="X35" s="94" t="s">
        <v>465</v>
      </c>
      <c r="Y35" s="94" t="s">
        <v>466</v>
      </c>
      <c r="Z35" s="94"/>
      <c r="AA35" s="94" t="s">
        <v>465</v>
      </c>
      <c r="AB35" s="94" t="s">
        <v>466</v>
      </c>
      <c r="AC35" s="94"/>
      <c r="AD35" s="95"/>
      <c r="AE35" s="94"/>
      <c r="AF35" s="94"/>
      <c r="AG35" s="94"/>
      <c r="AH35" s="94" t="s">
        <v>469</v>
      </c>
      <c r="AI35" s="94" t="s">
        <v>469</v>
      </c>
      <c r="AJ35" s="96" t="s">
        <v>692</v>
      </c>
      <c r="AK35" s="94" t="s">
        <v>667</v>
      </c>
      <c r="AL35" s="97"/>
      <c r="AM35" s="54"/>
      <c r="AN35" s="31" t="b">
        <f>A35=[2]数字化与研发投入!A35</f>
        <v>1</v>
      </c>
      <c r="AO35" s="31" t="b">
        <f>B35=[2]数字化与研发投入!B35</f>
        <v>1</v>
      </c>
      <c r="AP35" s="31" t="b">
        <f>C35=[2]数字化与研发投入!C35</f>
        <v>1</v>
      </c>
      <c r="AQ35" s="31" t="b">
        <f>D35=[2]数字化与研发投入!D35</f>
        <v>1</v>
      </c>
      <c r="AR35" s="31" t="b">
        <f>E35=[2]数字化与研发投入!E35</f>
        <v>1</v>
      </c>
      <c r="AS35" s="31" t="b">
        <f>F35=[2]数字化与研发投入!F35</f>
        <v>1</v>
      </c>
      <c r="AT35" s="31" t="b">
        <f>G35=[2]数字化与研发投入!G35</f>
        <v>1</v>
      </c>
      <c r="AU35" s="31" t="b">
        <f>H35=[2]数字化与研发投入!H35</f>
        <v>1</v>
      </c>
      <c r="AV35" s="31" t="b">
        <f>I35=[2]数字化与研发投入!I35</f>
        <v>1</v>
      </c>
      <c r="AW35" s="31" t="b">
        <f>J35=[2]数字化与研发投入!J35</f>
        <v>1</v>
      </c>
      <c r="AX35" s="31" t="b">
        <f>K35=[2]数字化与研发投入!K35</f>
        <v>1</v>
      </c>
      <c r="AY35" s="31" t="b">
        <f>L35=[2]数字化与研发投入!L35</f>
        <v>1</v>
      </c>
      <c r="AZ35" s="31" t="b">
        <f>M35=[2]数字化与研发投入!M35</f>
        <v>1</v>
      </c>
      <c r="BA35" s="31" t="b">
        <f>N35=[2]数字化与研发投入!N35</f>
        <v>1</v>
      </c>
      <c r="BB35" s="31" t="b">
        <f>O35=[2]数字化与研发投入!O35</f>
        <v>1</v>
      </c>
      <c r="BC35" s="31" t="b">
        <f>P35=[2]数字化与研发投入!P35</f>
        <v>1</v>
      </c>
      <c r="BD35" s="31" t="b">
        <f>Q35=[2]数字化与研发投入!Q35</f>
        <v>1</v>
      </c>
      <c r="BE35" s="31" t="b">
        <f>R35=[2]数字化与研发投入!R35</f>
        <v>1</v>
      </c>
      <c r="BF35" s="31" t="b">
        <f>S35=[2]数字化与研发投入!S35</f>
        <v>1</v>
      </c>
      <c r="BG35" s="31" t="b">
        <f>T35=[2]数字化与研发投入!T35</f>
        <v>1</v>
      </c>
      <c r="BH35" s="31" t="b">
        <f>U35=[2]数字化与研发投入!U35</f>
        <v>1</v>
      </c>
      <c r="BI35" s="31" t="b">
        <f>V35=[2]数字化与研发投入!V35</f>
        <v>1</v>
      </c>
      <c r="BJ35" s="31" t="b">
        <f>W35=[2]数字化与研发投入!W35</f>
        <v>1</v>
      </c>
      <c r="BK35" s="31" t="b">
        <f>X35=[2]数字化与研发投入!X35</f>
        <v>1</v>
      </c>
      <c r="BL35" s="31" t="b">
        <f>Y35=[2]数字化与研发投入!Y35</f>
        <v>1</v>
      </c>
      <c r="BM35" s="31" t="b">
        <f>Z35=[2]数字化与研发投入!Z35</f>
        <v>1</v>
      </c>
      <c r="BN35" s="31" t="b">
        <f>AA35=[2]数字化与研发投入!AA35</f>
        <v>1</v>
      </c>
      <c r="BO35" s="31" t="b">
        <f>AB35=[2]数字化与研发投入!AB35</f>
        <v>1</v>
      </c>
      <c r="BP35" s="31" t="b">
        <f>AC35=[2]数字化与研发投入!AC35</f>
        <v>1</v>
      </c>
      <c r="BQ35" s="31" t="b">
        <f>AD35=[2]数字化与研发投入!AD35</f>
        <v>1</v>
      </c>
      <c r="BR35" s="31" t="b">
        <f>AE35=[2]数字化与研发投入!AE35</f>
        <v>1</v>
      </c>
      <c r="BS35" s="31" t="b">
        <f>AF35=[2]数字化与研发投入!AF35</f>
        <v>1</v>
      </c>
      <c r="BT35" s="31" t="b">
        <f>AG35=[2]数字化与研发投入!AG35</f>
        <v>1</v>
      </c>
      <c r="BU35" s="31" t="b">
        <f>AH35=[2]数字化与研发投入!AH35</f>
        <v>1</v>
      </c>
      <c r="BV35" s="31" t="b">
        <f>AI35=[2]数字化与研发投入!AI35</f>
        <v>1</v>
      </c>
      <c r="BW35" s="31" t="b">
        <f>AJ35=[2]数字化与研发投入!AJ35</f>
        <v>1</v>
      </c>
      <c r="BX35" s="31" t="b">
        <f>AK35=[2]数字化与研发投入!AK35</f>
        <v>1</v>
      </c>
    </row>
    <row r="36" s="33" customFormat="1" ht="129" customHeight="1" spans="1:76">
      <c r="A36" s="92"/>
      <c r="B36" s="92"/>
      <c r="C36" s="94"/>
      <c r="D36" s="94"/>
      <c r="E36" s="95"/>
      <c r="F36" s="92"/>
      <c r="G36" s="95"/>
      <c r="H36" s="95"/>
      <c r="I36" s="95" t="s">
        <v>685</v>
      </c>
      <c r="J36" s="95" t="s">
        <v>686</v>
      </c>
      <c r="K36" s="98"/>
      <c r="L36" s="94"/>
      <c r="M36" s="94" t="s">
        <v>36</v>
      </c>
      <c r="N36" s="94"/>
      <c r="O36" s="94" t="s">
        <v>36</v>
      </c>
      <c r="P36" s="94"/>
      <c r="Q36" s="94"/>
      <c r="R36" s="94"/>
      <c r="S36" s="94"/>
      <c r="T36" s="94" t="s">
        <v>475</v>
      </c>
      <c r="U36" s="95"/>
      <c r="V36" s="95" t="s">
        <v>682</v>
      </c>
      <c r="W36" s="95" t="s">
        <v>687</v>
      </c>
      <c r="X36" s="94" t="s">
        <v>465</v>
      </c>
      <c r="Y36" s="94" t="s">
        <v>466</v>
      </c>
      <c r="Z36" s="94"/>
      <c r="AA36" s="94" t="s">
        <v>465</v>
      </c>
      <c r="AB36" s="94" t="s">
        <v>466</v>
      </c>
      <c r="AC36" s="94"/>
      <c r="AD36" s="95"/>
      <c r="AE36" s="94"/>
      <c r="AF36" s="94"/>
      <c r="AG36" s="94"/>
      <c r="AH36" s="94" t="s">
        <v>469</v>
      </c>
      <c r="AI36" s="94" t="s">
        <v>469</v>
      </c>
      <c r="AJ36" s="96" t="s">
        <v>692</v>
      </c>
      <c r="AK36" s="94" t="s">
        <v>667</v>
      </c>
      <c r="AL36" s="97"/>
      <c r="AM36" s="54"/>
      <c r="AN36" s="31" t="b">
        <f>A36=[2]数字化与研发投入!A36</f>
        <v>1</v>
      </c>
      <c r="AO36" s="31" t="b">
        <f>B36=[2]数字化与研发投入!B36</f>
        <v>1</v>
      </c>
      <c r="AP36" s="31" t="b">
        <f>C36=[2]数字化与研发投入!C36</f>
        <v>1</v>
      </c>
      <c r="AQ36" s="31" t="b">
        <f>D36=[2]数字化与研发投入!D36</f>
        <v>1</v>
      </c>
      <c r="AR36" s="31" t="b">
        <f>E36=[2]数字化与研发投入!E36</f>
        <v>1</v>
      </c>
      <c r="AS36" s="31" t="b">
        <f>F36=[2]数字化与研发投入!F36</f>
        <v>1</v>
      </c>
      <c r="AT36" s="31" t="b">
        <f>G36=[2]数字化与研发投入!G36</f>
        <v>1</v>
      </c>
      <c r="AU36" s="31" t="b">
        <f>H36=[2]数字化与研发投入!H36</f>
        <v>1</v>
      </c>
      <c r="AV36" s="31" t="b">
        <f>I36=[2]数字化与研发投入!I36</f>
        <v>1</v>
      </c>
      <c r="AW36" s="31" t="b">
        <f>J36=[2]数字化与研发投入!J36</f>
        <v>1</v>
      </c>
      <c r="AX36" s="31" t="b">
        <f>K36=[2]数字化与研发投入!K36</f>
        <v>1</v>
      </c>
      <c r="AY36" s="31" t="b">
        <f>L36=[2]数字化与研发投入!L36</f>
        <v>1</v>
      </c>
      <c r="AZ36" s="31" t="b">
        <f>M36=[2]数字化与研发投入!M36</f>
        <v>1</v>
      </c>
      <c r="BA36" s="31" t="b">
        <f>N36=[2]数字化与研发投入!N36</f>
        <v>1</v>
      </c>
      <c r="BB36" s="31" t="b">
        <f>O36=[2]数字化与研发投入!O36</f>
        <v>1</v>
      </c>
      <c r="BC36" s="31" t="b">
        <f>P36=[2]数字化与研发投入!P36</f>
        <v>1</v>
      </c>
      <c r="BD36" s="31" t="b">
        <f>Q36=[2]数字化与研发投入!Q36</f>
        <v>1</v>
      </c>
      <c r="BE36" s="31" t="b">
        <f>R36=[2]数字化与研发投入!R36</f>
        <v>1</v>
      </c>
      <c r="BF36" s="31" t="b">
        <f>S36=[2]数字化与研发投入!S36</f>
        <v>1</v>
      </c>
      <c r="BG36" s="31" t="b">
        <f>T36=[2]数字化与研发投入!T36</f>
        <v>1</v>
      </c>
      <c r="BH36" s="31" t="b">
        <f>U36=[2]数字化与研发投入!U36</f>
        <v>1</v>
      </c>
      <c r="BI36" s="31" t="b">
        <f>V36=[2]数字化与研发投入!V36</f>
        <v>1</v>
      </c>
      <c r="BJ36" s="31" t="b">
        <f>W36=[2]数字化与研发投入!W36</f>
        <v>1</v>
      </c>
      <c r="BK36" s="31" t="b">
        <f>X36=[2]数字化与研发投入!X36</f>
        <v>1</v>
      </c>
      <c r="BL36" s="31" t="b">
        <f>Y36=[2]数字化与研发投入!Y36</f>
        <v>1</v>
      </c>
      <c r="BM36" s="31" t="b">
        <f>Z36=[2]数字化与研发投入!Z36</f>
        <v>1</v>
      </c>
      <c r="BN36" s="31" t="b">
        <f>AA36=[2]数字化与研发投入!AA36</f>
        <v>1</v>
      </c>
      <c r="BO36" s="31" t="b">
        <f>AB36=[2]数字化与研发投入!AB36</f>
        <v>1</v>
      </c>
      <c r="BP36" s="31" t="b">
        <f>AC36=[2]数字化与研发投入!AC36</f>
        <v>1</v>
      </c>
      <c r="BQ36" s="31" t="b">
        <f>AD36=[2]数字化与研发投入!AD36</f>
        <v>1</v>
      </c>
      <c r="BR36" s="31" t="b">
        <f>AE36=[2]数字化与研发投入!AE36</f>
        <v>1</v>
      </c>
      <c r="BS36" s="31" t="b">
        <f>AF36=[2]数字化与研发投入!AF36</f>
        <v>1</v>
      </c>
      <c r="BT36" s="31" t="b">
        <f>AG36=[2]数字化与研发投入!AG36</f>
        <v>1</v>
      </c>
      <c r="BU36" s="31" t="b">
        <f>AH36=[2]数字化与研发投入!AH36</f>
        <v>1</v>
      </c>
      <c r="BV36" s="31" t="b">
        <f>AI36=[2]数字化与研发投入!AI36</f>
        <v>1</v>
      </c>
      <c r="BW36" s="31" t="b">
        <f>AJ36=[2]数字化与研发投入!AJ36</f>
        <v>1</v>
      </c>
      <c r="BX36" s="31" t="b">
        <f>AK36=[2]数字化与研发投入!AK36</f>
        <v>1</v>
      </c>
    </row>
    <row r="37" s="33" customFormat="1" ht="146" customHeight="1" spans="1:76">
      <c r="A37" s="92" t="s">
        <v>624</v>
      </c>
      <c r="B37" s="92" t="s">
        <v>516</v>
      </c>
      <c r="C37" s="96" t="s">
        <v>610</v>
      </c>
      <c r="D37" s="96" t="s">
        <v>676</v>
      </c>
      <c r="E37" s="96" t="s">
        <v>677</v>
      </c>
      <c r="F37" s="99"/>
      <c r="G37" s="96" t="s">
        <v>678</v>
      </c>
      <c r="H37" s="96"/>
      <c r="I37" s="95" t="s">
        <v>688</v>
      </c>
      <c r="J37" s="95" t="s">
        <v>689</v>
      </c>
      <c r="K37" s="98"/>
      <c r="L37" s="94"/>
      <c r="M37" s="94" t="s">
        <v>36</v>
      </c>
      <c r="N37" s="94"/>
      <c r="O37" s="94" t="s">
        <v>36</v>
      </c>
      <c r="P37" s="94"/>
      <c r="Q37" s="94"/>
      <c r="R37" s="94"/>
      <c r="S37" s="94"/>
      <c r="T37" s="94" t="s">
        <v>535</v>
      </c>
      <c r="U37" s="95" t="s">
        <v>536</v>
      </c>
      <c r="V37" s="95" t="s">
        <v>682</v>
      </c>
      <c r="W37" s="95" t="s">
        <v>690</v>
      </c>
      <c r="X37" s="94" t="s">
        <v>465</v>
      </c>
      <c r="Y37" s="94" t="s">
        <v>466</v>
      </c>
      <c r="Z37" s="94"/>
      <c r="AA37" s="94" t="s">
        <v>465</v>
      </c>
      <c r="AB37" s="94" t="s">
        <v>466</v>
      </c>
      <c r="AC37" s="94"/>
      <c r="AD37" s="95" t="s">
        <v>691</v>
      </c>
      <c r="AE37" s="94" t="s">
        <v>503</v>
      </c>
      <c r="AF37" s="94" t="s">
        <v>466</v>
      </c>
      <c r="AG37" s="94"/>
      <c r="AH37" s="94" t="s">
        <v>469</v>
      </c>
      <c r="AI37" s="94" t="s">
        <v>469</v>
      </c>
      <c r="AJ37" s="96" t="s">
        <v>692</v>
      </c>
      <c r="AK37" s="94" t="s">
        <v>667</v>
      </c>
      <c r="AL37" s="97"/>
      <c r="AM37" s="54"/>
      <c r="AN37" s="31" t="b">
        <f>A37=[2]数字化与研发投入!A37</f>
        <v>1</v>
      </c>
      <c r="AO37" s="31" t="b">
        <f>B37=[2]数字化与研发投入!B37</f>
        <v>1</v>
      </c>
      <c r="AP37" s="31" t="b">
        <f>C37=[2]数字化与研发投入!C37</f>
        <v>1</v>
      </c>
      <c r="AQ37" s="31" t="b">
        <f>D37=[2]数字化与研发投入!D37</f>
        <v>1</v>
      </c>
      <c r="AR37" s="31" t="b">
        <f>E37=[2]数字化与研发投入!E37</f>
        <v>1</v>
      </c>
      <c r="AS37" s="31" t="b">
        <f>F37=[2]数字化与研发投入!F37</f>
        <v>1</v>
      </c>
      <c r="AT37" s="31" t="b">
        <f>G37=[2]数字化与研发投入!G37</f>
        <v>1</v>
      </c>
      <c r="AU37" s="31" t="b">
        <f>H37=[2]数字化与研发投入!H37</f>
        <v>1</v>
      </c>
      <c r="AV37" s="31" t="b">
        <f>I37=[2]数字化与研发投入!I37</f>
        <v>1</v>
      </c>
      <c r="AW37" s="31" t="b">
        <f>J37=[2]数字化与研发投入!J37</f>
        <v>1</v>
      </c>
      <c r="AX37" s="31" t="b">
        <f>K37=[2]数字化与研发投入!K37</f>
        <v>1</v>
      </c>
      <c r="AY37" s="31" t="b">
        <f>L37=[2]数字化与研发投入!L37</f>
        <v>1</v>
      </c>
      <c r="AZ37" s="31" t="b">
        <f>M37=[2]数字化与研发投入!M37</f>
        <v>1</v>
      </c>
      <c r="BA37" s="31" t="b">
        <f>N37=[2]数字化与研发投入!N37</f>
        <v>1</v>
      </c>
      <c r="BB37" s="31" t="b">
        <f>O37=[2]数字化与研发投入!O37</f>
        <v>1</v>
      </c>
      <c r="BC37" s="31" t="b">
        <f>P37=[2]数字化与研发投入!P37</f>
        <v>1</v>
      </c>
      <c r="BD37" s="31" t="b">
        <f>Q37=[2]数字化与研发投入!Q37</f>
        <v>1</v>
      </c>
      <c r="BE37" s="31" t="b">
        <f>R37=[2]数字化与研发投入!R37</f>
        <v>1</v>
      </c>
      <c r="BF37" s="31" t="b">
        <f>S37=[2]数字化与研发投入!S37</f>
        <v>1</v>
      </c>
      <c r="BG37" s="31" t="b">
        <f>T37=[2]数字化与研发投入!T37</f>
        <v>1</v>
      </c>
      <c r="BH37" s="31" t="b">
        <f>U37=[2]数字化与研发投入!U37</f>
        <v>1</v>
      </c>
      <c r="BI37" s="31" t="b">
        <f>V37=[2]数字化与研发投入!V37</f>
        <v>1</v>
      </c>
      <c r="BJ37" s="31" t="b">
        <f>W37=[2]数字化与研发投入!W37</f>
        <v>1</v>
      </c>
      <c r="BK37" s="31" t="b">
        <f>X37=[2]数字化与研发投入!X37</f>
        <v>1</v>
      </c>
      <c r="BL37" s="31" t="b">
        <f>Y37=[2]数字化与研发投入!Y37</f>
        <v>1</v>
      </c>
      <c r="BM37" s="31" t="b">
        <f>Z37=[2]数字化与研发投入!Z37</f>
        <v>1</v>
      </c>
      <c r="BN37" s="31" t="b">
        <f>AA37=[2]数字化与研发投入!AA37</f>
        <v>1</v>
      </c>
      <c r="BO37" s="31" t="b">
        <f>AB37=[2]数字化与研发投入!AB37</f>
        <v>1</v>
      </c>
      <c r="BP37" s="31" t="b">
        <f>AC37=[2]数字化与研发投入!AC37</f>
        <v>1</v>
      </c>
      <c r="BQ37" s="31" t="b">
        <f>AD37=[2]数字化与研发投入!AD37</f>
        <v>1</v>
      </c>
      <c r="BR37" s="31" t="b">
        <f>AE37=[2]数字化与研发投入!AE37</f>
        <v>1</v>
      </c>
      <c r="BS37" s="31" t="b">
        <f>AF37=[2]数字化与研发投入!AF37</f>
        <v>1</v>
      </c>
      <c r="BT37" s="31" t="b">
        <f>AG37=[2]数字化与研发投入!AG37</f>
        <v>1</v>
      </c>
      <c r="BU37" s="31" t="b">
        <f>AH37=[2]数字化与研发投入!AH37</f>
        <v>1</v>
      </c>
      <c r="BV37" s="31" t="b">
        <f>AI37=[2]数字化与研发投入!AI37</f>
        <v>1</v>
      </c>
      <c r="BW37" s="31" t="b">
        <f>AJ37=[2]数字化与研发投入!AJ37</f>
        <v>1</v>
      </c>
      <c r="BX37" s="31" t="b">
        <f>AK37=[2]数字化与研发投入!AK37</f>
        <v>1</v>
      </c>
    </row>
    <row r="38" s="33" customFormat="1" ht="134" customHeight="1" spans="1:76">
      <c r="A38" s="92"/>
      <c r="B38" s="92"/>
      <c r="C38" s="94" t="s">
        <v>517</v>
      </c>
      <c r="D38" s="94" t="s">
        <v>693</v>
      </c>
      <c r="E38" s="95" t="s">
        <v>694</v>
      </c>
      <c r="F38" s="93" t="s">
        <v>695</v>
      </c>
      <c r="G38" s="95" t="s">
        <v>696</v>
      </c>
      <c r="H38" s="95" t="s">
        <v>697</v>
      </c>
      <c r="I38" s="95" t="s">
        <v>698</v>
      </c>
      <c r="J38" s="95" t="s">
        <v>699</v>
      </c>
      <c r="K38" s="98"/>
      <c r="L38" s="94"/>
      <c r="M38" s="94" t="s">
        <v>36</v>
      </c>
      <c r="N38" s="94"/>
      <c r="O38" s="94"/>
      <c r="P38" s="94"/>
      <c r="Q38" s="94"/>
      <c r="R38" s="94"/>
      <c r="S38" s="94"/>
      <c r="T38" s="94" t="s">
        <v>535</v>
      </c>
      <c r="U38" s="95" t="s">
        <v>700</v>
      </c>
      <c r="V38" s="95" t="s">
        <v>701</v>
      </c>
      <c r="W38" s="95" t="s">
        <v>687</v>
      </c>
      <c r="X38" s="94" t="s">
        <v>467</v>
      </c>
      <c r="Y38" s="94" t="s">
        <v>540</v>
      </c>
      <c r="Z38" s="94"/>
      <c r="AA38" s="94" t="s">
        <v>467</v>
      </c>
      <c r="AB38" s="94" t="s">
        <v>540</v>
      </c>
      <c r="AC38" s="94"/>
      <c r="AD38" s="95" t="s">
        <v>702</v>
      </c>
      <c r="AE38" s="94" t="s">
        <v>467</v>
      </c>
      <c r="AF38" s="94" t="s">
        <v>540</v>
      </c>
      <c r="AG38" s="94"/>
      <c r="AH38" s="94" t="s">
        <v>469</v>
      </c>
      <c r="AI38" s="94" t="s">
        <v>469</v>
      </c>
      <c r="AJ38" s="96" t="s">
        <v>703</v>
      </c>
      <c r="AK38" s="94" t="s">
        <v>667</v>
      </c>
      <c r="AL38" s="97"/>
      <c r="AM38" s="54" t="s">
        <v>759</v>
      </c>
      <c r="AN38" s="31" t="b">
        <f>A38=[2]数字化与研发投入!A38</f>
        <v>1</v>
      </c>
      <c r="AO38" s="31" t="b">
        <f>B38=[2]数字化与研发投入!B38</f>
        <v>1</v>
      </c>
      <c r="AP38" s="31" t="b">
        <f>C38=[2]数字化与研发投入!C38</f>
        <v>1</v>
      </c>
      <c r="AQ38" s="31" t="b">
        <f>D38=[2]数字化与研发投入!D38</f>
        <v>1</v>
      </c>
      <c r="AR38" s="31" t="b">
        <f>E38=[2]数字化与研发投入!E38</f>
        <v>1</v>
      </c>
      <c r="AS38" s="31" t="b">
        <f>F38=[2]数字化与研发投入!F38</f>
        <v>1</v>
      </c>
      <c r="AT38" s="31" t="b">
        <f>G38=[2]数字化与研发投入!G38</f>
        <v>1</v>
      </c>
      <c r="AU38" s="31" t="b">
        <f>H38=[2]数字化与研发投入!H38</f>
        <v>1</v>
      </c>
      <c r="AV38" s="31" t="b">
        <f>I38=[2]数字化与研发投入!I38</f>
        <v>1</v>
      </c>
      <c r="AW38" s="31" t="b">
        <f>J38=[2]数字化与研发投入!J38</f>
        <v>1</v>
      </c>
      <c r="AX38" s="31" t="b">
        <f>K38=[2]数字化与研发投入!K38</f>
        <v>1</v>
      </c>
      <c r="AY38" s="31" t="b">
        <f>L38=[2]数字化与研发投入!L38</f>
        <v>1</v>
      </c>
      <c r="AZ38" s="31" t="b">
        <f>M38=[2]数字化与研发投入!M38</f>
        <v>1</v>
      </c>
      <c r="BA38" s="31" t="b">
        <f>N38=[2]数字化与研发投入!N38</f>
        <v>1</v>
      </c>
      <c r="BB38" s="31" t="b">
        <f>O38=[2]数字化与研发投入!O38</f>
        <v>1</v>
      </c>
      <c r="BC38" s="31" t="b">
        <f>P38=[2]数字化与研发投入!P38</f>
        <v>1</v>
      </c>
      <c r="BD38" s="31" t="b">
        <f>Q38=[2]数字化与研发投入!Q38</f>
        <v>1</v>
      </c>
      <c r="BE38" s="31" t="b">
        <f>R38=[2]数字化与研发投入!R38</f>
        <v>1</v>
      </c>
      <c r="BF38" s="31" t="b">
        <f>S38=[2]数字化与研发投入!S38</f>
        <v>1</v>
      </c>
      <c r="BG38" s="31" t="b">
        <f>T38=[2]数字化与研发投入!T38</f>
        <v>1</v>
      </c>
      <c r="BH38" s="31" t="b">
        <f>U38=[2]数字化与研发投入!U38</f>
        <v>1</v>
      </c>
      <c r="BI38" s="31" t="b">
        <f>V38=[2]数字化与研发投入!V38</f>
        <v>1</v>
      </c>
      <c r="BJ38" s="31" t="b">
        <f>W38=[2]数字化与研发投入!W38</f>
        <v>1</v>
      </c>
      <c r="BK38" s="31" t="b">
        <f>X38=[2]数字化与研发投入!X38</f>
        <v>1</v>
      </c>
      <c r="BL38" s="31" t="b">
        <f>Y38=[2]数字化与研发投入!Y38</f>
        <v>1</v>
      </c>
      <c r="BM38" s="31" t="b">
        <f>Z38=[2]数字化与研发投入!Z38</f>
        <v>1</v>
      </c>
      <c r="BN38" s="31" t="b">
        <f>AA38=[2]数字化与研发投入!AA38</f>
        <v>1</v>
      </c>
      <c r="BO38" s="31" t="b">
        <f>AB38=[2]数字化与研发投入!AB38</f>
        <v>1</v>
      </c>
      <c r="BP38" s="31" t="b">
        <f>AC38=[2]数字化与研发投入!AC38</f>
        <v>1</v>
      </c>
      <c r="BQ38" s="31" t="b">
        <f>AD38=[2]数字化与研发投入!AD38</f>
        <v>1</v>
      </c>
      <c r="BR38" s="31" t="b">
        <f>AE38=[2]数字化与研发投入!AE38</f>
        <v>1</v>
      </c>
      <c r="BS38" s="31" t="b">
        <f>AF38=[2]数字化与研发投入!AF38</f>
        <v>1</v>
      </c>
      <c r="BT38" s="31" t="b">
        <f>AG38=[2]数字化与研发投入!AG38</f>
        <v>1</v>
      </c>
      <c r="BU38" s="31" t="b">
        <f>AH38=[2]数字化与研发投入!AH38</f>
        <v>1</v>
      </c>
      <c r="BV38" s="31" t="b">
        <f>AI38=[2]数字化与研发投入!AI38</f>
        <v>1</v>
      </c>
      <c r="BW38" s="31" t="b">
        <f>AJ38=[2]数字化与研发投入!AJ38</f>
        <v>1</v>
      </c>
      <c r="BX38" s="31" t="b">
        <f>AK38=[2]数字化与研发投入!AK38</f>
        <v>1</v>
      </c>
    </row>
    <row r="39" s="33" customFormat="1" ht="103" customHeight="1" spans="1:76">
      <c r="A39" s="92"/>
      <c r="B39" s="92"/>
      <c r="C39" s="94"/>
      <c r="D39" s="94"/>
      <c r="E39" s="95"/>
      <c r="F39" s="92"/>
      <c r="G39" s="95"/>
      <c r="H39" s="95"/>
      <c r="I39" s="95" t="s">
        <v>704</v>
      </c>
      <c r="J39" s="95" t="s">
        <v>705</v>
      </c>
      <c r="K39" s="98"/>
      <c r="L39" s="94"/>
      <c r="M39" s="94"/>
      <c r="N39" s="94"/>
      <c r="O39" s="94"/>
      <c r="P39" s="94"/>
      <c r="Q39" s="94"/>
      <c r="R39" s="94"/>
      <c r="S39" s="94" t="s">
        <v>36</v>
      </c>
      <c r="T39" s="94" t="s">
        <v>475</v>
      </c>
      <c r="U39" s="95"/>
      <c r="V39" s="95" t="s">
        <v>701</v>
      </c>
      <c r="W39" s="95" t="s">
        <v>706</v>
      </c>
      <c r="X39" s="94" t="s">
        <v>467</v>
      </c>
      <c r="Y39" s="94" t="s">
        <v>540</v>
      </c>
      <c r="Z39" s="94"/>
      <c r="AA39" s="94" t="s">
        <v>467</v>
      </c>
      <c r="AB39" s="94" t="s">
        <v>540</v>
      </c>
      <c r="AC39" s="94"/>
      <c r="AD39" s="95"/>
      <c r="AE39" s="94"/>
      <c r="AF39" s="94"/>
      <c r="AG39" s="94"/>
      <c r="AH39" s="94" t="s">
        <v>469</v>
      </c>
      <c r="AI39" s="94" t="s">
        <v>469</v>
      </c>
      <c r="AJ39" s="96" t="s">
        <v>703</v>
      </c>
      <c r="AK39" s="94" t="s">
        <v>667</v>
      </c>
      <c r="AL39" s="97"/>
      <c r="AM39" s="54" t="s">
        <v>759</v>
      </c>
      <c r="AN39" s="31" t="b">
        <f>A39=[2]数字化与研发投入!A39</f>
        <v>1</v>
      </c>
      <c r="AO39" s="31" t="b">
        <f>B39=[2]数字化与研发投入!B39</f>
        <v>1</v>
      </c>
      <c r="AP39" s="31" t="b">
        <f>C39=[2]数字化与研发投入!C39</f>
        <v>1</v>
      </c>
      <c r="AQ39" s="31" t="b">
        <f>D39=[2]数字化与研发投入!D39</f>
        <v>1</v>
      </c>
      <c r="AR39" s="31" t="b">
        <f>E39=[2]数字化与研发投入!E39</f>
        <v>1</v>
      </c>
      <c r="AS39" s="31" t="b">
        <f>F39=[2]数字化与研发投入!F39</f>
        <v>1</v>
      </c>
      <c r="AT39" s="31" t="b">
        <f>G39=[2]数字化与研发投入!G39</f>
        <v>1</v>
      </c>
      <c r="AU39" s="31" t="b">
        <f>H39=[2]数字化与研发投入!H39</f>
        <v>1</v>
      </c>
      <c r="AV39" s="31" t="b">
        <f>I39=[2]数字化与研发投入!I39</f>
        <v>1</v>
      </c>
      <c r="AW39" s="31" t="b">
        <f>J39=[2]数字化与研发投入!J39</f>
        <v>1</v>
      </c>
      <c r="AX39" s="31" t="b">
        <f>K39=[2]数字化与研发投入!K39</f>
        <v>1</v>
      </c>
      <c r="AY39" s="31" t="b">
        <f>L39=[2]数字化与研发投入!L39</f>
        <v>1</v>
      </c>
      <c r="AZ39" s="31" t="b">
        <f>M39=[2]数字化与研发投入!M39</f>
        <v>1</v>
      </c>
      <c r="BA39" s="31" t="b">
        <f>N39=[2]数字化与研发投入!N39</f>
        <v>1</v>
      </c>
      <c r="BB39" s="31" t="b">
        <f>O39=[2]数字化与研发投入!O39</f>
        <v>1</v>
      </c>
      <c r="BC39" s="31" t="b">
        <f>P39=[2]数字化与研发投入!P39</f>
        <v>1</v>
      </c>
      <c r="BD39" s="31" t="b">
        <f>Q39=[2]数字化与研发投入!Q39</f>
        <v>1</v>
      </c>
      <c r="BE39" s="31" t="b">
        <f>R39=[2]数字化与研发投入!R39</f>
        <v>1</v>
      </c>
      <c r="BF39" s="31" t="b">
        <f>S39=[2]数字化与研发投入!S39</f>
        <v>1</v>
      </c>
      <c r="BG39" s="31" t="b">
        <f>T39=[2]数字化与研发投入!T39</f>
        <v>1</v>
      </c>
      <c r="BH39" s="31" t="b">
        <f>U39=[2]数字化与研发投入!U39</f>
        <v>1</v>
      </c>
      <c r="BI39" s="31" t="b">
        <f>V39=[2]数字化与研发投入!V39</f>
        <v>1</v>
      </c>
      <c r="BJ39" s="31" t="b">
        <f>W39=[2]数字化与研发投入!W39</f>
        <v>1</v>
      </c>
      <c r="BK39" s="31" t="b">
        <f>X39=[2]数字化与研发投入!X39</f>
        <v>1</v>
      </c>
      <c r="BL39" s="31" t="b">
        <f>Y39=[2]数字化与研发投入!Y39</f>
        <v>1</v>
      </c>
      <c r="BM39" s="31" t="b">
        <f>Z39=[2]数字化与研发投入!Z39</f>
        <v>1</v>
      </c>
      <c r="BN39" s="31" t="b">
        <f>AA39=[2]数字化与研发投入!AA39</f>
        <v>1</v>
      </c>
      <c r="BO39" s="31" t="b">
        <f>AB39=[2]数字化与研发投入!AB39</f>
        <v>1</v>
      </c>
      <c r="BP39" s="31" t="b">
        <f>AC39=[2]数字化与研发投入!AC39</f>
        <v>1</v>
      </c>
      <c r="BQ39" s="31" t="b">
        <f>AD39=[2]数字化与研发投入!AD39</f>
        <v>1</v>
      </c>
      <c r="BR39" s="31" t="b">
        <f>AE39=[2]数字化与研发投入!AE39</f>
        <v>1</v>
      </c>
      <c r="BS39" s="31" t="b">
        <f>AF39=[2]数字化与研发投入!AF39</f>
        <v>1</v>
      </c>
      <c r="BT39" s="31" t="b">
        <f>AG39=[2]数字化与研发投入!AG39</f>
        <v>1</v>
      </c>
      <c r="BU39" s="31" t="b">
        <f>AH39=[2]数字化与研发投入!AH39</f>
        <v>1</v>
      </c>
      <c r="BV39" s="31" t="b">
        <f>AI39=[2]数字化与研发投入!AI39</f>
        <v>1</v>
      </c>
      <c r="BW39" s="31" t="b">
        <f>AJ39=[2]数字化与研发投入!AJ39</f>
        <v>1</v>
      </c>
      <c r="BX39" s="31" t="b">
        <f>AK39=[2]数字化与研发投入!AK39</f>
        <v>1</v>
      </c>
    </row>
    <row r="40" s="33" customFormat="1" ht="221" customHeight="1" spans="1:76">
      <c r="A40" s="92"/>
      <c r="B40" s="92"/>
      <c r="C40" s="94"/>
      <c r="D40" s="95" t="s">
        <v>707</v>
      </c>
      <c r="E40" s="95" t="s">
        <v>708</v>
      </c>
      <c r="F40" s="93"/>
      <c r="G40" s="95" t="s">
        <v>709</v>
      </c>
      <c r="H40" s="95" t="s">
        <v>710</v>
      </c>
      <c r="I40" s="95" t="s">
        <v>711</v>
      </c>
      <c r="J40" s="95" t="s">
        <v>712</v>
      </c>
      <c r="K40" s="98"/>
      <c r="L40" s="94"/>
      <c r="M40" s="94" t="s">
        <v>36</v>
      </c>
      <c r="N40" s="94"/>
      <c r="O40" s="94" t="s">
        <v>36</v>
      </c>
      <c r="P40" s="94" t="s">
        <v>36</v>
      </c>
      <c r="Q40" s="94" t="s">
        <v>36</v>
      </c>
      <c r="R40" s="94"/>
      <c r="S40" s="94"/>
      <c r="T40" s="94" t="s">
        <v>535</v>
      </c>
      <c r="U40" s="95" t="s">
        <v>713</v>
      </c>
      <c r="V40" s="95" t="s">
        <v>714</v>
      </c>
      <c r="W40" s="95" t="s">
        <v>683</v>
      </c>
      <c r="X40" s="94" t="s">
        <v>465</v>
      </c>
      <c r="Y40" s="94" t="s">
        <v>540</v>
      </c>
      <c r="Z40" s="94"/>
      <c r="AA40" s="94" t="s">
        <v>465</v>
      </c>
      <c r="AB40" s="94" t="s">
        <v>540</v>
      </c>
      <c r="AC40" s="94"/>
      <c r="AD40" s="95" t="s">
        <v>715</v>
      </c>
      <c r="AE40" s="94" t="s">
        <v>527</v>
      </c>
      <c r="AF40" s="94" t="s">
        <v>540</v>
      </c>
      <c r="AG40" s="94"/>
      <c r="AH40" s="94" t="s">
        <v>469</v>
      </c>
      <c r="AI40" s="94" t="s">
        <v>469</v>
      </c>
      <c r="AJ40" s="95" t="s">
        <v>716</v>
      </c>
      <c r="AK40" s="94" t="s">
        <v>637</v>
      </c>
      <c r="AL40" s="97"/>
      <c r="AM40" s="54" t="s">
        <v>759</v>
      </c>
      <c r="AN40" s="31" t="b">
        <f>A40=[2]数字化与研发投入!A40</f>
        <v>1</v>
      </c>
      <c r="AO40" s="31" t="b">
        <f>B40=[2]数字化与研发投入!B40</f>
        <v>1</v>
      </c>
      <c r="AP40" s="31" t="b">
        <f>C40=[2]数字化与研发投入!C40</f>
        <v>1</v>
      </c>
      <c r="AQ40" s="31" t="b">
        <f>D40=[2]数字化与研发投入!D40</f>
        <v>1</v>
      </c>
      <c r="AR40" s="31" t="b">
        <f>E40=[2]数字化与研发投入!E40</f>
        <v>1</v>
      </c>
      <c r="AS40" s="31" t="b">
        <f>F40=[2]数字化与研发投入!F40</f>
        <v>1</v>
      </c>
      <c r="AT40" s="31" t="b">
        <f>G40=[2]数字化与研发投入!G40</f>
        <v>1</v>
      </c>
      <c r="AU40" s="31" t="b">
        <f>H40=[2]数字化与研发投入!H40</f>
        <v>1</v>
      </c>
      <c r="AV40" s="31" t="b">
        <f>I40=[2]数字化与研发投入!I40</f>
        <v>1</v>
      </c>
      <c r="AW40" s="31" t="b">
        <f>J40=[2]数字化与研发投入!J40</f>
        <v>1</v>
      </c>
      <c r="AX40" s="31" t="b">
        <f>K40=[2]数字化与研发投入!K40</f>
        <v>1</v>
      </c>
      <c r="AY40" s="31" t="b">
        <f>L40=[2]数字化与研发投入!L40</f>
        <v>1</v>
      </c>
      <c r="AZ40" s="31" t="b">
        <f>M40=[2]数字化与研发投入!M40</f>
        <v>1</v>
      </c>
      <c r="BA40" s="31" t="b">
        <f>N40=[2]数字化与研发投入!N40</f>
        <v>1</v>
      </c>
      <c r="BB40" s="31" t="b">
        <f>O40=[2]数字化与研发投入!O40</f>
        <v>1</v>
      </c>
      <c r="BC40" s="31" t="b">
        <f>P40=[2]数字化与研发投入!P40</f>
        <v>1</v>
      </c>
      <c r="BD40" s="31" t="b">
        <f>Q40=[2]数字化与研发投入!Q40</f>
        <v>1</v>
      </c>
      <c r="BE40" s="31" t="b">
        <f>R40=[2]数字化与研发投入!R40</f>
        <v>1</v>
      </c>
      <c r="BF40" s="31" t="b">
        <f>S40=[2]数字化与研发投入!S40</f>
        <v>1</v>
      </c>
      <c r="BG40" s="31" t="b">
        <f>T40=[2]数字化与研发投入!T40</f>
        <v>1</v>
      </c>
      <c r="BH40" s="31" t="b">
        <f>U40=[2]数字化与研发投入!U40</f>
        <v>1</v>
      </c>
      <c r="BI40" s="31" t="b">
        <f>V40=[2]数字化与研发投入!V40</f>
        <v>1</v>
      </c>
      <c r="BJ40" s="31" t="b">
        <f>W40=[2]数字化与研发投入!W40</f>
        <v>1</v>
      </c>
      <c r="BK40" s="31" t="b">
        <f>X40=[2]数字化与研发投入!X40</f>
        <v>1</v>
      </c>
      <c r="BL40" s="31" t="b">
        <f>Y40=[2]数字化与研发投入!Y40</f>
        <v>1</v>
      </c>
      <c r="BM40" s="31" t="b">
        <f>Z40=[2]数字化与研发投入!Z40</f>
        <v>1</v>
      </c>
      <c r="BN40" s="31" t="b">
        <f>AA40=[2]数字化与研发投入!AA40</f>
        <v>1</v>
      </c>
      <c r="BO40" s="31" t="b">
        <f>AB40=[2]数字化与研发投入!AB40</f>
        <v>1</v>
      </c>
      <c r="BP40" s="31" t="b">
        <f>AC40=[2]数字化与研发投入!AC40</f>
        <v>1</v>
      </c>
      <c r="BQ40" s="31" t="b">
        <f>AD40=[2]数字化与研发投入!AD40</f>
        <v>1</v>
      </c>
      <c r="BR40" s="31" t="b">
        <f>AE40=[2]数字化与研发投入!AE40</f>
        <v>1</v>
      </c>
      <c r="BS40" s="31" t="b">
        <f>AF40=[2]数字化与研发投入!AF40</f>
        <v>1</v>
      </c>
      <c r="BT40" s="31" t="b">
        <f>AG40=[2]数字化与研发投入!AG40</f>
        <v>1</v>
      </c>
      <c r="BU40" s="31" t="b">
        <f>AH40=[2]数字化与研发投入!AH40</f>
        <v>1</v>
      </c>
      <c r="BV40" s="31" t="b">
        <f>AI40=[2]数字化与研发投入!AI40</f>
        <v>1</v>
      </c>
      <c r="BW40" s="31" t="b">
        <f>AJ40=[2]数字化与研发投入!AJ40</f>
        <v>1</v>
      </c>
      <c r="BX40" s="31" t="b">
        <f>AK40=[2]数字化与研发投入!AK40</f>
        <v>1</v>
      </c>
    </row>
    <row r="41" s="33" customFormat="1" ht="96" customHeight="1" spans="1:76">
      <c r="A41" s="92"/>
      <c r="B41" s="92" t="s">
        <v>566</v>
      </c>
      <c r="C41" s="94" t="s">
        <v>454</v>
      </c>
      <c r="D41" s="94" t="s">
        <v>588</v>
      </c>
      <c r="E41" s="95" t="s">
        <v>717</v>
      </c>
      <c r="F41" s="92"/>
      <c r="G41" s="95" t="s">
        <v>718</v>
      </c>
      <c r="H41" s="95" t="s">
        <v>719</v>
      </c>
      <c r="I41" s="95" t="s">
        <v>720</v>
      </c>
      <c r="J41" s="95" t="s">
        <v>721</v>
      </c>
      <c r="K41" s="94"/>
      <c r="L41" s="94"/>
      <c r="M41" s="94" t="s">
        <v>36</v>
      </c>
      <c r="N41" s="94"/>
      <c r="O41" s="94"/>
      <c r="P41" s="94"/>
      <c r="Q41" s="94"/>
      <c r="R41" s="94"/>
      <c r="S41" s="94"/>
      <c r="T41" s="94" t="s">
        <v>475</v>
      </c>
      <c r="U41" s="95"/>
      <c r="V41" s="95" t="s">
        <v>722</v>
      </c>
      <c r="W41" s="95" t="s">
        <v>683</v>
      </c>
      <c r="X41" s="94" t="s">
        <v>503</v>
      </c>
      <c r="Y41" s="94" t="s">
        <v>540</v>
      </c>
      <c r="Z41" s="94"/>
      <c r="AA41" s="94" t="s">
        <v>503</v>
      </c>
      <c r="AB41" s="94" t="s">
        <v>540</v>
      </c>
      <c r="AC41" s="94"/>
      <c r="AD41" s="95"/>
      <c r="AE41" s="94"/>
      <c r="AF41" s="94"/>
      <c r="AG41" s="94"/>
      <c r="AH41" s="94" t="s">
        <v>469</v>
      </c>
      <c r="AI41" s="94" t="s">
        <v>469</v>
      </c>
      <c r="AJ41" s="96" t="s">
        <v>723</v>
      </c>
      <c r="AK41" s="94" t="s">
        <v>637</v>
      </c>
      <c r="AL41" s="97"/>
      <c r="AM41" s="54" t="s">
        <v>759</v>
      </c>
      <c r="AN41" s="31" t="b">
        <f>A41=[2]数字化与研发投入!A41</f>
        <v>1</v>
      </c>
      <c r="AO41" s="31" t="b">
        <f>B41=[2]数字化与研发投入!B41</f>
        <v>1</v>
      </c>
      <c r="AP41" s="31" t="b">
        <f>C41=[2]数字化与研发投入!C41</f>
        <v>1</v>
      </c>
      <c r="AQ41" s="31" t="b">
        <f>D41=[2]数字化与研发投入!D41</f>
        <v>1</v>
      </c>
      <c r="AR41" s="31" t="b">
        <f>E41=[2]数字化与研发投入!E41</f>
        <v>1</v>
      </c>
      <c r="AS41" s="31" t="b">
        <f>F41=[2]数字化与研发投入!F41</f>
        <v>1</v>
      </c>
      <c r="AT41" s="31" t="b">
        <f>G41=[2]数字化与研发投入!G41</f>
        <v>1</v>
      </c>
      <c r="AU41" s="31" t="b">
        <f>H41=[2]数字化与研发投入!H41</f>
        <v>1</v>
      </c>
      <c r="AV41" s="31" t="b">
        <f>I41=[2]数字化与研发投入!I41</f>
        <v>1</v>
      </c>
      <c r="AW41" s="31" t="b">
        <f>J41=[2]数字化与研发投入!J41</f>
        <v>1</v>
      </c>
      <c r="AX41" s="31" t="b">
        <f>K41=[2]数字化与研发投入!K41</f>
        <v>1</v>
      </c>
      <c r="AY41" s="31" t="b">
        <f>L41=[2]数字化与研发投入!L41</f>
        <v>1</v>
      </c>
      <c r="AZ41" s="31" t="b">
        <f>M41=[2]数字化与研发投入!M41</f>
        <v>1</v>
      </c>
      <c r="BA41" s="31" t="b">
        <f>N41=[2]数字化与研发投入!N41</f>
        <v>1</v>
      </c>
      <c r="BB41" s="31" t="b">
        <f>O41=[2]数字化与研发投入!O41</f>
        <v>1</v>
      </c>
      <c r="BC41" s="31" t="b">
        <f>P41=[2]数字化与研发投入!P41</f>
        <v>1</v>
      </c>
      <c r="BD41" s="31" t="b">
        <f>Q41=[2]数字化与研发投入!Q41</f>
        <v>1</v>
      </c>
      <c r="BE41" s="31" t="b">
        <f>R41=[2]数字化与研发投入!R41</f>
        <v>1</v>
      </c>
      <c r="BF41" s="31" t="b">
        <f>S41=[2]数字化与研发投入!S41</f>
        <v>1</v>
      </c>
      <c r="BG41" s="31" t="b">
        <f>T41=[2]数字化与研发投入!T41</f>
        <v>1</v>
      </c>
      <c r="BH41" s="31" t="b">
        <f>U41=[2]数字化与研发投入!U41</f>
        <v>1</v>
      </c>
      <c r="BI41" s="31" t="b">
        <f>V41=[2]数字化与研发投入!V41</f>
        <v>1</v>
      </c>
      <c r="BJ41" s="31" t="b">
        <f>W41=[2]数字化与研发投入!W41</f>
        <v>1</v>
      </c>
      <c r="BK41" s="31" t="b">
        <f>X41=[2]数字化与研发投入!X41</f>
        <v>1</v>
      </c>
      <c r="BL41" s="31" t="b">
        <f>Y41=[2]数字化与研发投入!Y41</f>
        <v>1</v>
      </c>
      <c r="BM41" s="31" t="b">
        <f>Z41=[2]数字化与研发投入!Z41</f>
        <v>1</v>
      </c>
      <c r="BN41" s="31" t="b">
        <f>AA41=[2]数字化与研发投入!AA41</f>
        <v>1</v>
      </c>
      <c r="BO41" s="31" t="b">
        <f>AB41=[2]数字化与研发投入!AB41</f>
        <v>1</v>
      </c>
      <c r="BP41" s="31" t="b">
        <f>AC41=[2]数字化与研发投入!AC41</f>
        <v>1</v>
      </c>
      <c r="BQ41" s="31" t="b">
        <f>AD41=[2]数字化与研发投入!AD41</f>
        <v>1</v>
      </c>
      <c r="BR41" s="31" t="b">
        <f>AE41=[2]数字化与研发投入!AE41</f>
        <v>1</v>
      </c>
      <c r="BS41" s="31" t="b">
        <f>AF41=[2]数字化与研发投入!AF41</f>
        <v>1</v>
      </c>
      <c r="BT41" s="31" t="b">
        <f>AG41=[2]数字化与研发投入!AG41</f>
        <v>1</v>
      </c>
      <c r="BU41" s="31" t="b">
        <f>AH41=[2]数字化与研发投入!AH41</f>
        <v>1</v>
      </c>
      <c r="BV41" s="31" t="b">
        <f>AI41=[2]数字化与研发投入!AI41</f>
        <v>1</v>
      </c>
      <c r="BW41" s="31" t="b">
        <f>AJ41=[2]数字化与研发投入!AJ41</f>
        <v>1</v>
      </c>
      <c r="BX41" s="31" t="b">
        <f>AK41=[2]数字化与研发投入!AK41</f>
        <v>1</v>
      </c>
    </row>
    <row r="42" s="33" customFormat="1" ht="102" customHeight="1" spans="1:76">
      <c r="A42" s="92"/>
      <c r="B42" s="92"/>
      <c r="C42" s="94"/>
      <c r="D42" s="94"/>
      <c r="E42" s="95"/>
      <c r="F42" s="92"/>
      <c r="G42" s="95"/>
      <c r="H42" s="95"/>
      <c r="I42" s="95" t="s">
        <v>724</v>
      </c>
      <c r="J42" s="95" t="s">
        <v>725</v>
      </c>
      <c r="K42" s="94"/>
      <c r="L42" s="94"/>
      <c r="M42" s="94" t="s">
        <v>36</v>
      </c>
      <c r="N42" s="94"/>
      <c r="O42" s="94" t="s">
        <v>36</v>
      </c>
      <c r="P42" s="94"/>
      <c r="Q42" s="94"/>
      <c r="R42" s="94"/>
      <c r="S42" s="94"/>
      <c r="T42" s="94" t="s">
        <v>475</v>
      </c>
      <c r="U42" s="95"/>
      <c r="V42" s="95" t="s">
        <v>726</v>
      </c>
      <c r="W42" s="95" t="s">
        <v>683</v>
      </c>
      <c r="X42" s="94" t="s">
        <v>503</v>
      </c>
      <c r="Y42" s="94" t="s">
        <v>540</v>
      </c>
      <c r="Z42" s="94"/>
      <c r="AA42" s="94" t="s">
        <v>503</v>
      </c>
      <c r="AB42" s="94" t="s">
        <v>540</v>
      </c>
      <c r="AC42" s="94"/>
      <c r="AD42" s="95"/>
      <c r="AE42" s="94"/>
      <c r="AF42" s="94"/>
      <c r="AG42" s="94"/>
      <c r="AH42" s="94" t="s">
        <v>469</v>
      </c>
      <c r="AI42" s="94" t="s">
        <v>469</v>
      </c>
      <c r="AJ42" s="96" t="s">
        <v>723</v>
      </c>
      <c r="AK42" s="94" t="s">
        <v>637</v>
      </c>
      <c r="AL42" s="97"/>
      <c r="AM42" s="54" t="s">
        <v>759</v>
      </c>
      <c r="AN42" s="31" t="b">
        <f>A42=[2]数字化与研发投入!A42</f>
        <v>1</v>
      </c>
      <c r="AO42" s="31" t="b">
        <f>B42=[2]数字化与研发投入!B42</f>
        <v>1</v>
      </c>
      <c r="AP42" s="31" t="b">
        <f>C42=[2]数字化与研发投入!C42</f>
        <v>1</v>
      </c>
      <c r="AQ42" s="31" t="b">
        <f>D42=[2]数字化与研发投入!D42</f>
        <v>1</v>
      </c>
      <c r="AR42" s="31" t="b">
        <f>E42=[2]数字化与研发投入!E42</f>
        <v>1</v>
      </c>
      <c r="AS42" s="31" t="b">
        <f>F42=[2]数字化与研发投入!F42</f>
        <v>1</v>
      </c>
      <c r="AT42" s="31" t="b">
        <f>G42=[2]数字化与研发投入!G42</f>
        <v>1</v>
      </c>
      <c r="AU42" s="31" t="b">
        <f>H42=[2]数字化与研发投入!H42</f>
        <v>1</v>
      </c>
      <c r="AV42" s="31" t="b">
        <f>I42=[2]数字化与研发投入!I42</f>
        <v>1</v>
      </c>
      <c r="AW42" s="31" t="b">
        <f>J42=[2]数字化与研发投入!J42</f>
        <v>1</v>
      </c>
      <c r="AX42" s="31" t="b">
        <f>K42=[2]数字化与研发投入!K42</f>
        <v>1</v>
      </c>
      <c r="AY42" s="31" t="b">
        <f>L42=[2]数字化与研发投入!L42</f>
        <v>1</v>
      </c>
      <c r="AZ42" s="31" t="b">
        <f>M42=[2]数字化与研发投入!M42</f>
        <v>1</v>
      </c>
      <c r="BA42" s="31" t="b">
        <f>N42=[2]数字化与研发投入!N42</f>
        <v>1</v>
      </c>
      <c r="BB42" s="31" t="b">
        <f>O42=[2]数字化与研发投入!O42</f>
        <v>1</v>
      </c>
      <c r="BC42" s="31" t="b">
        <f>P42=[2]数字化与研发投入!P42</f>
        <v>1</v>
      </c>
      <c r="BD42" s="31" t="b">
        <f>Q42=[2]数字化与研发投入!Q42</f>
        <v>1</v>
      </c>
      <c r="BE42" s="31" t="b">
        <f>R42=[2]数字化与研发投入!R42</f>
        <v>1</v>
      </c>
      <c r="BF42" s="31" t="b">
        <f>S42=[2]数字化与研发投入!S42</f>
        <v>1</v>
      </c>
      <c r="BG42" s="31" t="b">
        <f>T42=[2]数字化与研发投入!T42</f>
        <v>1</v>
      </c>
      <c r="BH42" s="31" t="b">
        <f>U42=[2]数字化与研发投入!U42</f>
        <v>1</v>
      </c>
      <c r="BI42" s="31" t="b">
        <f>V42=[2]数字化与研发投入!V42</f>
        <v>1</v>
      </c>
      <c r="BJ42" s="31" t="b">
        <f>W42=[2]数字化与研发投入!W42</f>
        <v>1</v>
      </c>
      <c r="BK42" s="31" t="b">
        <f>X42=[2]数字化与研发投入!X42</f>
        <v>1</v>
      </c>
      <c r="BL42" s="31" t="b">
        <f>Y42=[2]数字化与研发投入!Y42</f>
        <v>1</v>
      </c>
      <c r="BM42" s="31" t="b">
        <f>Z42=[2]数字化与研发投入!Z42</f>
        <v>1</v>
      </c>
      <c r="BN42" s="31" t="b">
        <f>AA42=[2]数字化与研发投入!AA42</f>
        <v>1</v>
      </c>
      <c r="BO42" s="31" t="b">
        <f>AB42=[2]数字化与研发投入!AB42</f>
        <v>1</v>
      </c>
      <c r="BP42" s="31" t="b">
        <f>AC42=[2]数字化与研发投入!AC42</f>
        <v>1</v>
      </c>
      <c r="BQ42" s="31" t="b">
        <f>AD42=[2]数字化与研发投入!AD42</f>
        <v>1</v>
      </c>
      <c r="BR42" s="31" t="b">
        <f>AE42=[2]数字化与研发投入!AE42</f>
        <v>1</v>
      </c>
      <c r="BS42" s="31" t="b">
        <f>AF42=[2]数字化与研发投入!AF42</f>
        <v>1</v>
      </c>
      <c r="BT42" s="31" t="b">
        <f>AG42=[2]数字化与研发投入!AG42</f>
        <v>1</v>
      </c>
      <c r="BU42" s="31" t="b">
        <f>AH42=[2]数字化与研发投入!AH42</f>
        <v>1</v>
      </c>
      <c r="BV42" s="31" t="b">
        <f>AI42=[2]数字化与研发投入!AI42</f>
        <v>1</v>
      </c>
      <c r="BW42" s="31" t="b">
        <f>AJ42=[2]数字化与研发投入!AJ42</f>
        <v>1</v>
      </c>
      <c r="BX42" s="31" t="b">
        <f>AK42=[2]数字化与研发投入!AK42</f>
        <v>1</v>
      </c>
    </row>
    <row r="43" s="33" customFormat="1" ht="101" customHeight="1" spans="1:76">
      <c r="A43" s="92"/>
      <c r="B43" s="92"/>
      <c r="C43" s="94"/>
      <c r="D43" s="94"/>
      <c r="E43" s="95"/>
      <c r="F43" s="92"/>
      <c r="G43" s="95"/>
      <c r="H43" s="95"/>
      <c r="I43" s="95" t="s">
        <v>727</v>
      </c>
      <c r="J43" s="95" t="s">
        <v>728</v>
      </c>
      <c r="K43" s="98"/>
      <c r="L43" s="94"/>
      <c r="M43" s="94" t="s">
        <v>36</v>
      </c>
      <c r="N43" s="94"/>
      <c r="O43" s="94"/>
      <c r="P43" s="94"/>
      <c r="Q43" s="94"/>
      <c r="R43" s="94"/>
      <c r="S43" s="94"/>
      <c r="T43" s="94" t="s">
        <v>535</v>
      </c>
      <c r="U43" s="95" t="s">
        <v>713</v>
      </c>
      <c r="V43" s="95" t="s">
        <v>729</v>
      </c>
      <c r="W43" s="95" t="s">
        <v>706</v>
      </c>
      <c r="X43" s="94" t="s">
        <v>503</v>
      </c>
      <c r="Y43" s="94" t="s">
        <v>540</v>
      </c>
      <c r="Z43" s="94"/>
      <c r="AA43" s="94" t="s">
        <v>503</v>
      </c>
      <c r="AB43" s="94" t="s">
        <v>540</v>
      </c>
      <c r="AC43" s="94"/>
      <c r="AD43" s="95" t="s">
        <v>730</v>
      </c>
      <c r="AE43" s="94" t="s">
        <v>467</v>
      </c>
      <c r="AF43" s="94" t="s">
        <v>466</v>
      </c>
      <c r="AG43" s="94"/>
      <c r="AH43" s="94" t="s">
        <v>469</v>
      </c>
      <c r="AI43" s="94" t="s">
        <v>469</v>
      </c>
      <c r="AJ43" s="96" t="s">
        <v>723</v>
      </c>
      <c r="AK43" s="94" t="s">
        <v>637</v>
      </c>
      <c r="AL43" s="97"/>
      <c r="AM43" s="54" t="s">
        <v>759</v>
      </c>
      <c r="AN43" s="31" t="b">
        <f>A43=[2]数字化与研发投入!A43</f>
        <v>1</v>
      </c>
      <c r="AO43" s="31" t="b">
        <f>B43=[2]数字化与研发投入!B43</f>
        <v>1</v>
      </c>
      <c r="AP43" s="31" t="b">
        <f>C43=[2]数字化与研发投入!C43</f>
        <v>1</v>
      </c>
      <c r="AQ43" s="31" t="b">
        <f>D43=[2]数字化与研发投入!D43</f>
        <v>1</v>
      </c>
      <c r="AR43" s="31" t="b">
        <f>E43=[2]数字化与研发投入!E43</f>
        <v>1</v>
      </c>
      <c r="AS43" s="31" t="b">
        <f>F43=[2]数字化与研发投入!F43</f>
        <v>1</v>
      </c>
      <c r="AT43" s="31" t="b">
        <f>G43=[2]数字化与研发投入!G43</f>
        <v>1</v>
      </c>
      <c r="AU43" s="31" t="b">
        <f>H43=[2]数字化与研发投入!H43</f>
        <v>1</v>
      </c>
      <c r="AV43" s="31" t="b">
        <f>I43=[2]数字化与研发投入!I43</f>
        <v>1</v>
      </c>
      <c r="AW43" s="31" t="b">
        <f>J43=[2]数字化与研发投入!J43</f>
        <v>1</v>
      </c>
      <c r="AX43" s="31" t="b">
        <f>K43=[2]数字化与研发投入!K43</f>
        <v>1</v>
      </c>
      <c r="AY43" s="31" t="b">
        <f>L43=[2]数字化与研发投入!L43</f>
        <v>1</v>
      </c>
      <c r="AZ43" s="31" t="b">
        <f>M43=[2]数字化与研发投入!M43</f>
        <v>1</v>
      </c>
      <c r="BA43" s="31" t="b">
        <f>N43=[2]数字化与研发投入!N43</f>
        <v>1</v>
      </c>
      <c r="BB43" s="31" t="b">
        <f>O43=[2]数字化与研发投入!O43</f>
        <v>1</v>
      </c>
      <c r="BC43" s="31" t="b">
        <f>P43=[2]数字化与研发投入!P43</f>
        <v>1</v>
      </c>
      <c r="BD43" s="31" t="b">
        <f>Q43=[2]数字化与研发投入!Q43</f>
        <v>1</v>
      </c>
      <c r="BE43" s="31" t="b">
        <f>R43=[2]数字化与研发投入!R43</f>
        <v>1</v>
      </c>
      <c r="BF43" s="31" t="b">
        <f>S43=[2]数字化与研发投入!S43</f>
        <v>1</v>
      </c>
      <c r="BG43" s="31" t="b">
        <f>T43=[2]数字化与研发投入!T43</f>
        <v>1</v>
      </c>
      <c r="BH43" s="31" t="b">
        <f>U43=[2]数字化与研发投入!U43</f>
        <v>1</v>
      </c>
      <c r="BI43" s="31" t="b">
        <f>V43=[2]数字化与研发投入!V43</f>
        <v>1</v>
      </c>
      <c r="BJ43" s="31" t="b">
        <f>W43=[2]数字化与研发投入!W43</f>
        <v>1</v>
      </c>
      <c r="BK43" s="31" t="b">
        <f>X43=[2]数字化与研发投入!X43</f>
        <v>1</v>
      </c>
      <c r="BL43" s="31" t="b">
        <f>Y43=[2]数字化与研发投入!Y43</f>
        <v>1</v>
      </c>
      <c r="BM43" s="31" t="b">
        <f>Z43=[2]数字化与研发投入!Z43</f>
        <v>1</v>
      </c>
      <c r="BN43" s="31" t="b">
        <f>AA43=[2]数字化与研发投入!AA43</f>
        <v>1</v>
      </c>
      <c r="BO43" s="31" t="b">
        <f>AB43=[2]数字化与研发投入!AB43</f>
        <v>1</v>
      </c>
      <c r="BP43" s="31" t="b">
        <f>AC43=[2]数字化与研发投入!AC43</f>
        <v>1</v>
      </c>
      <c r="BQ43" s="31" t="b">
        <f>AD43=[2]数字化与研发投入!AD43</f>
        <v>1</v>
      </c>
      <c r="BR43" s="31" t="b">
        <f>AE43=[2]数字化与研发投入!AE43</f>
        <v>1</v>
      </c>
      <c r="BS43" s="31" t="b">
        <f>AF43=[2]数字化与研发投入!AF43</f>
        <v>1</v>
      </c>
      <c r="BT43" s="31" t="b">
        <f>AG43=[2]数字化与研发投入!AG43</f>
        <v>1</v>
      </c>
      <c r="BU43" s="31" t="b">
        <f>AH43=[2]数字化与研发投入!AH43</f>
        <v>1</v>
      </c>
      <c r="BV43" s="31" t="b">
        <f>AI43=[2]数字化与研发投入!AI43</f>
        <v>1</v>
      </c>
      <c r="BW43" s="31" t="b">
        <f>AJ43=[2]数字化与研发投入!AJ43</f>
        <v>1</v>
      </c>
      <c r="BX43" s="31" t="b">
        <f>AK43=[2]数字化与研发投入!AK43</f>
        <v>1</v>
      </c>
    </row>
    <row r="44" s="33" customFormat="1" ht="127" customHeight="1" spans="1:76">
      <c r="A44" s="92"/>
      <c r="B44" s="92"/>
      <c r="C44" s="94" t="s">
        <v>454</v>
      </c>
      <c r="D44" s="94" t="s">
        <v>731</v>
      </c>
      <c r="E44" s="94" t="s">
        <v>732</v>
      </c>
      <c r="F44" s="92" t="s">
        <v>733</v>
      </c>
      <c r="G44" s="94" t="s">
        <v>734</v>
      </c>
      <c r="H44" s="94" t="s">
        <v>735</v>
      </c>
      <c r="I44" s="95" t="s">
        <v>736</v>
      </c>
      <c r="J44" s="95" t="s">
        <v>737</v>
      </c>
      <c r="K44" s="94"/>
      <c r="L44" s="94"/>
      <c r="M44" s="94" t="s">
        <v>36</v>
      </c>
      <c r="N44" s="94"/>
      <c r="O44" s="94" t="s">
        <v>36</v>
      </c>
      <c r="P44" s="94"/>
      <c r="Q44" s="94"/>
      <c r="R44" s="94" t="s">
        <v>36</v>
      </c>
      <c r="S44" s="94"/>
      <c r="T44" s="94" t="s">
        <v>475</v>
      </c>
      <c r="U44" s="95"/>
      <c r="V44" s="95" t="s">
        <v>738</v>
      </c>
      <c r="W44" s="95" t="s">
        <v>654</v>
      </c>
      <c r="X44" s="94" t="s">
        <v>467</v>
      </c>
      <c r="Y44" s="94" t="s">
        <v>466</v>
      </c>
      <c r="Z44" s="94"/>
      <c r="AA44" s="94" t="s">
        <v>467</v>
      </c>
      <c r="AB44" s="94" t="s">
        <v>466</v>
      </c>
      <c r="AC44" s="94"/>
      <c r="AD44" s="95"/>
      <c r="AE44" s="94"/>
      <c r="AF44" s="94"/>
      <c r="AG44" s="94"/>
      <c r="AH44" s="94" t="s">
        <v>469</v>
      </c>
      <c r="AI44" s="94" t="s">
        <v>469</v>
      </c>
      <c r="AJ44" s="95" t="s">
        <v>739</v>
      </c>
      <c r="AK44" s="94" t="s">
        <v>637</v>
      </c>
      <c r="AL44" s="97"/>
      <c r="AM44" s="54" t="s">
        <v>759</v>
      </c>
      <c r="AN44" s="31" t="b">
        <f>A44=[2]数字化与研发投入!A44</f>
        <v>1</v>
      </c>
      <c r="AO44" s="31" t="b">
        <f>B44=[2]数字化与研发投入!B44</f>
        <v>1</v>
      </c>
      <c r="AP44" s="31" t="b">
        <f>C44=[2]数字化与研发投入!C44</f>
        <v>1</v>
      </c>
      <c r="AQ44" s="31" t="b">
        <f>D44=[2]数字化与研发投入!D44</f>
        <v>1</v>
      </c>
      <c r="AR44" s="31" t="b">
        <f>E44=[2]数字化与研发投入!E44</f>
        <v>1</v>
      </c>
      <c r="AS44" s="31" t="b">
        <f>F44=[2]数字化与研发投入!F44</f>
        <v>1</v>
      </c>
      <c r="AT44" s="31" t="b">
        <f>G44=[2]数字化与研发投入!G44</f>
        <v>1</v>
      </c>
      <c r="AU44" s="31" t="b">
        <f>H44=[2]数字化与研发投入!H44</f>
        <v>1</v>
      </c>
      <c r="AV44" s="31" t="b">
        <f>I44=[2]数字化与研发投入!I44</f>
        <v>1</v>
      </c>
      <c r="AW44" s="31" t="b">
        <f>J44=[2]数字化与研发投入!J44</f>
        <v>1</v>
      </c>
      <c r="AX44" s="31" t="b">
        <f>K44=[2]数字化与研发投入!K44</f>
        <v>1</v>
      </c>
      <c r="AY44" s="31" t="b">
        <f>L44=[2]数字化与研发投入!L44</f>
        <v>1</v>
      </c>
      <c r="AZ44" s="31" t="b">
        <f>M44=[2]数字化与研发投入!M44</f>
        <v>1</v>
      </c>
      <c r="BA44" s="31" t="b">
        <f>N44=[2]数字化与研发投入!N44</f>
        <v>1</v>
      </c>
      <c r="BB44" s="31" t="b">
        <f>O44=[2]数字化与研发投入!O44</f>
        <v>1</v>
      </c>
      <c r="BC44" s="31" t="b">
        <f>P44=[2]数字化与研发投入!P44</f>
        <v>1</v>
      </c>
      <c r="BD44" s="31" t="b">
        <f>Q44=[2]数字化与研发投入!Q44</f>
        <v>1</v>
      </c>
      <c r="BE44" s="31" t="b">
        <f>R44=[2]数字化与研发投入!R44</f>
        <v>1</v>
      </c>
      <c r="BF44" s="31" t="b">
        <f>S44=[2]数字化与研发投入!S44</f>
        <v>1</v>
      </c>
      <c r="BG44" s="31" t="b">
        <f>T44=[2]数字化与研发投入!T44</f>
        <v>1</v>
      </c>
      <c r="BH44" s="31" t="b">
        <f>U44=[2]数字化与研发投入!U44</f>
        <v>1</v>
      </c>
      <c r="BI44" s="31" t="b">
        <f>V44=[2]数字化与研发投入!V44</f>
        <v>1</v>
      </c>
      <c r="BJ44" s="31" t="b">
        <f>W44=[2]数字化与研发投入!W44</f>
        <v>1</v>
      </c>
      <c r="BK44" s="31" t="b">
        <f>X44=[2]数字化与研发投入!X44</f>
        <v>1</v>
      </c>
      <c r="BL44" s="31" t="b">
        <f>Y44=[2]数字化与研发投入!Y44</f>
        <v>1</v>
      </c>
      <c r="BM44" s="31" t="b">
        <f>Z44=[2]数字化与研发投入!Z44</f>
        <v>1</v>
      </c>
      <c r="BN44" s="31" t="b">
        <f>AA44=[2]数字化与研发投入!AA44</f>
        <v>1</v>
      </c>
      <c r="BO44" s="31" t="b">
        <f>AB44=[2]数字化与研发投入!AB44</f>
        <v>1</v>
      </c>
      <c r="BP44" s="31" t="b">
        <f>AC44=[2]数字化与研发投入!AC44</f>
        <v>1</v>
      </c>
      <c r="BQ44" s="31" t="b">
        <f>AD44=[2]数字化与研发投入!AD44</f>
        <v>1</v>
      </c>
      <c r="BR44" s="31" t="b">
        <f>AE44=[2]数字化与研发投入!AE44</f>
        <v>1</v>
      </c>
      <c r="BS44" s="31" t="b">
        <f>AF44=[2]数字化与研发投入!AF44</f>
        <v>1</v>
      </c>
      <c r="BT44" s="31" t="b">
        <f>AG44=[2]数字化与研发投入!AG44</f>
        <v>1</v>
      </c>
      <c r="BU44" s="31" t="b">
        <f>AH44=[2]数字化与研发投入!AH44</f>
        <v>1</v>
      </c>
      <c r="BV44" s="31" t="b">
        <f>AI44=[2]数字化与研发投入!AI44</f>
        <v>1</v>
      </c>
      <c r="BW44" s="31" t="b">
        <f>AJ44=[2]数字化与研发投入!AJ44</f>
        <v>1</v>
      </c>
      <c r="BX44" s="31" t="b">
        <f>AK44=[2]数字化与研发投入!AK44</f>
        <v>1</v>
      </c>
    </row>
    <row r="45" s="33" customFormat="1" ht="144" customHeight="1" spans="1:76">
      <c r="A45" s="92"/>
      <c r="B45" s="92"/>
      <c r="C45" s="94"/>
      <c r="D45" s="94"/>
      <c r="E45" s="94"/>
      <c r="F45" s="92"/>
      <c r="G45" s="94"/>
      <c r="H45" s="94"/>
      <c r="I45" s="95" t="s">
        <v>740</v>
      </c>
      <c r="J45" s="95" t="s">
        <v>741</v>
      </c>
      <c r="K45" s="94"/>
      <c r="L45" s="94"/>
      <c r="M45" s="94" t="s">
        <v>36</v>
      </c>
      <c r="N45" s="94"/>
      <c r="O45" s="94" t="s">
        <v>36</v>
      </c>
      <c r="P45" s="94"/>
      <c r="Q45" s="94"/>
      <c r="R45" s="94" t="s">
        <v>36</v>
      </c>
      <c r="S45" s="94"/>
      <c r="T45" s="94" t="s">
        <v>475</v>
      </c>
      <c r="U45" s="95"/>
      <c r="V45" s="95" t="s">
        <v>738</v>
      </c>
      <c r="W45" s="95" t="s">
        <v>654</v>
      </c>
      <c r="X45" s="94" t="s">
        <v>467</v>
      </c>
      <c r="Y45" s="94" t="s">
        <v>466</v>
      </c>
      <c r="Z45" s="94"/>
      <c r="AA45" s="94" t="s">
        <v>467</v>
      </c>
      <c r="AB45" s="94" t="s">
        <v>466</v>
      </c>
      <c r="AC45" s="94"/>
      <c r="AD45" s="95"/>
      <c r="AE45" s="94"/>
      <c r="AF45" s="94"/>
      <c r="AG45" s="94"/>
      <c r="AH45" s="94" t="s">
        <v>469</v>
      </c>
      <c r="AI45" s="94" t="s">
        <v>469</v>
      </c>
      <c r="AJ45" s="95" t="s">
        <v>739</v>
      </c>
      <c r="AK45" s="94" t="s">
        <v>637</v>
      </c>
      <c r="AL45" s="97"/>
      <c r="AM45" s="54" t="s">
        <v>759</v>
      </c>
      <c r="AN45" s="31" t="b">
        <f>A45=[2]数字化与研发投入!A45</f>
        <v>1</v>
      </c>
      <c r="AO45" s="31" t="b">
        <f>B45=[2]数字化与研发投入!B45</f>
        <v>1</v>
      </c>
      <c r="AP45" s="31" t="b">
        <f>C45=[2]数字化与研发投入!C45</f>
        <v>1</v>
      </c>
      <c r="AQ45" s="31" t="b">
        <f>D45=[2]数字化与研发投入!D45</f>
        <v>1</v>
      </c>
      <c r="AR45" s="31" t="b">
        <f>E45=[2]数字化与研发投入!E45</f>
        <v>1</v>
      </c>
      <c r="AS45" s="31" t="b">
        <f>F45=[2]数字化与研发投入!F45</f>
        <v>1</v>
      </c>
      <c r="AT45" s="31" t="b">
        <f>G45=[2]数字化与研发投入!G45</f>
        <v>1</v>
      </c>
      <c r="AU45" s="31" t="b">
        <f>H45=[2]数字化与研发投入!H45</f>
        <v>1</v>
      </c>
      <c r="AV45" s="31" t="b">
        <f>I45=[2]数字化与研发投入!I45</f>
        <v>1</v>
      </c>
      <c r="AW45" s="31" t="b">
        <f>J45=[2]数字化与研发投入!J45</f>
        <v>1</v>
      </c>
      <c r="AX45" s="31" t="b">
        <f>K45=[2]数字化与研发投入!K45</f>
        <v>1</v>
      </c>
      <c r="AY45" s="31" t="b">
        <f>L45=[2]数字化与研发投入!L45</f>
        <v>1</v>
      </c>
      <c r="AZ45" s="31" t="b">
        <f>M45=[2]数字化与研发投入!M45</f>
        <v>1</v>
      </c>
      <c r="BA45" s="31" t="b">
        <f>N45=[2]数字化与研发投入!N45</f>
        <v>1</v>
      </c>
      <c r="BB45" s="31" t="b">
        <f>O45=[2]数字化与研发投入!O45</f>
        <v>1</v>
      </c>
      <c r="BC45" s="31" t="b">
        <f>P45=[2]数字化与研发投入!P45</f>
        <v>1</v>
      </c>
      <c r="BD45" s="31" t="b">
        <f>Q45=[2]数字化与研发投入!Q45</f>
        <v>1</v>
      </c>
      <c r="BE45" s="31" t="b">
        <f>R45=[2]数字化与研发投入!R45</f>
        <v>1</v>
      </c>
      <c r="BF45" s="31" t="b">
        <f>S45=[2]数字化与研发投入!S45</f>
        <v>1</v>
      </c>
      <c r="BG45" s="31" t="b">
        <f>T45=[2]数字化与研发投入!T45</f>
        <v>1</v>
      </c>
      <c r="BH45" s="31" t="b">
        <f>U45=[2]数字化与研发投入!U45</f>
        <v>1</v>
      </c>
      <c r="BI45" s="31" t="b">
        <f>V45=[2]数字化与研发投入!V45</f>
        <v>1</v>
      </c>
      <c r="BJ45" s="31" t="b">
        <f>W45=[2]数字化与研发投入!W45</f>
        <v>1</v>
      </c>
      <c r="BK45" s="31" t="b">
        <f>X45=[2]数字化与研发投入!X45</f>
        <v>1</v>
      </c>
      <c r="BL45" s="31" t="b">
        <f>Y45=[2]数字化与研发投入!Y45</f>
        <v>1</v>
      </c>
      <c r="BM45" s="31" t="b">
        <f>Z45=[2]数字化与研发投入!Z45</f>
        <v>1</v>
      </c>
      <c r="BN45" s="31" t="b">
        <f>AA45=[2]数字化与研发投入!AA45</f>
        <v>1</v>
      </c>
      <c r="BO45" s="31" t="b">
        <f>AB45=[2]数字化与研发投入!AB45</f>
        <v>1</v>
      </c>
      <c r="BP45" s="31" t="b">
        <f>AC45=[2]数字化与研发投入!AC45</f>
        <v>1</v>
      </c>
      <c r="BQ45" s="31" t="b">
        <f>AD45=[2]数字化与研发投入!AD45</f>
        <v>1</v>
      </c>
      <c r="BR45" s="31" t="b">
        <f>AE45=[2]数字化与研发投入!AE45</f>
        <v>1</v>
      </c>
      <c r="BS45" s="31" t="b">
        <f>AF45=[2]数字化与研发投入!AF45</f>
        <v>1</v>
      </c>
      <c r="BT45" s="31" t="b">
        <f>AG45=[2]数字化与研发投入!AG45</f>
        <v>1</v>
      </c>
      <c r="BU45" s="31" t="b">
        <f>AH45=[2]数字化与研发投入!AH45</f>
        <v>1</v>
      </c>
      <c r="BV45" s="31" t="b">
        <f>AI45=[2]数字化与研发投入!AI45</f>
        <v>1</v>
      </c>
      <c r="BW45" s="31" t="b">
        <f>AJ45=[2]数字化与研发投入!AJ45</f>
        <v>1</v>
      </c>
      <c r="BX45" s="31" t="b">
        <f>AK45=[2]数字化与研发投入!AK45</f>
        <v>1</v>
      </c>
    </row>
    <row r="46" s="33" customFormat="1" ht="90" customHeight="1" spans="1:76">
      <c r="A46" s="92"/>
      <c r="B46" s="92"/>
      <c r="C46" s="94"/>
      <c r="D46" s="94"/>
      <c r="E46" s="94"/>
      <c r="F46" s="92"/>
      <c r="G46" s="94"/>
      <c r="H46" s="94"/>
      <c r="I46" s="95" t="s">
        <v>742</v>
      </c>
      <c r="J46" s="95" t="s">
        <v>743</v>
      </c>
      <c r="K46" s="94"/>
      <c r="L46" s="94"/>
      <c r="M46" s="94"/>
      <c r="N46" s="94"/>
      <c r="O46" s="94"/>
      <c r="P46" s="94"/>
      <c r="Q46" s="94"/>
      <c r="R46" s="94"/>
      <c r="S46" s="94" t="s">
        <v>36</v>
      </c>
      <c r="T46" s="94" t="s">
        <v>475</v>
      </c>
      <c r="U46" s="95"/>
      <c r="V46" s="95" t="s">
        <v>738</v>
      </c>
      <c r="W46" s="95" t="s">
        <v>706</v>
      </c>
      <c r="X46" s="94" t="s">
        <v>467</v>
      </c>
      <c r="Y46" s="94" t="s">
        <v>466</v>
      </c>
      <c r="Z46" s="94"/>
      <c r="AA46" s="94" t="s">
        <v>467</v>
      </c>
      <c r="AB46" s="94" t="s">
        <v>466</v>
      </c>
      <c r="AC46" s="94"/>
      <c r="AD46" s="95"/>
      <c r="AE46" s="94"/>
      <c r="AF46" s="94"/>
      <c r="AG46" s="94"/>
      <c r="AH46" s="94" t="s">
        <v>469</v>
      </c>
      <c r="AI46" s="94" t="s">
        <v>469</v>
      </c>
      <c r="AJ46" s="95" t="s">
        <v>739</v>
      </c>
      <c r="AK46" s="94" t="s">
        <v>637</v>
      </c>
      <c r="AL46" s="97"/>
      <c r="AM46" s="54" t="s">
        <v>759</v>
      </c>
      <c r="AN46" s="31" t="b">
        <f>A46=[2]数字化与研发投入!A46</f>
        <v>1</v>
      </c>
      <c r="AO46" s="31" t="b">
        <f>B46=[2]数字化与研发投入!B46</f>
        <v>1</v>
      </c>
      <c r="AP46" s="31" t="b">
        <f>C46=[2]数字化与研发投入!C46</f>
        <v>1</v>
      </c>
      <c r="AQ46" s="31" t="b">
        <f>D46=[2]数字化与研发投入!D46</f>
        <v>1</v>
      </c>
      <c r="AR46" s="31" t="b">
        <f>E46=[2]数字化与研发投入!E46</f>
        <v>1</v>
      </c>
      <c r="AS46" s="31" t="b">
        <f>F46=[2]数字化与研发投入!F46</f>
        <v>1</v>
      </c>
      <c r="AT46" s="31" t="b">
        <f>G46=[2]数字化与研发投入!G46</f>
        <v>1</v>
      </c>
      <c r="AU46" s="31" t="b">
        <f>H46=[2]数字化与研发投入!H46</f>
        <v>1</v>
      </c>
      <c r="AV46" s="31" t="b">
        <f>I46=[2]数字化与研发投入!I46</f>
        <v>1</v>
      </c>
      <c r="AW46" s="31" t="b">
        <f>J46=[2]数字化与研发投入!J46</f>
        <v>1</v>
      </c>
      <c r="AX46" s="31" t="b">
        <f>K46=[2]数字化与研发投入!K46</f>
        <v>1</v>
      </c>
      <c r="AY46" s="31" t="b">
        <f>L46=[2]数字化与研发投入!L46</f>
        <v>1</v>
      </c>
      <c r="AZ46" s="31" t="b">
        <f>M46=[2]数字化与研发投入!M46</f>
        <v>1</v>
      </c>
      <c r="BA46" s="31" t="b">
        <f>N46=[2]数字化与研发投入!N46</f>
        <v>1</v>
      </c>
      <c r="BB46" s="31" t="b">
        <f>O46=[2]数字化与研发投入!O46</f>
        <v>1</v>
      </c>
      <c r="BC46" s="31" t="b">
        <f>P46=[2]数字化与研发投入!P46</f>
        <v>1</v>
      </c>
      <c r="BD46" s="31" t="b">
        <f>Q46=[2]数字化与研发投入!Q46</f>
        <v>1</v>
      </c>
      <c r="BE46" s="31" t="b">
        <f>R46=[2]数字化与研发投入!R46</f>
        <v>1</v>
      </c>
      <c r="BF46" s="31" t="b">
        <f>S46=[2]数字化与研发投入!S46</f>
        <v>1</v>
      </c>
      <c r="BG46" s="31" t="b">
        <f>T46=[2]数字化与研发投入!T46</f>
        <v>1</v>
      </c>
      <c r="BH46" s="31" t="b">
        <f>U46=[2]数字化与研发投入!U46</f>
        <v>1</v>
      </c>
      <c r="BI46" s="31" t="b">
        <f>V46=[2]数字化与研发投入!V46</f>
        <v>1</v>
      </c>
      <c r="BJ46" s="31" t="b">
        <f>W46=[2]数字化与研发投入!W46</f>
        <v>1</v>
      </c>
      <c r="BK46" s="31" t="b">
        <f>X46=[2]数字化与研发投入!X46</f>
        <v>1</v>
      </c>
      <c r="BL46" s="31" t="b">
        <f>Y46=[2]数字化与研发投入!Y46</f>
        <v>1</v>
      </c>
      <c r="BM46" s="31" t="b">
        <f>Z46=[2]数字化与研发投入!Z46</f>
        <v>1</v>
      </c>
      <c r="BN46" s="31" t="b">
        <f>AA46=[2]数字化与研发投入!AA46</f>
        <v>1</v>
      </c>
      <c r="BO46" s="31" t="b">
        <f>AB46=[2]数字化与研发投入!AB46</f>
        <v>1</v>
      </c>
      <c r="BP46" s="31" t="b">
        <f>AC46=[2]数字化与研发投入!AC46</f>
        <v>1</v>
      </c>
      <c r="BQ46" s="31" t="b">
        <f>AD46=[2]数字化与研发投入!AD46</f>
        <v>1</v>
      </c>
      <c r="BR46" s="31" t="b">
        <f>AE46=[2]数字化与研发投入!AE46</f>
        <v>1</v>
      </c>
      <c r="BS46" s="31" t="b">
        <f>AF46=[2]数字化与研发投入!AF46</f>
        <v>1</v>
      </c>
      <c r="BT46" s="31" t="b">
        <f>AG46=[2]数字化与研发投入!AG46</f>
        <v>1</v>
      </c>
      <c r="BU46" s="31" t="b">
        <f>AH46=[2]数字化与研发投入!AH46</f>
        <v>1</v>
      </c>
      <c r="BV46" s="31" t="b">
        <f>AI46=[2]数字化与研发投入!AI46</f>
        <v>1</v>
      </c>
      <c r="BW46" s="31" t="b">
        <f>AJ46=[2]数字化与研发投入!AJ46</f>
        <v>1</v>
      </c>
      <c r="BX46" s="31" t="b">
        <f>AK46=[2]数字化与研发投入!AK46</f>
        <v>1</v>
      </c>
    </row>
    <row r="47" s="34" customFormat="1" ht="52.8" spans="1:76">
      <c r="A47" s="92"/>
      <c r="B47" s="92"/>
      <c r="C47" s="94"/>
      <c r="D47" s="94"/>
      <c r="E47" s="94"/>
      <c r="F47" s="92"/>
      <c r="G47" s="94"/>
      <c r="H47" s="94"/>
      <c r="I47" s="109" t="s">
        <v>744</v>
      </c>
      <c r="J47" s="109" t="s">
        <v>745</v>
      </c>
      <c r="K47" s="110"/>
      <c r="L47" s="110"/>
      <c r="M47" s="110"/>
      <c r="N47" s="110"/>
      <c r="O47" s="110"/>
      <c r="P47" s="110"/>
      <c r="Q47" s="110"/>
      <c r="R47" s="110"/>
      <c r="S47" s="104" t="s">
        <v>36</v>
      </c>
      <c r="T47" s="104" t="s">
        <v>475</v>
      </c>
      <c r="U47" s="111"/>
      <c r="V47" s="109" t="s">
        <v>746</v>
      </c>
      <c r="W47" s="109" t="s">
        <v>706</v>
      </c>
      <c r="X47" s="104" t="s">
        <v>467</v>
      </c>
      <c r="Y47" s="104" t="s">
        <v>466</v>
      </c>
      <c r="Z47" s="104"/>
      <c r="AA47" s="104" t="s">
        <v>467</v>
      </c>
      <c r="AB47" s="104" t="s">
        <v>466</v>
      </c>
      <c r="AC47" s="104"/>
      <c r="AD47" s="109"/>
      <c r="AE47" s="104"/>
      <c r="AF47" s="104"/>
      <c r="AG47" s="104"/>
      <c r="AH47" s="104" t="s">
        <v>469</v>
      </c>
      <c r="AI47" s="104" t="s">
        <v>469</v>
      </c>
      <c r="AJ47" s="109" t="s">
        <v>747</v>
      </c>
      <c r="AK47" s="104" t="s">
        <v>637</v>
      </c>
      <c r="AM47" s="112" t="s">
        <v>748</v>
      </c>
      <c r="AN47" s="31" t="b">
        <f>A47=[2]数字化与研发投入!A47</f>
        <v>1</v>
      </c>
      <c r="AO47" s="31" t="b">
        <f>B47=[2]数字化与研发投入!B47</f>
        <v>1</v>
      </c>
      <c r="AP47" s="31" t="b">
        <f>C47=[2]数字化与研发投入!C47</f>
        <v>1</v>
      </c>
      <c r="AQ47" s="31" t="b">
        <f>D47=[2]数字化与研发投入!D47</f>
        <v>1</v>
      </c>
      <c r="AR47" s="31" t="b">
        <f>E47=[2]数字化与研发投入!E47</f>
        <v>1</v>
      </c>
      <c r="AS47" s="31" t="b">
        <f>F47=[2]数字化与研发投入!F47</f>
        <v>1</v>
      </c>
      <c r="AT47" s="31" t="b">
        <f>G47=[2]数字化与研发投入!G47</f>
        <v>1</v>
      </c>
      <c r="AU47" s="31" t="b">
        <f>H47=[2]数字化与研发投入!H47</f>
        <v>1</v>
      </c>
      <c r="AV47" s="31" t="b">
        <f>I47=[2]数字化与研发投入!I47</f>
        <v>1</v>
      </c>
      <c r="AW47" s="31" t="b">
        <f>J47=[2]数字化与研发投入!J47</f>
        <v>1</v>
      </c>
      <c r="AX47" s="31" t="b">
        <f>K47=[2]数字化与研发投入!K47</f>
        <v>1</v>
      </c>
      <c r="AY47" s="31" t="b">
        <f>L47=[2]数字化与研发投入!L47</f>
        <v>1</v>
      </c>
      <c r="AZ47" s="31" t="b">
        <f>M47=[2]数字化与研发投入!M47</f>
        <v>1</v>
      </c>
      <c r="BA47" s="31" t="b">
        <f>N47=[2]数字化与研发投入!N47</f>
        <v>1</v>
      </c>
      <c r="BB47" s="31" t="b">
        <f>O47=[2]数字化与研发投入!O47</f>
        <v>1</v>
      </c>
      <c r="BC47" s="31" t="b">
        <f>P47=[2]数字化与研发投入!P47</f>
        <v>1</v>
      </c>
      <c r="BD47" s="31" t="b">
        <f>Q47=[2]数字化与研发投入!Q47</f>
        <v>1</v>
      </c>
      <c r="BE47" s="31" t="b">
        <f>R47=[2]数字化与研发投入!R47</f>
        <v>1</v>
      </c>
      <c r="BF47" s="31" t="b">
        <f>S47=[2]数字化与研发投入!S47</f>
        <v>1</v>
      </c>
      <c r="BG47" s="31" t="b">
        <f>T47=[2]数字化与研发投入!T47</f>
        <v>1</v>
      </c>
      <c r="BH47" s="31" t="b">
        <f>U47=[2]数字化与研发投入!U47</f>
        <v>1</v>
      </c>
      <c r="BI47" s="31" t="b">
        <f>V47=[2]数字化与研发投入!V47</f>
        <v>1</v>
      </c>
      <c r="BJ47" s="31" t="b">
        <f>W47=[2]数字化与研发投入!W47</f>
        <v>1</v>
      </c>
      <c r="BK47" s="31" t="b">
        <f>X47=[2]数字化与研发投入!X47</f>
        <v>1</v>
      </c>
      <c r="BL47" s="31" t="b">
        <f>Y47=[2]数字化与研发投入!Y47</f>
        <v>1</v>
      </c>
      <c r="BM47" s="31" t="b">
        <f>Z47=[2]数字化与研发投入!Z47</f>
        <v>1</v>
      </c>
      <c r="BN47" s="31" t="b">
        <f>AA47=[2]数字化与研发投入!AA47</f>
        <v>1</v>
      </c>
      <c r="BO47" s="31" t="b">
        <f>AB47=[2]数字化与研发投入!AB47</f>
        <v>1</v>
      </c>
      <c r="BP47" s="31" t="b">
        <f>AC47=[2]数字化与研发投入!AC47</f>
        <v>1</v>
      </c>
      <c r="BQ47" s="31" t="b">
        <f>AD47=[2]数字化与研发投入!AD47</f>
        <v>1</v>
      </c>
      <c r="BR47" s="31" t="b">
        <f>AE47=[2]数字化与研发投入!AE47</f>
        <v>1</v>
      </c>
      <c r="BS47" s="31" t="b">
        <f>AF47=[2]数字化与研发投入!AF47</f>
        <v>1</v>
      </c>
      <c r="BT47" s="31" t="b">
        <f>AG47=[2]数字化与研发投入!AG47</f>
        <v>1</v>
      </c>
      <c r="BU47" s="31" t="b">
        <f>AH47=[2]数字化与研发投入!AH47</f>
        <v>1</v>
      </c>
      <c r="BV47" s="31" t="b">
        <f>AI47=[2]数字化与研发投入!AI47</f>
        <v>1</v>
      </c>
      <c r="BW47" s="31" t="b">
        <f>AJ47=[2]数字化与研发投入!AJ47</f>
        <v>1</v>
      </c>
      <c r="BX47" s="31" t="b">
        <f>AK47=[2]数字化与研发投入!AK47</f>
        <v>1</v>
      </c>
    </row>
  </sheetData>
  <sheetProtection formatCells="0" formatColumns="0" formatRows="0" insertRows="0" insertColumns="0" insertHyperlinks="0" deleteColumns="0" deleteRows="0" sort="0" autoFilter="0" pivotTables="0"/>
  <mergeCells count="118">
    <mergeCell ref="A1:AK1"/>
    <mergeCell ref="K2:S2"/>
    <mergeCell ref="X2:Z2"/>
    <mergeCell ref="AA2:AC2"/>
    <mergeCell ref="AD2:AG2"/>
    <mergeCell ref="AH2:AJ2"/>
    <mergeCell ref="A2:A3"/>
    <mergeCell ref="A4:A11"/>
    <mergeCell ref="A12:A19"/>
    <mergeCell ref="A20:A27"/>
    <mergeCell ref="A28:A29"/>
    <mergeCell ref="A30:A36"/>
    <mergeCell ref="A37:A47"/>
    <mergeCell ref="B2:B3"/>
    <mergeCell ref="B4:B11"/>
    <mergeCell ref="B12:B14"/>
    <mergeCell ref="B15:B19"/>
    <mergeCell ref="B20:B27"/>
    <mergeCell ref="B28:B29"/>
    <mergeCell ref="B30:B36"/>
    <mergeCell ref="B37:B40"/>
    <mergeCell ref="B41:B47"/>
    <mergeCell ref="C2:C3"/>
    <mergeCell ref="C4:C11"/>
    <mergeCell ref="C12:C14"/>
    <mergeCell ref="C15:C19"/>
    <mergeCell ref="C20:C22"/>
    <mergeCell ref="C23:C25"/>
    <mergeCell ref="C26:C27"/>
    <mergeCell ref="C28:C29"/>
    <mergeCell ref="C30:C34"/>
    <mergeCell ref="C35:C36"/>
    <mergeCell ref="C38:C40"/>
    <mergeCell ref="C41:C43"/>
    <mergeCell ref="C44:C47"/>
    <mergeCell ref="D2:D3"/>
    <mergeCell ref="D4:D7"/>
    <mergeCell ref="D9:D11"/>
    <mergeCell ref="D12:D14"/>
    <mergeCell ref="D15:D19"/>
    <mergeCell ref="D20:D22"/>
    <mergeCell ref="D23:D25"/>
    <mergeCell ref="D26:D27"/>
    <mergeCell ref="D28:D29"/>
    <mergeCell ref="D30:D31"/>
    <mergeCell ref="D32:D34"/>
    <mergeCell ref="D35:D36"/>
    <mergeCell ref="D38:D39"/>
    <mergeCell ref="D41:D43"/>
    <mergeCell ref="D44:D47"/>
    <mergeCell ref="E2:E3"/>
    <mergeCell ref="E4:E7"/>
    <mergeCell ref="E9:E11"/>
    <mergeCell ref="E12:E14"/>
    <mergeCell ref="E15:E19"/>
    <mergeCell ref="E20:E22"/>
    <mergeCell ref="E23:E25"/>
    <mergeCell ref="E26:E27"/>
    <mergeCell ref="E28:E29"/>
    <mergeCell ref="E30:E31"/>
    <mergeCell ref="E32:E34"/>
    <mergeCell ref="E35:E36"/>
    <mergeCell ref="E38:E39"/>
    <mergeCell ref="E41:E43"/>
    <mergeCell ref="E44:E47"/>
    <mergeCell ref="F2:F3"/>
    <mergeCell ref="F4:F7"/>
    <mergeCell ref="F9:F11"/>
    <mergeCell ref="F12:F14"/>
    <mergeCell ref="F15:F19"/>
    <mergeCell ref="F20:F22"/>
    <mergeCell ref="F23:F25"/>
    <mergeCell ref="F26:F27"/>
    <mergeCell ref="F28:F29"/>
    <mergeCell ref="F30:F31"/>
    <mergeCell ref="F32:F34"/>
    <mergeCell ref="F35:F36"/>
    <mergeCell ref="F38:F39"/>
    <mergeCell ref="F41:F43"/>
    <mergeCell ref="F44:F47"/>
    <mergeCell ref="G2:G3"/>
    <mergeCell ref="G4:G8"/>
    <mergeCell ref="G9:G11"/>
    <mergeCell ref="G12:G14"/>
    <mergeCell ref="G16:G19"/>
    <mergeCell ref="G20:G22"/>
    <mergeCell ref="G23:G25"/>
    <mergeCell ref="G26:G27"/>
    <mergeCell ref="G28:G29"/>
    <mergeCell ref="G30:G31"/>
    <mergeCell ref="G32:G34"/>
    <mergeCell ref="G35:G36"/>
    <mergeCell ref="G38:G39"/>
    <mergeCell ref="G41:G43"/>
    <mergeCell ref="G44:G47"/>
    <mergeCell ref="H2:H3"/>
    <mergeCell ref="H4:H8"/>
    <mergeCell ref="H9:H11"/>
    <mergeCell ref="H12:H14"/>
    <mergeCell ref="H16:H19"/>
    <mergeCell ref="H20:H22"/>
    <mergeCell ref="H23:H25"/>
    <mergeCell ref="H26:H27"/>
    <mergeCell ref="H28:H29"/>
    <mergeCell ref="H30:H31"/>
    <mergeCell ref="H32:H34"/>
    <mergeCell ref="H35:H36"/>
    <mergeCell ref="H38:H39"/>
    <mergeCell ref="H41:H43"/>
    <mergeCell ref="H44:H47"/>
    <mergeCell ref="I2:I3"/>
    <mergeCell ref="J2:J3"/>
    <mergeCell ref="T2:T3"/>
    <mergeCell ref="U2:U3"/>
    <mergeCell ref="V2:V3"/>
    <mergeCell ref="W2:W3"/>
    <mergeCell ref="AK2:AK3"/>
    <mergeCell ref="AL2:AL3"/>
  </mergeCells>
  <dataValidations count="1">
    <dataValidation allowBlank="1" showInputMessage="1" showErrorMessage="1" sqref="V3 U38 J4:J27 J44:J46 U4:U27 U43:U46"/>
  </dataValidations>
  <printOptions horizontalCentered="1"/>
  <pageMargins left="0.444444444444444" right="0.472222222222222" top="0.511805555555556" bottom="0.275" header="0.298611111111111" footer="0.298611111111111"/>
  <pageSetup paperSize="8" scale="63" fitToHeight="0" orientation="landscape" horizontalDpi="600"/>
  <headerFooter/>
  <rowBreaks count="3" manualBreakCount="3">
    <brk id="11" max="37" man="1"/>
    <brk id="19" max="37" man="1"/>
    <brk id="27" max="37" man="1"/>
  </rowBreak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25"/>
  <sheetViews>
    <sheetView topLeftCell="A21" workbookViewId="0">
      <selection activeCell="H23" sqref="H23:H25"/>
    </sheetView>
  </sheetViews>
  <sheetFormatPr defaultColWidth="8.66666666666667" defaultRowHeight="13.8"/>
  <cols>
    <col min="3" max="3" width="37.5" customWidth="1"/>
  </cols>
  <sheetData>
    <row r="1" ht="105.6" spans="1:10">
      <c r="A1" t="s">
        <v>766</v>
      </c>
      <c r="B1" s="66" t="s">
        <v>489</v>
      </c>
      <c r="C1" s="67" t="s">
        <v>490</v>
      </c>
      <c r="D1" t="str">
        <f>A1&amp;B1&amp;C1</f>
        <v>1、数字化项目管理业务-1.储备立项的程序控制-控制措施05归口管理部门对需求统筹进行评审。新建信息系统（功能模块）的设计开发类需求需进行需求论证</v>
      </c>
      <c r="G1" s="113" t="s">
        <v>767</v>
      </c>
    </row>
    <row r="2" ht="105.6" spans="1:10">
      <c r="A2" t="s">
        <v>768</v>
      </c>
      <c r="B2" s="109" t="s">
        <v>744</v>
      </c>
      <c r="C2" s="109" t="s">
        <v>745</v>
      </c>
      <c r="D2" t="str">
        <f>A2&amp;B2&amp;C2</f>
        <v>2、科技项目管理业务-15科研成果权属保护有效性-控制措施04科技部门对知识产权的价值进行定期评估，对低价值专利定期放弃维护。</v>
      </c>
    </row>
    <row r="6" spans="1:10">
      <c r="C6" t="s">
        <v>769</v>
      </c>
    </row>
    <row r="7" ht="105.6" spans="1:10">
      <c r="A7" t="s">
        <v>770</v>
      </c>
      <c r="B7" s="46" t="s">
        <v>479</v>
      </c>
      <c r="C7" s="47"/>
    </row>
    <row r="8" ht="105.6" spans="1:10">
      <c r="A8" t="s">
        <v>771</v>
      </c>
      <c r="B8" s="46" t="s">
        <v>499</v>
      </c>
      <c r="C8" s="47" t="s">
        <v>772</v>
      </c>
      <c r="F8" t="s">
        <v>766</v>
      </c>
      <c r="G8" t="s">
        <v>772</v>
      </c>
      <c r="H8" t="str">
        <f>F8&amp;G8</f>
        <v>1、《国网湖南省电力有限公司数字化项目管理实施细则》（湘电公司数字〔2024〕447号 ）</v>
      </c>
      <c r="J8" s="113" t="s">
        <v>773</v>
      </c>
    </row>
    <row r="9" ht="92.4" spans="1:10">
      <c r="A9" t="s">
        <v>774</v>
      </c>
      <c r="B9" s="46" t="s">
        <v>598</v>
      </c>
      <c r="C9" s="47" t="s">
        <v>775</v>
      </c>
      <c r="F9" t="s">
        <v>768</v>
      </c>
      <c r="G9" t="s">
        <v>775</v>
      </c>
      <c r="H9" t="str">
        <f t="shared" ref="H9:H16" si="0">F9&amp;G9</f>
        <v>2、《关于进一步加强数字化项目验收管理的通知（试行）》</v>
      </c>
    </row>
    <row r="10" ht="105.6" spans="1:10">
      <c r="A10" t="s">
        <v>776</v>
      </c>
      <c r="B10" s="66" t="s">
        <v>489</v>
      </c>
      <c r="C10" s="67" t="s">
        <v>493</v>
      </c>
      <c r="F10" t="s">
        <v>770</v>
      </c>
      <c r="G10" t="s">
        <v>493</v>
      </c>
      <c r="H10" t="str">
        <f t="shared" si="0"/>
        <v>3、《国网湖南省电力有限公司关于加强
数字化项目前期管理的指导意见（试行）》</v>
      </c>
    </row>
    <row r="11" ht="105.6" spans="1:10">
      <c r="A11" t="s">
        <v>766</v>
      </c>
      <c r="B11" s="46" t="s">
        <v>459</v>
      </c>
      <c r="C11" s="67"/>
      <c r="F11" t="s">
        <v>777</v>
      </c>
      <c r="H11" t="str">
        <f t="shared" si="0"/>
        <v>4、</v>
      </c>
    </row>
    <row r="12" ht="105.6" spans="1:10">
      <c r="A12" t="s">
        <v>768</v>
      </c>
      <c r="B12" s="46" t="s">
        <v>473</v>
      </c>
      <c r="C12" s="67"/>
      <c r="F12" t="s">
        <v>776</v>
      </c>
      <c r="H12" t="str">
        <f t="shared" si="0"/>
        <v>5、</v>
      </c>
    </row>
    <row r="13" ht="105.6" spans="1:10">
      <c r="A13" t="s">
        <v>777</v>
      </c>
      <c r="B13" s="46" t="s">
        <v>484</v>
      </c>
      <c r="C13" s="67"/>
      <c r="F13" t="s">
        <v>771</v>
      </c>
      <c r="H13" t="str">
        <f t="shared" si="0"/>
        <v>6、</v>
      </c>
    </row>
    <row r="14" ht="92.4" spans="1:10">
      <c r="A14" t="s">
        <v>778</v>
      </c>
      <c r="B14" s="46" t="s">
        <v>523</v>
      </c>
      <c r="C14" s="67"/>
      <c r="F14" t="s">
        <v>779</v>
      </c>
      <c r="H14" t="str">
        <f t="shared" si="0"/>
        <v>7、</v>
      </c>
    </row>
    <row r="15" ht="92.4" spans="1:10">
      <c r="A15" t="s">
        <v>780</v>
      </c>
      <c r="B15" s="46" t="s">
        <v>529</v>
      </c>
      <c r="C15" s="67"/>
      <c r="F15" t="s">
        <v>781</v>
      </c>
      <c r="H15" t="str">
        <f t="shared" si="0"/>
        <v>8、</v>
      </c>
    </row>
    <row r="16" ht="92.4" spans="1:10">
      <c r="A16" t="s">
        <v>782</v>
      </c>
      <c r="B16" s="46" t="s">
        <v>592</v>
      </c>
      <c r="C16" s="67"/>
      <c r="F16" t="s">
        <v>778</v>
      </c>
      <c r="H16" t="str">
        <f t="shared" si="0"/>
        <v>9、</v>
      </c>
    </row>
    <row r="23" ht="105.6" spans="1:8">
      <c r="A23" t="s">
        <v>766</v>
      </c>
      <c r="B23" s="46" t="s">
        <v>554</v>
      </c>
      <c r="C23" s="90" t="s">
        <v>555</v>
      </c>
      <c r="D23" t="str">
        <f>A23&amp;B23&amp;C23</f>
        <v>1、数字化项目管理业务-4.专业分包比例合规性-控制措施03归口管理部门建立“总包-分包”合同穿透链路，通过合同与项目的关联查看总包单位为系统内单位的业主单位、总包单位、分包单位的对应关系。
数字化部负责落实公司电网数字化项目分包管理制度，建立健全本单位电网数字化项目分包管理机制。</v>
      </c>
      <c r="H23" s="113" t="s">
        <v>783</v>
      </c>
    </row>
    <row r="24" ht="105.6" spans="1:8">
      <c r="A24" t="s">
        <v>768</v>
      </c>
      <c r="B24" s="46" t="s">
        <v>561</v>
      </c>
      <c r="C24" s="50" t="s">
        <v>562</v>
      </c>
      <c r="D24" t="str">
        <f>A24&amp;B24&amp;C24</f>
        <v>2、数字化项目管理业务-4.专业分包比例合规性-控制措施04归口管理部门建立“总包-分包”人员的穿透链路，核查总包单位为系统内单位的项目团队成员单位信息，分析人员隶属是否遵循合同约定。
数字化部负责本单位电网数字化项目分包工作的督导和检查。</v>
      </c>
    </row>
    <row r="25" ht="92.4" spans="1:8">
      <c r="A25" t="s">
        <v>770</v>
      </c>
      <c r="B25" s="46" t="s">
        <v>579</v>
      </c>
      <c r="C25" s="50" t="s">
        <v>580</v>
      </c>
      <c r="D25" t="str">
        <f>A25&amp;B25&amp;C25</f>
        <v>3、数字化项目管理业务-5.资产信息真实性-控制措施02实物管理部门数字化部定期开展实物盘点，核对设备台账与现场实物的一致性。</v>
      </c>
    </row>
  </sheetData>
  <autoFilter xmlns:etc="http://www.wps.cn/officeDocument/2017/etCustomData" ref="A6:G16" etc:filterBottomFollowUsedRange="0">
    <sortState ref="A6:G16">
      <sortCondition ref="C6"/>
    </sortState>
    <extLst/>
  </autoFilter>
  <mergeCells count="3">
    <mergeCell ref="G1:G2"/>
    <mergeCell ref="H23:H25"/>
    <mergeCell ref="J8:J16"/>
  </mergeCells>
  <conditionalFormatting sqref="C7:C22 C26:C40">
    <cfRule type="duplicateValues" dxfId="0" priority="1"/>
  </conditionalFormatting>
  <dataValidations count="1">
    <dataValidation allowBlank="1" showInputMessage="1" showErrorMessage="1" sqref="C1 C23:C25"/>
  </dataValidations>
  <pageMargins left="0.75" right="0.75" top="1" bottom="1" header="0.5" footer="0.5"/>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BX48"/>
  <sheetViews>
    <sheetView zoomScale="40" zoomScaleNormal="40" zoomScalePageLayoutView="25" zoomScaleSheetLayoutView="115" workbookViewId="0">
      <pane ySplit="3" topLeftCell="A29" activePane="bottomLeft" state="frozen"/>
      <selection/>
      <selection pane="bottomLeft" activeCell="T31" sqref="T31"/>
    </sheetView>
  </sheetViews>
  <sheetFormatPr defaultColWidth="8.58333333333333" defaultRowHeight="21"/>
  <cols>
    <col min="1" max="1" width="4.62962962962963" style="1" customWidth="1"/>
    <col min="2" max="2" width="4.62962962962963" style="2" customWidth="1"/>
    <col min="3" max="3" width="4.62962962962963" style="3" customWidth="1"/>
    <col min="4" max="4" width="4.62962962962963" style="1" customWidth="1"/>
    <col min="5" max="5" width="13.3333333333333" style="4" customWidth="1"/>
    <col min="6" max="6" width="17.6666666666667" style="4" customWidth="1"/>
    <col min="7" max="8" width="10.6296296296296" style="35" customWidth="1"/>
    <col min="9" max="9" width="24.0185185185185" style="2" customWidth="1"/>
    <col min="10" max="10" width="17.0648148148148" style="35" customWidth="1"/>
    <col min="11" max="19" width="3.62962962962963" style="2" customWidth="1"/>
    <col min="20" max="21" width="8.62962962962963" style="1" customWidth="1"/>
    <col min="22" max="22" width="15.6296296296296" style="5" customWidth="1"/>
    <col min="23" max="23" width="32.0648148148148" style="4" customWidth="1"/>
    <col min="24" max="29" width="3.62962962962963" style="3" customWidth="1"/>
    <col min="30" max="30" width="4.15740740740741" style="4" customWidth="1"/>
    <col min="31" max="35" width="3.62962962962963" style="3" customWidth="1"/>
    <col min="36" max="36" width="30.6296296296296" style="3" customWidth="1"/>
    <col min="37" max="37" width="6.62962962962963" style="3" customWidth="1"/>
    <col min="38" max="38" width="25.787037037037" style="3" customWidth="1"/>
    <col min="39" max="39" width="12.2685185185185" style="36" customWidth="1"/>
    <col min="40" max="49" width="9.41666666666667" style="3"/>
    <col min="50" max="50" width="8.58333333333333" style="3"/>
    <col min="51" max="64" width="9.41666666666667" style="3"/>
    <col min="65" max="65" width="8.58333333333333" style="3"/>
    <col min="66" max="67" width="9.41666666666667" style="3"/>
    <col min="68" max="68" width="8.58333333333333" style="3"/>
    <col min="69" max="71" width="9.41666666666667" style="3"/>
    <col min="72" max="72" width="8.58333333333333" style="3"/>
    <col min="73" max="78" width="9.41666666666667" style="3"/>
    <col min="79" max="16384" width="8.58333333333333" style="3"/>
  </cols>
  <sheetData>
    <row r="1" spans="1:76">
      <c r="A1" s="37" t="s">
        <v>415</v>
      </c>
      <c r="B1" s="38"/>
      <c r="C1" s="38"/>
      <c r="D1" s="38"/>
      <c r="E1" s="39"/>
      <c r="F1" s="38"/>
      <c r="G1" s="39"/>
      <c r="H1" s="39"/>
      <c r="I1" s="38"/>
      <c r="J1" s="39"/>
      <c r="K1" s="38"/>
      <c r="L1" s="38"/>
      <c r="M1" s="38"/>
      <c r="N1" s="38"/>
      <c r="O1" s="38"/>
      <c r="P1" s="38"/>
      <c r="Q1" s="38"/>
      <c r="R1" s="38"/>
      <c r="S1" s="38"/>
      <c r="T1" s="38"/>
      <c r="U1" s="38"/>
      <c r="V1" s="39"/>
      <c r="W1" s="39"/>
      <c r="X1" s="38"/>
      <c r="Y1" s="38"/>
      <c r="Z1" s="38"/>
      <c r="AA1" s="38"/>
      <c r="AB1" s="38"/>
      <c r="AC1" s="38"/>
      <c r="AD1" s="39"/>
      <c r="AE1" s="38"/>
      <c r="AF1" s="38"/>
      <c r="AG1" s="38"/>
      <c r="AH1" s="38"/>
      <c r="AI1" s="38"/>
      <c r="AJ1" s="38"/>
      <c r="AK1" s="38"/>
    </row>
    <row r="2" spans="1:76">
      <c r="A2" s="40" t="s">
        <v>416</v>
      </c>
      <c r="B2" s="40" t="s">
        <v>417</v>
      </c>
      <c r="C2" s="40" t="s">
        <v>418</v>
      </c>
      <c r="D2" s="40" t="s">
        <v>419</v>
      </c>
      <c r="E2" s="40" t="s">
        <v>420</v>
      </c>
      <c r="F2" s="40" t="s">
        <v>421</v>
      </c>
      <c r="G2" s="40" t="s">
        <v>422</v>
      </c>
      <c r="H2" s="40" t="s">
        <v>423</v>
      </c>
      <c r="I2" s="40" t="s">
        <v>424</v>
      </c>
      <c r="J2" s="40" t="s">
        <v>425</v>
      </c>
      <c r="K2" s="40" t="s">
        <v>426</v>
      </c>
      <c r="L2" s="40"/>
      <c r="M2" s="40"/>
      <c r="N2" s="40"/>
      <c r="O2" s="40"/>
      <c r="P2" s="40"/>
      <c r="Q2" s="40"/>
      <c r="R2" s="40"/>
      <c r="S2" s="40"/>
      <c r="T2" s="40" t="s">
        <v>427</v>
      </c>
      <c r="U2" s="40" t="s">
        <v>428</v>
      </c>
      <c r="V2" s="40" t="s">
        <v>429</v>
      </c>
      <c r="W2" s="40" t="s">
        <v>430</v>
      </c>
      <c r="X2" s="40" t="s">
        <v>431</v>
      </c>
      <c r="Y2" s="40"/>
      <c r="Z2" s="40"/>
      <c r="AA2" s="40" t="s">
        <v>432</v>
      </c>
      <c r="AB2" s="40"/>
      <c r="AC2" s="40"/>
      <c r="AD2" s="40" t="s">
        <v>433</v>
      </c>
      <c r="AE2" s="40"/>
      <c r="AF2" s="40"/>
      <c r="AG2" s="40"/>
      <c r="AH2" s="40" t="s">
        <v>434</v>
      </c>
      <c r="AI2" s="40"/>
      <c r="AJ2" s="40"/>
      <c r="AK2" s="40" t="s">
        <v>435</v>
      </c>
      <c r="AL2" s="41" t="s">
        <v>436</v>
      </c>
    </row>
    <row r="3" ht="92.4" spans="1:76">
      <c r="A3" s="40"/>
      <c r="B3" s="40"/>
      <c r="C3" s="40"/>
      <c r="D3" s="40"/>
      <c r="E3" s="40"/>
      <c r="F3" s="40"/>
      <c r="G3" s="40"/>
      <c r="H3" s="40"/>
      <c r="I3" s="40"/>
      <c r="J3" s="40"/>
      <c r="K3" s="40" t="s">
        <v>437</v>
      </c>
      <c r="L3" s="40" t="s">
        <v>438</v>
      </c>
      <c r="M3" s="40" t="s">
        <v>439</v>
      </c>
      <c r="N3" s="40" t="s">
        <v>440</v>
      </c>
      <c r="O3" s="40" t="s">
        <v>441</v>
      </c>
      <c r="P3" s="40" t="s">
        <v>442</v>
      </c>
      <c r="Q3" s="40" t="s">
        <v>443</v>
      </c>
      <c r="R3" s="40" t="s">
        <v>444</v>
      </c>
      <c r="S3" s="40" t="s">
        <v>445</v>
      </c>
      <c r="T3" s="40"/>
      <c r="U3" s="40"/>
      <c r="V3" s="40"/>
      <c r="W3" s="40"/>
      <c r="X3" s="40" t="s">
        <v>446</v>
      </c>
      <c r="Y3" s="40" t="s">
        <v>447</v>
      </c>
      <c r="Z3" s="40" t="s">
        <v>448</v>
      </c>
      <c r="AA3" s="40" t="s">
        <v>446</v>
      </c>
      <c r="AB3" s="40" t="s">
        <v>447</v>
      </c>
      <c r="AC3" s="40" t="s">
        <v>448</v>
      </c>
      <c r="AD3" s="40" t="s">
        <v>433</v>
      </c>
      <c r="AE3" s="40" t="s">
        <v>446</v>
      </c>
      <c r="AF3" s="40" t="s">
        <v>447</v>
      </c>
      <c r="AG3" s="40" t="s">
        <v>448</v>
      </c>
      <c r="AH3" s="40" t="s">
        <v>449</v>
      </c>
      <c r="AI3" s="40" t="s">
        <v>450</v>
      </c>
      <c r="AJ3" s="40" t="s">
        <v>451</v>
      </c>
      <c r="AK3" s="40"/>
      <c r="AL3" s="41"/>
      <c r="AM3" s="36">
        <v>7.24</v>
      </c>
    </row>
    <row r="4" s="31" customFormat="1" ht="188" customHeight="1" spans="1:76">
      <c r="A4" s="40" t="s">
        <v>452</v>
      </c>
      <c r="B4" s="40" t="s">
        <v>453</v>
      </c>
      <c r="C4" s="42" t="s">
        <v>454</v>
      </c>
      <c r="D4" s="42" t="s">
        <v>455</v>
      </c>
      <c r="E4" s="43" t="s">
        <v>456</v>
      </c>
      <c r="F4" s="44"/>
      <c r="G4" s="45" t="s">
        <v>457</v>
      </c>
      <c r="H4" s="42" t="s">
        <v>458</v>
      </c>
      <c r="I4" s="46" t="s">
        <v>459</v>
      </c>
      <c r="J4" s="47" t="s">
        <v>460</v>
      </c>
      <c r="K4" s="48"/>
      <c r="L4" s="49" t="s">
        <v>36</v>
      </c>
      <c r="M4" s="49" t="s">
        <v>36</v>
      </c>
      <c r="N4" s="48"/>
      <c r="O4" s="48"/>
      <c r="P4" s="48"/>
      <c r="Q4" s="48"/>
      <c r="R4" s="48"/>
      <c r="S4" s="48"/>
      <c r="T4" s="49" t="s">
        <v>556</v>
      </c>
      <c r="U4" s="47" t="s">
        <v>784</v>
      </c>
      <c r="V4" s="46" t="s">
        <v>785</v>
      </c>
      <c r="W4" s="46" t="s">
        <v>477</v>
      </c>
      <c r="X4" s="49" t="s">
        <v>465</v>
      </c>
      <c r="Y4" s="49" t="s">
        <v>466</v>
      </c>
      <c r="Z4" s="49"/>
      <c r="AA4" s="49" t="s">
        <v>467</v>
      </c>
      <c r="AB4" s="49" t="s">
        <v>466</v>
      </c>
      <c r="AC4" s="49"/>
      <c r="AD4" s="50"/>
      <c r="AE4" s="51"/>
      <c r="AF4" s="51"/>
      <c r="AG4" s="49"/>
      <c r="AH4" s="49" t="s">
        <v>469</v>
      </c>
      <c r="AI4" s="49" t="s">
        <v>469</v>
      </c>
      <c r="AJ4" s="47" t="s">
        <v>470</v>
      </c>
      <c r="AK4" s="52" t="s">
        <v>471</v>
      </c>
      <c r="AL4" s="53" t="s">
        <v>749</v>
      </c>
      <c r="AM4" s="54" t="s">
        <v>751</v>
      </c>
      <c r="AN4" s="31" t="b">
        <v>1</v>
      </c>
      <c r="AO4" s="31" t="b">
        <v>1</v>
      </c>
      <c r="AP4" s="31" t="b">
        <v>1</v>
      </c>
      <c r="AQ4" s="31" t="b">
        <v>1</v>
      </c>
      <c r="AR4" s="31" t="b">
        <v>1</v>
      </c>
      <c r="AS4" s="31" t="b">
        <v>1</v>
      </c>
      <c r="AT4" s="31" t="b">
        <v>1</v>
      </c>
      <c r="AU4" s="31" t="b">
        <v>1</v>
      </c>
      <c r="AV4" s="31" t="b">
        <v>1</v>
      </c>
      <c r="AW4" s="31" t="b">
        <v>1</v>
      </c>
      <c r="AX4" s="31" t="b">
        <v>1</v>
      </c>
      <c r="AY4" s="31" t="b">
        <v>1</v>
      </c>
      <c r="AZ4" s="31" t="b">
        <v>1</v>
      </c>
      <c r="BA4" s="31" t="b">
        <v>1</v>
      </c>
      <c r="BB4" s="31" t="b">
        <v>1</v>
      </c>
      <c r="BC4" s="31" t="b">
        <v>1</v>
      </c>
      <c r="BD4" s="31" t="b">
        <v>1</v>
      </c>
      <c r="BE4" s="31" t="b">
        <v>1</v>
      </c>
      <c r="BF4" s="31" t="b">
        <v>1</v>
      </c>
      <c r="BG4" s="31" t="b">
        <v>1</v>
      </c>
      <c r="BH4" s="31" t="b">
        <v>1</v>
      </c>
      <c r="BI4" s="31" t="b">
        <v>1</v>
      </c>
      <c r="BJ4" s="31" t="b">
        <v>0</v>
      </c>
      <c r="BK4" s="31" t="b">
        <v>1</v>
      </c>
      <c r="BL4" s="31" t="b">
        <v>1</v>
      </c>
      <c r="BM4" s="31" t="b">
        <v>1</v>
      </c>
      <c r="BN4" s="31" t="b">
        <v>1</v>
      </c>
      <c r="BO4" s="31" t="b">
        <v>1</v>
      </c>
      <c r="BP4" s="31" t="b">
        <v>1</v>
      </c>
      <c r="BQ4" s="31" t="b">
        <v>1</v>
      </c>
      <c r="BR4" s="31" t="b">
        <v>1</v>
      </c>
      <c r="BS4" s="31" t="b">
        <v>1</v>
      </c>
      <c r="BT4" s="31" t="b">
        <v>1</v>
      </c>
      <c r="BU4" s="31" t="b">
        <v>1</v>
      </c>
      <c r="BV4" s="31" t="b">
        <v>1</v>
      </c>
      <c r="BW4" s="31" t="b">
        <v>0</v>
      </c>
      <c r="BX4" s="31" t="b">
        <v>1</v>
      </c>
    </row>
    <row r="5" s="31" customFormat="1" ht="132" spans="1:76">
      <c r="A5" s="40"/>
      <c r="B5" s="40"/>
      <c r="C5" s="55"/>
      <c r="D5" s="55"/>
      <c r="E5" s="56"/>
      <c r="F5" s="44"/>
      <c r="G5" s="57"/>
      <c r="H5" s="55"/>
      <c r="I5" s="46" t="s">
        <v>473</v>
      </c>
      <c r="J5" s="47" t="s">
        <v>474</v>
      </c>
      <c r="K5" s="48"/>
      <c r="L5" s="49" t="s">
        <v>36</v>
      </c>
      <c r="M5" s="48"/>
      <c r="N5" s="48"/>
      <c r="O5" s="48"/>
      <c r="P5" s="48"/>
      <c r="Q5" s="48"/>
      <c r="R5" s="48"/>
      <c r="S5" s="49" t="s">
        <v>36</v>
      </c>
      <c r="T5" s="49" t="s">
        <v>475</v>
      </c>
      <c r="U5" s="47"/>
      <c r="V5" s="46" t="s">
        <v>476</v>
      </c>
      <c r="W5" s="46" t="s">
        <v>477</v>
      </c>
      <c r="X5" s="49" t="s">
        <v>465</v>
      </c>
      <c r="Y5" s="49" t="s">
        <v>466</v>
      </c>
      <c r="Z5" s="49"/>
      <c r="AA5" s="49" t="s">
        <v>467</v>
      </c>
      <c r="AB5" s="49" t="s">
        <v>466</v>
      </c>
      <c r="AC5" s="49"/>
      <c r="AD5" s="47"/>
      <c r="AE5" s="49"/>
      <c r="AF5" s="49"/>
      <c r="AG5" s="49"/>
      <c r="AH5" s="49" t="s">
        <v>469</v>
      </c>
      <c r="AI5" s="49" t="s">
        <v>469</v>
      </c>
      <c r="AJ5" s="47" t="s">
        <v>478</v>
      </c>
      <c r="AK5" s="52" t="s">
        <v>471</v>
      </c>
      <c r="AL5" s="53" t="s">
        <v>749</v>
      </c>
      <c r="AM5" s="54" t="s">
        <v>751</v>
      </c>
      <c r="AN5" s="31" t="b">
        <v>1</v>
      </c>
      <c r="AO5" s="31" t="b">
        <v>1</v>
      </c>
      <c r="AP5" s="31" t="b">
        <v>1</v>
      </c>
      <c r="AQ5" s="31" t="b">
        <v>1</v>
      </c>
      <c r="AR5" s="31" t="b">
        <v>1</v>
      </c>
      <c r="AS5" s="31" t="b">
        <v>1</v>
      </c>
      <c r="AT5" s="31" t="b">
        <v>1</v>
      </c>
      <c r="AU5" s="31" t="b">
        <v>1</v>
      </c>
      <c r="AV5" s="31" t="b">
        <v>1</v>
      </c>
      <c r="AW5" s="31" t="b">
        <v>1</v>
      </c>
      <c r="AX5" s="31" t="b">
        <v>1</v>
      </c>
      <c r="AY5" s="31" t="b">
        <v>1</v>
      </c>
      <c r="AZ5" s="31" t="b">
        <v>1</v>
      </c>
      <c r="BA5" s="31" t="b">
        <v>1</v>
      </c>
      <c r="BB5" s="31" t="b">
        <v>1</v>
      </c>
      <c r="BC5" s="31" t="b">
        <v>1</v>
      </c>
      <c r="BD5" s="31" t="b">
        <v>1</v>
      </c>
      <c r="BE5" s="31" t="b">
        <v>1</v>
      </c>
      <c r="BF5" s="31" t="b">
        <v>1</v>
      </c>
      <c r="BG5" s="31" t="b">
        <v>1</v>
      </c>
      <c r="BH5" s="31" t="b">
        <v>1</v>
      </c>
      <c r="BI5" s="31" t="b">
        <v>1</v>
      </c>
      <c r="BJ5" s="31" t="b">
        <v>0</v>
      </c>
      <c r="BK5" s="31" t="b">
        <v>1</v>
      </c>
      <c r="BL5" s="31" t="b">
        <v>1</v>
      </c>
      <c r="BM5" s="31" t="b">
        <v>1</v>
      </c>
      <c r="BN5" s="31" t="b">
        <v>1</v>
      </c>
      <c r="BO5" s="31" t="b">
        <v>1</v>
      </c>
      <c r="BP5" s="31" t="b">
        <v>1</v>
      </c>
      <c r="BQ5" s="31" t="b">
        <v>1</v>
      </c>
      <c r="BR5" s="31" t="b">
        <v>1</v>
      </c>
      <c r="BS5" s="31" t="b">
        <v>1</v>
      </c>
      <c r="BT5" s="31" t="b">
        <v>1</v>
      </c>
      <c r="BU5" s="31" t="b">
        <v>1</v>
      </c>
      <c r="BV5" s="31" t="b">
        <v>1</v>
      </c>
      <c r="BW5" s="31" t="b">
        <v>0</v>
      </c>
      <c r="BX5" s="31" t="b">
        <v>1</v>
      </c>
    </row>
    <row r="6" s="31" customFormat="1" ht="171.6" spans="1:76">
      <c r="A6" s="40"/>
      <c r="B6" s="40"/>
      <c r="C6" s="55"/>
      <c r="D6" s="55"/>
      <c r="E6" s="56"/>
      <c r="F6" s="44"/>
      <c r="G6" s="57"/>
      <c r="H6" s="55"/>
      <c r="I6" s="46" t="s">
        <v>479</v>
      </c>
      <c r="J6" s="47" t="s">
        <v>480</v>
      </c>
      <c r="K6" s="48"/>
      <c r="L6" s="48"/>
      <c r="M6" s="48"/>
      <c r="N6" s="48"/>
      <c r="O6" s="49" t="s">
        <v>36</v>
      </c>
      <c r="P6" s="48"/>
      <c r="Q6" s="48"/>
      <c r="R6" s="48"/>
      <c r="S6" s="49" t="s">
        <v>36</v>
      </c>
      <c r="T6" s="49" t="s">
        <v>475</v>
      </c>
      <c r="U6" s="47"/>
      <c r="V6" s="46" t="s">
        <v>481</v>
      </c>
      <c r="W6" s="46" t="s">
        <v>786</v>
      </c>
      <c r="X6" s="49" t="s">
        <v>465</v>
      </c>
      <c r="Y6" s="49" t="s">
        <v>466</v>
      </c>
      <c r="Z6" s="49"/>
      <c r="AA6" s="49" t="s">
        <v>467</v>
      </c>
      <c r="AB6" s="49" t="s">
        <v>466</v>
      </c>
      <c r="AC6" s="49"/>
      <c r="AD6" s="47"/>
      <c r="AE6" s="49"/>
      <c r="AF6" s="49"/>
      <c r="AG6" s="49"/>
      <c r="AH6" s="49" t="s">
        <v>469</v>
      </c>
      <c r="AI6" s="49" t="s">
        <v>469</v>
      </c>
      <c r="AJ6" s="47" t="s">
        <v>483</v>
      </c>
      <c r="AK6" s="52" t="s">
        <v>471</v>
      </c>
      <c r="AL6" s="53" t="s">
        <v>749</v>
      </c>
      <c r="AM6" s="54" t="s">
        <v>751</v>
      </c>
      <c r="AN6" s="31" t="b">
        <v>1</v>
      </c>
      <c r="AO6" s="31" t="b">
        <v>1</v>
      </c>
      <c r="AP6" s="31" t="b">
        <v>1</v>
      </c>
      <c r="AQ6" s="31" t="b">
        <v>1</v>
      </c>
      <c r="AR6" s="31" t="b">
        <v>1</v>
      </c>
      <c r="AS6" s="31" t="b">
        <v>1</v>
      </c>
      <c r="AT6" s="31" t="b">
        <v>1</v>
      </c>
      <c r="AU6" s="31" t="b">
        <v>1</v>
      </c>
      <c r="AV6" s="31" t="b">
        <v>1</v>
      </c>
      <c r="AW6" s="31" t="b">
        <v>1</v>
      </c>
      <c r="AX6" s="31" t="b">
        <v>1</v>
      </c>
      <c r="AY6" s="31" t="b">
        <v>1</v>
      </c>
      <c r="AZ6" s="31" t="b">
        <v>1</v>
      </c>
      <c r="BA6" s="31" t="b">
        <v>1</v>
      </c>
      <c r="BB6" s="31" t="b">
        <v>1</v>
      </c>
      <c r="BC6" s="31" t="b">
        <v>1</v>
      </c>
      <c r="BD6" s="31" t="b">
        <v>1</v>
      </c>
      <c r="BE6" s="31" t="b">
        <v>1</v>
      </c>
      <c r="BF6" s="31" t="b">
        <v>1</v>
      </c>
      <c r="BG6" s="31" t="b">
        <v>1</v>
      </c>
      <c r="BH6" s="31" t="b">
        <v>1</v>
      </c>
      <c r="BI6" s="31" t="b">
        <v>1</v>
      </c>
      <c r="BJ6" s="31" t="b">
        <v>0</v>
      </c>
      <c r="BK6" s="31" t="b">
        <v>1</v>
      </c>
      <c r="BL6" s="31" t="b">
        <v>1</v>
      </c>
      <c r="BM6" s="31" t="b">
        <v>1</v>
      </c>
      <c r="BN6" s="31" t="b">
        <v>1</v>
      </c>
      <c r="BO6" s="31" t="b">
        <v>1</v>
      </c>
      <c r="BP6" s="31" t="b">
        <v>1</v>
      </c>
      <c r="BQ6" s="31" t="b">
        <v>1</v>
      </c>
      <c r="BR6" s="31" t="b">
        <v>1</v>
      </c>
      <c r="BS6" s="31" t="b">
        <v>1</v>
      </c>
      <c r="BT6" s="31" t="b">
        <v>1</v>
      </c>
      <c r="BU6" s="31" t="b">
        <v>1</v>
      </c>
      <c r="BV6" s="31" t="b">
        <v>1</v>
      </c>
      <c r="BW6" s="31" t="b">
        <v>0</v>
      </c>
      <c r="BX6" s="31" t="b">
        <v>1</v>
      </c>
    </row>
    <row r="7" s="31" customFormat="1" ht="132" spans="1:76">
      <c r="A7" s="40"/>
      <c r="B7" s="40"/>
      <c r="C7" s="55"/>
      <c r="D7" s="58"/>
      <c r="E7" s="59"/>
      <c r="F7" s="44"/>
      <c r="G7" s="57"/>
      <c r="H7" s="55"/>
      <c r="I7" s="46" t="s">
        <v>484</v>
      </c>
      <c r="J7" s="47" t="s">
        <v>485</v>
      </c>
      <c r="K7" s="60"/>
      <c r="L7" s="48"/>
      <c r="M7" s="48"/>
      <c r="N7" s="48"/>
      <c r="O7" s="48"/>
      <c r="P7" s="48"/>
      <c r="Q7" s="48"/>
      <c r="R7" s="48"/>
      <c r="S7" s="48"/>
      <c r="T7" s="49" t="s">
        <v>475</v>
      </c>
      <c r="U7" s="47"/>
      <c r="V7" s="46" t="s">
        <v>486</v>
      </c>
      <c r="W7" s="46" t="s">
        <v>787</v>
      </c>
      <c r="X7" s="49" t="s">
        <v>465</v>
      </c>
      <c r="Y7" s="49" t="s">
        <v>466</v>
      </c>
      <c r="Z7" s="49"/>
      <c r="AA7" s="49" t="s">
        <v>467</v>
      </c>
      <c r="AB7" s="49" t="s">
        <v>466</v>
      </c>
      <c r="AC7" s="49"/>
      <c r="AD7" s="47"/>
      <c r="AE7" s="49"/>
      <c r="AF7" s="49"/>
      <c r="AG7" s="49"/>
      <c r="AH7" s="49" t="s">
        <v>469</v>
      </c>
      <c r="AI7" s="49" t="s">
        <v>469</v>
      </c>
      <c r="AJ7" s="47" t="s">
        <v>478</v>
      </c>
      <c r="AK7" s="52" t="s">
        <v>471</v>
      </c>
      <c r="AL7" s="53" t="s">
        <v>752</v>
      </c>
      <c r="AM7" s="54" t="s">
        <v>751</v>
      </c>
      <c r="AN7" s="31" t="b">
        <v>1</v>
      </c>
      <c r="AO7" s="31" t="b">
        <v>1</v>
      </c>
      <c r="AP7" s="31" t="b">
        <v>1</v>
      </c>
      <c r="AQ7" s="31" t="b">
        <v>1</v>
      </c>
      <c r="AR7" s="31" t="b">
        <v>1</v>
      </c>
      <c r="AS7" s="31" t="b">
        <v>1</v>
      </c>
      <c r="AT7" s="31" t="b">
        <v>1</v>
      </c>
      <c r="AU7" s="31" t="b">
        <v>1</v>
      </c>
      <c r="AV7" s="31" t="b">
        <v>1</v>
      </c>
      <c r="AW7" s="31" t="b">
        <v>1</v>
      </c>
      <c r="AX7" s="31" t="b">
        <v>1</v>
      </c>
      <c r="AY7" s="31" t="b">
        <v>1</v>
      </c>
      <c r="AZ7" s="31" t="b">
        <v>1</v>
      </c>
      <c r="BA7" s="31" t="b">
        <v>1</v>
      </c>
      <c r="BB7" s="31" t="b">
        <v>1</v>
      </c>
      <c r="BC7" s="31" t="b">
        <v>1</v>
      </c>
      <c r="BD7" s="31" t="b">
        <v>1</v>
      </c>
      <c r="BE7" s="31" t="b">
        <v>1</v>
      </c>
      <c r="BF7" s="31" t="b">
        <v>1</v>
      </c>
      <c r="BG7" s="31" t="b">
        <v>1</v>
      </c>
      <c r="BH7" s="31" t="b">
        <v>1</v>
      </c>
      <c r="BI7" s="31" t="b">
        <v>1</v>
      </c>
      <c r="BJ7" s="31" t="b">
        <v>0</v>
      </c>
      <c r="BK7" s="31" t="b">
        <v>1</v>
      </c>
      <c r="BL7" s="31" t="b">
        <v>1</v>
      </c>
      <c r="BM7" s="31" t="b">
        <v>1</v>
      </c>
      <c r="BN7" s="31" t="b">
        <v>1</v>
      </c>
      <c r="BO7" s="31" t="b">
        <v>1</v>
      </c>
      <c r="BP7" s="31" t="b">
        <v>1</v>
      </c>
      <c r="BQ7" s="31" t="b">
        <v>1</v>
      </c>
      <c r="BR7" s="31" t="b">
        <v>1</v>
      </c>
      <c r="BS7" s="31" t="b">
        <v>1</v>
      </c>
      <c r="BT7" s="31" t="b">
        <v>1</v>
      </c>
      <c r="BU7" s="31" t="b">
        <v>1</v>
      </c>
      <c r="BV7" s="31" t="b">
        <v>1</v>
      </c>
      <c r="BW7" s="31" t="b">
        <v>0</v>
      </c>
      <c r="BX7" s="31" t="b">
        <v>1</v>
      </c>
    </row>
    <row r="8" s="32" customFormat="1" ht="171" customHeight="1" spans="1:76">
      <c r="A8" s="61"/>
      <c r="B8" s="61"/>
      <c r="C8" s="62"/>
      <c r="D8" s="63"/>
      <c r="E8" s="64"/>
      <c r="F8" s="65" t="s">
        <v>753</v>
      </c>
      <c r="G8" s="62"/>
      <c r="H8" s="62"/>
      <c r="I8" s="66" t="s">
        <v>489</v>
      </c>
      <c r="J8" s="67" t="s">
        <v>490</v>
      </c>
      <c r="K8" s="68"/>
      <c r="L8" s="69" t="s">
        <v>36</v>
      </c>
      <c r="M8" s="70"/>
      <c r="N8" s="69"/>
      <c r="O8" s="70"/>
      <c r="P8" s="70"/>
      <c r="Q8" s="69"/>
      <c r="R8" s="70"/>
      <c r="S8" s="69"/>
      <c r="T8" s="69" t="s">
        <v>475</v>
      </c>
      <c r="U8" s="67"/>
      <c r="V8" s="66" t="s">
        <v>491</v>
      </c>
      <c r="W8" s="66" t="s">
        <v>492</v>
      </c>
      <c r="X8" s="69" t="s">
        <v>465</v>
      </c>
      <c r="Y8" s="69" t="s">
        <v>466</v>
      </c>
      <c r="Z8" s="69"/>
      <c r="AA8" s="69" t="s">
        <v>467</v>
      </c>
      <c r="AB8" s="69" t="s">
        <v>466</v>
      </c>
      <c r="AC8" s="69"/>
      <c r="AD8" s="67"/>
      <c r="AE8" s="69"/>
      <c r="AF8" s="69"/>
      <c r="AG8" s="69"/>
      <c r="AH8" s="69"/>
      <c r="AI8" s="69"/>
      <c r="AJ8" s="67" t="s">
        <v>493</v>
      </c>
      <c r="AK8" s="71" t="s">
        <v>471</v>
      </c>
      <c r="AL8" s="53" t="s">
        <v>754</v>
      </c>
      <c r="AM8" s="54" t="s">
        <v>748</v>
      </c>
    </row>
    <row r="9" s="31" customFormat="1" ht="112" customHeight="1" spans="1:76">
      <c r="A9" s="40"/>
      <c r="B9" s="40"/>
      <c r="C9" s="55"/>
      <c r="D9" s="73" t="s">
        <v>495</v>
      </c>
      <c r="E9" s="74" t="s">
        <v>496</v>
      </c>
      <c r="F9" s="75"/>
      <c r="G9" s="76" t="s">
        <v>497</v>
      </c>
      <c r="H9" s="76" t="s">
        <v>498</v>
      </c>
      <c r="I9" s="46" t="s">
        <v>499</v>
      </c>
      <c r="J9" s="47" t="s">
        <v>500</v>
      </c>
      <c r="K9" s="77"/>
      <c r="L9" s="49" t="s">
        <v>36</v>
      </c>
      <c r="M9" s="48"/>
      <c r="N9" s="49" t="s">
        <v>36</v>
      </c>
      <c r="O9" s="48"/>
      <c r="P9" s="48"/>
      <c r="Q9" s="49" t="s">
        <v>36</v>
      </c>
      <c r="R9" s="48"/>
      <c r="S9" s="49" t="s">
        <v>36</v>
      </c>
      <c r="T9" s="49" t="s">
        <v>475</v>
      </c>
      <c r="U9" s="47"/>
      <c r="V9" s="46" t="s">
        <v>501</v>
      </c>
      <c r="W9" s="46" t="s">
        <v>788</v>
      </c>
      <c r="X9" s="49" t="s">
        <v>503</v>
      </c>
      <c r="Y9" s="49" t="s">
        <v>466</v>
      </c>
      <c r="Z9" s="49"/>
      <c r="AA9" s="49" t="s">
        <v>467</v>
      </c>
      <c r="AB9" s="49" t="s">
        <v>466</v>
      </c>
      <c r="AC9" s="49"/>
      <c r="AD9" s="47"/>
      <c r="AE9" s="49"/>
      <c r="AF9" s="49"/>
      <c r="AG9" s="49"/>
      <c r="AH9" s="49" t="s">
        <v>469</v>
      </c>
      <c r="AI9" s="49" t="s">
        <v>469</v>
      </c>
      <c r="AJ9" s="47" t="s">
        <v>504</v>
      </c>
      <c r="AK9" s="52" t="s">
        <v>471</v>
      </c>
      <c r="AL9" s="53" t="s">
        <v>752</v>
      </c>
      <c r="AM9" s="54" t="s">
        <v>751</v>
      </c>
      <c r="AN9" s="31" t="b">
        <v>1</v>
      </c>
      <c r="AO9" s="31" t="b">
        <v>1</v>
      </c>
      <c r="AP9" s="31" t="b">
        <v>1</v>
      </c>
      <c r="AQ9" s="31" t="b">
        <v>1</v>
      </c>
      <c r="AR9" s="31" t="b">
        <v>1</v>
      </c>
      <c r="AS9" s="31" t="b">
        <v>1</v>
      </c>
      <c r="AT9" s="31" t="b">
        <v>1</v>
      </c>
      <c r="AU9" s="31" t="b">
        <v>1</v>
      </c>
      <c r="AV9" s="31" t="b">
        <v>1</v>
      </c>
      <c r="AW9" s="31" t="b">
        <v>1</v>
      </c>
      <c r="AX9" s="31" t="b">
        <v>1</v>
      </c>
      <c r="AY9" s="31" t="b">
        <v>1</v>
      </c>
      <c r="AZ9" s="31" t="b">
        <v>1</v>
      </c>
      <c r="BA9" s="31" t="b">
        <v>1</v>
      </c>
      <c r="BB9" s="31" t="b">
        <v>1</v>
      </c>
      <c r="BC9" s="31" t="b">
        <v>1</v>
      </c>
      <c r="BD9" s="31" t="b">
        <v>1</v>
      </c>
      <c r="BE9" s="31" t="b">
        <v>1</v>
      </c>
      <c r="BF9" s="31" t="b">
        <v>1</v>
      </c>
      <c r="BG9" s="31" t="b">
        <v>1</v>
      </c>
      <c r="BH9" s="31" t="b">
        <v>1</v>
      </c>
      <c r="BI9" s="31" t="b">
        <v>1</v>
      </c>
      <c r="BJ9" s="31" t="b">
        <v>0</v>
      </c>
      <c r="BK9" s="31" t="b">
        <v>1</v>
      </c>
      <c r="BL9" s="31" t="b">
        <v>1</v>
      </c>
      <c r="BM9" s="31" t="b">
        <v>1</v>
      </c>
      <c r="BN9" s="31" t="b">
        <v>1</v>
      </c>
      <c r="BO9" s="31" t="b">
        <v>1</v>
      </c>
      <c r="BP9" s="31" t="b">
        <v>1</v>
      </c>
      <c r="BQ9" s="31" t="b">
        <v>1</v>
      </c>
      <c r="BR9" s="31" t="b">
        <v>1</v>
      </c>
      <c r="BS9" s="31" t="b">
        <v>1</v>
      </c>
      <c r="BT9" s="31" t="b">
        <v>1</v>
      </c>
      <c r="BU9" s="31" t="b">
        <v>1</v>
      </c>
      <c r="BV9" s="31" t="b">
        <v>1</v>
      </c>
      <c r="BW9" s="31" t="b">
        <v>0</v>
      </c>
      <c r="BX9" s="31" t="b">
        <v>1</v>
      </c>
    </row>
    <row r="10" s="31" customFormat="1" ht="158.4" spans="1:76">
      <c r="A10" s="40"/>
      <c r="B10" s="40"/>
      <c r="C10" s="55"/>
      <c r="D10" s="78"/>
      <c r="E10" s="79"/>
      <c r="F10" s="80"/>
      <c r="G10" s="81"/>
      <c r="H10" s="81"/>
      <c r="I10" s="46" t="s">
        <v>506</v>
      </c>
      <c r="J10" s="47" t="s">
        <v>507</v>
      </c>
      <c r="K10" s="49"/>
      <c r="L10" s="48"/>
      <c r="M10" s="48"/>
      <c r="N10" s="49" t="s">
        <v>36</v>
      </c>
      <c r="O10" s="48"/>
      <c r="P10" s="48"/>
      <c r="Q10" s="49" t="s">
        <v>36</v>
      </c>
      <c r="R10" s="48"/>
      <c r="S10" s="49" t="s">
        <v>36</v>
      </c>
      <c r="T10" s="49" t="s">
        <v>475</v>
      </c>
      <c r="U10" s="47"/>
      <c r="V10" s="46" t="s">
        <v>508</v>
      </c>
      <c r="W10" s="46" t="s">
        <v>756</v>
      </c>
      <c r="X10" s="49" t="s">
        <v>503</v>
      </c>
      <c r="Y10" s="49" t="s">
        <v>466</v>
      </c>
      <c r="Z10" s="49"/>
      <c r="AA10" s="49" t="s">
        <v>467</v>
      </c>
      <c r="AB10" s="49" t="s">
        <v>466</v>
      </c>
      <c r="AC10" s="49"/>
      <c r="AD10" s="47"/>
      <c r="AE10" s="49"/>
      <c r="AF10" s="49"/>
      <c r="AG10" s="49"/>
      <c r="AH10" s="49" t="s">
        <v>469</v>
      </c>
      <c r="AI10" s="49" t="s">
        <v>469</v>
      </c>
      <c r="AJ10" s="47" t="s">
        <v>510</v>
      </c>
      <c r="AK10" s="52" t="s">
        <v>471</v>
      </c>
      <c r="AL10" s="53" t="s">
        <v>752</v>
      </c>
      <c r="AM10" s="54" t="s">
        <v>751</v>
      </c>
      <c r="AN10" s="31" t="b">
        <v>1</v>
      </c>
      <c r="AO10" s="31" t="b">
        <v>1</v>
      </c>
      <c r="AP10" s="31" t="b">
        <v>1</v>
      </c>
      <c r="AQ10" s="31" t="b">
        <v>1</v>
      </c>
      <c r="AR10" s="31" t="b">
        <v>1</v>
      </c>
      <c r="AS10" s="31" t="b">
        <v>1</v>
      </c>
      <c r="AT10" s="31" t="b">
        <v>1</v>
      </c>
      <c r="AU10" s="31" t="b">
        <v>1</v>
      </c>
      <c r="AV10" s="31" t="b">
        <v>1</v>
      </c>
      <c r="AW10" s="31" t="b">
        <v>1</v>
      </c>
      <c r="AX10" s="31" t="b">
        <v>1</v>
      </c>
      <c r="AY10" s="31" t="b">
        <v>1</v>
      </c>
      <c r="AZ10" s="31" t="b">
        <v>1</v>
      </c>
      <c r="BA10" s="31" t="b">
        <v>1</v>
      </c>
      <c r="BB10" s="31" t="b">
        <v>1</v>
      </c>
      <c r="BC10" s="31" t="b">
        <v>1</v>
      </c>
      <c r="BD10" s="31" t="b">
        <v>1</v>
      </c>
      <c r="BE10" s="31" t="b">
        <v>1</v>
      </c>
      <c r="BF10" s="31" t="b">
        <v>1</v>
      </c>
      <c r="BG10" s="31" t="b">
        <v>1</v>
      </c>
      <c r="BH10" s="31" t="b">
        <v>1</v>
      </c>
      <c r="BI10" s="31" t="b">
        <v>1</v>
      </c>
      <c r="BJ10" s="31" t="b">
        <v>0</v>
      </c>
      <c r="BK10" s="31" t="b">
        <v>1</v>
      </c>
      <c r="BL10" s="31" t="b">
        <v>1</v>
      </c>
      <c r="BM10" s="31" t="b">
        <v>1</v>
      </c>
      <c r="BN10" s="31" t="b">
        <v>1</v>
      </c>
      <c r="BO10" s="31" t="b">
        <v>1</v>
      </c>
      <c r="BP10" s="31" t="b">
        <v>1</v>
      </c>
      <c r="BQ10" s="31" t="b">
        <v>1</v>
      </c>
      <c r="BR10" s="31" t="b">
        <v>1</v>
      </c>
      <c r="BS10" s="31" t="b">
        <v>1</v>
      </c>
      <c r="BT10" s="31" t="b">
        <v>1</v>
      </c>
      <c r="BU10" s="31" t="b">
        <v>1</v>
      </c>
      <c r="BV10" s="31" t="b">
        <v>1</v>
      </c>
      <c r="BW10" s="31" t="b">
        <v>0</v>
      </c>
      <c r="BX10" s="31" t="b">
        <v>1</v>
      </c>
    </row>
    <row r="11" s="31" customFormat="1" ht="158.4" spans="1:76">
      <c r="A11" s="40"/>
      <c r="B11" s="40"/>
      <c r="C11" s="58"/>
      <c r="D11" s="82"/>
      <c r="E11" s="83"/>
      <c r="F11" s="84"/>
      <c r="G11" s="85"/>
      <c r="H11" s="85"/>
      <c r="I11" s="46" t="s">
        <v>511</v>
      </c>
      <c r="J11" s="47" t="s">
        <v>512</v>
      </c>
      <c r="K11" s="49"/>
      <c r="L11" s="48"/>
      <c r="M11" s="48"/>
      <c r="N11" s="49" t="s">
        <v>36</v>
      </c>
      <c r="O11" s="48"/>
      <c r="P11" s="48"/>
      <c r="Q11" s="49" t="s">
        <v>36</v>
      </c>
      <c r="R11" s="48"/>
      <c r="S11" s="49" t="s">
        <v>36</v>
      </c>
      <c r="T11" s="49" t="s">
        <v>475</v>
      </c>
      <c r="U11" s="50"/>
      <c r="V11" s="46" t="s">
        <v>513</v>
      </c>
      <c r="W11" s="46" t="s">
        <v>757</v>
      </c>
      <c r="X11" s="49" t="s">
        <v>503</v>
      </c>
      <c r="Y11" s="49" t="s">
        <v>466</v>
      </c>
      <c r="Z11" s="49"/>
      <c r="AA11" s="49" t="s">
        <v>467</v>
      </c>
      <c r="AB11" s="49" t="s">
        <v>466</v>
      </c>
      <c r="AC11" s="49"/>
      <c r="AD11" s="47"/>
      <c r="AE11" s="49"/>
      <c r="AF11" s="49"/>
      <c r="AG11" s="49"/>
      <c r="AH11" s="49" t="s">
        <v>469</v>
      </c>
      <c r="AI11" s="49" t="s">
        <v>469</v>
      </c>
      <c r="AJ11" s="47" t="s">
        <v>515</v>
      </c>
      <c r="AK11" s="52" t="s">
        <v>471</v>
      </c>
      <c r="AL11" s="53" t="s">
        <v>752</v>
      </c>
      <c r="AM11" s="54" t="s">
        <v>751</v>
      </c>
      <c r="AN11" s="31" t="b">
        <v>1</v>
      </c>
      <c r="AO11" s="31" t="b">
        <v>1</v>
      </c>
      <c r="AP11" s="31" t="b">
        <v>1</v>
      </c>
      <c r="AQ11" s="31" t="b">
        <v>1</v>
      </c>
      <c r="AR11" s="31" t="b">
        <v>1</v>
      </c>
      <c r="AS11" s="31" t="b">
        <v>1</v>
      </c>
      <c r="AT11" s="31" t="b">
        <v>1</v>
      </c>
      <c r="AU11" s="31" t="b">
        <v>1</v>
      </c>
      <c r="AV11" s="31" t="b">
        <v>1</v>
      </c>
      <c r="AW11" s="31" t="b">
        <v>1</v>
      </c>
      <c r="AX11" s="31" t="b">
        <v>1</v>
      </c>
      <c r="AY11" s="31" t="b">
        <v>1</v>
      </c>
      <c r="AZ11" s="31" t="b">
        <v>1</v>
      </c>
      <c r="BA11" s="31" t="b">
        <v>1</v>
      </c>
      <c r="BB11" s="31" t="b">
        <v>1</v>
      </c>
      <c r="BC11" s="31" t="b">
        <v>1</v>
      </c>
      <c r="BD11" s="31" t="b">
        <v>1</v>
      </c>
      <c r="BE11" s="31" t="b">
        <v>1</v>
      </c>
      <c r="BF11" s="31" t="b">
        <v>1</v>
      </c>
      <c r="BG11" s="31" t="b">
        <v>1</v>
      </c>
      <c r="BH11" s="31" t="b">
        <v>1</v>
      </c>
      <c r="BI11" s="31" t="b">
        <v>1</v>
      </c>
      <c r="BJ11" s="31" t="b">
        <v>0</v>
      </c>
      <c r="BK11" s="31" t="b">
        <v>1</v>
      </c>
      <c r="BL11" s="31" t="b">
        <v>1</v>
      </c>
      <c r="BM11" s="31" t="b">
        <v>1</v>
      </c>
      <c r="BN11" s="31" t="b">
        <v>1</v>
      </c>
      <c r="BO11" s="31" t="b">
        <v>1</v>
      </c>
      <c r="BP11" s="31" t="b">
        <v>1</v>
      </c>
      <c r="BQ11" s="31" t="b">
        <v>1</v>
      </c>
      <c r="BR11" s="31" t="b">
        <v>1</v>
      </c>
      <c r="BS11" s="31" t="b">
        <v>1</v>
      </c>
      <c r="BT11" s="31" t="b">
        <v>1</v>
      </c>
      <c r="BU11" s="31" t="b">
        <v>1</v>
      </c>
      <c r="BV11" s="31" t="b">
        <v>1</v>
      </c>
      <c r="BW11" s="31" t="b">
        <v>0</v>
      </c>
      <c r="BX11" s="31" t="b">
        <v>1</v>
      </c>
    </row>
    <row r="12" s="31" customFormat="1" ht="105.6" spans="1:76">
      <c r="A12" s="40" t="s">
        <v>452</v>
      </c>
      <c r="B12" s="75" t="s">
        <v>516</v>
      </c>
      <c r="C12" s="73" t="s">
        <v>517</v>
      </c>
      <c r="D12" s="73" t="s">
        <v>518</v>
      </c>
      <c r="E12" s="74" t="s">
        <v>519</v>
      </c>
      <c r="F12" s="86" t="s">
        <v>520</v>
      </c>
      <c r="G12" s="76" t="s">
        <v>521</v>
      </c>
      <c r="H12" s="76" t="s">
        <v>522</v>
      </c>
      <c r="I12" s="46" t="s">
        <v>523</v>
      </c>
      <c r="J12" s="47" t="s">
        <v>524</v>
      </c>
      <c r="K12" s="48"/>
      <c r="L12" s="49" t="s">
        <v>36</v>
      </c>
      <c r="M12" s="49" t="s">
        <v>36</v>
      </c>
      <c r="N12" s="48"/>
      <c r="O12" s="49" t="s">
        <v>36</v>
      </c>
      <c r="P12" s="48"/>
      <c r="Q12" s="48"/>
      <c r="R12" s="48"/>
      <c r="S12" s="48"/>
      <c r="T12" s="49" t="s">
        <v>475</v>
      </c>
      <c r="U12" s="47"/>
      <c r="V12" s="46" t="s">
        <v>525</v>
      </c>
      <c r="W12" s="46" t="s">
        <v>526</v>
      </c>
      <c r="X12" s="49" t="s">
        <v>527</v>
      </c>
      <c r="Y12" s="49" t="s">
        <v>466</v>
      </c>
      <c r="Z12" s="49"/>
      <c r="AA12" s="49" t="s">
        <v>467</v>
      </c>
      <c r="AB12" s="49" t="s">
        <v>466</v>
      </c>
      <c r="AC12" s="49"/>
      <c r="AD12" s="47"/>
      <c r="AE12" s="49"/>
      <c r="AF12" s="49"/>
      <c r="AG12" s="49"/>
      <c r="AH12" s="49" t="s">
        <v>469</v>
      </c>
      <c r="AI12" s="49" t="s">
        <v>469</v>
      </c>
      <c r="AJ12" s="47" t="s">
        <v>528</v>
      </c>
      <c r="AK12" s="52" t="s">
        <v>471</v>
      </c>
      <c r="AL12" s="53" t="s">
        <v>758</v>
      </c>
      <c r="AM12" s="54" t="s">
        <v>759</v>
      </c>
      <c r="AN12" s="31" t="b">
        <v>1</v>
      </c>
      <c r="AO12" s="31" t="b">
        <v>1</v>
      </c>
      <c r="AP12" s="31" t="b">
        <v>1</v>
      </c>
      <c r="AQ12" s="31" t="b">
        <v>1</v>
      </c>
      <c r="AR12" s="31" t="b">
        <v>1</v>
      </c>
      <c r="AS12" s="31" t="b">
        <v>1</v>
      </c>
      <c r="AT12" s="31" t="b">
        <v>1</v>
      </c>
      <c r="AU12" s="31" t="b">
        <v>1</v>
      </c>
      <c r="AV12" s="31" t="b">
        <v>1</v>
      </c>
      <c r="AW12" s="31" t="b">
        <v>1</v>
      </c>
      <c r="AX12" s="31" t="b">
        <v>1</v>
      </c>
      <c r="AY12" s="31" t="b">
        <v>1</v>
      </c>
      <c r="AZ12" s="31" t="b">
        <v>1</v>
      </c>
      <c r="BA12" s="31" t="b">
        <v>1</v>
      </c>
      <c r="BB12" s="31" t="b">
        <v>1</v>
      </c>
      <c r="BC12" s="31" t="b">
        <v>1</v>
      </c>
      <c r="BD12" s="31" t="b">
        <v>1</v>
      </c>
      <c r="BE12" s="31" t="b">
        <v>1</v>
      </c>
      <c r="BF12" s="31" t="b">
        <v>1</v>
      </c>
      <c r="BG12" s="31" t="b">
        <v>1</v>
      </c>
      <c r="BH12" s="31" t="b">
        <v>1</v>
      </c>
      <c r="BI12" s="31" t="b">
        <v>1</v>
      </c>
      <c r="BJ12" s="31" t="b">
        <v>1</v>
      </c>
      <c r="BK12" s="31" t="b">
        <v>1</v>
      </c>
      <c r="BL12" s="31" t="b">
        <v>1</v>
      </c>
      <c r="BM12" s="31" t="b">
        <v>1</v>
      </c>
      <c r="BN12" s="31" t="b">
        <v>1</v>
      </c>
      <c r="BO12" s="31" t="b">
        <v>1</v>
      </c>
      <c r="BP12" s="31" t="b">
        <v>1</v>
      </c>
      <c r="BQ12" s="31" t="b">
        <v>1</v>
      </c>
      <c r="BR12" s="31" t="b">
        <v>1</v>
      </c>
      <c r="BS12" s="31" t="b">
        <v>1</v>
      </c>
      <c r="BT12" s="31" t="b">
        <v>1</v>
      </c>
      <c r="BU12" s="31" t="b">
        <v>1</v>
      </c>
      <c r="BV12" s="31" t="b">
        <v>1</v>
      </c>
      <c r="BW12" s="31" t="b">
        <v>0</v>
      </c>
      <c r="BX12" s="31" t="b">
        <v>1</v>
      </c>
    </row>
    <row r="13" s="31" customFormat="1" ht="105.6" spans="1:76">
      <c r="A13" s="40"/>
      <c r="B13" s="80"/>
      <c r="C13" s="78"/>
      <c r="D13" s="78"/>
      <c r="E13" s="79"/>
      <c r="F13" s="87"/>
      <c r="G13" s="81"/>
      <c r="H13" s="81"/>
      <c r="I13" s="46" t="s">
        <v>529</v>
      </c>
      <c r="J13" s="47" t="s">
        <v>530</v>
      </c>
      <c r="K13" s="77"/>
      <c r="L13" s="48"/>
      <c r="M13" s="48"/>
      <c r="N13" s="48"/>
      <c r="O13" s="49" t="s">
        <v>36</v>
      </c>
      <c r="P13" s="48"/>
      <c r="Q13" s="48"/>
      <c r="R13" s="48"/>
      <c r="S13" s="48"/>
      <c r="T13" s="49" t="s">
        <v>475</v>
      </c>
      <c r="U13" s="47"/>
      <c r="V13" s="46" t="s">
        <v>531</v>
      </c>
      <c r="W13" s="46" t="s">
        <v>558</v>
      </c>
      <c r="X13" s="49" t="s">
        <v>527</v>
      </c>
      <c r="Y13" s="49" t="s">
        <v>466</v>
      </c>
      <c r="Z13" s="49"/>
      <c r="AA13" s="49" t="s">
        <v>467</v>
      </c>
      <c r="AB13" s="49" t="s">
        <v>466</v>
      </c>
      <c r="AC13" s="49"/>
      <c r="AD13" s="47"/>
      <c r="AE13" s="49"/>
      <c r="AF13" s="49"/>
      <c r="AG13" s="49"/>
      <c r="AH13" s="49" t="s">
        <v>469</v>
      </c>
      <c r="AI13" s="49" t="s">
        <v>469</v>
      </c>
      <c r="AJ13" s="47" t="s">
        <v>528</v>
      </c>
      <c r="AK13" s="52" t="s">
        <v>471</v>
      </c>
      <c r="AL13" s="53" t="s">
        <v>760</v>
      </c>
      <c r="AM13" s="54" t="s">
        <v>751</v>
      </c>
      <c r="AN13" s="31" t="b">
        <v>1</v>
      </c>
      <c r="AO13" s="31" t="b">
        <v>1</v>
      </c>
      <c r="AP13" s="31" t="b">
        <v>1</v>
      </c>
      <c r="AQ13" s="31" t="b">
        <v>1</v>
      </c>
      <c r="AR13" s="31" t="b">
        <v>1</v>
      </c>
      <c r="AS13" s="31" t="b">
        <v>1</v>
      </c>
      <c r="AT13" s="31" t="b">
        <v>1</v>
      </c>
      <c r="AU13" s="31" t="b">
        <v>1</v>
      </c>
      <c r="AV13" s="31" t="b">
        <v>1</v>
      </c>
      <c r="AW13" s="31" t="b">
        <v>1</v>
      </c>
      <c r="AX13" s="31" t="b">
        <v>1</v>
      </c>
      <c r="AY13" s="31" t="b">
        <v>1</v>
      </c>
      <c r="AZ13" s="31" t="b">
        <v>1</v>
      </c>
      <c r="BA13" s="31" t="b">
        <v>1</v>
      </c>
      <c r="BB13" s="31" t="b">
        <v>1</v>
      </c>
      <c r="BC13" s="31" t="b">
        <v>1</v>
      </c>
      <c r="BD13" s="31" t="b">
        <v>1</v>
      </c>
      <c r="BE13" s="31" t="b">
        <v>1</v>
      </c>
      <c r="BF13" s="31" t="b">
        <v>1</v>
      </c>
      <c r="BG13" s="31" t="b">
        <v>1</v>
      </c>
      <c r="BH13" s="31" t="b">
        <v>1</v>
      </c>
      <c r="BI13" s="31" t="b">
        <v>1</v>
      </c>
      <c r="BJ13" s="31" t="b">
        <v>0</v>
      </c>
      <c r="BK13" s="31" t="b">
        <v>1</v>
      </c>
      <c r="BL13" s="31" t="b">
        <v>1</v>
      </c>
      <c r="BM13" s="31" t="b">
        <v>1</v>
      </c>
      <c r="BN13" s="31" t="b">
        <v>1</v>
      </c>
      <c r="BO13" s="31" t="b">
        <v>1</v>
      </c>
      <c r="BP13" s="31" t="b">
        <v>1</v>
      </c>
      <c r="BQ13" s="31" t="b">
        <v>1</v>
      </c>
      <c r="BR13" s="31" t="b">
        <v>1</v>
      </c>
      <c r="BS13" s="31" t="b">
        <v>1</v>
      </c>
      <c r="BT13" s="31" t="b">
        <v>1</v>
      </c>
      <c r="BU13" s="31" t="b">
        <v>1</v>
      </c>
      <c r="BV13" s="31" t="b">
        <v>1</v>
      </c>
      <c r="BW13" s="31" t="b">
        <v>0</v>
      </c>
      <c r="BX13" s="31" t="b">
        <v>1</v>
      </c>
    </row>
    <row r="14" s="31" customFormat="1" ht="105.6" spans="1:76">
      <c r="A14" s="40"/>
      <c r="B14" s="84"/>
      <c r="C14" s="82"/>
      <c r="D14" s="82"/>
      <c r="E14" s="83"/>
      <c r="F14" s="88"/>
      <c r="G14" s="85"/>
      <c r="H14" s="85"/>
      <c r="I14" s="46" t="s">
        <v>533</v>
      </c>
      <c r="J14" s="47" t="s">
        <v>534</v>
      </c>
      <c r="K14" s="48"/>
      <c r="L14" s="48"/>
      <c r="M14" s="48"/>
      <c r="N14" s="49" t="s">
        <v>36</v>
      </c>
      <c r="O14" s="49" t="s">
        <v>36</v>
      </c>
      <c r="P14" s="49" t="s">
        <v>36</v>
      </c>
      <c r="Q14" s="49" t="s">
        <v>36</v>
      </c>
      <c r="R14" s="48"/>
      <c r="S14" s="48"/>
      <c r="T14" s="49" t="s">
        <v>535</v>
      </c>
      <c r="U14" s="47" t="s">
        <v>536</v>
      </c>
      <c r="V14" s="46" t="s">
        <v>537</v>
      </c>
      <c r="W14" s="46" t="s">
        <v>538</v>
      </c>
      <c r="X14" s="49" t="s">
        <v>527</v>
      </c>
      <c r="Y14" s="49" t="s">
        <v>466</v>
      </c>
      <c r="Z14" s="49"/>
      <c r="AA14" s="49" t="s">
        <v>467</v>
      </c>
      <c r="AB14" s="49" t="s">
        <v>466</v>
      </c>
      <c r="AC14" s="49"/>
      <c r="AD14" s="47" t="s">
        <v>539</v>
      </c>
      <c r="AE14" s="49" t="s">
        <v>503</v>
      </c>
      <c r="AF14" s="49" t="s">
        <v>540</v>
      </c>
      <c r="AG14" s="49"/>
      <c r="AH14" s="49" t="s">
        <v>469</v>
      </c>
      <c r="AI14" s="49" t="s">
        <v>469</v>
      </c>
      <c r="AJ14" s="47" t="s">
        <v>541</v>
      </c>
      <c r="AK14" s="52" t="s">
        <v>471</v>
      </c>
      <c r="AL14" s="53" t="s">
        <v>542</v>
      </c>
      <c r="AM14" s="54"/>
      <c r="AN14" s="31" t="b">
        <v>1</v>
      </c>
      <c r="AO14" s="31" t="b">
        <v>1</v>
      </c>
      <c r="AP14" s="31" t="b">
        <v>1</v>
      </c>
      <c r="AQ14" s="31" t="b">
        <v>1</v>
      </c>
      <c r="AR14" s="31" t="b">
        <v>1</v>
      </c>
      <c r="AS14" s="31" t="b">
        <v>1</v>
      </c>
      <c r="AT14" s="31" t="b">
        <v>1</v>
      </c>
      <c r="AU14" s="31" t="b">
        <v>1</v>
      </c>
      <c r="AV14" s="31" t="b">
        <v>1</v>
      </c>
      <c r="AW14" s="31" t="b">
        <v>1</v>
      </c>
      <c r="AX14" s="31" t="b">
        <v>1</v>
      </c>
      <c r="AY14" s="31" t="b">
        <v>1</v>
      </c>
      <c r="AZ14" s="31" t="b">
        <v>1</v>
      </c>
      <c r="BA14" s="31" t="b">
        <v>1</v>
      </c>
      <c r="BB14" s="31" t="b">
        <v>1</v>
      </c>
      <c r="BC14" s="31" t="b">
        <v>1</v>
      </c>
      <c r="BD14" s="31" t="b">
        <v>1</v>
      </c>
      <c r="BE14" s="31" t="b">
        <v>1</v>
      </c>
      <c r="BF14" s="31" t="b">
        <v>1</v>
      </c>
      <c r="BG14" s="31" t="b">
        <v>1</v>
      </c>
      <c r="BH14" s="31" t="b">
        <v>1</v>
      </c>
      <c r="BI14" s="31" t="b">
        <v>1</v>
      </c>
      <c r="BJ14" s="31" t="b">
        <v>1</v>
      </c>
      <c r="BK14" s="31" t="b">
        <v>1</v>
      </c>
      <c r="BL14" s="31" t="b">
        <v>1</v>
      </c>
      <c r="BM14" s="31" t="b">
        <v>1</v>
      </c>
      <c r="BN14" s="31" t="b">
        <v>1</v>
      </c>
      <c r="BO14" s="31" t="b">
        <v>1</v>
      </c>
      <c r="BP14" s="31" t="b">
        <v>1</v>
      </c>
      <c r="BQ14" s="31" t="b">
        <v>1</v>
      </c>
      <c r="BR14" s="31" t="b">
        <v>1</v>
      </c>
      <c r="BS14" s="31" t="b">
        <v>1</v>
      </c>
      <c r="BT14" s="31" t="b">
        <v>1</v>
      </c>
      <c r="BU14" s="31" t="b">
        <v>1</v>
      </c>
      <c r="BV14" s="31" t="b">
        <v>1</v>
      </c>
      <c r="BW14" s="31" t="b">
        <v>1</v>
      </c>
      <c r="BX14" s="31" t="b">
        <v>1</v>
      </c>
    </row>
    <row r="15" s="31" customFormat="1" ht="177" customHeight="1" spans="1:76">
      <c r="A15" s="40"/>
      <c r="B15" s="75" t="s">
        <v>516</v>
      </c>
      <c r="C15" s="42" t="s">
        <v>454</v>
      </c>
      <c r="D15" s="42" t="s">
        <v>543</v>
      </c>
      <c r="E15" s="76" t="s">
        <v>544</v>
      </c>
      <c r="F15" s="89" t="s">
        <v>545</v>
      </c>
      <c r="G15" s="47" t="s">
        <v>546</v>
      </c>
      <c r="H15" s="46" t="s">
        <v>547</v>
      </c>
      <c r="I15" s="46" t="s">
        <v>548</v>
      </c>
      <c r="J15" s="47" t="s">
        <v>549</v>
      </c>
      <c r="K15" s="77"/>
      <c r="L15" s="48"/>
      <c r="M15" s="49" t="s">
        <v>36</v>
      </c>
      <c r="N15" s="48"/>
      <c r="O15" s="49" t="s">
        <v>36</v>
      </c>
      <c r="P15" s="48"/>
      <c r="Q15" s="48"/>
      <c r="R15" s="48"/>
      <c r="S15" s="48"/>
      <c r="T15" s="49" t="s">
        <v>475</v>
      </c>
      <c r="U15" s="47"/>
      <c r="V15" s="46" t="s">
        <v>550</v>
      </c>
      <c r="W15" s="46" t="s">
        <v>526</v>
      </c>
      <c r="X15" s="49" t="s">
        <v>503</v>
      </c>
      <c r="Y15" s="49" t="s">
        <v>466</v>
      </c>
      <c r="Z15" s="49"/>
      <c r="AA15" s="49" t="s">
        <v>467</v>
      </c>
      <c r="AB15" s="49" t="s">
        <v>466</v>
      </c>
      <c r="AC15" s="49"/>
      <c r="AD15" s="47"/>
      <c r="AE15" s="49"/>
      <c r="AF15" s="49"/>
      <c r="AG15" s="49"/>
      <c r="AH15" s="49" t="s">
        <v>469</v>
      </c>
      <c r="AI15" s="49" t="s">
        <v>469</v>
      </c>
      <c r="AJ15" s="47" t="s">
        <v>551</v>
      </c>
      <c r="AK15" s="52" t="s">
        <v>471</v>
      </c>
      <c r="AL15" s="53" t="s">
        <v>542</v>
      </c>
      <c r="AM15" s="54"/>
      <c r="AN15" s="31" t="b">
        <v>1</v>
      </c>
      <c r="AO15" s="31" t="b">
        <v>1</v>
      </c>
      <c r="AP15" s="31" t="b">
        <v>1</v>
      </c>
      <c r="AQ15" s="31" t="b">
        <v>1</v>
      </c>
      <c r="AR15" s="31" t="b">
        <v>1</v>
      </c>
      <c r="AS15" s="31" t="b">
        <v>1</v>
      </c>
      <c r="AT15" s="31" t="b">
        <v>1</v>
      </c>
      <c r="AU15" s="31" t="b">
        <v>1</v>
      </c>
      <c r="AV15" s="31" t="b">
        <v>1</v>
      </c>
      <c r="AW15" s="31" t="b">
        <v>1</v>
      </c>
      <c r="AX15" s="31" t="b">
        <v>1</v>
      </c>
      <c r="AY15" s="31" t="b">
        <v>1</v>
      </c>
      <c r="AZ15" s="31" t="b">
        <v>1</v>
      </c>
      <c r="BA15" s="31" t="b">
        <v>1</v>
      </c>
      <c r="BB15" s="31" t="b">
        <v>1</v>
      </c>
      <c r="BC15" s="31" t="b">
        <v>1</v>
      </c>
      <c r="BD15" s="31" t="b">
        <v>1</v>
      </c>
      <c r="BE15" s="31" t="b">
        <v>1</v>
      </c>
      <c r="BF15" s="31" t="b">
        <v>1</v>
      </c>
      <c r="BG15" s="31" t="b">
        <v>1</v>
      </c>
      <c r="BH15" s="31" t="b">
        <v>1</v>
      </c>
      <c r="BI15" s="31" t="b">
        <v>1</v>
      </c>
      <c r="BJ15" s="31" t="b">
        <v>1</v>
      </c>
      <c r="BK15" s="31" t="b">
        <v>1</v>
      </c>
      <c r="BL15" s="31" t="b">
        <v>1</v>
      </c>
      <c r="BM15" s="31" t="b">
        <v>1</v>
      </c>
      <c r="BN15" s="31" t="b">
        <v>1</v>
      </c>
      <c r="BO15" s="31" t="b">
        <v>1</v>
      </c>
      <c r="BP15" s="31" t="b">
        <v>1</v>
      </c>
      <c r="BQ15" s="31" t="b">
        <v>1</v>
      </c>
      <c r="BR15" s="31" t="b">
        <v>1</v>
      </c>
      <c r="BS15" s="31" t="b">
        <v>1</v>
      </c>
      <c r="BT15" s="31" t="b">
        <v>1</v>
      </c>
      <c r="BU15" s="31" t="b">
        <v>1</v>
      </c>
      <c r="BV15" s="31" t="b">
        <v>1</v>
      </c>
      <c r="BW15" s="31" t="b">
        <v>1</v>
      </c>
      <c r="BX15" s="31" t="b">
        <v>1</v>
      </c>
    </row>
    <row r="16" s="31" customFormat="1" ht="118.8" spans="1:76">
      <c r="A16" s="40"/>
      <c r="B16" s="80"/>
      <c r="C16" s="55"/>
      <c r="D16" s="55"/>
      <c r="E16" s="81"/>
      <c r="F16" s="80"/>
      <c r="G16" s="74" t="s">
        <v>546</v>
      </c>
      <c r="H16" s="76" t="s">
        <v>547</v>
      </c>
      <c r="I16" s="46" t="s">
        <v>552</v>
      </c>
      <c r="J16" s="47" t="s">
        <v>553</v>
      </c>
      <c r="K16" s="77"/>
      <c r="L16" s="48"/>
      <c r="M16" s="49" t="s">
        <v>36</v>
      </c>
      <c r="N16" s="48"/>
      <c r="O16" s="49" t="s">
        <v>36</v>
      </c>
      <c r="P16" s="48"/>
      <c r="Q16" s="48"/>
      <c r="R16" s="48"/>
      <c r="S16" s="48"/>
      <c r="T16" s="49" t="s">
        <v>475</v>
      </c>
      <c r="U16" s="47"/>
      <c r="V16" s="46" t="s">
        <v>550</v>
      </c>
      <c r="W16" s="46" t="s">
        <v>526</v>
      </c>
      <c r="X16" s="49" t="s">
        <v>503</v>
      </c>
      <c r="Y16" s="49" t="s">
        <v>466</v>
      </c>
      <c r="Z16" s="49"/>
      <c r="AA16" s="49" t="s">
        <v>467</v>
      </c>
      <c r="AB16" s="49" t="s">
        <v>466</v>
      </c>
      <c r="AC16" s="49"/>
      <c r="AD16" s="47"/>
      <c r="AE16" s="49"/>
      <c r="AF16" s="49"/>
      <c r="AG16" s="49"/>
      <c r="AH16" s="49" t="s">
        <v>469</v>
      </c>
      <c r="AI16" s="49" t="s">
        <v>469</v>
      </c>
      <c r="AJ16" s="47" t="s">
        <v>551</v>
      </c>
      <c r="AK16" s="52" t="s">
        <v>471</v>
      </c>
      <c r="AL16" s="53" t="s">
        <v>542</v>
      </c>
      <c r="AM16" s="54"/>
      <c r="AN16" s="31" t="b">
        <v>1</v>
      </c>
      <c r="AO16" s="31" t="b">
        <v>1</v>
      </c>
      <c r="AP16" s="31" t="b">
        <v>1</v>
      </c>
      <c r="AQ16" s="31" t="b">
        <v>1</v>
      </c>
      <c r="AR16" s="31" t="b">
        <v>1</v>
      </c>
      <c r="AS16" s="31" t="b">
        <v>1</v>
      </c>
      <c r="AT16" s="31" t="b">
        <v>1</v>
      </c>
      <c r="AU16" s="31" t="b">
        <v>1</v>
      </c>
      <c r="AV16" s="31" t="b">
        <v>1</v>
      </c>
      <c r="AW16" s="31" t="b">
        <v>1</v>
      </c>
      <c r="AX16" s="31" t="b">
        <v>1</v>
      </c>
      <c r="AY16" s="31" t="b">
        <v>1</v>
      </c>
      <c r="AZ16" s="31" t="b">
        <v>1</v>
      </c>
      <c r="BA16" s="31" t="b">
        <v>1</v>
      </c>
      <c r="BB16" s="31" t="b">
        <v>1</v>
      </c>
      <c r="BC16" s="31" t="b">
        <v>1</v>
      </c>
      <c r="BD16" s="31" t="b">
        <v>1</v>
      </c>
      <c r="BE16" s="31" t="b">
        <v>1</v>
      </c>
      <c r="BF16" s="31" t="b">
        <v>1</v>
      </c>
      <c r="BG16" s="31" t="b">
        <v>1</v>
      </c>
      <c r="BH16" s="31" t="b">
        <v>1</v>
      </c>
      <c r="BI16" s="31" t="b">
        <v>1</v>
      </c>
      <c r="BJ16" s="31" t="b">
        <v>1</v>
      </c>
      <c r="BK16" s="31" t="b">
        <v>1</v>
      </c>
      <c r="BL16" s="31" t="b">
        <v>1</v>
      </c>
      <c r="BM16" s="31" t="b">
        <v>1</v>
      </c>
      <c r="BN16" s="31" t="b">
        <v>1</v>
      </c>
      <c r="BO16" s="31" t="b">
        <v>1</v>
      </c>
      <c r="BP16" s="31" t="b">
        <v>1</v>
      </c>
      <c r="BQ16" s="31" t="b">
        <v>1</v>
      </c>
      <c r="BR16" s="31" t="b">
        <v>1</v>
      </c>
      <c r="BS16" s="31" t="b">
        <v>1</v>
      </c>
      <c r="BT16" s="31" t="b">
        <v>1</v>
      </c>
      <c r="BU16" s="31" t="b">
        <v>1</v>
      </c>
      <c r="BV16" s="31" t="b">
        <v>1</v>
      </c>
      <c r="BW16" s="31" t="b">
        <v>1</v>
      </c>
      <c r="BX16" s="31" t="b">
        <v>1</v>
      </c>
    </row>
    <row r="17" s="31" customFormat="1" ht="198" spans="1:76">
      <c r="A17" s="40"/>
      <c r="B17" s="80"/>
      <c r="C17" s="55"/>
      <c r="D17" s="55"/>
      <c r="E17" s="81"/>
      <c r="F17" s="80"/>
      <c r="G17" s="79"/>
      <c r="H17" s="81"/>
      <c r="I17" s="46" t="s">
        <v>554</v>
      </c>
      <c r="J17" s="90" t="s">
        <v>555</v>
      </c>
      <c r="K17" s="48"/>
      <c r="L17" s="48"/>
      <c r="M17" s="49" t="s">
        <v>36</v>
      </c>
      <c r="N17" s="48"/>
      <c r="O17" s="49" t="s">
        <v>36</v>
      </c>
      <c r="P17" s="48"/>
      <c r="Q17" s="48"/>
      <c r="R17" s="48"/>
      <c r="S17" s="49" t="s">
        <v>36</v>
      </c>
      <c r="T17" s="49" t="s">
        <v>556</v>
      </c>
      <c r="U17" s="47" t="s">
        <v>557</v>
      </c>
      <c r="V17" s="46" t="s">
        <v>550</v>
      </c>
      <c r="W17" s="46" t="s">
        <v>558</v>
      </c>
      <c r="X17" s="49" t="s">
        <v>503</v>
      </c>
      <c r="Y17" s="49" t="s">
        <v>466</v>
      </c>
      <c r="Z17" s="49"/>
      <c r="AA17" s="49" t="s">
        <v>467</v>
      </c>
      <c r="AB17" s="49" t="s">
        <v>466</v>
      </c>
      <c r="AC17" s="49"/>
      <c r="AD17" s="47" t="s">
        <v>559</v>
      </c>
      <c r="AE17" s="49" t="s">
        <v>527</v>
      </c>
      <c r="AF17" s="49" t="s">
        <v>466</v>
      </c>
      <c r="AG17" s="49"/>
      <c r="AH17" s="49" t="s">
        <v>469</v>
      </c>
      <c r="AI17" s="49" t="s">
        <v>469</v>
      </c>
      <c r="AJ17" s="47" t="s">
        <v>551</v>
      </c>
      <c r="AK17" s="52" t="s">
        <v>471</v>
      </c>
      <c r="AL17" s="53" t="s">
        <v>560</v>
      </c>
      <c r="AM17" s="54" t="s">
        <v>761</v>
      </c>
      <c r="AN17" s="31" t="b">
        <v>1</v>
      </c>
      <c r="AO17" s="31" t="b">
        <v>1</v>
      </c>
      <c r="AP17" s="31" t="b">
        <v>1</v>
      </c>
      <c r="AQ17" s="31" t="b">
        <v>1</v>
      </c>
      <c r="AR17" s="31" t="b">
        <v>1</v>
      </c>
      <c r="AS17" s="31" t="b">
        <v>1</v>
      </c>
      <c r="AT17" s="31" t="b">
        <v>1</v>
      </c>
      <c r="AU17" s="31" t="b">
        <v>1</v>
      </c>
      <c r="AV17" s="31" t="b">
        <v>1</v>
      </c>
      <c r="AW17" s="31" t="b">
        <v>0</v>
      </c>
      <c r="AX17" s="31" t="b">
        <v>1</v>
      </c>
      <c r="AY17" s="31" t="b">
        <v>1</v>
      </c>
      <c r="AZ17" s="31" t="b">
        <v>1</v>
      </c>
      <c r="BA17" s="31" t="b">
        <v>1</v>
      </c>
      <c r="BB17" s="31" t="b">
        <v>1</v>
      </c>
      <c r="BC17" s="31" t="b">
        <v>1</v>
      </c>
      <c r="BD17" s="31" t="b">
        <v>1</v>
      </c>
      <c r="BE17" s="31" t="b">
        <v>1</v>
      </c>
      <c r="BF17" s="31" t="b">
        <v>1</v>
      </c>
      <c r="BG17" s="31" t="b">
        <v>1</v>
      </c>
      <c r="BH17" s="31" t="b">
        <v>1</v>
      </c>
      <c r="BI17" s="31" t="b">
        <v>1</v>
      </c>
      <c r="BJ17" s="31" t="b">
        <v>0</v>
      </c>
      <c r="BK17" s="31" t="b">
        <v>1</v>
      </c>
      <c r="BL17" s="31" t="b">
        <v>1</v>
      </c>
      <c r="BM17" s="31" t="b">
        <v>1</v>
      </c>
      <c r="BN17" s="31" t="b">
        <v>1</v>
      </c>
      <c r="BO17" s="31" t="b">
        <v>1</v>
      </c>
      <c r="BP17" s="31" t="b">
        <v>1</v>
      </c>
      <c r="BQ17" s="31" t="b">
        <v>1</v>
      </c>
      <c r="BR17" s="31" t="b">
        <v>1</v>
      </c>
      <c r="BS17" s="31" t="b">
        <v>1</v>
      </c>
      <c r="BT17" s="31" t="b">
        <v>1</v>
      </c>
      <c r="BU17" s="31" t="b">
        <v>1</v>
      </c>
      <c r="BV17" s="31" t="b">
        <v>1</v>
      </c>
      <c r="BW17" s="31" t="b">
        <v>1</v>
      </c>
      <c r="BX17" s="31" t="b">
        <v>1</v>
      </c>
    </row>
    <row r="18" s="31" customFormat="1" ht="158.4" spans="1:76">
      <c r="A18" s="40"/>
      <c r="B18" s="80"/>
      <c r="C18" s="55"/>
      <c r="D18" s="55"/>
      <c r="E18" s="81"/>
      <c r="F18" s="80"/>
      <c r="G18" s="79"/>
      <c r="H18" s="81"/>
      <c r="I18" s="46" t="s">
        <v>561</v>
      </c>
      <c r="J18" s="50" t="s">
        <v>562</v>
      </c>
      <c r="K18" s="48"/>
      <c r="L18" s="48"/>
      <c r="M18" s="49" t="s">
        <v>36</v>
      </c>
      <c r="N18" s="48"/>
      <c r="O18" s="49" t="s">
        <v>36</v>
      </c>
      <c r="P18" s="48"/>
      <c r="Q18" s="48"/>
      <c r="R18" s="48"/>
      <c r="S18" s="49" t="s">
        <v>36</v>
      </c>
      <c r="T18" s="49" t="s">
        <v>475</v>
      </c>
      <c r="U18" s="50"/>
      <c r="V18" s="46" t="s">
        <v>550</v>
      </c>
      <c r="W18" s="46" t="s">
        <v>558</v>
      </c>
      <c r="X18" s="49" t="s">
        <v>503</v>
      </c>
      <c r="Y18" s="49" t="s">
        <v>466</v>
      </c>
      <c r="Z18" s="49"/>
      <c r="AA18" s="49" t="s">
        <v>467</v>
      </c>
      <c r="AB18" s="49" t="s">
        <v>466</v>
      </c>
      <c r="AC18" s="49"/>
      <c r="AD18" s="47" t="s">
        <v>559</v>
      </c>
      <c r="AE18" s="49" t="s">
        <v>527</v>
      </c>
      <c r="AF18" s="49" t="s">
        <v>466</v>
      </c>
      <c r="AG18" s="49"/>
      <c r="AH18" s="49" t="s">
        <v>469</v>
      </c>
      <c r="AI18" s="49" t="s">
        <v>469</v>
      </c>
      <c r="AJ18" s="47" t="s">
        <v>551</v>
      </c>
      <c r="AK18" s="52" t="s">
        <v>471</v>
      </c>
      <c r="AL18" s="53" t="s">
        <v>560</v>
      </c>
      <c r="AM18" s="54" t="s">
        <v>761</v>
      </c>
      <c r="AN18" s="31" t="b">
        <v>1</v>
      </c>
      <c r="AO18" s="31" t="b">
        <v>1</v>
      </c>
      <c r="AP18" s="31" t="b">
        <v>1</v>
      </c>
      <c r="AQ18" s="31" t="b">
        <v>1</v>
      </c>
      <c r="AR18" s="31" t="b">
        <v>1</v>
      </c>
      <c r="AS18" s="31" t="b">
        <v>1</v>
      </c>
      <c r="AT18" s="31" t="b">
        <v>1</v>
      </c>
      <c r="AU18" s="31" t="b">
        <v>1</v>
      </c>
      <c r="AV18" s="31" t="b">
        <v>1</v>
      </c>
      <c r="AW18" s="31" t="b">
        <v>0</v>
      </c>
      <c r="AX18" s="31" t="b">
        <v>1</v>
      </c>
      <c r="AY18" s="31" t="b">
        <v>1</v>
      </c>
      <c r="AZ18" s="31" t="b">
        <v>1</v>
      </c>
      <c r="BA18" s="31" t="b">
        <v>1</v>
      </c>
      <c r="BB18" s="31" t="b">
        <v>1</v>
      </c>
      <c r="BC18" s="31" t="b">
        <v>1</v>
      </c>
      <c r="BD18" s="31" t="b">
        <v>1</v>
      </c>
      <c r="BE18" s="31" t="b">
        <v>1</v>
      </c>
      <c r="BF18" s="31" t="b">
        <v>1</v>
      </c>
      <c r="BG18" s="31" t="b">
        <v>1</v>
      </c>
      <c r="BH18" s="31" t="b">
        <v>1</v>
      </c>
      <c r="BI18" s="31" t="b">
        <v>1</v>
      </c>
      <c r="BJ18" s="31" t="b">
        <v>0</v>
      </c>
      <c r="BK18" s="31" t="b">
        <v>1</v>
      </c>
      <c r="BL18" s="31" t="b">
        <v>1</v>
      </c>
      <c r="BM18" s="31" t="b">
        <v>1</v>
      </c>
      <c r="BN18" s="31" t="b">
        <v>1</v>
      </c>
      <c r="BO18" s="31" t="b">
        <v>1</v>
      </c>
      <c r="BP18" s="31" t="b">
        <v>1</v>
      </c>
      <c r="BQ18" s="31" t="b">
        <v>1</v>
      </c>
      <c r="BR18" s="31" t="b">
        <v>1</v>
      </c>
      <c r="BS18" s="31" t="b">
        <v>1</v>
      </c>
      <c r="BT18" s="31" t="b">
        <v>1</v>
      </c>
      <c r="BU18" s="31" t="b">
        <v>1</v>
      </c>
      <c r="BV18" s="31" t="b">
        <v>1</v>
      </c>
      <c r="BW18" s="31" t="b">
        <v>1</v>
      </c>
      <c r="BX18" s="31" t="b">
        <v>1</v>
      </c>
    </row>
    <row r="19" s="31" customFormat="1" ht="132" spans="1:76">
      <c r="A19" s="40"/>
      <c r="B19" s="84"/>
      <c r="C19" s="58"/>
      <c r="D19" s="58"/>
      <c r="E19" s="85"/>
      <c r="F19" s="84"/>
      <c r="G19" s="83"/>
      <c r="H19" s="85"/>
      <c r="I19" s="46" t="s">
        <v>563</v>
      </c>
      <c r="J19" s="47" t="s">
        <v>564</v>
      </c>
      <c r="K19" s="48"/>
      <c r="L19" s="48"/>
      <c r="M19" s="49" t="s">
        <v>36</v>
      </c>
      <c r="N19" s="48"/>
      <c r="O19" s="49" t="s">
        <v>36</v>
      </c>
      <c r="P19" s="49" t="s">
        <v>36</v>
      </c>
      <c r="Q19" s="49" t="s">
        <v>36</v>
      </c>
      <c r="R19" s="48"/>
      <c r="S19" s="49" t="s">
        <v>36</v>
      </c>
      <c r="T19" s="49" t="s">
        <v>556</v>
      </c>
      <c r="U19" s="47" t="s">
        <v>536</v>
      </c>
      <c r="V19" s="46" t="s">
        <v>550</v>
      </c>
      <c r="W19" s="46" t="s">
        <v>565</v>
      </c>
      <c r="X19" s="49" t="s">
        <v>503</v>
      </c>
      <c r="Y19" s="49" t="s">
        <v>466</v>
      </c>
      <c r="Z19" s="49"/>
      <c r="AA19" s="49" t="s">
        <v>467</v>
      </c>
      <c r="AB19" s="49" t="s">
        <v>466</v>
      </c>
      <c r="AC19" s="49"/>
      <c r="AD19" s="47" t="s">
        <v>559</v>
      </c>
      <c r="AE19" s="49" t="s">
        <v>527</v>
      </c>
      <c r="AF19" s="49" t="s">
        <v>466</v>
      </c>
      <c r="AG19" s="49"/>
      <c r="AH19" s="49" t="s">
        <v>469</v>
      </c>
      <c r="AI19" s="49" t="s">
        <v>469</v>
      </c>
      <c r="AJ19" s="47" t="s">
        <v>551</v>
      </c>
      <c r="AK19" s="52" t="s">
        <v>471</v>
      </c>
      <c r="AL19" s="53" t="s">
        <v>542</v>
      </c>
      <c r="AM19" s="54"/>
      <c r="AN19" s="31" t="b">
        <v>1</v>
      </c>
      <c r="AO19" s="31" t="b">
        <v>1</v>
      </c>
      <c r="AP19" s="31" t="b">
        <v>1</v>
      </c>
      <c r="AQ19" s="31" t="b">
        <v>1</v>
      </c>
      <c r="AR19" s="31" t="b">
        <v>1</v>
      </c>
      <c r="AS19" s="31" t="b">
        <v>1</v>
      </c>
      <c r="AT19" s="31" t="b">
        <v>1</v>
      </c>
      <c r="AU19" s="31" t="b">
        <v>1</v>
      </c>
      <c r="AV19" s="31" t="b">
        <v>1</v>
      </c>
      <c r="AW19" s="31" t="b">
        <v>1</v>
      </c>
      <c r="AX19" s="31" t="b">
        <v>1</v>
      </c>
      <c r="AY19" s="31" t="b">
        <v>1</v>
      </c>
      <c r="AZ19" s="31" t="b">
        <v>1</v>
      </c>
      <c r="BA19" s="31" t="b">
        <v>1</v>
      </c>
      <c r="BB19" s="31" t="b">
        <v>1</v>
      </c>
      <c r="BC19" s="31" t="b">
        <v>1</v>
      </c>
      <c r="BD19" s="31" t="b">
        <v>1</v>
      </c>
      <c r="BE19" s="31" t="b">
        <v>1</v>
      </c>
      <c r="BF19" s="31" t="b">
        <v>1</v>
      </c>
      <c r="BG19" s="31" t="b">
        <v>1</v>
      </c>
      <c r="BH19" s="31" t="b">
        <v>1</v>
      </c>
      <c r="BI19" s="31" t="b">
        <v>1</v>
      </c>
      <c r="BJ19" s="31" t="b">
        <v>1</v>
      </c>
      <c r="BK19" s="31" t="b">
        <v>1</v>
      </c>
      <c r="BL19" s="31" t="b">
        <v>1</v>
      </c>
      <c r="BM19" s="31" t="b">
        <v>1</v>
      </c>
      <c r="BN19" s="31" t="b">
        <v>1</v>
      </c>
      <c r="BO19" s="31" t="b">
        <v>1</v>
      </c>
      <c r="BP19" s="31" t="b">
        <v>1</v>
      </c>
      <c r="BQ19" s="31" t="b">
        <v>1</v>
      </c>
      <c r="BR19" s="31" t="b">
        <v>1</v>
      </c>
      <c r="BS19" s="31" t="b">
        <v>1</v>
      </c>
      <c r="BT19" s="31" t="b">
        <v>1</v>
      </c>
      <c r="BU19" s="31" t="b">
        <v>1</v>
      </c>
      <c r="BV19" s="31" t="b">
        <v>1</v>
      </c>
      <c r="BW19" s="31" t="b">
        <v>1</v>
      </c>
      <c r="BX19" s="31" t="b">
        <v>1</v>
      </c>
    </row>
    <row r="20" s="31" customFormat="1" ht="145.2" spans="1:76">
      <c r="A20" s="40" t="s">
        <v>452</v>
      </c>
      <c r="B20" s="75" t="s">
        <v>566</v>
      </c>
      <c r="C20" s="73" t="s">
        <v>454</v>
      </c>
      <c r="D20" s="73" t="s">
        <v>567</v>
      </c>
      <c r="E20" s="74" t="s">
        <v>568</v>
      </c>
      <c r="F20" s="86" t="s">
        <v>569</v>
      </c>
      <c r="G20" s="76" t="s">
        <v>570</v>
      </c>
      <c r="H20" s="76" t="s">
        <v>571</v>
      </c>
      <c r="I20" s="46" t="s">
        <v>572</v>
      </c>
      <c r="J20" s="47" t="s">
        <v>573</v>
      </c>
      <c r="K20" s="60"/>
      <c r="L20" s="49" t="s">
        <v>36</v>
      </c>
      <c r="M20" s="49" t="s">
        <v>36</v>
      </c>
      <c r="N20" s="48"/>
      <c r="O20" s="48"/>
      <c r="P20" s="48"/>
      <c r="Q20" s="48"/>
      <c r="R20" s="49" t="s">
        <v>36</v>
      </c>
      <c r="S20" s="48"/>
      <c r="T20" s="49" t="s">
        <v>535</v>
      </c>
      <c r="U20" s="47" t="s">
        <v>574</v>
      </c>
      <c r="V20" s="46" t="s">
        <v>575</v>
      </c>
      <c r="W20" s="46" t="s">
        <v>576</v>
      </c>
      <c r="X20" s="49" t="s">
        <v>527</v>
      </c>
      <c r="Y20" s="49" t="s">
        <v>466</v>
      </c>
      <c r="Z20" s="49"/>
      <c r="AA20" s="49" t="s">
        <v>467</v>
      </c>
      <c r="AB20" s="49" t="s">
        <v>466</v>
      </c>
      <c r="AC20" s="49"/>
      <c r="AD20" s="47" t="s">
        <v>577</v>
      </c>
      <c r="AE20" s="49" t="s">
        <v>465</v>
      </c>
      <c r="AF20" s="49" t="s">
        <v>466</v>
      </c>
      <c r="AG20" s="49"/>
      <c r="AH20" s="49" t="s">
        <v>469</v>
      </c>
      <c r="AI20" s="49" t="s">
        <v>469</v>
      </c>
      <c r="AJ20" s="47" t="s">
        <v>578</v>
      </c>
      <c r="AK20" s="52" t="s">
        <v>471</v>
      </c>
      <c r="AL20" s="53" t="s">
        <v>542</v>
      </c>
      <c r="AM20" s="54"/>
      <c r="AN20" s="31" t="b">
        <v>1</v>
      </c>
      <c r="AO20" s="31" t="b">
        <v>1</v>
      </c>
      <c r="AP20" s="31" t="b">
        <v>1</v>
      </c>
      <c r="AQ20" s="31" t="b">
        <v>1</v>
      </c>
      <c r="AR20" s="31" t="b">
        <v>1</v>
      </c>
      <c r="AS20" s="31" t="b">
        <v>1</v>
      </c>
      <c r="AT20" s="31" t="b">
        <v>1</v>
      </c>
      <c r="AU20" s="31" t="b">
        <v>1</v>
      </c>
      <c r="AV20" s="31" t="b">
        <v>1</v>
      </c>
      <c r="AW20" s="31" t="b">
        <v>1</v>
      </c>
      <c r="AX20" s="31" t="b">
        <v>1</v>
      </c>
      <c r="AY20" s="31" t="b">
        <v>1</v>
      </c>
      <c r="AZ20" s="31" t="b">
        <v>1</v>
      </c>
      <c r="BA20" s="31" t="b">
        <v>1</v>
      </c>
      <c r="BB20" s="31" t="b">
        <v>1</v>
      </c>
      <c r="BC20" s="31" t="b">
        <v>1</v>
      </c>
      <c r="BD20" s="31" t="b">
        <v>1</v>
      </c>
      <c r="BE20" s="31" t="b">
        <v>1</v>
      </c>
      <c r="BF20" s="31" t="b">
        <v>1</v>
      </c>
      <c r="BG20" s="31" t="b">
        <v>1</v>
      </c>
      <c r="BH20" s="31" t="b">
        <v>1</v>
      </c>
      <c r="BI20" s="31" t="b">
        <v>1</v>
      </c>
      <c r="BJ20" s="31" t="b">
        <v>1</v>
      </c>
      <c r="BK20" s="31" t="b">
        <v>1</v>
      </c>
      <c r="BL20" s="31" t="b">
        <v>1</v>
      </c>
      <c r="BM20" s="31" t="b">
        <v>1</v>
      </c>
      <c r="BN20" s="31" t="b">
        <v>1</v>
      </c>
      <c r="BO20" s="31" t="b">
        <v>1</v>
      </c>
      <c r="BP20" s="31" t="b">
        <v>1</v>
      </c>
      <c r="BQ20" s="31" t="b">
        <v>1</v>
      </c>
      <c r="BR20" s="31" t="b">
        <v>1</v>
      </c>
      <c r="BS20" s="31" t="b">
        <v>1</v>
      </c>
      <c r="BT20" s="31" t="b">
        <v>1</v>
      </c>
      <c r="BU20" s="31" t="b">
        <v>1</v>
      </c>
      <c r="BV20" s="31" t="b">
        <v>1</v>
      </c>
      <c r="BW20" s="31" t="b">
        <v>1</v>
      </c>
      <c r="BX20" s="31" t="b">
        <v>1</v>
      </c>
    </row>
    <row r="21" s="31" customFormat="1" ht="90" customHeight="1" spans="1:76">
      <c r="A21" s="40"/>
      <c r="B21" s="80"/>
      <c r="C21" s="78"/>
      <c r="D21" s="78"/>
      <c r="E21" s="79"/>
      <c r="F21" s="87"/>
      <c r="G21" s="81"/>
      <c r="H21" s="81"/>
      <c r="I21" s="46" t="s">
        <v>579</v>
      </c>
      <c r="J21" s="50" t="s">
        <v>580</v>
      </c>
      <c r="K21" s="77"/>
      <c r="L21" s="48"/>
      <c r="M21" s="49" t="s">
        <v>36</v>
      </c>
      <c r="N21" s="48"/>
      <c r="O21" s="48"/>
      <c r="P21" s="48"/>
      <c r="Q21" s="48"/>
      <c r="R21" s="49" t="s">
        <v>36</v>
      </c>
      <c r="S21" s="48"/>
      <c r="T21" s="49" t="s">
        <v>475</v>
      </c>
      <c r="U21" s="47"/>
      <c r="V21" s="46" t="s">
        <v>581</v>
      </c>
      <c r="W21" s="46" t="s">
        <v>762</v>
      </c>
      <c r="X21" s="49" t="s">
        <v>527</v>
      </c>
      <c r="Y21" s="49" t="s">
        <v>466</v>
      </c>
      <c r="Z21" s="49"/>
      <c r="AA21" s="49" t="s">
        <v>467</v>
      </c>
      <c r="AB21" s="49" t="s">
        <v>466</v>
      </c>
      <c r="AC21" s="49"/>
      <c r="AD21" s="47"/>
      <c r="AE21" s="49"/>
      <c r="AF21" s="49"/>
      <c r="AG21" s="49"/>
      <c r="AH21" s="49" t="s">
        <v>469</v>
      </c>
      <c r="AI21" s="49" t="s">
        <v>469</v>
      </c>
      <c r="AJ21" s="47" t="s">
        <v>578</v>
      </c>
      <c r="AK21" s="52" t="s">
        <v>471</v>
      </c>
      <c r="AL21" s="53" t="s">
        <v>542</v>
      </c>
      <c r="AM21" s="54" t="s">
        <v>761</v>
      </c>
      <c r="AN21" s="31" t="b">
        <v>1</v>
      </c>
      <c r="AO21" s="31" t="b">
        <v>1</v>
      </c>
      <c r="AP21" s="31" t="b">
        <v>1</v>
      </c>
      <c r="AQ21" s="31" t="b">
        <v>1</v>
      </c>
      <c r="AR21" s="31" t="b">
        <v>1</v>
      </c>
      <c r="AS21" s="31" t="b">
        <v>1</v>
      </c>
      <c r="AT21" s="31" t="b">
        <v>1</v>
      </c>
      <c r="AU21" s="31" t="b">
        <v>1</v>
      </c>
      <c r="AV21" s="31" t="b">
        <v>1</v>
      </c>
      <c r="AW21" s="31" t="b">
        <v>0</v>
      </c>
      <c r="AX21" s="31" t="b">
        <v>1</v>
      </c>
      <c r="AY21" s="31" t="b">
        <v>1</v>
      </c>
      <c r="AZ21" s="31" t="b">
        <v>1</v>
      </c>
      <c r="BA21" s="31" t="b">
        <v>1</v>
      </c>
      <c r="BB21" s="31" t="b">
        <v>1</v>
      </c>
      <c r="BC21" s="31" t="b">
        <v>1</v>
      </c>
      <c r="BD21" s="31" t="b">
        <v>1</v>
      </c>
      <c r="BE21" s="31" t="b">
        <v>1</v>
      </c>
      <c r="BF21" s="31" t="b">
        <v>1</v>
      </c>
      <c r="BG21" s="31" t="b">
        <v>1</v>
      </c>
      <c r="BH21" s="31" t="b">
        <v>1</v>
      </c>
      <c r="BI21" s="31" t="b">
        <v>1</v>
      </c>
      <c r="BJ21" s="31" t="b">
        <v>0</v>
      </c>
      <c r="BK21" s="31" t="b">
        <v>1</v>
      </c>
      <c r="BL21" s="31" t="b">
        <v>1</v>
      </c>
      <c r="BM21" s="31" t="b">
        <v>1</v>
      </c>
      <c r="BN21" s="31" t="b">
        <v>1</v>
      </c>
      <c r="BO21" s="31" t="b">
        <v>1</v>
      </c>
      <c r="BP21" s="31" t="b">
        <v>1</v>
      </c>
      <c r="BQ21" s="31" t="b">
        <v>1</v>
      </c>
      <c r="BR21" s="31" t="b">
        <v>1</v>
      </c>
      <c r="BS21" s="31" t="b">
        <v>1</v>
      </c>
      <c r="BT21" s="31" t="b">
        <v>1</v>
      </c>
      <c r="BU21" s="31" t="b">
        <v>1</v>
      </c>
      <c r="BV21" s="31" t="b">
        <v>1</v>
      </c>
      <c r="BW21" s="31" t="b">
        <v>1</v>
      </c>
      <c r="BX21" s="31" t="b">
        <v>1</v>
      </c>
    </row>
    <row r="22" s="31" customFormat="1" ht="145.2" spans="1:76">
      <c r="A22" s="40"/>
      <c r="B22" s="80"/>
      <c r="C22" s="82"/>
      <c r="D22" s="82"/>
      <c r="E22" s="83"/>
      <c r="F22" s="88"/>
      <c r="G22" s="85"/>
      <c r="H22" s="85"/>
      <c r="I22" s="46" t="s">
        <v>584</v>
      </c>
      <c r="J22" s="47" t="s">
        <v>585</v>
      </c>
      <c r="K22" s="48"/>
      <c r="L22" s="48"/>
      <c r="M22" s="49"/>
      <c r="N22" s="48"/>
      <c r="O22" s="49" t="s">
        <v>36</v>
      </c>
      <c r="P22" s="48"/>
      <c r="Q22" s="49" t="s">
        <v>36</v>
      </c>
      <c r="R22" s="48"/>
      <c r="S22" s="48"/>
      <c r="T22" s="49" t="s">
        <v>556</v>
      </c>
      <c r="U22" s="47" t="s">
        <v>536</v>
      </c>
      <c r="V22" s="46" t="s">
        <v>586</v>
      </c>
      <c r="W22" s="46" t="s">
        <v>587</v>
      </c>
      <c r="X22" s="49" t="s">
        <v>527</v>
      </c>
      <c r="Y22" s="49" t="s">
        <v>466</v>
      </c>
      <c r="Z22" s="49"/>
      <c r="AA22" s="49" t="s">
        <v>467</v>
      </c>
      <c r="AB22" s="49" t="s">
        <v>466</v>
      </c>
      <c r="AC22" s="49"/>
      <c r="AD22" s="47" t="s">
        <v>577</v>
      </c>
      <c r="AE22" s="49" t="s">
        <v>465</v>
      </c>
      <c r="AF22" s="49" t="s">
        <v>466</v>
      </c>
      <c r="AG22" s="49"/>
      <c r="AH22" s="49" t="s">
        <v>469</v>
      </c>
      <c r="AI22" s="49" t="s">
        <v>469</v>
      </c>
      <c r="AJ22" s="47" t="s">
        <v>578</v>
      </c>
      <c r="AK22" s="52" t="s">
        <v>471</v>
      </c>
      <c r="AL22" s="53" t="s">
        <v>542</v>
      </c>
      <c r="AM22" s="54"/>
      <c r="AN22" s="31" t="b">
        <v>1</v>
      </c>
      <c r="AO22" s="31" t="b">
        <v>1</v>
      </c>
      <c r="AP22" s="31" t="b">
        <v>1</v>
      </c>
      <c r="AQ22" s="31" t="b">
        <v>1</v>
      </c>
      <c r="AR22" s="31" t="b">
        <v>1</v>
      </c>
      <c r="AS22" s="31" t="b">
        <v>1</v>
      </c>
      <c r="AT22" s="31" t="b">
        <v>1</v>
      </c>
      <c r="AU22" s="31" t="b">
        <v>1</v>
      </c>
      <c r="AV22" s="31" t="b">
        <v>1</v>
      </c>
      <c r="AW22" s="31" t="b">
        <v>1</v>
      </c>
      <c r="AX22" s="31" t="b">
        <v>1</v>
      </c>
      <c r="AY22" s="31" t="b">
        <v>1</v>
      </c>
      <c r="AZ22" s="31" t="b">
        <v>1</v>
      </c>
      <c r="BA22" s="31" t="b">
        <v>1</v>
      </c>
      <c r="BB22" s="31" t="b">
        <v>1</v>
      </c>
      <c r="BC22" s="31" t="b">
        <v>1</v>
      </c>
      <c r="BD22" s="31" t="b">
        <v>1</v>
      </c>
      <c r="BE22" s="31" t="b">
        <v>1</v>
      </c>
      <c r="BF22" s="31" t="b">
        <v>1</v>
      </c>
      <c r="BG22" s="31" t="b">
        <v>1</v>
      </c>
      <c r="BH22" s="31" t="b">
        <v>1</v>
      </c>
      <c r="BI22" s="31" t="b">
        <v>1</v>
      </c>
      <c r="BJ22" s="31" t="b">
        <v>1</v>
      </c>
      <c r="BK22" s="31" t="b">
        <v>1</v>
      </c>
      <c r="BL22" s="31" t="b">
        <v>1</v>
      </c>
      <c r="BM22" s="31" t="b">
        <v>1</v>
      </c>
      <c r="BN22" s="31" t="b">
        <v>1</v>
      </c>
      <c r="BO22" s="31" t="b">
        <v>1</v>
      </c>
      <c r="BP22" s="31" t="b">
        <v>1</v>
      </c>
      <c r="BQ22" s="31" t="b">
        <v>1</v>
      </c>
      <c r="BR22" s="31" t="b">
        <v>1</v>
      </c>
      <c r="BS22" s="31" t="b">
        <v>1</v>
      </c>
      <c r="BT22" s="31" t="b">
        <v>1</v>
      </c>
      <c r="BU22" s="31" t="b">
        <v>1</v>
      </c>
      <c r="BV22" s="31" t="b">
        <v>1</v>
      </c>
      <c r="BW22" s="31" t="b">
        <v>1</v>
      </c>
      <c r="BX22" s="31" t="b">
        <v>1</v>
      </c>
    </row>
    <row r="23" s="31" customFormat="1" ht="118.8" spans="1:76">
      <c r="A23" s="40"/>
      <c r="B23" s="80"/>
      <c r="C23" s="73" t="s">
        <v>454</v>
      </c>
      <c r="D23" s="73" t="s">
        <v>588</v>
      </c>
      <c r="E23" s="73" t="s">
        <v>589</v>
      </c>
      <c r="F23" s="91" t="s">
        <v>569</v>
      </c>
      <c r="G23" s="42" t="s">
        <v>590</v>
      </c>
      <c r="H23" s="42" t="s">
        <v>591</v>
      </c>
      <c r="I23" s="46" t="s">
        <v>592</v>
      </c>
      <c r="J23" s="47" t="s">
        <v>593</v>
      </c>
      <c r="K23" s="77"/>
      <c r="L23" s="49" t="s">
        <v>36</v>
      </c>
      <c r="M23" s="49" t="s">
        <v>36</v>
      </c>
      <c r="N23" s="48"/>
      <c r="O23" s="48"/>
      <c r="P23" s="48"/>
      <c r="Q23" s="48"/>
      <c r="R23" s="48"/>
      <c r="S23" s="48"/>
      <c r="T23" s="49" t="s">
        <v>475</v>
      </c>
      <c r="U23" s="47"/>
      <c r="V23" s="46" t="s">
        <v>594</v>
      </c>
      <c r="W23" s="46" t="s">
        <v>763</v>
      </c>
      <c r="X23" s="49" t="s">
        <v>503</v>
      </c>
      <c r="Y23" s="49" t="s">
        <v>466</v>
      </c>
      <c r="Z23" s="49"/>
      <c r="AA23" s="49" t="s">
        <v>467</v>
      </c>
      <c r="AB23" s="49" t="s">
        <v>466</v>
      </c>
      <c r="AC23" s="49"/>
      <c r="AD23" s="47"/>
      <c r="AE23" s="49"/>
      <c r="AF23" s="49"/>
      <c r="AG23" s="49"/>
      <c r="AH23" s="49" t="s">
        <v>469</v>
      </c>
      <c r="AI23" s="49" t="s">
        <v>469</v>
      </c>
      <c r="AJ23" s="47" t="s">
        <v>596</v>
      </c>
      <c r="AK23" s="52" t="s">
        <v>471</v>
      </c>
      <c r="AL23" s="53" t="s">
        <v>597</v>
      </c>
      <c r="AM23" s="54" t="s">
        <v>751</v>
      </c>
      <c r="AN23" s="31" t="b">
        <v>1</v>
      </c>
      <c r="AO23" s="31" t="b">
        <v>1</v>
      </c>
      <c r="AP23" s="31" t="b">
        <v>1</v>
      </c>
      <c r="AQ23" s="31" t="b">
        <v>1</v>
      </c>
      <c r="AR23" s="31" t="b">
        <v>1</v>
      </c>
      <c r="AS23" s="31" t="b">
        <v>1</v>
      </c>
      <c r="AT23" s="31" t="b">
        <v>1</v>
      </c>
      <c r="AU23" s="31" t="b">
        <v>1</v>
      </c>
      <c r="AV23" s="31" t="b">
        <v>1</v>
      </c>
      <c r="AW23" s="31" t="b">
        <v>1</v>
      </c>
      <c r="AX23" s="31" t="b">
        <v>1</v>
      </c>
      <c r="AY23" s="31" t="b">
        <v>1</v>
      </c>
      <c r="AZ23" s="31" t="b">
        <v>1</v>
      </c>
      <c r="BA23" s="31" t="b">
        <v>1</v>
      </c>
      <c r="BB23" s="31" t="b">
        <v>1</v>
      </c>
      <c r="BC23" s="31" t="b">
        <v>1</v>
      </c>
      <c r="BD23" s="31" t="b">
        <v>1</v>
      </c>
      <c r="BE23" s="31" t="b">
        <v>1</v>
      </c>
      <c r="BF23" s="31" t="b">
        <v>1</v>
      </c>
      <c r="BG23" s="31" t="b">
        <v>1</v>
      </c>
      <c r="BH23" s="31" t="b">
        <v>1</v>
      </c>
      <c r="BI23" s="31" t="b">
        <v>1</v>
      </c>
      <c r="BJ23" s="31" t="b">
        <v>0</v>
      </c>
      <c r="BK23" s="31" t="b">
        <v>1</v>
      </c>
      <c r="BL23" s="31" t="b">
        <v>1</v>
      </c>
      <c r="BM23" s="31" t="b">
        <v>1</v>
      </c>
      <c r="BN23" s="31" t="b">
        <v>1</v>
      </c>
      <c r="BO23" s="31" t="b">
        <v>1</v>
      </c>
      <c r="BP23" s="31" t="b">
        <v>1</v>
      </c>
      <c r="BQ23" s="31" t="b">
        <v>1</v>
      </c>
      <c r="BR23" s="31" t="b">
        <v>1</v>
      </c>
      <c r="BS23" s="31" t="b">
        <v>1</v>
      </c>
      <c r="BT23" s="31" t="b">
        <v>1</v>
      </c>
      <c r="BU23" s="31" t="b">
        <v>1</v>
      </c>
      <c r="BV23" s="31" t="b">
        <v>1</v>
      </c>
      <c r="BW23" s="31" t="b">
        <v>0</v>
      </c>
      <c r="BX23" s="31" t="b">
        <v>1</v>
      </c>
    </row>
    <row r="24" s="31" customFormat="1" ht="145.2" spans="1:76">
      <c r="A24" s="40"/>
      <c r="B24" s="80"/>
      <c r="C24" s="78"/>
      <c r="D24" s="78"/>
      <c r="E24" s="78"/>
      <c r="F24" s="87"/>
      <c r="G24" s="55"/>
      <c r="H24" s="55"/>
      <c r="I24" s="46" t="s">
        <v>598</v>
      </c>
      <c r="J24" s="47" t="s">
        <v>599</v>
      </c>
      <c r="K24" s="48"/>
      <c r="L24" s="48"/>
      <c r="M24" s="48"/>
      <c r="N24" s="48"/>
      <c r="O24" s="49" t="s">
        <v>36</v>
      </c>
      <c r="P24" s="48"/>
      <c r="Q24" s="48"/>
      <c r="R24" s="49" t="s">
        <v>36</v>
      </c>
      <c r="S24" s="48"/>
      <c r="T24" s="49" t="s">
        <v>475</v>
      </c>
      <c r="U24" s="47"/>
      <c r="V24" s="46" t="s">
        <v>600</v>
      </c>
      <c r="W24" s="46" t="s">
        <v>789</v>
      </c>
      <c r="X24" s="49" t="s">
        <v>503</v>
      </c>
      <c r="Y24" s="49" t="s">
        <v>466</v>
      </c>
      <c r="Z24" s="49"/>
      <c r="AA24" s="49" t="s">
        <v>467</v>
      </c>
      <c r="AB24" s="49" t="s">
        <v>466</v>
      </c>
      <c r="AC24" s="49"/>
      <c r="AD24" s="47"/>
      <c r="AE24" s="49"/>
      <c r="AF24" s="49"/>
      <c r="AG24" s="49"/>
      <c r="AH24" s="49" t="s">
        <v>469</v>
      </c>
      <c r="AI24" s="49" t="s">
        <v>469</v>
      </c>
      <c r="AJ24" s="47" t="s">
        <v>602</v>
      </c>
      <c r="AK24" s="52" t="s">
        <v>471</v>
      </c>
      <c r="AL24" s="53" t="s">
        <v>597</v>
      </c>
      <c r="AM24" s="54" t="s">
        <v>751</v>
      </c>
      <c r="AN24" s="31" t="b">
        <v>1</v>
      </c>
      <c r="AO24" s="31" t="b">
        <v>1</v>
      </c>
      <c r="AP24" s="31" t="b">
        <v>1</v>
      </c>
      <c r="AQ24" s="31" t="b">
        <v>1</v>
      </c>
      <c r="AR24" s="31" t="b">
        <v>1</v>
      </c>
      <c r="AS24" s="31" t="b">
        <v>1</v>
      </c>
      <c r="AT24" s="31" t="b">
        <v>1</v>
      </c>
      <c r="AU24" s="31" t="b">
        <v>1</v>
      </c>
      <c r="AV24" s="31" t="b">
        <v>1</v>
      </c>
      <c r="AW24" s="31" t="b">
        <v>1</v>
      </c>
      <c r="AX24" s="31" t="b">
        <v>1</v>
      </c>
      <c r="AY24" s="31" t="b">
        <v>1</v>
      </c>
      <c r="AZ24" s="31" t="b">
        <v>1</v>
      </c>
      <c r="BA24" s="31" t="b">
        <v>1</v>
      </c>
      <c r="BB24" s="31" t="b">
        <v>1</v>
      </c>
      <c r="BC24" s="31" t="b">
        <v>1</v>
      </c>
      <c r="BD24" s="31" t="b">
        <v>1</v>
      </c>
      <c r="BE24" s="31" t="b">
        <v>1</v>
      </c>
      <c r="BF24" s="31" t="b">
        <v>1</v>
      </c>
      <c r="BG24" s="31" t="b">
        <v>1</v>
      </c>
      <c r="BH24" s="31" t="b">
        <v>1</v>
      </c>
      <c r="BI24" s="31" t="b">
        <v>1</v>
      </c>
      <c r="BJ24" s="31" t="b">
        <v>0</v>
      </c>
      <c r="BK24" s="31" t="b">
        <v>1</v>
      </c>
      <c r="BL24" s="31" t="b">
        <v>1</v>
      </c>
      <c r="BM24" s="31" t="b">
        <v>1</v>
      </c>
      <c r="BN24" s="31" t="b">
        <v>1</v>
      </c>
      <c r="BO24" s="31" t="b">
        <v>1</v>
      </c>
      <c r="BP24" s="31" t="b">
        <v>1</v>
      </c>
      <c r="BQ24" s="31" t="b">
        <v>1</v>
      </c>
      <c r="BR24" s="31" t="b">
        <v>1</v>
      </c>
      <c r="BS24" s="31" t="b">
        <v>1</v>
      </c>
      <c r="BT24" s="31" t="b">
        <v>1</v>
      </c>
      <c r="BU24" s="31" t="b">
        <v>1</v>
      </c>
      <c r="BV24" s="31" t="b">
        <v>1</v>
      </c>
      <c r="BW24" s="31" t="b">
        <v>0</v>
      </c>
      <c r="BX24" s="31" t="b">
        <v>1</v>
      </c>
    </row>
    <row r="25" s="31" customFormat="1" ht="118.8" spans="1:76">
      <c r="A25" s="40"/>
      <c r="B25" s="80"/>
      <c r="C25" s="78"/>
      <c r="D25" s="78"/>
      <c r="E25" s="78"/>
      <c r="F25" s="87"/>
      <c r="G25" s="55"/>
      <c r="H25" s="55"/>
      <c r="I25" s="46" t="s">
        <v>604</v>
      </c>
      <c r="J25" s="47" t="s">
        <v>605</v>
      </c>
      <c r="K25" s="77"/>
      <c r="L25" s="48"/>
      <c r="M25" s="48"/>
      <c r="N25" s="48"/>
      <c r="O25" s="48"/>
      <c r="P25" s="48"/>
      <c r="Q25" s="48"/>
      <c r="R25" s="48"/>
      <c r="S25" s="49" t="s">
        <v>36</v>
      </c>
      <c r="T25" s="49" t="s">
        <v>475</v>
      </c>
      <c r="U25" s="47"/>
      <c r="V25" s="46" t="s">
        <v>606</v>
      </c>
      <c r="W25" s="108" t="s">
        <v>790</v>
      </c>
      <c r="X25" s="49" t="s">
        <v>503</v>
      </c>
      <c r="Y25" s="49" t="s">
        <v>466</v>
      </c>
      <c r="Z25" s="49"/>
      <c r="AA25" s="49" t="s">
        <v>467</v>
      </c>
      <c r="AB25" s="49" t="s">
        <v>466</v>
      </c>
      <c r="AC25" s="49"/>
      <c r="AD25" s="47"/>
      <c r="AE25" s="49"/>
      <c r="AF25" s="49"/>
      <c r="AG25" s="49"/>
      <c r="AH25" s="49" t="s">
        <v>469</v>
      </c>
      <c r="AI25" s="49" t="s">
        <v>469</v>
      </c>
      <c r="AJ25" s="47" t="s">
        <v>608</v>
      </c>
      <c r="AK25" s="52" t="s">
        <v>471</v>
      </c>
      <c r="AL25" s="53" t="s">
        <v>597</v>
      </c>
      <c r="AM25" s="54" t="s">
        <v>751</v>
      </c>
      <c r="AN25" s="31" t="b">
        <v>1</v>
      </c>
      <c r="AO25" s="31" t="b">
        <v>1</v>
      </c>
      <c r="AP25" s="31" t="b">
        <v>1</v>
      </c>
      <c r="AQ25" s="31" t="b">
        <v>1</v>
      </c>
      <c r="AR25" s="31" t="b">
        <v>1</v>
      </c>
      <c r="AS25" s="31" t="b">
        <v>1</v>
      </c>
      <c r="AT25" s="31" t="b">
        <v>1</v>
      </c>
      <c r="AU25" s="31" t="b">
        <v>1</v>
      </c>
      <c r="AV25" s="31" t="b">
        <v>1</v>
      </c>
      <c r="AW25" s="31" t="b">
        <v>1</v>
      </c>
      <c r="AX25" s="31" t="b">
        <v>1</v>
      </c>
      <c r="AY25" s="31" t="b">
        <v>1</v>
      </c>
      <c r="AZ25" s="31" t="b">
        <v>1</v>
      </c>
      <c r="BA25" s="31" t="b">
        <v>1</v>
      </c>
      <c r="BB25" s="31" t="b">
        <v>1</v>
      </c>
      <c r="BC25" s="31" t="b">
        <v>1</v>
      </c>
      <c r="BD25" s="31" t="b">
        <v>1</v>
      </c>
      <c r="BE25" s="31" t="b">
        <v>1</v>
      </c>
      <c r="BF25" s="31" t="b">
        <v>1</v>
      </c>
      <c r="BG25" s="31" t="b">
        <v>1</v>
      </c>
      <c r="BH25" s="31" t="b">
        <v>1</v>
      </c>
      <c r="BI25" s="31" t="b">
        <v>1</v>
      </c>
      <c r="BJ25" s="31" t="b">
        <v>0</v>
      </c>
      <c r="BK25" s="31" t="b">
        <v>1</v>
      </c>
      <c r="BL25" s="31" t="b">
        <v>1</v>
      </c>
      <c r="BM25" s="31" t="b">
        <v>1</v>
      </c>
      <c r="BN25" s="31" t="b">
        <v>1</v>
      </c>
      <c r="BO25" s="31" t="b">
        <v>1</v>
      </c>
      <c r="BP25" s="31" t="b">
        <v>1</v>
      </c>
      <c r="BQ25" s="31" t="b">
        <v>1</v>
      </c>
      <c r="BR25" s="31" t="b">
        <v>1</v>
      </c>
      <c r="BS25" s="31" t="b">
        <v>1</v>
      </c>
      <c r="BT25" s="31" t="b">
        <v>1</v>
      </c>
      <c r="BU25" s="31" t="b">
        <v>1</v>
      </c>
      <c r="BV25" s="31" t="b">
        <v>1</v>
      </c>
      <c r="BW25" s="31" t="b">
        <v>0</v>
      </c>
      <c r="BX25" s="31" t="b">
        <v>1</v>
      </c>
    </row>
    <row r="26" s="31" customFormat="1" ht="79.2" spans="1:76">
      <c r="A26" s="40"/>
      <c r="B26" s="80"/>
      <c r="C26" s="73" t="s">
        <v>610</v>
      </c>
      <c r="D26" s="73" t="s">
        <v>611</v>
      </c>
      <c r="E26" s="74" t="s">
        <v>612</v>
      </c>
      <c r="F26" s="75"/>
      <c r="G26" s="76" t="s">
        <v>613</v>
      </c>
      <c r="H26" s="76" t="s">
        <v>614</v>
      </c>
      <c r="I26" s="46" t="s">
        <v>615</v>
      </c>
      <c r="J26" s="47" t="s">
        <v>616</v>
      </c>
      <c r="K26" s="77"/>
      <c r="L26" s="48"/>
      <c r="M26" s="49" t="s">
        <v>36</v>
      </c>
      <c r="N26" s="48"/>
      <c r="O26" s="49" t="s">
        <v>36</v>
      </c>
      <c r="P26" s="48"/>
      <c r="Q26" s="48"/>
      <c r="R26" s="49" t="s">
        <v>36</v>
      </c>
      <c r="S26" s="48"/>
      <c r="T26" s="49" t="s">
        <v>475</v>
      </c>
      <c r="U26" s="47"/>
      <c r="V26" s="46" t="s">
        <v>617</v>
      </c>
      <c r="W26" s="46" t="s">
        <v>618</v>
      </c>
      <c r="X26" s="49" t="s">
        <v>465</v>
      </c>
      <c r="Y26" s="49" t="s">
        <v>540</v>
      </c>
      <c r="Z26" s="49"/>
      <c r="AA26" s="49" t="s">
        <v>467</v>
      </c>
      <c r="AB26" s="49" t="s">
        <v>466</v>
      </c>
      <c r="AC26" s="49"/>
      <c r="AD26" s="47"/>
      <c r="AE26" s="49"/>
      <c r="AF26" s="49"/>
      <c r="AG26" s="49"/>
      <c r="AH26" s="49" t="s">
        <v>469</v>
      </c>
      <c r="AI26" s="49" t="s">
        <v>469</v>
      </c>
      <c r="AJ26" s="47" t="s">
        <v>619</v>
      </c>
      <c r="AK26" s="52" t="s">
        <v>471</v>
      </c>
      <c r="AL26" s="53" t="s">
        <v>542</v>
      </c>
      <c r="AM26" s="54"/>
      <c r="AN26" s="31" t="b">
        <v>1</v>
      </c>
      <c r="AO26" s="31" t="b">
        <v>1</v>
      </c>
      <c r="AP26" s="31" t="b">
        <v>1</v>
      </c>
      <c r="AQ26" s="31" t="b">
        <v>1</v>
      </c>
      <c r="AR26" s="31" t="b">
        <v>1</v>
      </c>
      <c r="AS26" s="31" t="b">
        <v>1</v>
      </c>
      <c r="AT26" s="31" t="b">
        <v>1</v>
      </c>
      <c r="AU26" s="31" t="b">
        <v>1</v>
      </c>
      <c r="AV26" s="31" t="b">
        <v>1</v>
      </c>
      <c r="AW26" s="31" t="b">
        <v>1</v>
      </c>
      <c r="AX26" s="31" t="b">
        <v>1</v>
      </c>
      <c r="AY26" s="31" t="b">
        <v>1</v>
      </c>
      <c r="AZ26" s="31" t="b">
        <v>1</v>
      </c>
      <c r="BA26" s="31" t="b">
        <v>1</v>
      </c>
      <c r="BB26" s="31" t="b">
        <v>1</v>
      </c>
      <c r="BC26" s="31" t="b">
        <v>1</v>
      </c>
      <c r="BD26" s="31" t="b">
        <v>1</v>
      </c>
      <c r="BE26" s="31" t="b">
        <v>1</v>
      </c>
      <c r="BF26" s="31" t="b">
        <v>1</v>
      </c>
      <c r="BG26" s="31" t="b">
        <v>1</v>
      </c>
      <c r="BH26" s="31" t="b">
        <v>1</v>
      </c>
      <c r="BI26" s="31" t="b">
        <v>1</v>
      </c>
      <c r="BJ26" s="31" t="b">
        <v>1</v>
      </c>
      <c r="BK26" s="31" t="b">
        <v>1</v>
      </c>
      <c r="BL26" s="31" t="b">
        <v>1</v>
      </c>
      <c r="BM26" s="31" t="b">
        <v>1</v>
      </c>
      <c r="BN26" s="31" t="b">
        <v>1</v>
      </c>
      <c r="BO26" s="31" t="b">
        <v>1</v>
      </c>
      <c r="BP26" s="31" t="b">
        <v>1</v>
      </c>
      <c r="BQ26" s="31" t="b">
        <v>1</v>
      </c>
      <c r="BR26" s="31" t="b">
        <v>1</v>
      </c>
      <c r="BS26" s="31" t="b">
        <v>1</v>
      </c>
      <c r="BT26" s="31" t="b">
        <v>1</v>
      </c>
      <c r="BU26" s="31" t="b">
        <v>1</v>
      </c>
      <c r="BV26" s="31" t="b">
        <v>1</v>
      </c>
      <c r="BW26" s="31" t="b">
        <v>1</v>
      </c>
      <c r="BX26" s="31" t="b">
        <v>1</v>
      </c>
    </row>
    <row r="27" s="31" customFormat="1" ht="79.2" spans="1:76">
      <c r="A27" s="40"/>
      <c r="B27" s="84"/>
      <c r="C27" s="82"/>
      <c r="D27" s="82"/>
      <c r="E27" s="83"/>
      <c r="F27" s="84"/>
      <c r="G27" s="85"/>
      <c r="H27" s="85"/>
      <c r="I27" s="46" t="s">
        <v>620</v>
      </c>
      <c r="J27" s="47" t="s">
        <v>621</v>
      </c>
      <c r="K27" s="48"/>
      <c r="L27" s="48"/>
      <c r="M27" s="48"/>
      <c r="N27" s="48"/>
      <c r="O27" s="48"/>
      <c r="P27" s="48"/>
      <c r="Q27" s="49" t="s">
        <v>36</v>
      </c>
      <c r="R27" s="48"/>
      <c r="S27" s="48"/>
      <c r="T27" s="49" t="s">
        <v>535</v>
      </c>
      <c r="U27" s="47" t="s">
        <v>536</v>
      </c>
      <c r="V27" s="46" t="s">
        <v>622</v>
      </c>
      <c r="W27" s="46" t="s">
        <v>623</v>
      </c>
      <c r="X27" s="49" t="s">
        <v>465</v>
      </c>
      <c r="Y27" s="49" t="s">
        <v>540</v>
      </c>
      <c r="Z27" s="49"/>
      <c r="AA27" s="49" t="s">
        <v>467</v>
      </c>
      <c r="AB27" s="49" t="s">
        <v>466</v>
      </c>
      <c r="AC27" s="49"/>
      <c r="AD27" s="47"/>
      <c r="AE27" s="49"/>
      <c r="AF27" s="49"/>
      <c r="AG27" s="49"/>
      <c r="AH27" s="49" t="s">
        <v>469</v>
      </c>
      <c r="AI27" s="49" t="s">
        <v>469</v>
      </c>
      <c r="AJ27" s="47" t="s">
        <v>619</v>
      </c>
      <c r="AK27" s="52" t="s">
        <v>471</v>
      </c>
      <c r="AL27" s="53" t="s">
        <v>542</v>
      </c>
      <c r="AM27" s="54"/>
      <c r="AN27" s="31" t="b">
        <v>1</v>
      </c>
      <c r="AO27" s="31" t="b">
        <v>1</v>
      </c>
      <c r="AP27" s="31" t="b">
        <v>1</v>
      </c>
      <c r="AQ27" s="31" t="b">
        <v>1</v>
      </c>
      <c r="AR27" s="31" t="b">
        <v>1</v>
      </c>
      <c r="AS27" s="31" t="b">
        <v>1</v>
      </c>
      <c r="AT27" s="31" t="b">
        <v>1</v>
      </c>
      <c r="AU27" s="31" t="b">
        <v>1</v>
      </c>
      <c r="AV27" s="31" t="b">
        <v>1</v>
      </c>
      <c r="AW27" s="31" t="b">
        <v>1</v>
      </c>
      <c r="AX27" s="31" t="b">
        <v>1</v>
      </c>
      <c r="AY27" s="31" t="b">
        <v>1</v>
      </c>
      <c r="AZ27" s="31" t="b">
        <v>1</v>
      </c>
      <c r="BA27" s="31" t="b">
        <v>1</v>
      </c>
      <c r="BB27" s="31" t="b">
        <v>1</v>
      </c>
      <c r="BC27" s="31" t="b">
        <v>1</v>
      </c>
      <c r="BD27" s="31" t="b">
        <v>1</v>
      </c>
      <c r="BE27" s="31" t="b">
        <v>1</v>
      </c>
      <c r="BF27" s="31" t="b">
        <v>1</v>
      </c>
      <c r="BG27" s="31" t="b">
        <v>1</v>
      </c>
      <c r="BH27" s="31" t="b">
        <v>1</v>
      </c>
      <c r="BI27" s="31" t="b">
        <v>1</v>
      </c>
      <c r="BJ27" s="31" t="b">
        <v>1</v>
      </c>
      <c r="BK27" s="31" t="b">
        <v>1</v>
      </c>
      <c r="BL27" s="31" t="b">
        <v>1</v>
      </c>
      <c r="BM27" s="31" t="b">
        <v>1</v>
      </c>
      <c r="BN27" s="31" t="b">
        <v>1</v>
      </c>
      <c r="BO27" s="31" t="b">
        <v>1</v>
      </c>
      <c r="BP27" s="31" t="b">
        <v>1</v>
      </c>
      <c r="BQ27" s="31" t="b">
        <v>1</v>
      </c>
      <c r="BR27" s="31" t="b">
        <v>1</v>
      </c>
      <c r="BS27" s="31" t="b">
        <v>1</v>
      </c>
      <c r="BT27" s="31" t="b">
        <v>1</v>
      </c>
      <c r="BU27" s="31" t="b">
        <v>1</v>
      </c>
      <c r="BV27" s="31" t="b">
        <v>1</v>
      </c>
      <c r="BW27" s="31" t="b">
        <v>1</v>
      </c>
      <c r="BX27" s="31" t="b">
        <v>1</v>
      </c>
    </row>
    <row r="28" s="33" customFormat="1" ht="83" customHeight="1" spans="1:76">
      <c r="A28" s="92" t="s">
        <v>624</v>
      </c>
      <c r="B28" s="93" t="s">
        <v>453</v>
      </c>
      <c r="C28" s="94" t="s">
        <v>454</v>
      </c>
      <c r="D28" s="94" t="s">
        <v>625</v>
      </c>
      <c r="E28" s="95" t="s">
        <v>626</v>
      </c>
      <c r="F28" s="93" t="s">
        <v>627</v>
      </c>
      <c r="G28" s="95" t="s">
        <v>628</v>
      </c>
      <c r="H28" s="95" t="s">
        <v>629</v>
      </c>
      <c r="I28" s="95" t="s">
        <v>630</v>
      </c>
      <c r="J28" s="95" t="s">
        <v>631</v>
      </c>
      <c r="K28" s="94"/>
      <c r="L28" s="94" t="s">
        <v>36</v>
      </c>
      <c r="M28" s="94" t="s">
        <v>36</v>
      </c>
      <c r="N28" s="94"/>
      <c r="O28" s="94"/>
      <c r="P28" s="94"/>
      <c r="Q28" s="94"/>
      <c r="R28" s="94"/>
      <c r="S28" s="94" t="s">
        <v>36</v>
      </c>
      <c r="T28" s="94" t="s">
        <v>535</v>
      </c>
      <c r="U28" s="95" t="s">
        <v>632</v>
      </c>
      <c r="V28" s="95" t="s">
        <v>633</v>
      </c>
      <c r="W28" s="95" t="s">
        <v>634</v>
      </c>
      <c r="X28" s="94" t="s">
        <v>467</v>
      </c>
      <c r="Y28" s="94" t="s">
        <v>635</v>
      </c>
      <c r="Z28" s="94"/>
      <c r="AA28" s="94" t="s">
        <v>467</v>
      </c>
      <c r="AB28" s="94" t="s">
        <v>635</v>
      </c>
      <c r="AC28" s="94"/>
      <c r="AD28" s="95"/>
      <c r="AE28" s="94"/>
      <c r="AF28" s="94"/>
      <c r="AG28" s="94"/>
      <c r="AH28" s="94" t="s">
        <v>469</v>
      </c>
      <c r="AI28" s="94" t="s">
        <v>469</v>
      </c>
      <c r="AJ28" s="96" t="s">
        <v>636</v>
      </c>
      <c r="AK28" s="94" t="s">
        <v>637</v>
      </c>
      <c r="AL28" s="97"/>
      <c r="AM28" s="54" t="s">
        <v>759</v>
      </c>
      <c r="AN28" s="31" t="b">
        <v>1</v>
      </c>
      <c r="AO28" s="31" t="b">
        <v>1</v>
      </c>
      <c r="AP28" s="31" t="b">
        <v>1</v>
      </c>
      <c r="AQ28" s="31" t="b">
        <v>1</v>
      </c>
      <c r="AR28" s="31" t="b">
        <v>1</v>
      </c>
      <c r="AS28" s="31" t="b">
        <v>1</v>
      </c>
      <c r="AT28" s="31" t="b">
        <v>1</v>
      </c>
      <c r="AU28" s="31" t="b">
        <v>1</v>
      </c>
      <c r="AV28" s="31" t="b">
        <v>1</v>
      </c>
      <c r="AW28" s="31" t="b">
        <v>1</v>
      </c>
      <c r="AX28" s="31" t="b">
        <v>1</v>
      </c>
      <c r="AY28" s="31" t="b">
        <v>1</v>
      </c>
      <c r="AZ28" s="31" t="b">
        <v>1</v>
      </c>
      <c r="BA28" s="31" t="b">
        <v>1</v>
      </c>
      <c r="BB28" s="31" t="b">
        <v>1</v>
      </c>
      <c r="BC28" s="31" t="b">
        <v>1</v>
      </c>
      <c r="BD28" s="31" t="b">
        <v>1</v>
      </c>
      <c r="BE28" s="31" t="b">
        <v>1</v>
      </c>
      <c r="BF28" s="31" t="b">
        <v>1</v>
      </c>
      <c r="BG28" s="31" t="b">
        <v>1</v>
      </c>
      <c r="BH28" s="31" t="b">
        <v>1</v>
      </c>
      <c r="BI28" s="31" t="b">
        <v>1</v>
      </c>
      <c r="BJ28" s="31" t="b">
        <v>1</v>
      </c>
      <c r="BK28" s="31" t="b">
        <v>1</v>
      </c>
      <c r="BL28" s="31" t="b">
        <v>1</v>
      </c>
      <c r="BM28" s="31" t="b">
        <v>1</v>
      </c>
      <c r="BN28" s="31" t="b">
        <v>1</v>
      </c>
      <c r="BO28" s="31" t="b">
        <v>1</v>
      </c>
      <c r="BP28" s="31" t="b">
        <v>1</v>
      </c>
      <c r="BQ28" s="31" t="b">
        <v>1</v>
      </c>
      <c r="BR28" s="31" t="b">
        <v>1</v>
      </c>
      <c r="BS28" s="31" t="b">
        <v>1</v>
      </c>
      <c r="BT28" s="31" t="b">
        <v>1</v>
      </c>
      <c r="BU28" s="31" t="b">
        <v>1</v>
      </c>
      <c r="BV28" s="31" t="b">
        <v>1</v>
      </c>
      <c r="BW28" s="31" t="b">
        <v>0</v>
      </c>
      <c r="BX28" s="31" t="b">
        <v>1</v>
      </c>
    </row>
    <row r="29" s="33" customFormat="1" ht="125" customHeight="1" spans="1:76">
      <c r="A29" s="92"/>
      <c r="B29" s="93"/>
      <c r="C29" s="94"/>
      <c r="D29" s="94"/>
      <c r="E29" s="95"/>
      <c r="F29" s="92"/>
      <c r="G29" s="95"/>
      <c r="H29" s="95"/>
      <c r="I29" s="95" t="s">
        <v>638</v>
      </c>
      <c r="J29" s="95" t="s">
        <v>639</v>
      </c>
      <c r="K29" s="94"/>
      <c r="L29" s="94" t="s">
        <v>36</v>
      </c>
      <c r="M29" s="94" t="s">
        <v>36</v>
      </c>
      <c r="N29" s="94"/>
      <c r="O29" s="94"/>
      <c r="P29" s="94"/>
      <c r="Q29" s="94"/>
      <c r="R29" s="94"/>
      <c r="S29" s="94" t="s">
        <v>36</v>
      </c>
      <c r="T29" s="94" t="s">
        <v>475</v>
      </c>
      <c r="U29" s="95"/>
      <c r="V29" s="95" t="s">
        <v>640</v>
      </c>
      <c r="W29" s="95" t="s">
        <v>641</v>
      </c>
      <c r="X29" s="94" t="s">
        <v>467</v>
      </c>
      <c r="Y29" s="94" t="s">
        <v>635</v>
      </c>
      <c r="Z29" s="94"/>
      <c r="AA29" s="94" t="s">
        <v>467</v>
      </c>
      <c r="AB29" s="94" t="s">
        <v>635</v>
      </c>
      <c r="AC29" s="94"/>
      <c r="AD29" s="95"/>
      <c r="AE29" s="94"/>
      <c r="AF29" s="94"/>
      <c r="AG29" s="94"/>
      <c r="AH29" s="94" t="s">
        <v>469</v>
      </c>
      <c r="AI29" s="94" t="s">
        <v>469</v>
      </c>
      <c r="AJ29" s="96" t="s">
        <v>636</v>
      </c>
      <c r="AK29" s="94" t="s">
        <v>637</v>
      </c>
      <c r="AL29" s="97"/>
      <c r="AM29" s="54" t="s">
        <v>759</v>
      </c>
      <c r="AN29" s="31" t="b">
        <v>1</v>
      </c>
      <c r="AO29" s="31" t="b">
        <v>1</v>
      </c>
      <c r="AP29" s="31" t="b">
        <v>1</v>
      </c>
      <c r="AQ29" s="31" t="b">
        <v>1</v>
      </c>
      <c r="AR29" s="31" t="b">
        <v>1</v>
      </c>
      <c r="AS29" s="31" t="b">
        <v>1</v>
      </c>
      <c r="AT29" s="31" t="b">
        <v>1</v>
      </c>
      <c r="AU29" s="31" t="b">
        <v>1</v>
      </c>
      <c r="AV29" s="31" t="b">
        <v>1</v>
      </c>
      <c r="AW29" s="31" t="b">
        <v>1</v>
      </c>
      <c r="AX29" s="31" t="b">
        <v>1</v>
      </c>
      <c r="AY29" s="31" t="b">
        <v>1</v>
      </c>
      <c r="AZ29" s="31" t="b">
        <v>1</v>
      </c>
      <c r="BA29" s="31" t="b">
        <v>1</v>
      </c>
      <c r="BB29" s="31" t="b">
        <v>1</v>
      </c>
      <c r="BC29" s="31" t="b">
        <v>1</v>
      </c>
      <c r="BD29" s="31" t="b">
        <v>1</v>
      </c>
      <c r="BE29" s="31" t="b">
        <v>1</v>
      </c>
      <c r="BF29" s="31" t="b">
        <v>1</v>
      </c>
      <c r="BG29" s="31" t="b">
        <v>1</v>
      </c>
      <c r="BH29" s="31" t="b">
        <v>1</v>
      </c>
      <c r="BI29" s="31" t="b">
        <v>1</v>
      </c>
      <c r="BJ29" s="31" t="b">
        <v>1</v>
      </c>
      <c r="BK29" s="31" t="b">
        <v>1</v>
      </c>
      <c r="BL29" s="31" t="b">
        <v>1</v>
      </c>
      <c r="BM29" s="31" t="b">
        <v>1</v>
      </c>
      <c r="BN29" s="31" t="b">
        <v>1</v>
      </c>
      <c r="BO29" s="31" t="b">
        <v>1</v>
      </c>
      <c r="BP29" s="31" t="b">
        <v>1</v>
      </c>
      <c r="BQ29" s="31" t="b">
        <v>1</v>
      </c>
      <c r="BR29" s="31" t="b">
        <v>1</v>
      </c>
      <c r="BS29" s="31" t="b">
        <v>1</v>
      </c>
      <c r="BT29" s="31" t="b">
        <v>1</v>
      </c>
      <c r="BU29" s="31" t="b">
        <v>1</v>
      </c>
      <c r="BV29" s="31" t="b">
        <v>1</v>
      </c>
      <c r="BW29" s="31" t="b">
        <v>0</v>
      </c>
      <c r="BX29" s="31" t="b">
        <v>1</v>
      </c>
    </row>
    <row r="30" s="33" customFormat="1" ht="253" customHeight="1" spans="1:76">
      <c r="A30" s="92" t="s">
        <v>624</v>
      </c>
      <c r="B30" s="92" t="s">
        <v>516</v>
      </c>
      <c r="C30" s="94" t="s">
        <v>517</v>
      </c>
      <c r="D30" s="94" t="s">
        <v>495</v>
      </c>
      <c r="E30" s="95" t="s">
        <v>642</v>
      </c>
      <c r="F30" s="92"/>
      <c r="G30" s="95" t="s">
        <v>643</v>
      </c>
      <c r="H30" s="95" t="s">
        <v>644</v>
      </c>
      <c r="I30" s="95" t="s">
        <v>645</v>
      </c>
      <c r="J30" s="95" t="s">
        <v>646</v>
      </c>
      <c r="K30" s="94"/>
      <c r="L30" s="94"/>
      <c r="M30" s="94" t="s">
        <v>36</v>
      </c>
      <c r="N30" s="94" t="s">
        <v>36</v>
      </c>
      <c r="O30" s="94"/>
      <c r="P30" s="94"/>
      <c r="Q30" s="94"/>
      <c r="R30" s="94"/>
      <c r="S30" s="94"/>
      <c r="T30" s="94" t="s">
        <v>535</v>
      </c>
      <c r="U30" s="95" t="s">
        <v>536</v>
      </c>
      <c r="V30" s="95" t="s">
        <v>647</v>
      </c>
      <c r="W30" s="95" t="s">
        <v>648</v>
      </c>
      <c r="X30" s="94" t="s">
        <v>467</v>
      </c>
      <c r="Y30" s="94" t="s">
        <v>466</v>
      </c>
      <c r="Z30" s="94"/>
      <c r="AA30" s="94" t="s">
        <v>467</v>
      </c>
      <c r="AB30" s="94" t="s">
        <v>466</v>
      </c>
      <c r="AC30" s="94"/>
      <c r="AD30" s="95" t="s">
        <v>649</v>
      </c>
      <c r="AE30" s="94" t="s">
        <v>467</v>
      </c>
      <c r="AF30" s="94" t="s">
        <v>466</v>
      </c>
      <c r="AG30" s="94"/>
      <c r="AH30" s="94" t="s">
        <v>469</v>
      </c>
      <c r="AI30" s="94" t="s">
        <v>469</v>
      </c>
      <c r="AJ30" s="96" t="s">
        <v>650</v>
      </c>
      <c r="AK30" s="94" t="s">
        <v>637</v>
      </c>
      <c r="AL30" s="97"/>
      <c r="AM30" s="54" t="s">
        <v>759</v>
      </c>
      <c r="AN30" s="31" t="b">
        <v>1</v>
      </c>
      <c r="AO30" s="31" t="b">
        <v>1</v>
      </c>
      <c r="AP30" s="31" t="b">
        <v>1</v>
      </c>
      <c r="AQ30" s="31" t="b">
        <v>1</v>
      </c>
      <c r="AR30" s="31" t="b">
        <v>1</v>
      </c>
      <c r="AS30" s="31" t="b">
        <v>1</v>
      </c>
      <c r="AT30" s="31" t="b">
        <v>1</v>
      </c>
      <c r="AU30" s="31" t="b">
        <v>1</v>
      </c>
      <c r="AV30" s="31" t="b">
        <v>1</v>
      </c>
      <c r="AW30" s="31" t="b">
        <v>1</v>
      </c>
      <c r="AX30" s="31" t="b">
        <v>1</v>
      </c>
      <c r="AY30" s="31" t="b">
        <v>1</v>
      </c>
      <c r="AZ30" s="31" t="b">
        <v>1</v>
      </c>
      <c r="BA30" s="31" t="b">
        <v>1</v>
      </c>
      <c r="BB30" s="31" t="b">
        <v>1</v>
      </c>
      <c r="BC30" s="31" t="b">
        <v>1</v>
      </c>
      <c r="BD30" s="31" t="b">
        <v>1</v>
      </c>
      <c r="BE30" s="31" t="b">
        <v>1</v>
      </c>
      <c r="BF30" s="31" t="b">
        <v>1</v>
      </c>
      <c r="BG30" s="31" t="b">
        <v>1</v>
      </c>
      <c r="BH30" s="31" t="b">
        <v>1</v>
      </c>
      <c r="BI30" s="31" t="b">
        <v>1</v>
      </c>
      <c r="BJ30" s="31" t="b">
        <v>1</v>
      </c>
      <c r="BK30" s="31" t="b">
        <v>1</v>
      </c>
      <c r="BL30" s="31" t="b">
        <v>1</v>
      </c>
      <c r="BM30" s="31" t="b">
        <v>1</v>
      </c>
      <c r="BN30" s="31" t="b">
        <v>1</v>
      </c>
      <c r="BO30" s="31" t="b">
        <v>1</v>
      </c>
      <c r="BP30" s="31" t="b">
        <v>1</v>
      </c>
      <c r="BQ30" s="31" t="b">
        <v>1</v>
      </c>
      <c r="BR30" s="31" t="b">
        <v>1</v>
      </c>
      <c r="BS30" s="31" t="b">
        <v>1</v>
      </c>
      <c r="BT30" s="31" t="b">
        <v>1</v>
      </c>
      <c r="BU30" s="31" t="b">
        <v>1</v>
      </c>
      <c r="BV30" s="31" t="b">
        <v>1</v>
      </c>
      <c r="BW30" s="31" t="b">
        <v>0</v>
      </c>
      <c r="BX30" s="31" t="b">
        <v>1</v>
      </c>
    </row>
    <row r="31" s="33" customFormat="1" ht="201" customHeight="1" spans="1:76">
      <c r="A31" s="92"/>
      <c r="B31" s="92"/>
      <c r="C31" s="94"/>
      <c r="D31" s="94"/>
      <c r="E31" s="95"/>
      <c r="F31" s="92"/>
      <c r="G31" s="95"/>
      <c r="H31" s="95"/>
      <c r="I31" s="95" t="s">
        <v>651</v>
      </c>
      <c r="J31" s="95" t="s">
        <v>652</v>
      </c>
      <c r="K31" s="94"/>
      <c r="L31" s="94"/>
      <c r="M31" s="94"/>
      <c r="N31" s="94"/>
      <c r="O31" s="94"/>
      <c r="P31" s="94"/>
      <c r="Q31" s="94"/>
      <c r="R31" s="94"/>
      <c r="S31" s="94" t="s">
        <v>36</v>
      </c>
      <c r="T31" s="94" t="s">
        <v>475</v>
      </c>
      <c r="U31" s="95"/>
      <c r="V31" s="95" t="s">
        <v>653</v>
      </c>
      <c r="W31" s="95" t="s">
        <v>654</v>
      </c>
      <c r="X31" s="94" t="s">
        <v>467</v>
      </c>
      <c r="Y31" s="94" t="s">
        <v>466</v>
      </c>
      <c r="Z31" s="94"/>
      <c r="AA31" s="94" t="s">
        <v>467</v>
      </c>
      <c r="AB31" s="94" t="s">
        <v>466</v>
      </c>
      <c r="AC31" s="94"/>
      <c r="AD31" s="95"/>
      <c r="AE31" s="94"/>
      <c r="AF31" s="94"/>
      <c r="AG31" s="94"/>
      <c r="AH31" s="94" t="s">
        <v>469</v>
      </c>
      <c r="AI31" s="94" t="s">
        <v>469</v>
      </c>
      <c r="AJ31" s="96" t="s">
        <v>655</v>
      </c>
      <c r="AK31" s="94" t="s">
        <v>637</v>
      </c>
      <c r="AL31" s="97"/>
      <c r="AM31" s="54" t="s">
        <v>759</v>
      </c>
      <c r="AN31" s="31" t="b">
        <v>1</v>
      </c>
      <c r="AO31" s="31" t="b">
        <v>1</v>
      </c>
      <c r="AP31" s="31" t="b">
        <v>1</v>
      </c>
      <c r="AQ31" s="31" t="b">
        <v>1</v>
      </c>
      <c r="AR31" s="31" t="b">
        <v>1</v>
      </c>
      <c r="AS31" s="31" t="b">
        <v>1</v>
      </c>
      <c r="AT31" s="31" t="b">
        <v>1</v>
      </c>
      <c r="AU31" s="31" t="b">
        <v>1</v>
      </c>
      <c r="AV31" s="31" t="b">
        <v>1</v>
      </c>
      <c r="AW31" s="31" t="b">
        <v>1</v>
      </c>
      <c r="AX31" s="31" t="b">
        <v>1</v>
      </c>
      <c r="AY31" s="31" t="b">
        <v>1</v>
      </c>
      <c r="AZ31" s="31" t="b">
        <v>1</v>
      </c>
      <c r="BA31" s="31" t="b">
        <v>1</v>
      </c>
      <c r="BB31" s="31" t="b">
        <v>1</v>
      </c>
      <c r="BC31" s="31" t="b">
        <v>1</v>
      </c>
      <c r="BD31" s="31" t="b">
        <v>1</v>
      </c>
      <c r="BE31" s="31" t="b">
        <v>1</v>
      </c>
      <c r="BF31" s="31" t="b">
        <v>1</v>
      </c>
      <c r="BG31" s="31" t="b">
        <v>1</v>
      </c>
      <c r="BH31" s="31" t="b">
        <v>1</v>
      </c>
      <c r="BI31" s="31" t="b">
        <v>1</v>
      </c>
      <c r="BJ31" s="31" t="b">
        <v>1</v>
      </c>
      <c r="BK31" s="31" t="b">
        <v>1</v>
      </c>
      <c r="BL31" s="31" t="b">
        <v>1</v>
      </c>
      <c r="BM31" s="31" t="b">
        <v>1</v>
      </c>
      <c r="BN31" s="31" t="b">
        <v>1</v>
      </c>
      <c r="BO31" s="31" t="b">
        <v>1</v>
      </c>
      <c r="BP31" s="31" t="b">
        <v>1</v>
      </c>
      <c r="BQ31" s="31" t="b">
        <v>1</v>
      </c>
      <c r="BR31" s="31" t="b">
        <v>1</v>
      </c>
      <c r="BS31" s="31" t="b">
        <v>1</v>
      </c>
      <c r="BT31" s="31" t="b">
        <v>1</v>
      </c>
      <c r="BU31" s="31" t="b">
        <v>1</v>
      </c>
      <c r="BV31" s="31" t="b">
        <v>1</v>
      </c>
      <c r="BW31" s="31" t="b">
        <v>0</v>
      </c>
      <c r="BX31" s="31" t="b">
        <v>1</v>
      </c>
    </row>
    <row r="32" s="33" customFormat="1" ht="187" customHeight="1" spans="1:76">
      <c r="A32" s="92"/>
      <c r="B32" s="92"/>
      <c r="C32" s="94"/>
      <c r="D32" s="94" t="s">
        <v>518</v>
      </c>
      <c r="E32" s="95" t="s">
        <v>656</v>
      </c>
      <c r="F32" s="93" t="s">
        <v>657</v>
      </c>
      <c r="G32" s="95" t="s">
        <v>658</v>
      </c>
      <c r="H32" s="95" t="s">
        <v>659</v>
      </c>
      <c r="I32" s="95" t="s">
        <v>660</v>
      </c>
      <c r="J32" s="95" t="s">
        <v>661</v>
      </c>
      <c r="K32" s="94"/>
      <c r="L32" s="94"/>
      <c r="M32" s="94" t="s">
        <v>36</v>
      </c>
      <c r="N32" s="94"/>
      <c r="O32" s="94" t="s">
        <v>36</v>
      </c>
      <c r="P32" s="94" t="s">
        <v>36</v>
      </c>
      <c r="Q32" s="94"/>
      <c r="R32" s="94"/>
      <c r="S32" s="94"/>
      <c r="T32" s="94" t="s">
        <v>535</v>
      </c>
      <c r="U32" s="95" t="s">
        <v>536</v>
      </c>
      <c r="V32" s="95" t="s">
        <v>662</v>
      </c>
      <c r="W32" s="95" t="s">
        <v>663</v>
      </c>
      <c r="X32" s="94" t="s">
        <v>503</v>
      </c>
      <c r="Y32" s="94" t="s">
        <v>540</v>
      </c>
      <c r="Z32" s="94"/>
      <c r="AA32" s="94" t="s">
        <v>503</v>
      </c>
      <c r="AB32" s="94" t="s">
        <v>540</v>
      </c>
      <c r="AC32" s="94"/>
      <c r="AD32" s="95" t="s">
        <v>664</v>
      </c>
      <c r="AE32" s="94" t="s">
        <v>665</v>
      </c>
      <c r="AF32" s="94" t="s">
        <v>540</v>
      </c>
      <c r="AG32" s="94"/>
      <c r="AH32" s="94" t="s">
        <v>469</v>
      </c>
      <c r="AI32" s="94" t="s">
        <v>469</v>
      </c>
      <c r="AJ32" s="96" t="s">
        <v>666</v>
      </c>
      <c r="AK32" s="94" t="s">
        <v>667</v>
      </c>
      <c r="AL32" s="97"/>
      <c r="AM32" s="54" t="s">
        <v>759</v>
      </c>
      <c r="AN32" s="31" t="b">
        <v>1</v>
      </c>
      <c r="AO32" s="31" t="b">
        <v>1</v>
      </c>
      <c r="AP32" s="31" t="b">
        <v>1</v>
      </c>
      <c r="AQ32" s="31" t="b">
        <v>1</v>
      </c>
      <c r="AR32" s="31" t="b">
        <v>1</v>
      </c>
      <c r="AS32" s="31" t="b">
        <v>1</v>
      </c>
      <c r="AT32" s="31" t="b">
        <v>1</v>
      </c>
      <c r="AU32" s="31" t="b">
        <v>1</v>
      </c>
      <c r="AV32" s="31" t="b">
        <v>1</v>
      </c>
      <c r="AW32" s="31" t="b">
        <v>1</v>
      </c>
      <c r="AX32" s="31" t="b">
        <v>1</v>
      </c>
      <c r="AY32" s="31" t="b">
        <v>1</v>
      </c>
      <c r="AZ32" s="31" t="b">
        <v>1</v>
      </c>
      <c r="BA32" s="31" t="b">
        <v>1</v>
      </c>
      <c r="BB32" s="31" t="b">
        <v>1</v>
      </c>
      <c r="BC32" s="31" t="b">
        <v>1</v>
      </c>
      <c r="BD32" s="31" t="b">
        <v>1</v>
      </c>
      <c r="BE32" s="31" t="b">
        <v>1</v>
      </c>
      <c r="BF32" s="31" t="b">
        <v>1</v>
      </c>
      <c r="BG32" s="31" t="b">
        <v>1</v>
      </c>
      <c r="BH32" s="31" t="b">
        <v>1</v>
      </c>
      <c r="BI32" s="31" t="b">
        <v>1</v>
      </c>
      <c r="BJ32" s="31" t="b">
        <v>1</v>
      </c>
      <c r="BK32" s="31" t="b">
        <v>1</v>
      </c>
      <c r="BL32" s="31" t="b">
        <v>1</v>
      </c>
      <c r="BM32" s="31" t="b">
        <v>1</v>
      </c>
      <c r="BN32" s="31" t="b">
        <v>1</v>
      </c>
      <c r="BO32" s="31" t="b">
        <v>1</v>
      </c>
      <c r="BP32" s="31" t="b">
        <v>1</v>
      </c>
      <c r="BQ32" s="31" t="b">
        <v>1</v>
      </c>
      <c r="BR32" s="31" t="b">
        <v>1</v>
      </c>
      <c r="BS32" s="31" t="b">
        <v>1</v>
      </c>
      <c r="BT32" s="31" t="b">
        <v>1</v>
      </c>
      <c r="BU32" s="31" t="b">
        <v>1</v>
      </c>
      <c r="BV32" s="31" t="b">
        <v>1</v>
      </c>
      <c r="BW32" s="31" t="b">
        <v>0</v>
      </c>
      <c r="BX32" s="31" t="b">
        <v>1</v>
      </c>
    </row>
    <row r="33" s="33" customFormat="1" ht="151" customHeight="1" spans="1:76">
      <c r="A33" s="92"/>
      <c r="B33" s="92"/>
      <c r="C33" s="94"/>
      <c r="D33" s="94"/>
      <c r="E33" s="95"/>
      <c r="F33" s="92"/>
      <c r="G33" s="95"/>
      <c r="H33" s="95"/>
      <c r="I33" s="95" t="s">
        <v>668</v>
      </c>
      <c r="J33" s="95" t="s">
        <v>669</v>
      </c>
      <c r="K33" s="98"/>
      <c r="L33" s="94"/>
      <c r="M33" s="94" t="s">
        <v>36</v>
      </c>
      <c r="N33" s="94"/>
      <c r="O33" s="94" t="s">
        <v>36</v>
      </c>
      <c r="P33" s="94"/>
      <c r="Q33" s="94"/>
      <c r="R33" s="94"/>
      <c r="S33" s="94"/>
      <c r="T33" s="94" t="s">
        <v>475</v>
      </c>
      <c r="U33" s="95"/>
      <c r="V33" s="95" t="s">
        <v>670</v>
      </c>
      <c r="W33" s="95" t="s">
        <v>654</v>
      </c>
      <c r="X33" s="94" t="s">
        <v>503</v>
      </c>
      <c r="Y33" s="94" t="s">
        <v>540</v>
      </c>
      <c r="Z33" s="94"/>
      <c r="AA33" s="94" t="s">
        <v>503</v>
      </c>
      <c r="AB33" s="94" t="s">
        <v>540</v>
      </c>
      <c r="AC33" s="94"/>
      <c r="AD33" s="95"/>
      <c r="AE33" s="94"/>
      <c r="AF33" s="94"/>
      <c r="AG33" s="94"/>
      <c r="AH33" s="94" t="s">
        <v>469</v>
      </c>
      <c r="AI33" s="94" t="s">
        <v>469</v>
      </c>
      <c r="AJ33" s="96" t="s">
        <v>666</v>
      </c>
      <c r="AK33" s="94" t="s">
        <v>667</v>
      </c>
      <c r="AL33" s="97"/>
      <c r="AM33" s="54" t="s">
        <v>759</v>
      </c>
      <c r="AN33" s="31" t="b">
        <v>1</v>
      </c>
      <c r="AO33" s="31" t="b">
        <v>1</v>
      </c>
      <c r="AP33" s="31" t="b">
        <v>1</v>
      </c>
      <c r="AQ33" s="31" t="b">
        <v>1</v>
      </c>
      <c r="AR33" s="31" t="b">
        <v>1</v>
      </c>
      <c r="AS33" s="31" t="b">
        <v>1</v>
      </c>
      <c r="AT33" s="31" t="b">
        <v>1</v>
      </c>
      <c r="AU33" s="31" t="b">
        <v>1</v>
      </c>
      <c r="AV33" s="31" t="b">
        <v>1</v>
      </c>
      <c r="AW33" s="31" t="b">
        <v>1</v>
      </c>
      <c r="AX33" s="31" t="b">
        <v>1</v>
      </c>
      <c r="AY33" s="31" t="b">
        <v>1</v>
      </c>
      <c r="AZ33" s="31" t="b">
        <v>1</v>
      </c>
      <c r="BA33" s="31" t="b">
        <v>1</v>
      </c>
      <c r="BB33" s="31" t="b">
        <v>1</v>
      </c>
      <c r="BC33" s="31" t="b">
        <v>1</v>
      </c>
      <c r="BD33" s="31" t="b">
        <v>1</v>
      </c>
      <c r="BE33" s="31" t="b">
        <v>1</v>
      </c>
      <c r="BF33" s="31" t="b">
        <v>1</v>
      </c>
      <c r="BG33" s="31" t="b">
        <v>1</v>
      </c>
      <c r="BH33" s="31" t="b">
        <v>1</v>
      </c>
      <c r="BI33" s="31" t="b">
        <v>1</v>
      </c>
      <c r="BJ33" s="31" t="b">
        <v>1</v>
      </c>
      <c r="BK33" s="31" t="b">
        <v>1</v>
      </c>
      <c r="BL33" s="31" t="b">
        <v>1</v>
      </c>
      <c r="BM33" s="31" t="b">
        <v>1</v>
      </c>
      <c r="BN33" s="31" t="b">
        <v>1</v>
      </c>
      <c r="BO33" s="31" t="b">
        <v>1</v>
      </c>
      <c r="BP33" s="31" t="b">
        <v>1</v>
      </c>
      <c r="BQ33" s="31" t="b">
        <v>1</v>
      </c>
      <c r="BR33" s="31" t="b">
        <v>1</v>
      </c>
      <c r="BS33" s="31" t="b">
        <v>1</v>
      </c>
      <c r="BT33" s="31" t="b">
        <v>1</v>
      </c>
      <c r="BU33" s="31" t="b">
        <v>1</v>
      </c>
      <c r="BV33" s="31" t="b">
        <v>1</v>
      </c>
      <c r="BW33" s="31" t="b">
        <v>0</v>
      </c>
      <c r="BX33" s="31" t="b">
        <v>1</v>
      </c>
    </row>
    <row r="34" s="33" customFormat="1" ht="200" customHeight="1" spans="1:76">
      <c r="A34" s="92"/>
      <c r="B34" s="92"/>
      <c r="C34" s="94"/>
      <c r="D34" s="94"/>
      <c r="E34" s="95"/>
      <c r="F34" s="92"/>
      <c r="G34" s="95"/>
      <c r="H34" s="95"/>
      <c r="I34" s="95" t="s">
        <v>671</v>
      </c>
      <c r="J34" s="95" t="s">
        <v>672</v>
      </c>
      <c r="K34" s="98"/>
      <c r="L34" s="94"/>
      <c r="M34" s="94"/>
      <c r="N34" s="94" t="s">
        <v>36</v>
      </c>
      <c r="O34" s="94" t="s">
        <v>36</v>
      </c>
      <c r="P34" s="94" t="s">
        <v>36</v>
      </c>
      <c r="Q34" s="94" t="s">
        <v>36</v>
      </c>
      <c r="R34" s="94"/>
      <c r="S34" s="94"/>
      <c r="T34" s="94" t="s">
        <v>535</v>
      </c>
      <c r="U34" s="95" t="s">
        <v>536</v>
      </c>
      <c r="V34" s="95" t="s">
        <v>673</v>
      </c>
      <c r="W34" s="95" t="s">
        <v>674</v>
      </c>
      <c r="X34" s="94" t="s">
        <v>503</v>
      </c>
      <c r="Y34" s="94" t="s">
        <v>540</v>
      </c>
      <c r="Z34" s="94"/>
      <c r="AA34" s="94" t="s">
        <v>503</v>
      </c>
      <c r="AB34" s="94" t="s">
        <v>540</v>
      </c>
      <c r="AC34" s="94"/>
      <c r="AD34" s="95" t="s">
        <v>675</v>
      </c>
      <c r="AE34" s="94" t="s">
        <v>665</v>
      </c>
      <c r="AF34" s="94" t="s">
        <v>540</v>
      </c>
      <c r="AG34" s="94"/>
      <c r="AH34" s="94" t="s">
        <v>469</v>
      </c>
      <c r="AI34" s="94" t="s">
        <v>469</v>
      </c>
      <c r="AJ34" s="96" t="s">
        <v>666</v>
      </c>
      <c r="AK34" s="94" t="s">
        <v>667</v>
      </c>
      <c r="AL34" s="97"/>
      <c r="AM34" s="54" t="s">
        <v>759</v>
      </c>
      <c r="AN34" s="31" t="b">
        <v>1</v>
      </c>
      <c r="AO34" s="31" t="b">
        <v>1</v>
      </c>
      <c r="AP34" s="31" t="b">
        <v>1</v>
      </c>
      <c r="AQ34" s="31" t="b">
        <v>1</v>
      </c>
      <c r="AR34" s="31" t="b">
        <v>1</v>
      </c>
      <c r="AS34" s="31" t="b">
        <v>1</v>
      </c>
      <c r="AT34" s="31" t="b">
        <v>1</v>
      </c>
      <c r="AU34" s="31" t="b">
        <v>1</v>
      </c>
      <c r="AV34" s="31" t="b">
        <v>1</v>
      </c>
      <c r="AW34" s="31" t="b">
        <v>1</v>
      </c>
      <c r="AX34" s="31" t="b">
        <v>1</v>
      </c>
      <c r="AY34" s="31" t="b">
        <v>1</v>
      </c>
      <c r="AZ34" s="31" t="b">
        <v>1</v>
      </c>
      <c r="BA34" s="31" t="b">
        <v>1</v>
      </c>
      <c r="BB34" s="31" t="b">
        <v>1</v>
      </c>
      <c r="BC34" s="31" t="b">
        <v>1</v>
      </c>
      <c r="BD34" s="31" t="b">
        <v>1</v>
      </c>
      <c r="BE34" s="31" t="b">
        <v>1</v>
      </c>
      <c r="BF34" s="31" t="b">
        <v>1</v>
      </c>
      <c r="BG34" s="31" t="b">
        <v>1</v>
      </c>
      <c r="BH34" s="31" t="b">
        <v>1</v>
      </c>
      <c r="BI34" s="31" t="b">
        <v>1</v>
      </c>
      <c r="BJ34" s="31" t="b">
        <v>1</v>
      </c>
      <c r="BK34" s="31" t="b">
        <v>1</v>
      </c>
      <c r="BL34" s="31" t="b">
        <v>1</v>
      </c>
      <c r="BM34" s="31" t="b">
        <v>1</v>
      </c>
      <c r="BN34" s="31" t="b">
        <v>1</v>
      </c>
      <c r="BO34" s="31" t="b">
        <v>1</v>
      </c>
      <c r="BP34" s="31" t="b">
        <v>1</v>
      </c>
      <c r="BQ34" s="31" t="b">
        <v>1</v>
      </c>
      <c r="BR34" s="31" t="b">
        <v>1</v>
      </c>
      <c r="BS34" s="31" t="b">
        <v>1</v>
      </c>
      <c r="BT34" s="31" t="b">
        <v>1</v>
      </c>
      <c r="BU34" s="31" t="b">
        <v>1</v>
      </c>
      <c r="BV34" s="31" t="b">
        <v>1</v>
      </c>
      <c r="BW34" s="31" t="b">
        <v>0</v>
      </c>
      <c r="BX34" s="31" t="b">
        <v>1</v>
      </c>
    </row>
    <row r="35" s="33" customFormat="1" ht="140" customHeight="1" spans="1:76">
      <c r="A35" s="92"/>
      <c r="B35" s="92"/>
      <c r="C35" s="94" t="s">
        <v>610</v>
      </c>
      <c r="D35" s="94" t="s">
        <v>676</v>
      </c>
      <c r="E35" s="95" t="s">
        <v>677</v>
      </c>
      <c r="F35" s="92"/>
      <c r="G35" s="95" t="s">
        <v>678</v>
      </c>
      <c r="H35" s="95" t="s">
        <v>679</v>
      </c>
      <c r="I35" s="95" t="s">
        <v>680</v>
      </c>
      <c r="J35" s="95" t="s">
        <v>681</v>
      </c>
      <c r="K35" s="98"/>
      <c r="L35" s="94"/>
      <c r="M35" s="94" t="s">
        <v>36</v>
      </c>
      <c r="N35" s="94"/>
      <c r="O35" s="94" t="s">
        <v>36</v>
      </c>
      <c r="P35" s="94"/>
      <c r="Q35" s="94"/>
      <c r="R35" s="94"/>
      <c r="S35" s="94"/>
      <c r="T35" s="94" t="s">
        <v>475</v>
      </c>
      <c r="U35" s="95"/>
      <c r="V35" s="95" t="s">
        <v>682</v>
      </c>
      <c r="W35" s="95" t="s">
        <v>683</v>
      </c>
      <c r="X35" s="94" t="s">
        <v>465</v>
      </c>
      <c r="Y35" s="94" t="s">
        <v>466</v>
      </c>
      <c r="Z35" s="94"/>
      <c r="AA35" s="94" t="s">
        <v>465</v>
      </c>
      <c r="AB35" s="94" t="s">
        <v>466</v>
      </c>
      <c r="AC35" s="94"/>
      <c r="AD35" s="95"/>
      <c r="AE35" s="94"/>
      <c r="AF35" s="94"/>
      <c r="AG35" s="94"/>
      <c r="AH35" s="94" t="s">
        <v>469</v>
      </c>
      <c r="AI35" s="94" t="s">
        <v>469</v>
      </c>
      <c r="AJ35" s="96" t="s">
        <v>692</v>
      </c>
      <c r="AK35" s="94" t="s">
        <v>667</v>
      </c>
      <c r="AL35" s="97"/>
      <c r="AM35" s="54"/>
      <c r="AN35" s="31" t="b">
        <v>1</v>
      </c>
      <c r="AO35" s="31" t="b">
        <v>1</v>
      </c>
      <c r="AP35" s="31" t="b">
        <v>1</v>
      </c>
      <c r="AQ35" s="31" t="b">
        <v>1</v>
      </c>
      <c r="AR35" s="31" t="b">
        <v>1</v>
      </c>
      <c r="AS35" s="31" t="b">
        <v>1</v>
      </c>
      <c r="AT35" s="31" t="b">
        <v>1</v>
      </c>
      <c r="AU35" s="31" t="b">
        <v>1</v>
      </c>
      <c r="AV35" s="31" t="b">
        <v>1</v>
      </c>
      <c r="AW35" s="31" t="b">
        <v>1</v>
      </c>
      <c r="AX35" s="31" t="b">
        <v>1</v>
      </c>
      <c r="AY35" s="31" t="b">
        <v>1</v>
      </c>
      <c r="AZ35" s="31" t="b">
        <v>1</v>
      </c>
      <c r="BA35" s="31" t="b">
        <v>1</v>
      </c>
      <c r="BB35" s="31" t="b">
        <v>1</v>
      </c>
      <c r="BC35" s="31" t="b">
        <v>1</v>
      </c>
      <c r="BD35" s="31" t="b">
        <v>1</v>
      </c>
      <c r="BE35" s="31" t="b">
        <v>1</v>
      </c>
      <c r="BF35" s="31" t="b">
        <v>1</v>
      </c>
      <c r="BG35" s="31" t="b">
        <v>1</v>
      </c>
      <c r="BH35" s="31" t="b">
        <v>1</v>
      </c>
      <c r="BI35" s="31" t="b">
        <v>1</v>
      </c>
      <c r="BJ35" s="31" t="b">
        <v>1</v>
      </c>
      <c r="BK35" s="31" t="b">
        <v>1</v>
      </c>
      <c r="BL35" s="31" t="b">
        <v>1</v>
      </c>
      <c r="BM35" s="31" t="b">
        <v>1</v>
      </c>
      <c r="BN35" s="31" t="b">
        <v>1</v>
      </c>
      <c r="BO35" s="31" t="b">
        <v>1</v>
      </c>
      <c r="BP35" s="31" t="b">
        <v>1</v>
      </c>
      <c r="BQ35" s="31" t="b">
        <v>1</v>
      </c>
      <c r="BR35" s="31" t="b">
        <v>1</v>
      </c>
      <c r="BS35" s="31" t="b">
        <v>1</v>
      </c>
      <c r="BT35" s="31" t="b">
        <v>1</v>
      </c>
      <c r="BU35" s="31" t="b">
        <v>1</v>
      </c>
      <c r="BV35" s="31" t="b">
        <v>1</v>
      </c>
      <c r="BW35" s="31" t="b">
        <v>1</v>
      </c>
      <c r="BX35" s="31" t="b">
        <v>1</v>
      </c>
    </row>
    <row r="36" s="33" customFormat="1" ht="129" customHeight="1" spans="1:76">
      <c r="A36" s="92"/>
      <c r="B36" s="92"/>
      <c r="C36" s="94"/>
      <c r="D36" s="94"/>
      <c r="E36" s="95"/>
      <c r="F36" s="92"/>
      <c r="G36" s="95"/>
      <c r="H36" s="95"/>
      <c r="I36" s="95" t="s">
        <v>685</v>
      </c>
      <c r="J36" s="95" t="s">
        <v>686</v>
      </c>
      <c r="K36" s="98"/>
      <c r="L36" s="94"/>
      <c r="M36" s="94" t="s">
        <v>36</v>
      </c>
      <c r="N36" s="94"/>
      <c r="O36" s="94" t="s">
        <v>36</v>
      </c>
      <c r="P36" s="94"/>
      <c r="Q36" s="94"/>
      <c r="R36" s="94"/>
      <c r="S36" s="94"/>
      <c r="T36" s="94" t="s">
        <v>475</v>
      </c>
      <c r="U36" s="95"/>
      <c r="V36" s="95" t="s">
        <v>682</v>
      </c>
      <c r="W36" s="95" t="s">
        <v>687</v>
      </c>
      <c r="X36" s="94" t="s">
        <v>465</v>
      </c>
      <c r="Y36" s="94" t="s">
        <v>466</v>
      </c>
      <c r="Z36" s="94"/>
      <c r="AA36" s="94" t="s">
        <v>465</v>
      </c>
      <c r="AB36" s="94" t="s">
        <v>466</v>
      </c>
      <c r="AC36" s="94"/>
      <c r="AD36" s="95"/>
      <c r="AE36" s="94"/>
      <c r="AF36" s="94"/>
      <c r="AG36" s="94"/>
      <c r="AH36" s="94" t="s">
        <v>469</v>
      </c>
      <c r="AI36" s="94" t="s">
        <v>469</v>
      </c>
      <c r="AJ36" s="96" t="s">
        <v>692</v>
      </c>
      <c r="AK36" s="94" t="s">
        <v>667</v>
      </c>
      <c r="AL36" s="97"/>
      <c r="AM36" s="54"/>
      <c r="AN36" s="31" t="b">
        <v>1</v>
      </c>
      <c r="AO36" s="31" t="b">
        <v>1</v>
      </c>
      <c r="AP36" s="31" t="b">
        <v>1</v>
      </c>
      <c r="AQ36" s="31" t="b">
        <v>1</v>
      </c>
      <c r="AR36" s="31" t="b">
        <v>1</v>
      </c>
      <c r="AS36" s="31" t="b">
        <v>1</v>
      </c>
      <c r="AT36" s="31" t="b">
        <v>1</v>
      </c>
      <c r="AU36" s="31" t="b">
        <v>1</v>
      </c>
      <c r="AV36" s="31" t="b">
        <v>1</v>
      </c>
      <c r="AW36" s="31" t="b">
        <v>1</v>
      </c>
      <c r="AX36" s="31" t="b">
        <v>1</v>
      </c>
      <c r="AY36" s="31" t="b">
        <v>1</v>
      </c>
      <c r="AZ36" s="31" t="b">
        <v>1</v>
      </c>
      <c r="BA36" s="31" t="b">
        <v>1</v>
      </c>
      <c r="BB36" s="31" t="b">
        <v>1</v>
      </c>
      <c r="BC36" s="31" t="b">
        <v>1</v>
      </c>
      <c r="BD36" s="31" t="b">
        <v>1</v>
      </c>
      <c r="BE36" s="31" t="b">
        <v>1</v>
      </c>
      <c r="BF36" s="31" t="b">
        <v>1</v>
      </c>
      <c r="BG36" s="31" t="b">
        <v>1</v>
      </c>
      <c r="BH36" s="31" t="b">
        <v>1</v>
      </c>
      <c r="BI36" s="31" t="b">
        <v>1</v>
      </c>
      <c r="BJ36" s="31" t="b">
        <v>1</v>
      </c>
      <c r="BK36" s="31" t="b">
        <v>1</v>
      </c>
      <c r="BL36" s="31" t="b">
        <v>1</v>
      </c>
      <c r="BM36" s="31" t="b">
        <v>1</v>
      </c>
      <c r="BN36" s="31" t="b">
        <v>1</v>
      </c>
      <c r="BO36" s="31" t="b">
        <v>1</v>
      </c>
      <c r="BP36" s="31" t="b">
        <v>1</v>
      </c>
      <c r="BQ36" s="31" t="b">
        <v>1</v>
      </c>
      <c r="BR36" s="31" t="b">
        <v>1</v>
      </c>
      <c r="BS36" s="31" t="b">
        <v>1</v>
      </c>
      <c r="BT36" s="31" t="b">
        <v>1</v>
      </c>
      <c r="BU36" s="31" t="b">
        <v>1</v>
      </c>
      <c r="BV36" s="31" t="b">
        <v>1</v>
      </c>
      <c r="BW36" s="31" t="b">
        <v>1</v>
      </c>
      <c r="BX36" s="31" t="b">
        <v>1</v>
      </c>
    </row>
    <row r="37" s="33" customFormat="1" ht="146" customHeight="1" spans="1:76">
      <c r="A37" s="92" t="s">
        <v>624</v>
      </c>
      <c r="B37" s="92" t="s">
        <v>516</v>
      </c>
      <c r="C37" s="96" t="s">
        <v>610</v>
      </c>
      <c r="D37" s="96" t="s">
        <v>676</v>
      </c>
      <c r="E37" s="96" t="s">
        <v>677</v>
      </c>
      <c r="F37" s="99"/>
      <c r="G37" s="96" t="s">
        <v>678</v>
      </c>
      <c r="H37" s="96"/>
      <c r="I37" s="95" t="s">
        <v>688</v>
      </c>
      <c r="J37" s="95" t="s">
        <v>689</v>
      </c>
      <c r="K37" s="98"/>
      <c r="L37" s="94"/>
      <c r="M37" s="94" t="s">
        <v>36</v>
      </c>
      <c r="N37" s="94"/>
      <c r="O37" s="94" t="s">
        <v>36</v>
      </c>
      <c r="P37" s="94"/>
      <c r="Q37" s="94"/>
      <c r="R37" s="94"/>
      <c r="S37" s="94"/>
      <c r="T37" s="94" t="s">
        <v>535</v>
      </c>
      <c r="U37" s="95" t="s">
        <v>536</v>
      </c>
      <c r="V37" s="95" t="s">
        <v>682</v>
      </c>
      <c r="W37" s="95" t="s">
        <v>690</v>
      </c>
      <c r="X37" s="94" t="s">
        <v>465</v>
      </c>
      <c r="Y37" s="94" t="s">
        <v>466</v>
      </c>
      <c r="Z37" s="94"/>
      <c r="AA37" s="94" t="s">
        <v>465</v>
      </c>
      <c r="AB37" s="94" t="s">
        <v>466</v>
      </c>
      <c r="AC37" s="94"/>
      <c r="AD37" s="95" t="s">
        <v>691</v>
      </c>
      <c r="AE37" s="94" t="s">
        <v>503</v>
      </c>
      <c r="AF37" s="94" t="s">
        <v>466</v>
      </c>
      <c r="AG37" s="94"/>
      <c r="AH37" s="94" t="s">
        <v>469</v>
      </c>
      <c r="AI37" s="94" t="s">
        <v>469</v>
      </c>
      <c r="AJ37" s="96" t="s">
        <v>692</v>
      </c>
      <c r="AK37" s="94" t="s">
        <v>667</v>
      </c>
      <c r="AL37" s="97"/>
      <c r="AM37" s="54"/>
      <c r="AN37" s="31" t="b">
        <v>1</v>
      </c>
      <c r="AO37" s="31" t="b">
        <v>1</v>
      </c>
      <c r="AP37" s="31" t="b">
        <v>1</v>
      </c>
      <c r="AQ37" s="31" t="b">
        <v>1</v>
      </c>
      <c r="AR37" s="31" t="b">
        <v>1</v>
      </c>
      <c r="AS37" s="31" t="b">
        <v>1</v>
      </c>
      <c r="AT37" s="31" t="b">
        <v>1</v>
      </c>
      <c r="AU37" s="31" t="b">
        <v>1</v>
      </c>
      <c r="AV37" s="31" t="b">
        <v>1</v>
      </c>
      <c r="AW37" s="31" t="b">
        <v>1</v>
      </c>
      <c r="AX37" s="31" t="b">
        <v>1</v>
      </c>
      <c r="AY37" s="31" t="b">
        <v>1</v>
      </c>
      <c r="AZ37" s="31" t="b">
        <v>1</v>
      </c>
      <c r="BA37" s="31" t="b">
        <v>1</v>
      </c>
      <c r="BB37" s="31" t="b">
        <v>1</v>
      </c>
      <c r="BC37" s="31" t="b">
        <v>1</v>
      </c>
      <c r="BD37" s="31" t="b">
        <v>1</v>
      </c>
      <c r="BE37" s="31" t="b">
        <v>1</v>
      </c>
      <c r="BF37" s="31" t="b">
        <v>1</v>
      </c>
      <c r="BG37" s="31" t="b">
        <v>1</v>
      </c>
      <c r="BH37" s="31" t="b">
        <v>1</v>
      </c>
      <c r="BI37" s="31" t="b">
        <v>1</v>
      </c>
      <c r="BJ37" s="31" t="b">
        <v>1</v>
      </c>
      <c r="BK37" s="31" t="b">
        <v>1</v>
      </c>
      <c r="BL37" s="31" t="b">
        <v>1</v>
      </c>
      <c r="BM37" s="31" t="b">
        <v>1</v>
      </c>
      <c r="BN37" s="31" t="b">
        <v>1</v>
      </c>
      <c r="BO37" s="31" t="b">
        <v>1</v>
      </c>
      <c r="BP37" s="31" t="b">
        <v>1</v>
      </c>
      <c r="BQ37" s="31" t="b">
        <v>1</v>
      </c>
      <c r="BR37" s="31" t="b">
        <v>1</v>
      </c>
      <c r="BS37" s="31" t="b">
        <v>1</v>
      </c>
      <c r="BT37" s="31" t="b">
        <v>1</v>
      </c>
      <c r="BU37" s="31" t="b">
        <v>1</v>
      </c>
      <c r="BV37" s="31" t="b">
        <v>1</v>
      </c>
      <c r="BW37" s="31" t="b">
        <v>1</v>
      </c>
      <c r="BX37" s="31" t="b">
        <v>1</v>
      </c>
    </row>
    <row r="38" s="33" customFormat="1" ht="134" customHeight="1" spans="1:76">
      <c r="A38" s="92"/>
      <c r="B38" s="92"/>
      <c r="C38" s="94" t="s">
        <v>517</v>
      </c>
      <c r="D38" s="94" t="s">
        <v>693</v>
      </c>
      <c r="E38" s="95" t="s">
        <v>694</v>
      </c>
      <c r="F38" s="93" t="s">
        <v>695</v>
      </c>
      <c r="G38" s="95" t="s">
        <v>696</v>
      </c>
      <c r="H38" s="95" t="s">
        <v>697</v>
      </c>
      <c r="I38" s="95" t="s">
        <v>698</v>
      </c>
      <c r="J38" s="95" t="s">
        <v>699</v>
      </c>
      <c r="K38" s="98"/>
      <c r="L38" s="94"/>
      <c r="M38" s="94" t="s">
        <v>36</v>
      </c>
      <c r="N38" s="94"/>
      <c r="O38" s="94"/>
      <c r="P38" s="94"/>
      <c r="Q38" s="94"/>
      <c r="R38" s="94"/>
      <c r="S38" s="94"/>
      <c r="T38" s="94" t="s">
        <v>535</v>
      </c>
      <c r="U38" s="95" t="s">
        <v>700</v>
      </c>
      <c r="V38" s="95" t="s">
        <v>701</v>
      </c>
      <c r="W38" s="95" t="s">
        <v>687</v>
      </c>
      <c r="X38" s="94" t="s">
        <v>467</v>
      </c>
      <c r="Y38" s="94" t="s">
        <v>540</v>
      </c>
      <c r="Z38" s="94"/>
      <c r="AA38" s="94" t="s">
        <v>467</v>
      </c>
      <c r="AB38" s="94" t="s">
        <v>540</v>
      </c>
      <c r="AC38" s="94"/>
      <c r="AD38" s="95" t="s">
        <v>702</v>
      </c>
      <c r="AE38" s="94" t="s">
        <v>467</v>
      </c>
      <c r="AF38" s="94" t="s">
        <v>540</v>
      </c>
      <c r="AG38" s="94"/>
      <c r="AH38" s="94" t="s">
        <v>469</v>
      </c>
      <c r="AI38" s="94" t="s">
        <v>469</v>
      </c>
      <c r="AJ38" s="96" t="s">
        <v>703</v>
      </c>
      <c r="AK38" s="94" t="s">
        <v>667</v>
      </c>
      <c r="AL38" s="97"/>
      <c r="AM38" s="54" t="s">
        <v>759</v>
      </c>
      <c r="AN38" s="31" t="b">
        <v>1</v>
      </c>
      <c r="AO38" s="31" t="b">
        <v>1</v>
      </c>
      <c r="AP38" s="31" t="b">
        <v>1</v>
      </c>
      <c r="AQ38" s="31" t="b">
        <v>1</v>
      </c>
      <c r="AR38" s="31" t="b">
        <v>1</v>
      </c>
      <c r="AS38" s="31" t="b">
        <v>1</v>
      </c>
      <c r="AT38" s="31" t="b">
        <v>1</v>
      </c>
      <c r="AU38" s="31" t="b">
        <v>1</v>
      </c>
      <c r="AV38" s="31" t="b">
        <v>1</v>
      </c>
      <c r="AW38" s="31" t="b">
        <v>1</v>
      </c>
      <c r="AX38" s="31" t="b">
        <v>1</v>
      </c>
      <c r="AY38" s="31" t="b">
        <v>1</v>
      </c>
      <c r="AZ38" s="31" t="b">
        <v>1</v>
      </c>
      <c r="BA38" s="31" t="b">
        <v>1</v>
      </c>
      <c r="BB38" s="31" t="b">
        <v>1</v>
      </c>
      <c r="BC38" s="31" t="b">
        <v>1</v>
      </c>
      <c r="BD38" s="31" t="b">
        <v>1</v>
      </c>
      <c r="BE38" s="31" t="b">
        <v>1</v>
      </c>
      <c r="BF38" s="31" t="b">
        <v>1</v>
      </c>
      <c r="BG38" s="31" t="b">
        <v>1</v>
      </c>
      <c r="BH38" s="31" t="b">
        <v>1</v>
      </c>
      <c r="BI38" s="31" t="b">
        <v>1</v>
      </c>
      <c r="BJ38" s="31" t="b">
        <v>1</v>
      </c>
      <c r="BK38" s="31" t="b">
        <v>1</v>
      </c>
      <c r="BL38" s="31" t="b">
        <v>1</v>
      </c>
      <c r="BM38" s="31" t="b">
        <v>1</v>
      </c>
      <c r="BN38" s="31" t="b">
        <v>1</v>
      </c>
      <c r="BO38" s="31" t="b">
        <v>1</v>
      </c>
      <c r="BP38" s="31" t="b">
        <v>1</v>
      </c>
      <c r="BQ38" s="31" t="b">
        <v>1</v>
      </c>
      <c r="BR38" s="31" t="b">
        <v>1</v>
      </c>
      <c r="BS38" s="31" t="b">
        <v>1</v>
      </c>
      <c r="BT38" s="31" t="b">
        <v>1</v>
      </c>
      <c r="BU38" s="31" t="b">
        <v>1</v>
      </c>
      <c r="BV38" s="31" t="b">
        <v>1</v>
      </c>
      <c r="BW38" s="31" t="b">
        <v>0</v>
      </c>
      <c r="BX38" s="31" t="b">
        <v>1</v>
      </c>
    </row>
    <row r="39" s="33" customFormat="1" ht="103" customHeight="1" spans="1:76">
      <c r="A39" s="92"/>
      <c r="B39" s="92"/>
      <c r="C39" s="94"/>
      <c r="D39" s="94"/>
      <c r="E39" s="95"/>
      <c r="F39" s="92"/>
      <c r="G39" s="95"/>
      <c r="H39" s="95"/>
      <c r="I39" s="95" t="s">
        <v>704</v>
      </c>
      <c r="J39" s="95" t="s">
        <v>705</v>
      </c>
      <c r="K39" s="98"/>
      <c r="L39" s="94"/>
      <c r="M39" s="94"/>
      <c r="N39" s="94"/>
      <c r="O39" s="94"/>
      <c r="P39" s="94"/>
      <c r="Q39" s="94"/>
      <c r="R39" s="94"/>
      <c r="S39" s="94" t="s">
        <v>36</v>
      </c>
      <c r="T39" s="94" t="s">
        <v>475</v>
      </c>
      <c r="U39" s="95"/>
      <c r="V39" s="95" t="s">
        <v>701</v>
      </c>
      <c r="W39" s="95" t="s">
        <v>706</v>
      </c>
      <c r="X39" s="94" t="s">
        <v>467</v>
      </c>
      <c r="Y39" s="94" t="s">
        <v>540</v>
      </c>
      <c r="Z39" s="94"/>
      <c r="AA39" s="94" t="s">
        <v>467</v>
      </c>
      <c r="AB39" s="94" t="s">
        <v>540</v>
      </c>
      <c r="AC39" s="94"/>
      <c r="AD39" s="95"/>
      <c r="AE39" s="94"/>
      <c r="AF39" s="94"/>
      <c r="AG39" s="94"/>
      <c r="AH39" s="94" t="s">
        <v>469</v>
      </c>
      <c r="AI39" s="94" t="s">
        <v>469</v>
      </c>
      <c r="AJ39" s="96" t="s">
        <v>703</v>
      </c>
      <c r="AK39" s="94" t="s">
        <v>667</v>
      </c>
      <c r="AL39" s="97"/>
      <c r="AM39" s="54" t="s">
        <v>759</v>
      </c>
      <c r="AN39" s="31" t="b">
        <v>1</v>
      </c>
      <c r="AO39" s="31" t="b">
        <v>1</v>
      </c>
      <c r="AP39" s="31" t="b">
        <v>1</v>
      </c>
      <c r="AQ39" s="31" t="b">
        <v>1</v>
      </c>
      <c r="AR39" s="31" t="b">
        <v>1</v>
      </c>
      <c r="AS39" s="31" t="b">
        <v>1</v>
      </c>
      <c r="AT39" s="31" t="b">
        <v>1</v>
      </c>
      <c r="AU39" s="31" t="b">
        <v>1</v>
      </c>
      <c r="AV39" s="31" t="b">
        <v>1</v>
      </c>
      <c r="AW39" s="31" t="b">
        <v>1</v>
      </c>
      <c r="AX39" s="31" t="b">
        <v>1</v>
      </c>
      <c r="AY39" s="31" t="b">
        <v>1</v>
      </c>
      <c r="AZ39" s="31" t="b">
        <v>1</v>
      </c>
      <c r="BA39" s="31" t="b">
        <v>1</v>
      </c>
      <c r="BB39" s="31" t="b">
        <v>1</v>
      </c>
      <c r="BC39" s="31" t="b">
        <v>1</v>
      </c>
      <c r="BD39" s="31" t="b">
        <v>1</v>
      </c>
      <c r="BE39" s="31" t="b">
        <v>1</v>
      </c>
      <c r="BF39" s="31" t="b">
        <v>1</v>
      </c>
      <c r="BG39" s="31" t="b">
        <v>1</v>
      </c>
      <c r="BH39" s="31" t="b">
        <v>1</v>
      </c>
      <c r="BI39" s="31" t="b">
        <v>1</v>
      </c>
      <c r="BJ39" s="31" t="b">
        <v>1</v>
      </c>
      <c r="BK39" s="31" t="b">
        <v>1</v>
      </c>
      <c r="BL39" s="31" t="b">
        <v>1</v>
      </c>
      <c r="BM39" s="31" t="b">
        <v>1</v>
      </c>
      <c r="BN39" s="31" t="b">
        <v>1</v>
      </c>
      <c r="BO39" s="31" t="b">
        <v>1</v>
      </c>
      <c r="BP39" s="31" t="b">
        <v>1</v>
      </c>
      <c r="BQ39" s="31" t="b">
        <v>1</v>
      </c>
      <c r="BR39" s="31" t="b">
        <v>1</v>
      </c>
      <c r="BS39" s="31" t="b">
        <v>1</v>
      </c>
      <c r="BT39" s="31" t="b">
        <v>1</v>
      </c>
      <c r="BU39" s="31" t="b">
        <v>1</v>
      </c>
      <c r="BV39" s="31" t="b">
        <v>1</v>
      </c>
      <c r="BW39" s="31" t="b">
        <v>0</v>
      </c>
      <c r="BX39" s="31" t="b">
        <v>1</v>
      </c>
    </row>
    <row r="40" s="33" customFormat="1" ht="221" customHeight="1" spans="1:76">
      <c r="A40" s="92"/>
      <c r="B40" s="92"/>
      <c r="C40" s="94"/>
      <c r="D40" s="95" t="s">
        <v>707</v>
      </c>
      <c r="E40" s="95" t="s">
        <v>708</v>
      </c>
      <c r="F40" s="93"/>
      <c r="G40" s="95" t="s">
        <v>709</v>
      </c>
      <c r="H40" s="95" t="s">
        <v>710</v>
      </c>
      <c r="I40" s="95" t="s">
        <v>711</v>
      </c>
      <c r="J40" s="95" t="s">
        <v>712</v>
      </c>
      <c r="K40" s="98"/>
      <c r="L40" s="94"/>
      <c r="M40" s="94" t="s">
        <v>36</v>
      </c>
      <c r="N40" s="94"/>
      <c r="O40" s="94" t="s">
        <v>36</v>
      </c>
      <c r="P40" s="94" t="s">
        <v>36</v>
      </c>
      <c r="Q40" s="94" t="s">
        <v>36</v>
      </c>
      <c r="R40" s="94"/>
      <c r="S40" s="94"/>
      <c r="T40" s="94" t="s">
        <v>535</v>
      </c>
      <c r="U40" s="95" t="s">
        <v>713</v>
      </c>
      <c r="V40" s="95" t="s">
        <v>714</v>
      </c>
      <c r="W40" s="95" t="s">
        <v>683</v>
      </c>
      <c r="X40" s="94" t="s">
        <v>465</v>
      </c>
      <c r="Y40" s="94" t="s">
        <v>540</v>
      </c>
      <c r="Z40" s="94"/>
      <c r="AA40" s="94" t="s">
        <v>465</v>
      </c>
      <c r="AB40" s="94" t="s">
        <v>540</v>
      </c>
      <c r="AC40" s="94"/>
      <c r="AD40" s="95" t="s">
        <v>715</v>
      </c>
      <c r="AE40" s="94" t="s">
        <v>527</v>
      </c>
      <c r="AF40" s="94" t="s">
        <v>540</v>
      </c>
      <c r="AG40" s="94"/>
      <c r="AH40" s="94" t="s">
        <v>469</v>
      </c>
      <c r="AI40" s="94" t="s">
        <v>469</v>
      </c>
      <c r="AJ40" s="95" t="s">
        <v>716</v>
      </c>
      <c r="AK40" s="94" t="s">
        <v>637</v>
      </c>
      <c r="AL40" s="97"/>
      <c r="AM40" s="54" t="s">
        <v>759</v>
      </c>
      <c r="AN40" s="31" t="b">
        <v>1</v>
      </c>
      <c r="AO40" s="31" t="b">
        <v>1</v>
      </c>
      <c r="AP40" s="31" t="b">
        <v>1</v>
      </c>
      <c r="AQ40" s="31" t="b">
        <v>1</v>
      </c>
      <c r="AR40" s="31" t="b">
        <v>1</v>
      </c>
      <c r="AS40" s="31" t="b">
        <v>1</v>
      </c>
      <c r="AT40" s="31" t="b">
        <v>1</v>
      </c>
      <c r="AU40" s="31" t="b">
        <v>1</v>
      </c>
      <c r="AV40" s="31" t="b">
        <v>1</v>
      </c>
      <c r="AW40" s="31" t="b">
        <v>1</v>
      </c>
      <c r="AX40" s="31" t="b">
        <v>1</v>
      </c>
      <c r="AY40" s="31" t="b">
        <v>1</v>
      </c>
      <c r="AZ40" s="31" t="b">
        <v>1</v>
      </c>
      <c r="BA40" s="31" t="b">
        <v>1</v>
      </c>
      <c r="BB40" s="31" t="b">
        <v>1</v>
      </c>
      <c r="BC40" s="31" t="b">
        <v>1</v>
      </c>
      <c r="BD40" s="31" t="b">
        <v>1</v>
      </c>
      <c r="BE40" s="31" t="b">
        <v>1</v>
      </c>
      <c r="BF40" s="31" t="b">
        <v>1</v>
      </c>
      <c r="BG40" s="31" t="b">
        <v>1</v>
      </c>
      <c r="BH40" s="31" t="b">
        <v>1</v>
      </c>
      <c r="BI40" s="31" t="b">
        <v>1</v>
      </c>
      <c r="BJ40" s="31" t="b">
        <v>1</v>
      </c>
      <c r="BK40" s="31" t="b">
        <v>1</v>
      </c>
      <c r="BL40" s="31" t="b">
        <v>1</v>
      </c>
      <c r="BM40" s="31" t="b">
        <v>1</v>
      </c>
      <c r="BN40" s="31" t="b">
        <v>1</v>
      </c>
      <c r="BO40" s="31" t="b">
        <v>1</v>
      </c>
      <c r="BP40" s="31" t="b">
        <v>1</v>
      </c>
      <c r="BQ40" s="31" t="b">
        <v>1</v>
      </c>
      <c r="BR40" s="31" t="b">
        <v>1</v>
      </c>
      <c r="BS40" s="31" t="b">
        <v>1</v>
      </c>
      <c r="BT40" s="31" t="b">
        <v>1</v>
      </c>
      <c r="BU40" s="31" t="b">
        <v>1</v>
      </c>
      <c r="BV40" s="31" t="b">
        <v>1</v>
      </c>
      <c r="BW40" s="31" t="b">
        <v>0</v>
      </c>
      <c r="BX40" s="31" t="b">
        <v>1</v>
      </c>
    </row>
    <row r="41" s="33" customFormat="1" ht="96" customHeight="1" spans="1:76">
      <c r="A41" s="92"/>
      <c r="B41" s="92" t="s">
        <v>566</v>
      </c>
      <c r="C41" s="94" t="s">
        <v>454</v>
      </c>
      <c r="D41" s="94" t="s">
        <v>588</v>
      </c>
      <c r="E41" s="95" t="s">
        <v>717</v>
      </c>
      <c r="F41" s="92"/>
      <c r="G41" s="95" t="s">
        <v>718</v>
      </c>
      <c r="H41" s="95" t="s">
        <v>719</v>
      </c>
      <c r="I41" s="95" t="s">
        <v>720</v>
      </c>
      <c r="J41" s="95" t="s">
        <v>721</v>
      </c>
      <c r="K41" s="94"/>
      <c r="L41" s="94"/>
      <c r="M41" s="94" t="s">
        <v>36</v>
      </c>
      <c r="N41" s="94"/>
      <c r="O41" s="94"/>
      <c r="P41" s="94"/>
      <c r="Q41" s="94"/>
      <c r="R41" s="94"/>
      <c r="S41" s="94"/>
      <c r="T41" s="94" t="s">
        <v>475</v>
      </c>
      <c r="U41" s="95"/>
      <c r="V41" s="95" t="s">
        <v>722</v>
      </c>
      <c r="W41" s="95" t="s">
        <v>683</v>
      </c>
      <c r="X41" s="94" t="s">
        <v>503</v>
      </c>
      <c r="Y41" s="94" t="s">
        <v>540</v>
      </c>
      <c r="Z41" s="94"/>
      <c r="AA41" s="94" t="s">
        <v>503</v>
      </c>
      <c r="AB41" s="94" t="s">
        <v>540</v>
      </c>
      <c r="AC41" s="94"/>
      <c r="AD41" s="95"/>
      <c r="AE41" s="94"/>
      <c r="AF41" s="94"/>
      <c r="AG41" s="94"/>
      <c r="AH41" s="94" t="s">
        <v>469</v>
      </c>
      <c r="AI41" s="94" t="s">
        <v>469</v>
      </c>
      <c r="AJ41" s="96" t="s">
        <v>723</v>
      </c>
      <c r="AK41" s="94" t="s">
        <v>637</v>
      </c>
      <c r="AL41" s="97"/>
      <c r="AM41" s="54" t="s">
        <v>759</v>
      </c>
      <c r="AN41" s="31" t="b">
        <v>1</v>
      </c>
      <c r="AO41" s="31" t="b">
        <v>1</v>
      </c>
      <c r="AP41" s="31" t="b">
        <v>1</v>
      </c>
      <c r="AQ41" s="31" t="b">
        <v>1</v>
      </c>
      <c r="AR41" s="31" t="b">
        <v>1</v>
      </c>
      <c r="AS41" s="31" t="b">
        <v>1</v>
      </c>
      <c r="AT41" s="31" t="b">
        <v>1</v>
      </c>
      <c r="AU41" s="31" t="b">
        <v>1</v>
      </c>
      <c r="AV41" s="31" t="b">
        <v>1</v>
      </c>
      <c r="AW41" s="31" t="b">
        <v>1</v>
      </c>
      <c r="AX41" s="31" t="b">
        <v>1</v>
      </c>
      <c r="AY41" s="31" t="b">
        <v>1</v>
      </c>
      <c r="AZ41" s="31" t="b">
        <v>1</v>
      </c>
      <c r="BA41" s="31" t="b">
        <v>1</v>
      </c>
      <c r="BB41" s="31" t="b">
        <v>1</v>
      </c>
      <c r="BC41" s="31" t="b">
        <v>1</v>
      </c>
      <c r="BD41" s="31" t="b">
        <v>1</v>
      </c>
      <c r="BE41" s="31" t="b">
        <v>1</v>
      </c>
      <c r="BF41" s="31" t="b">
        <v>1</v>
      </c>
      <c r="BG41" s="31" t="b">
        <v>1</v>
      </c>
      <c r="BH41" s="31" t="b">
        <v>1</v>
      </c>
      <c r="BI41" s="31" t="b">
        <v>1</v>
      </c>
      <c r="BJ41" s="31" t="b">
        <v>1</v>
      </c>
      <c r="BK41" s="31" t="b">
        <v>1</v>
      </c>
      <c r="BL41" s="31" t="b">
        <v>1</v>
      </c>
      <c r="BM41" s="31" t="b">
        <v>1</v>
      </c>
      <c r="BN41" s="31" t="b">
        <v>1</v>
      </c>
      <c r="BO41" s="31" t="b">
        <v>1</v>
      </c>
      <c r="BP41" s="31" t="b">
        <v>1</v>
      </c>
      <c r="BQ41" s="31" t="b">
        <v>1</v>
      </c>
      <c r="BR41" s="31" t="b">
        <v>1</v>
      </c>
      <c r="BS41" s="31" t="b">
        <v>1</v>
      </c>
      <c r="BT41" s="31" t="b">
        <v>1</v>
      </c>
      <c r="BU41" s="31" t="b">
        <v>1</v>
      </c>
      <c r="BV41" s="31" t="b">
        <v>1</v>
      </c>
      <c r="BW41" s="31" t="b">
        <v>0</v>
      </c>
      <c r="BX41" s="31" t="b">
        <v>1</v>
      </c>
    </row>
    <row r="42" s="33" customFormat="1" ht="102" customHeight="1" spans="1:76">
      <c r="A42" s="92"/>
      <c r="B42" s="92"/>
      <c r="C42" s="94"/>
      <c r="D42" s="94"/>
      <c r="E42" s="95"/>
      <c r="F42" s="92"/>
      <c r="G42" s="95"/>
      <c r="H42" s="95"/>
      <c r="I42" s="95" t="s">
        <v>724</v>
      </c>
      <c r="J42" s="95" t="s">
        <v>725</v>
      </c>
      <c r="K42" s="94"/>
      <c r="L42" s="94"/>
      <c r="M42" s="94" t="s">
        <v>36</v>
      </c>
      <c r="N42" s="94"/>
      <c r="O42" s="94" t="s">
        <v>36</v>
      </c>
      <c r="P42" s="94"/>
      <c r="Q42" s="94"/>
      <c r="R42" s="94"/>
      <c r="S42" s="94"/>
      <c r="T42" s="94" t="s">
        <v>475</v>
      </c>
      <c r="U42" s="95"/>
      <c r="V42" s="95" t="s">
        <v>726</v>
      </c>
      <c r="W42" s="95" t="s">
        <v>683</v>
      </c>
      <c r="X42" s="94" t="s">
        <v>503</v>
      </c>
      <c r="Y42" s="94" t="s">
        <v>540</v>
      </c>
      <c r="Z42" s="94"/>
      <c r="AA42" s="94" t="s">
        <v>503</v>
      </c>
      <c r="AB42" s="94" t="s">
        <v>540</v>
      </c>
      <c r="AC42" s="94"/>
      <c r="AD42" s="95"/>
      <c r="AE42" s="94"/>
      <c r="AF42" s="94"/>
      <c r="AG42" s="94"/>
      <c r="AH42" s="94" t="s">
        <v>469</v>
      </c>
      <c r="AI42" s="94" t="s">
        <v>469</v>
      </c>
      <c r="AJ42" s="96" t="s">
        <v>723</v>
      </c>
      <c r="AK42" s="94" t="s">
        <v>637</v>
      </c>
      <c r="AL42" s="97"/>
      <c r="AM42" s="54" t="s">
        <v>759</v>
      </c>
      <c r="AN42" s="31" t="b">
        <v>1</v>
      </c>
      <c r="AO42" s="31" t="b">
        <v>1</v>
      </c>
      <c r="AP42" s="31" t="b">
        <v>1</v>
      </c>
      <c r="AQ42" s="31" t="b">
        <v>1</v>
      </c>
      <c r="AR42" s="31" t="b">
        <v>1</v>
      </c>
      <c r="AS42" s="31" t="b">
        <v>1</v>
      </c>
      <c r="AT42" s="31" t="b">
        <v>1</v>
      </c>
      <c r="AU42" s="31" t="b">
        <v>1</v>
      </c>
      <c r="AV42" s="31" t="b">
        <v>1</v>
      </c>
      <c r="AW42" s="31" t="b">
        <v>1</v>
      </c>
      <c r="AX42" s="31" t="b">
        <v>1</v>
      </c>
      <c r="AY42" s="31" t="b">
        <v>1</v>
      </c>
      <c r="AZ42" s="31" t="b">
        <v>1</v>
      </c>
      <c r="BA42" s="31" t="b">
        <v>1</v>
      </c>
      <c r="BB42" s="31" t="b">
        <v>1</v>
      </c>
      <c r="BC42" s="31" t="b">
        <v>1</v>
      </c>
      <c r="BD42" s="31" t="b">
        <v>1</v>
      </c>
      <c r="BE42" s="31" t="b">
        <v>1</v>
      </c>
      <c r="BF42" s="31" t="b">
        <v>1</v>
      </c>
      <c r="BG42" s="31" t="b">
        <v>1</v>
      </c>
      <c r="BH42" s="31" t="b">
        <v>1</v>
      </c>
      <c r="BI42" s="31" t="b">
        <v>1</v>
      </c>
      <c r="BJ42" s="31" t="b">
        <v>1</v>
      </c>
      <c r="BK42" s="31" t="b">
        <v>1</v>
      </c>
      <c r="BL42" s="31" t="b">
        <v>1</v>
      </c>
      <c r="BM42" s="31" t="b">
        <v>1</v>
      </c>
      <c r="BN42" s="31" t="b">
        <v>1</v>
      </c>
      <c r="BO42" s="31" t="b">
        <v>1</v>
      </c>
      <c r="BP42" s="31" t="b">
        <v>1</v>
      </c>
      <c r="BQ42" s="31" t="b">
        <v>1</v>
      </c>
      <c r="BR42" s="31" t="b">
        <v>1</v>
      </c>
      <c r="BS42" s="31" t="b">
        <v>1</v>
      </c>
      <c r="BT42" s="31" t="b">
        <v>1</v>
      </c>
      <c r="BU42" s="31" t="b">
        <v>1</v>
      </c>
      <c r="BV42" s="31" t="b">
        <v>1</v>
      </c>
      <c r="BW42" s="31" t="b">
        <v>0</v>
      </c>
      <c r="BX42" s="31" t="b">
        <v>1</v>
      </c>
    </row>
    <row r="43" s="33" customFormat="1" ht="101" customHeight="1" spans="1:76">
      <c r="A43" s="92"/>
      <c r="B43" s="92"/>
      <c r="C43" s="94"/>
      <c r="D43" s="94"/>
      <c r="E43" s="95"/>
      <c r="F43" s="92"/>
      <c r="G43" s="95"/>
      <c r="H43" s="95"/>
      <c r="I43" s="95" t="s">
        <v>727</v>
      </c>
      <c r="J43" s="95" t="s">
        <v>728</v>
      </c>
      <c r="K43" s="98"/>
      <c r="L43" s="94"/>
      <c r="M43" s="94" t="s">
        <v>36</v>
      </c>
      <c r="N43" s="94"/>
      <c r="O43" s="94"/>
      <c r="P43" s="94"/>
      <c r="Q43" s="94"/>
      <c r="R43" s="94"/>
      <c r="S43" s="94"/>
      <c r="T43" s="94" t="s">
        <v>535</v>
      </c>
      <c r="U43" s="95" t="s">
        <v>713</v>
      </c>
      <c r="V43" s="95" t="s">
        <v>729</v>
      </c>
      <c r="W43" s="95" t="s">
        <v>706</v>
      </c>
      <c r="X43" s="94" t="s">
        <v>503</v>
      </c>
      <c r="Y43" s="94" t="s">
        <v>540</v>
      </c>
      <c r="Z43" s="94"/>
      <c r="AA43" s="94" t="s">
        <v>503</v>
      </c>
      <c r="AB43" s="94" t="s">
        <v>540</v>
      </c>
      <c r="AC43" s="94"/>
      <c r="AD43" s="95" t="s">
        <v>730</v>
      </c>
      <c r="AE43" s="94" t="s">
        <v>467</v>
      </c>
      <c r="AF43" s="94" t="s">
        <v>466</v>
      </c>
      <c r="AG43" s="94"/>
      <c r="AH43" s="94" t="s">
        <v>469</v>
      </c>
      <c r="AI43" s="94" t="s">
        <v>469</v>
      </c>
      <c r="AJ43" s="96" t="s">
        <v>723</v>
      </c>
      <c r="AK43" s="94" t="s">
        <v>637</v>
      </c>
      <c r="AL43" s="97"/>
      <c r="AM43" s="54" t="s">
        <v>759</v>
      </c>
      <c r="AN43" s="31" t="b">
        <v>1</v>
      </c>
      <c r="AO43" s="31" t="b">
        <v>1</v>
      </c>
      <c r="AP43" s="31" t="b">
        <v>1</v>
      </c>
      <c r="AQ43" s="31" t="b">
        <v>1</v>
      </c>
      <c r="AR43" s="31" t="b">
        <v>1</v>
      </c>
      <c r="AS43" s="31" t="b">
        <v>1</v>
      </c>
      <c r="AT43" s="31" t="b">
        <v>1</v>
      </c>
      <c r="AU43" s="31" t="b">
        <v>1</v>
      </c>
      <c r="AV43" s="31" t="b">
        <v>1</v>
      </c>
      <c r="AW43" s="31" t="b">
        <v>1</v>
      </c>
      <c r="AX43" s="31" t="b">
        <v>1</v>
      </c>
      <c r="AY43" s="31" t="b">
        <v>1</v>
      </c>
      <c r="AZ43" s="31" t="b">
        <v>1</v>
      </c>
      <c r="BA43" s="31" t="b">
        <v>1</v>
      </c>
      <c r="BB43" s="31" t="b">
        <v>1</v>
      </c>
      <c r="BC43" s="31" t="b">
        <v>1</v>
      </c>
      <c r="BD43" s="31" t="b">
        <v>1</v>
      </c>
      <c r="BE43" s="31" t="b">
        <v>1</v>
      </c>
      <c r="BF43" s="31" t="b">
        <v>1</v>
      </c>
      <c r="BG43" s="31" t="b">
        <v>1</v>
      </c>
      <c r="BH43" s="31" t="b">
        <v>1</v>
      </c>
      <c r="BI43" s="31" t="b">
        <v>1</v>
      </c>
      <c r="BJ43" s="31" t="b">
        <v>1</v>
      </c>
      <c r="BK43" s="31" t="b">
        <v>1</v>
      </c>
      <c r="BL43" s="31" t="b">
        <v>1</v>
      </c>
      <c r="BM43" s="31" t="b">
        <v>1</v>
      </c>
      <c r="BN43" s="31" t="b">
        <v>1</v>
      </c>
      <c r="BO43" s="31" t="b">
        <v>1</v>
      </c>
      <c r="BP43" s="31" t="b">
        <v>1</v>
      </c>
      <c r="BQ43" s="31" t="b">
        <v>1</v>
      </c>
      <c r="BR43" s="31" t="b">
        <v>1</v>
      </c>
      <c r="BS43" s="31" t="b">
        <v>1</v>
      </c>
      <c r="BT43" s="31" t="b">
        <v>1</v>
      </c>
      <c r="BU43" s="31" t="b">
        <v>1</v>
      </c>
      <c r="BV43" s="31" t="b">
        <v>1</v>
      </c>
      <c r="BW43" s="31" t="b">
        <v>0</v>
      </c>
      <c r="BX43" s="31" t="b">
        <v>1</v>
      </c>
    </row>
    <row r="44" s="33" customFormat="1" ht="127" customHeight="1" spans="1:76">
      <c r="A44" s="92"/>
      <c r="B44" s="92"/>
      <c r="C44" s="94" t="s">
        <v>454</v>
      </c>
      <c r="D44" s="94" t="s">
        <v>731</v>
      </c>
      <c r="E44" s="94" t="s">
        <v>732</v>
      </c>
      <c r="F44" s="92" t="s">
        <v>733</v>
      </c>
      <c r="G44" s="94" t="s">
        <v>734</v>
      </c>
      <c r="H44" s="94" t="s">
        <v>735</v>
      </c>
      <c r="I44" s="95" t="s">
        <v>736</v>
      </c>
      <c r="J44" s="95" t="s">
        <v>737</v>
      </c>
      <c r="K44" s="94"/>
      <c r="L44" s="94"/>
      <c r="M44" s="94" t="s">
        <v>36</v>
      </c>
      <c r="N44" s="94"/>
      <c r="O44" s="94" t="s">
        <v>36</v>
      </c>
      <c r="P44" s="94"/>
      <c r="Q44" s="94"/>
      <c r="R44" s="94" t="s">
        <v>36</v>
      </c>
      <c r="S44" s="94"/>
      <c r="T44" s="94" t="s">
        <v>475</v>
      </c>
      <c r="U44" s="95"/>
      <c r="V44" s="95" t="s">
        <v>738</v>
      </c>
      <c r="W44" s="95" t="s">
        <v>654</v>
      </c>
      <c r="X44" s="94" t="s">
        <v>467</v>
      </c>
      <c r="Y44" s="94" t="s">
        <v>466</v>
      </c>
      <c r="Z44" s="94"/>
      <c r="AA44" s="94" t="s">
        <v>467</v>
      </c>
      <c r="AB44" s="94" t="s">
        <v>466</v>
      </c>
      <c r="AC44" s="94"/>
      <c r="AD44" s="95"/>
      <c r="AE44" s="94"/>
      <c r="AF44" s="94"/>
      <c r="AG44" s="94"/>
      <c r="AH44" s="94" t="s">
        <v>469</v>
      </c>
      <c r="AI44" s="94" t="s">
        <v>469</v>
      </c>
      <c r="AJ44" s="95" t="s">
        <v>739</v>
      </c>
      <c r="AK44" s="94" t="s">
        <v>637</v>
      </c>
      <c r="AL44" s="97"/>
      <c r="AM44" s="54" t="s">
        <v>759</v>
      </c>
      <c r="AN44" s="31" t="b">
        <v>1</v>
      </c>
      <c r="AO44" s="31" t="b">
        <v>1</v>
      </c>
      <c r="AP44" s="31" t="b">
        <v>1</v>
      </c>
      <c r="AQ44" s="31" t="b">
        <v>1</v>
      </c>
      <c r="AR44" s="31" t="b">
        <v>1</v>
      </c>
      <c r="AS44" s="31" t="b">
        <v>1</v>
      </c>
      <c r="AT44" s="31" t="b">
        <v>1</v>
      </c>
      <c r="AU44" s="31" t="b">
        <v>1</v>
      </c>
      <c r="AV44" s="31" t="b">
        <v>1</v>
      </c>
      <c r="AW44" s="31" t="b">
        <v>1</v>
      </c>
      <c r="AX44" s="31" t="b">
        <v>1</v>
      </c>
      <c r="AY44" s="31" t="b">
        <v>1</v>
      </c>
      <c r="AZ44" s="31" t="b">
        <v>1</v>
      </c>
      <c r="BA44" s="31" t="b">
        <v>1</v>
      </c>
      <c r="BB44" s="31" t="b">
        <v>1</v>
      </c>
      <c r="BC44" s="31" t="b">
        <v>1</v>
      </c>
      <c r="BD44" s="31" t="b">
        <v>1</v>
      </c>
      <c r="BE44" s="31" t="b">
        <v>1</v>
      </c>
      <c r="BF44" s="31" t="b">
        <v>1</v>
      </c>
      <c r="BG44" s="31" t="b">
        <v>1</v>
      </c>
      <c r="BH44" s="31" t="b">
        <v>1</v>
      </c>
      <c r="BI44" s="31" t="b">
        <v>1</v>
      </c>
      <c r="BJ44" s="31" t="b">
        <v>1</v>
      </c>
      <c r="BK44" s="31" t="b">
        <v>1</v>
      </c>
      <c r="BL44" s="31" t="b">
        <v>1</v>
      </c>
      <c r="BM44" s="31" t="b">
        <v>1</v>
      </c>
      <c r="BN44" s="31" t="b">
        <v>1</v>
      </c>
      <c r="BO44" s="31" t="b">
        <v>1</v>
      </c>
      <c r="BP44" s="31" t="b">
        <v>1</v>
      </c>
      <c r="BQ44" s="31" t="b">
        <v>1</v>
      </c>
      <c r="BR44" s="31" t="b">
        <v>1</v>
      </c>
      <c r="BS44" s="31" t="b">
        <v>1</v>
      </c>
      <c r="BT44" s="31" t="b">
        <v>1</v>
      </c>
      <c r="BU44" s="31" t="b">
        <v>1</v>
      </c>
      <c r="BV44" s="31" t="b">
        <v>1</v>
      </c>
      <c r="BW44" s="31" t="b">
        <v>0</v>
      </c>
      <c r="BX44" s="31" t="b">
        <v>1</v>
      </c>
    </row>
    <row r="45" s="33" customFormat="1" ht="144" customHeight="1" spans="1:76">
      <c r="A45" s="92"/>
      <c r="B45" s="92"/>
      <c r="C45" s="94"/>
      <c r="D45" s="94"/>
      <c r="E45" s="94"/>
      <c r="F45" s="92"/>
      <c r="G45" s="94"/>
      <c r="H45" s="94"/>
      <c r="I45" s="95" t="s">
        <v>740</v>
      </c>
      <c r="J45" s="95" t="s">
        <v>741</v>
      </c>
      <c r="K45" s="94"/>
      <c r="L45" s="94"/>
      <c r="M45" s="94" t="s">
        <v>36</v>
      </c>
      <c r="N45" s="94"/>
      <c r="O45" s="94" t="s">
        <v>36</v>
      </c>
      <c r="P45" s="94"/>
      <c r="Q45" s="94"/>
      <c r="R45" s="94" t="s">
        <v>36</v>
      </c>
      <c r="S45" s="94"/>
      <c r="T45" s="94" t="s">
        <v>475</v>
      </c>
      <c r="U45" s="95"/>
      <c r="V45" s="95" t="s">
        <v>738</v>
      </c>
      <c r="W45" s="95" t="s">
        <v>654</v>
      </c>
      <c r="X45" s="94" t="s">
        <v>467</v>
      </c>
      <c r="Y45" s="94" t="s">
        <v>466</v>
      </c>
      <c r="Z45" s="94"/>
      <c r="AA45" s="94" t="s">
        <v>467</v>
      </c>
      <c r="AB45" s="94" t="s">
        <v>466</v>
      </c>
      <c r="AC45" s="94"/>
      <c r="AD45" s="95"/>
      <c r="AE45" s="94"/>
      <c r="AF45" s="94"/>
      <c r="AG45" s="94"/>
      <c r="AH45" s="94" t="s">
        <v>469</v>
      </c>
      <c r="AI45" s="94" t="s">
        <v>469</v>
      </c>
      <c r="AJ45" s="95" t="s">
        <v>739</v>
      </c>
      <c r="AK45" s="94" t="s">
        <v>637</v>
      </c>
      <c r="AL45" s="97"/>
      <c r="AM45" s="54" t="s">
        <v>759</v>
      </c>
      <c r="AN45" s="31" t="b">
        <v>1</v>
      </c>
      <c r="AO45" s="31" t="b">
        <v>1</v>
      </c>
      <c r="AP45" s="31" t="b">
        <v>1</v>
      </c>
      <c r="AQ45" s="31" t="b">
        <v>1</v>
      </c>
      <c r="AR45" s="31" t="b">
        <v>1</v>
      </c>
      <c r="AS45" s="31" t="b">
        <v>1</v>
      </c>
      <c r="AT45" s="31" t="b">
        <v>1</v>
      </c>
      <c r="AU45" s="31" t="b">
        <v>1</v>
      </c>
      <c r="AV45" s="31" t="b">
        <v>1</v>
      </c>
      <c r="AW45" s="31" t="b">
        <v>1</v>
      </c>
      <c r="AX45" s="31" t="b">
        <v>1</v>
      </c>
      <c r="AY45" s="31" t="b">
        <v>1</v>
      </c>
      <c r="AZ45" s="31" t="b">
        <v>1</v>
      </c>
      <c r="BA45" s="31" t="b">
        <v>1</v>
      </c>
      <c r="BB45" s="31" t="b">
        <v>1</v>
      </c>
      <c r="BC45" s="31" t="b">
        <v>1</v>
      </c>
      <c r="BD45" s="31" t="b">
        <v>1</v>
      </c>
      <c r="BE45" s="31" t="b">
        <v>1</v>
      </c>
      <c r="BF45" s="31" t="b">
        <v>1</v>
      </c>
      <c r="BG45" s="31" t="b">
        <v>1</v>
      </c>
      <c r="BH45" s="31" t="b">
        <v>1</v>
      </c>
      <c r="BI45" s="31" t="b">
        <v>1</v>
      </c>
      <c r="BJ45" s="31" t="b">
        <v>1</v>
      </c>
      <c r="BK45" s="31" t="b">
        <v>1</v>
      </c>
      <c r="BL45" s="31" t="b">
        <v>1</v>
      </c>
      <c r="BM45" s="31" t="b">
        <v>1</v>
      </c>
      <c r="BN45" s="31" t="b">
        <v>1</v>
      </c>
      <c r="BO45" s="31" t="b">
        <v>1</v>
      </c>
      <c r="BP45" s="31" t="b">
        <v>1</v>
      </c>
      <c r="BQ45" s="31" t="b">
        <v>1</v>
      </c>
      <c r="BR45" s="31" t="b">
        <v>1</v>
      </c>
      <c r="BS45" s="31" t="b">
        <v>1</v>
      </c>
      <c r="BT45" s="31" t="b">
        <v>1</v>
      </c>
      <c r="BU45" s="31" t="b">
        <v>1</v>
      </c>
      <c r="BV45" s="31" t="b">
        <v>1</v>
      </c>
      <c r="BW45" s="31" t="b">
        <v>0</v>
      </c>
      <c r="BX45" s="31" t="b">
        <v>1</v>
      </c>
    </row>
    <row r="46" s="33" customFormat="1" ht="90" customHeight="1" spans="1:76">
      <c r="A46" s="92"/>
      <c r="B46" s="92"/>
      <c r="C46" s="94"/>
      <c r="D46" s="94"/>
      <c r="E46" s="94"/>
      <c r="F46" s="92"/>
      <c r="G46" s="94"/>
      <c r="H46" s="94"/>
      <c r="I46" s="95" t="s">
        <v>742</v>
      </c>
      <c r="J46" s="95" t="s">
        <v>743</v>
      </c>
      <c r="K46" s="94"/>
      <c r="L46" s="94"/>
      <c r="M46" s="94"/>
      <c r="N46" s="94"/>
      <c r="O46" s="94"/>
      <c r="P46" s="94"/>
      <c r="Q46" s="94"/>
      <c r="R46" s="94"/>
      <c r="S46" s="94" t="s">
        <v>36</v>
      </c>
      <c r="T46" s="94" t="s">
        <v>475</v>
      </c>
      <c r="U46" s="95"/>
      <c r="V46" s="95" t="s">
        <v>738</v>
      </c>
      <c r="W46" s="95" t="s">
        <v>706</v>
      </c>
      <c r="X46" s="94" t="s">
        <v>467</v>
      </c>
      <c r="Y46" s="94" t="s">
        <v>466</v>
      </c>
      <c r="Z46" s="94"/>
      <c r="AA46" s="94" t="s">
        <v>467</v>
      </c>
      <c r="AB46" s="94" t="s">
        <v>466</v>
      </c>
      <c r="AC46" s="94"/>
      <c r="AD46" s="95"/>
      <c r="AE46" s="94"/>
      <c r="AF46" s="94"/>
      <c r="AG46" s="94"/>
      <c r="AH46" s="94" t="s">
        <v>469</v>
      </c>
      <c r="AI46" s="94" t="s">
        <v>469</v>
      </c>
      <c r="AJ46" s="95" t="s">
        <v>739</v>
      </c>
      <c r="AK46" s="94" t="s">
        <v>637</v>
      </c>
      <c r="AL46" s="97"/>
      <c r="AM46" s="54" t="s">
        <v>759</v>
      </c>
      <c r="AN46" s="31" t="b">
        <v>1</v>
      </c>
      <c r="AO46" s="31" t="b">
        <v>1</v>
      </c>
      <c r="AP46" s="31" t="b">
        <v>1</v>
      </c>
      <c r="AQ46" s="31" t="b">
        <v>1</v>
      </c>
      <c r="AR46" s="31" t="b">
        <v>1</v>
      </c>
      <c r="AS46" s="31" t="b">
        <v>1</v>
      </c>
      <c r="AT46" s="31" t="b">
        <v>1</v>
      </c>
      <c r="AU46" s="31" t="b">
        <v>1</v>
      </c>
      <c r="AV46" s="31" t="b">
        <v>1</v>
      </c>
      <c r="AW46" s="31" t="b">
        <v>1</v>
      </c>
      <c r="AX46" s="31" t="b">
        <v>1</v>
      </c>
      <c r="AY46" s="31" t="b">
        <v>1</v>
      </c>
      <c r="AZ46" s="31" t="b">
        <v>1</v>
      </c>
      <c r="BA46" s="31" t="b">
        <v>1</v>
      </c>
      <c r="BB46" s="31" t="b">
        <v>1</v>
      </c>
      <c r="BC46" s="31" t="b">
        <v>1</v>
      </c>
      <c r="BD46" s="31" t="b">
        <v>1</v>
      </c>
      <c r="BE46" s="31" t="b">
        <v>1</v>
      </c>
      <c r="BF46" s="31" t="b">
        <v>1</v>
      </c>
      <c r="BG46" s="31" t="b">
        <v>1</v>
      </c>
      <c r="BH46" s="31" t="b">
        <v>1</v>
      </c>
      <c r="BI46" s="31" t="b">
        <v>1</v>
      </c>
      <c r="BJ46" s="31" t="b">
        <v>1</v>
      </c>
      <c r="BK46" s="31" t="b">
        <v>1</v>
      </c>
      <c r="BL46" s="31" t="b">
        <v>1</v>
      </c>
      <c r="BM46" s="31" t="b">
        <v>1</v>
      </c>
      <c r="BN46" s="31" t="b">
        <v>1</v>
      </c>
      <c r="BO46" s="31" t="b">
        <v>1</v>
      </c>
      <c r="BP46" s="31" t="b">
        <v>1</v>
      </c>
      <c r="BQ46" s="31" t="b">
        <v>1</v>
      </c>
      <c r="BR46" s="31" t="b">
        <v>1</v>
      </c>
      <c r="BS46" s="31" t="b">
        <v>1</v>
      </c>
      <c r="BT46" s="31" t="b">
        <v>1</v>
      </c>
      <c r="BU46" s="31" t="b">
        <v>1</v>
      </c>
      <c r="BV46" s="31" t="b">
        <v>1</v>
      </c>
      <c r="BW46" s="31" t="b">
        <v>0</v>
      </c>
      <c r="BX46" s="31" t="b">
        <v>1</v>
      </c>
    </row>
    <row r="47" s="34" customFormat="1" ht="52.8" spans="1:76">
      <c r="A47" s="92"/>
      <c r="B47" s="92"/>
      <c r="C47" s="94"/>
      <c r="D47" s="94"/>
      <c r="E47" s="94"/>
      <c r="F47" s="92"/>
      <c r="G47" s="94"/>
      <c r="H47" s="94"/>
      <c r="I47" s="109" t="s">
        <v>744</v>
      </c>
      <c r="J47" s="109" t="s">
        <v>745</v>
      </c>
      <c r="K47" s="110"/>
      <c r="L47" s="110"/>
      <c r="M47" s="110"/>
      <c r="N47" s="110"/>
      <c r="O47" s="110"/>
      <c r="P47" s="110"/>
      <c r="Q47" s="110"/>
      <c r="R47" s="110"/>
      <c r="S47" s="104" t="s">
        <v>36</v>
      </c>
      <c r="T47" s="104" t="s">
        <v>475</v>
      </c>
      <c r="U47" s="111"/>
      <c r="V47" s="109" t="s">
        <v>746</v>
      </c>
      <c r="W47" s="109" t="s">
        <v>706</v>
      </c>
      <c r="X47" s="104" t="s">
        <v>467</v>
      </c>
      <c r="Y47" s="104" t="s">
        <v>466</v>
      </c>
      <c r="Z47" s="104"/>
      <c r="AA47" s="104" t="s">
        <v>467</v>
      </c>
      <c r="AB47" s="104" t="s">
        <v>466</v>
      </c>
      <c r="AC47" s="104"/>
      <c r="AD47" s="109"/>
      <c r="AE47" s="104"/>
      <c r="AF47" s="104"/>
      <c r="AG47" s="104"/>
      <c r="AH47" s="104" t="s">
        <v>469</v>
      </c>
      <c r="AI47" s="104" t="s">
        <v>469</v>
      </c>
      <c r="AJ47" s="109" t="s">
        <v>747</v>
      </c>
      <c r="AK47" s="104" t="s">
        <v>637</v>
      </c>
      <c r="AM47" s="112" t="s">
        <v>748</v>
      </c>
      <c r="AN47" s="31" t="b">
        <v>1</v>
      </c>
      <c r="AO47" s="31" t="b">
        <v>1</v>
      </c>
      <c r="AP47" s="31" t="b">
        <v>1</v>
      </c>
      <c r="AQ47" s="31" t="b">
        <v>1</v>
      </c>
      <c r="AR47" s="31" t="b">
        <v>1</v>
      </c>
      <c r="AS47" s="31" t="b">
        <v>1</v>
      </c>
      <c r="AT47" s="31" t="b">
        <v>1</v>
      </c>
      <c r="AU47" s="31" t="b">
        <v>1</v>
      </c>
      <c r="AV47" s="31" t="b">
        <v>0</v>
      </c>
      <c r="AW47" s="31" t="b">
        <v>0</v>
      </c>
      <c r="AX47" s="31" t="b">
        <v>1</v>
      </c>
      <c r="AY47" s="31" t="b">
        <v>1</v>
      </c>
      <c r="AZ47" s="31" t="b">
        <v>1</v>
      </c>
      <c r="BA47" s="31" t="b">
        <v>1</v>
      </c>
      <c r="BB47" s="31" t="b">
        <v>1</v>
      </c>
      <c r="BC47" s="31" t="b">
        <v>1</v>
      </c>
      <c r="BD47" s="31" t="b">
        <v>1</v>
      </c>
      <c r="BE47" s="31" t="b">
        <v>1</v>
      </c>
      <c r="BF47" s="31" t="b">
        <v>0</v>
      </c>
      <c r="BG47" s="31" t="b">
        <v>0</v>
      </c>
      <c r="BH47" s="31" t="b">
        <v>1</v>
      </c>
      <c r="BI47" s="31" t="b">
        <v>0</v>
      </c>
      <c r="BJ47" s="31" t="b">
        <v>0</v>
      </c>
      <c r="BK47" s="31" t="b">
        <v>0</v>
      </c>
      <c r="BL47" s="31" t="b">
        <v>0</v>
      </c>
      <c r="BM47" s="31" t="b">
        <v>1</v>
      </c>
      <c r="BN47" s="31" t="b">
        <v>0</v>
      </c>
      <c r="BO47" s="31" t="b">
        <v>0</v>
      </c>
      <c r="BP47" s="31" t="b">
        <v>1</v>
      </c>
      <c r="BQ47" s="31" t="b">
        <v>1</v>
      </c>
      <c r="BR47" s="31" t="b">
        <v>1</v>
      </c>
      <c r="BS47" s="31" t="b">
        <v>1</v>
      </c>
      <c r="BT47" s="31" t="b">
        <v>1</v>
      </c>
      <c r="BU47" s="31" t="b">
        <v>0</v>
      </c>
      <c r="BV47" s="31" t="b">
        <v>0</v>
      </c>
      <c r="BW47" s="31" t="b">
        <v>0</v>
      </c>
      <c r="BX47" s="31" t="b">
        <v>0</v>
      </c>
    </row>
    <row r="48" ht="22.2" spans="1:76">
      <c r="AN48" s="31" t="b">
        <v>1</v>
      </c>
      <c r="AO48" s="31" t="b">
        <v>1</v>
      </c>
      <c r="AP48" s="31" t="b">
        <v>1</v>
      </c>
      <c r="AQ48" s="31" t="b">
        <v>1</v>
      </c>
      <c r="AR48" s="31" t="b">
        <v>1</v>
      </c>
      <c r="AS48" s="31" t="b">
        <v>1</v>
      </c>
      <c r="AT48" s="31" t="b">
        <v>1</v>
      </c>
      <c r="AU48" s="31" t="b">
        <v>1</v>
      </c>
      <c r="AV48" s="31" t="b">
        <v>1</v>
      </c>
      <c r="AW48" s="31" t="b">
        <v>1</v>
      </c>
      <c r="AX48" s="31" t="b">
        <v>1</v>
      </c>
      <c r="AY48" s="31" t="b">
        <v>1</v>
      </c>
      <c r="AZ48" s="31" t="b">
        <v>1</v>
      </c>
      <c r="BA48" s="31" t="b">
        <v>1</v>
      </c>
      <c r="BB48" s="31" t="b">
        <v>1</v>
      </c>
      <c r="BC48" s="31" t="b">
        <v>1</v>
      </c>
      <c r="BD48" s="31" t="b">
        <v>1</v>
      </c>
      <c r="BE48" s="31" t="b">
        <v>1</v>
      </c>
      <c r="BF48" s="31" t="b">
        <v>1</v>
      </c>
      <c r="BG48" s="31" t="b">
        <v>1</v>
      </c>
      <c r="BH48" s="31" t="b">
        <v>1</v>
      </c>
      <c r="BI48" s="31" t="b">
        <v>1</v>
      </c>
      <c r="BJ48" s="31" t="b">
        <v>1</v>
      </c>
      <c r="BK48" s="31" t="b">
        <v>1</v>
      </c>
      <c r="BL48" s="31" t="b">
        <v>1</v>
      </c>
      <c r="BM48" s="31" t="b">
        <v>1</v>
      </c>
      <c r="BN48" s="31" t="b">
        <v>1</v>
      </c>
      <c r="BO48" s="31" t="b">
        <v>1</v>
      </c>
      <c r="BP48" s="31" t="b">
        <v>1</v>
      </c>
      <c r="BQ48" s="31" t="b">
        <v>1</v>
      </c>
      <c r="BR48" s="31" t="b">
        <v>1</v>
      </c>
      <c r="BS48" s="31" t="b">
        <v>1</v>
      </c>
      <c r="BT48" s="31" t="b">
        <v>1</v>
      </c>
      <c r="BU48" s="31" t="b">
        <v>1</v>
      </c>
      <c r="BV48" s="31" t="b">
        <v>1</v>
      </c>
      <c r="BW48" s="31" t="b">
        <v>1</v>
      </c>
      <c r="BX48" s="31" t="b">
        <v>1</v>
      </c>
    </row>
  </sheetData>
  <sheetProtection formatCells="0" formatColumns="0" formatRows="0" insertRows="0" insertColumns="0" insertHyperlinks="0" deleteColumns="0" deleteRows="0" sort="0" autoFilter="0" pivotTables="0"/>
  <mergeCells count="118">
    <mergeCell ref="A1:AK1"/>
    <mergeCell ref="K2:S2"/>
    <mergeCell ref="X2:Z2"/>
    <mergeCell ref="AA2:AC2"/>
    <mergeCell ref="AD2:AG2"/>
    <mergeCell ref="AH2:AJ2"/>
    <mergeCell ref="A2:A3"/>
    <mergeCell ref="A4:A11"/>
    <mergeCell ref="A12:A19"/>
    <mergeCell ref="A20:A27"/>
    <mergeCell ref="A28:A29"/>
    <mergeCell ref="A30:A36"/>
    <mergeCell ref="A37:A47"/>
    <mergeCell ref="B2:B3"/>
    <mergeCell ref="B4:B11"/>
    <mergeCell ref="B12:B14"/>
    <mergeCell ref="B15:B19"/>
    <mergeCell ref="B20:B27"/>
    <mergeCell ref="B28:B29"/>
    <mergeCell ref="B30:B36"/>
    <mergeCell ref="B37:B40"/>
    <mergeCell ref="B41:B47"/>
    <mergeCell ref="C2:C3"/>
    <mergeCell ref="C4:C11"/>
    <mergeCell ref="C12:C14"/>
    <mergeCell ref="C15:C19"/>
    <mergeCell ref="C20:C22"/>
    <mergeCell ref="C23:C25"/>
    <mergeCell ref="C26:C27"/>
    <mergeCell ref="C28:C29"/>
    <mergeCell ref="C30:C34"/>
    <mergeCell ref="C35:C36"/>
    <mergeCell ref="C38:C40"/>
    <mergeCell ref="C41:C43"/>
    <mergeCell ref="C44:C47"/>
    <mergeCell ref="D2:D3"/>
    <mergeCell ref="D4:D7"/>
    <mergeCell ref="D9:D11"/>
    <mergeCell ref="D12:D14"/>
    <mergeCell ref="D15:D19"/>
    <mergeCell ref="D20:D22"/>
    <mergeCell ref="D23:D25"/>
    <mergeCell ref="D26:D27"/>
    <mergeCell ref="D28:D29"/>
    <mergeCell ref="D30:D31"/>
    <mergeCell ref="D32:D34"/>
    <mergeCell ref="D35:D36"/>
    <mergeCell ref="D38:D39"/>
    <mergeCell ref="D41:D43"/>
    <mergeCell ref="D44:D47"/>
    <mergeCell ref="E2:E3"/>
    <mergeCell ref="E4:E7"/>
    <mergeCell ref="E9:E11"/>
    <mergeCell ref="E12:E14"/>
    <mergeCell ref="E15:E19"/>
    <mergeCell ref="E20:E22"/>
    <mergeCell ref="E23:E25"/>
    <mergeCell ref="E26:E27"/>
    <mergeCell ref="E28:E29"/>
    <mergeCell ref="E30:E31"/>
    <mergeCell ref="E32:E34"/>
    <mergeCell ref="E35:E36"/>
    <mergeCell ref="E38:E39"/>
    <mergeCell ref="E41:E43"/>
    <mergeCell ref="E44:E47"/>
    <mergeCell ref="F2:F3"/>
    <mergeCell ref="F4:F7"/>
    <mergeCell ref="F9:F11"/>
    <mergeCell ref="F12:F14"/>
    <mergeCell ref="F15:F19"/>
    <mergeCell ref="F20:F22"/>
    <mergeCell ref="F23:F25"/>
    <mergeCell ref="F26:F27"/>
    <mergeCell ref="F28:F29"/>
    <mergeCell ref="F30:F31"/>
    <mergeCell ref="F32:F34"/>
    <mergeCell ref="F35:F36"/>
    <mergeCell ref="F38:F39"/>
    <mergeCell ref="F41:F43"/>
    <mergeCell ref="F44:F47"/>
    <mergeCell ref="G2:G3"/>
    <mergeCell ref="G4:G8"/>
    <mergeCell ref="G9:G11"/>
    <mergeCell ref="G12:G14"/>
    <mergeCell ref="G16:G19"/>
    <mergeCell ref="G20:G22"/>
    <mergeCell ref="G23:G25"/>
    <mergeCell ref="G26:G27"/>
    <mergeCell ref="G28:G29"/>
    <mergeCell ref="G30:G31"/>
    <mergeCell ref="G32:G34"/>
    <mergeCell ref="G35:G36"/>
    <mergeCell ref="G38:G39"/>
    <mergeCell ref="G41:G43"/>
    <mergeCell ref="G44:G47"/>
    <mergeCell ref="H2:H3"/>
    <mergeCell ref="H4:H8"/>
    <mergeCell ref="H9:H11"/>
    <mergeCell ref="H12:H14"/>
    <mergeCell ref="H16:H19"/>
    <mergeCell ref="H20:H22"/>
    <mergeCell ref="H23:H25"/>
    <mergeCell ref="H26:H27"/>
    <mergeCell ref="H28:H29"/>
    <mergeCell ref="H30:H31"/>
    <mergeCell ref="H32:H34"/>
    <mergeCell ref="H35:H36"/>
    <mergeCell ref="H38:H39"/>
    <mergeCell ref="H41:H43"/>
    <mergeCell ref="H44:H47"/>
    <mergeCell ref="I2:I3"/>
    <mergeCell ref="J2:J3"/>
    <mergeCell ref="T2:T3"/>
    <mergeCell ref="U2:U3"/>
    <mergeCell ref="V2:V3"/>
    <mergeCell ref="W2:W3"/>
    <mergeCell ref="AK2:AK3"/>
    <mergeCell ref="AL2:AL3"/>
  </mergeCells>
  <dataValidations count="3">
    <dataValidation allowBlank="1" showInputMessage="1" showErrorMessage="1" sqref="V3 U38 J4:J27 J44:J46 U4:U27 U43:U46"/>
    <dataValidation type="list" allowBlank="1" showInputMessage="1" showErrorMessage="1" sqref="T14 T20 T27 T2:T3 T48:T1048576">
      <formula1>#REF!</formula1>
    </dataValidation>
    <dataValidation type="list" allowBlank="1" showInputMessage="1" showErrorMessage="1" sqref="T4:T6 T8:T10 T12:T13 T15:T19 T21:T26">
      <formula1>"系统已有,系统待建,线下管控"</formula1>
    </dataValidation>
  </dataValidations>
  <printOptions horizontalCentered="1"/>
  <pageMargins left="0.444444444444444" right="0.472222222222222" top="0.511805555555556" bottom="0.275" header="0.298611111111111" footer="0.298611111111111"/>
  <pageSetup paperSize="8" scale="63" fitToHeight="0" orientation="landscape" horizontalDpi="600"/>
  <headerFooter/>
  <rowBreaks count="3" manualBreakCount="3">
    <brk id="11" max="37" man="1"/>
    <brk id="19" max="37" man="1"/>
    <brk id="27" max="37" man="1"/>
  </rowBreak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pageSetUpPr fitToPage="1"/>
  </sheetPr>
  <dimension ref="A1:XFD48"/>
  <sheetViews>
    <sheetView zoomScale="55" zoomScaleNormal="55" zoomScalePageLayoutView="25" zoomScaleSheetLayoutView="115" workbookViewId="0">
      <pane ySplit="3" topLeftCell="A10" activePane="bottomLeft" state="frozen"/>
      <selection/>
      <selection pane="bottomLeft" activeCell="I14" sqref="I14"/>
    </sheetView>
  </sheetViews>
  <sheetFormatPr defaultColWidth="8.58333333333333" defaultRowHeight="21"/>
  <cols>
    <col min="1" max="1" width="4.62962962962963" style="1" customWidth="1"/>
    <col min="2" max="2" width="4.62962962962963" style="2" customWidth="1"/>
    <col min="3" max="3" width="4.62962962962963" style="3" customWidth="1"/>
    <col min="4" max="4" width="4.62962962962963" style="1" customWidth="1"/>
    <col min="5" max="5" width="13.3333333333333" style="4" customWidth="1"/>
    <col min="6" max="6" width="17.6666666666667" style="4" customWidth="1"/>
    <col min="7" max="8" width="10.6296296296296" style="35" customWidth="1"/>
    <col min="9" max="9" width="10.6296296296296" style="2" customWidth="1"/>
    <col min="10" max="10" width="30.6296296296296" style="35" customWidth="1"/>
    <col min="11" max="19" width="3.62962962962963" style="2" customWidth="1"/>
    <col min="20" max="21" width="8.62962962962963" style="1" customWidth="1"/>
    <col min="22" max="22" width="15.6296296296296" style="5" customWidth="1"/>
    <col min="23" max="23" width="20.1296296296296" style="4" customWidth="1"/>
    <col min="24" max="29" width="3.62962962962963" style="3" customWidth="1"/>
    <col min="30" max="30" width="4.15740740740741" style="4" customWidth="1"/>
    <col min="31" max="35" width="3.62962962962963" style="3" customWidth="1"/>
    <col min="36" max="36" width="30.6296296296296" style="3" customWidth="1"/>
    <col min="37" max="37" width="6.62962962962963" style="3" customWidth="1"/>
    <col min="38" max="38" width="25.787037037037" style="3" customWidth="1"/>
    <col min="39" max="39" width="12.2685185185185" style="36" customWidth="1"/>
    <col min="40" max="49" width="9.41666666666667" style="3"/>
    <col min="50" max="50" width="8.58333333333333" style="3"/>
    <col min="51" max="64" width="9.41666666666667" style="3"/>
    <col min="65" max="65" width="8.58333333333333" style="3"/>
    <col min="66" max="67" width="9.41666666666667" style="3"/>
    <col min="68" max="68" width="8.58333333333333" style="3"/>
    <col min="69" max="71" width="9.41666666666667" style="3"/>
    <col min="72" max="72" width="8.58333333333333" style="3"/>
    <col min="73" max="78" width="9.41666666666667" style="3"/>
    <col min="79" max="98" width="8.58333333333333" style="3"/>
    <col min="99" max="99" width="9.41666666666667" style="3"/>
    <col min="100" max="100" width="8.58333333333333" style="3"/>
    <col min="101" max="101" width="9.41666666666667" style="3"/>
    <col min="102" max="16384" width="8.58333333333333" style="3"/>
  </cols>
  <sheetData>
    <row r="1" spans="1:1024 1025:16384">
      <c r="A1" s="37" t="s">
        <v>415</v>
      </c>
      <c r="B1" s="38"/>
      <c r="C1" s="38"/>
      <c r="D1" s="38"/>
      <c r="E1" s="39"/>
      <c r="F1" s="38"/>
      <c r="G1" s="39"/>
      <c r="H1" s="39"/>
      <c r="I1" s="38"/>
      <c r="J1" s="39"/>
      <c r="K1" s="38"/>
      <c r="L1" s="38"/>
      <c r="M1" s="38"/>
      <c r="N1" s="38"/>
      <c r="O1" s="38"/>
      <c r="P1" s="38"/>
      <c r="Q1" s="38"/>
      <c r="R1" s="38"/>
      <c r="S1" s="38"/>
      <c r="T1" s="38"/>
      <c r="U1" s="38"/>
      <c r="V1" s="39"/>
      <c r="W1" s="39"/>
      <c r="X1" s="38"/>
      <c r="Y1" s="38"/>
      <c r="Z1" s="38"/>
      <c r="AA1" s="38"/>
      <c r="AB1" s="38"/>
      <c r="AC1" s="38"/>
      <c r="AD1" s="39"/>
      <c r="AE1" s="38"/>
      <c r="AF1" s="38"/>
      <c r="AG1" s="38"/>
      <c r="AH1" s="38"/>
      <c r="AI1" s="38"/>
      <c r="AJ1" s="38"/>
      <c r="AK1" s="38"/>
    </row>
    <row r="2" spans="1:1024 1025:16384">
      <c r="A2" s="40" t="s">
        <v>416</v>
      </c>
      <c r="B2" s="40" t="s">
        <v>417</v>
      </c>
      <c r="C2" s="40" t="s">
        <v>418</v>
      </c>
      <c r="D2" s="40" t="s">
        <v>419</v>
      </c>
      <c r="E2" s="40" t="s">
        <v>420</v>
      </c>
      <c r="F2" s="40" t="s">
        <v>421</v>
      </c>
      <c r="G2" s="40" t="s">
        <v>422</v>
      </c>
      <c r="H2" s="40" t="s">
        <v>423</v>
      </c>
      <c r="I2" s="40" t="s">
        <v>424</v>
      </c>
      <c r="J2" s="40" t="s">
        <v>425</v>
      </c>
      <c r="K2" s="40" t="s">
        <v>426</v>
      </c>
      <c r="L2" s="40"/>
      <c r="M2" s="40"/>
      <c r="N2" s="40"/>
      <c r="O2" s="40"/>
      <c r="P2" s="40"/>
      <c r="Q2" s="40"/>
      <c r="R2" s="40"/>
      <c r="S2" s="40"/>
      <c r="T2" s="40" t="s">
        <v>427</v>
      </c>
      <c r="U2" s="40" t="s">
        <v>428</v>
      </c>
      <c r="V2" s="40" t="s">
        <v>429</v>
      </c>
      <c r="W2" s="40" t="s">
        <v>430</v>
      </c>
      <c r="X2" s="40" t="s">
        <v>431</v>
      </c>
      <c r="Y2" s="40"/>
      <c r="Z2" s="40"/>
      <c r="AA2" s="40" t="s">
        <v>432</v>
      </c>
      <c r="AB2" s="40"/>
      <c r="AC2" s="40"/>
      <c r="AD2" s="40" t="s">
        <v>433</v>
      </c>
      <c r="AE2" s="40"/>
      <c r="AF2" s="40"/>
      <c r="AG2" s="40"/>
      <c r="AH2" s="40" t="s">
        <v>434</v>
      </c>
      <c r="AI2" s="40"/>
      <c r="AJ2" s="40"/>
      <c r="AK2" s="40" t="s">
        <v>435</v>
      </c>
      <c r="AL2" s="41" t="s">
        <v>436</v>
      </c>
    </row>
    <row r="3" ht="92.4" spans="1:1024 1025:16384">
      <c r="A3" s="40"/>
      <c r="B3" s="40"/>
      <c r="C3" s="40"/>
      <c r="D3" s="40"/>
      <c r="E3" s="40"/>
      <c r="F3" s="40"/>
      <c r="G3" s="40"/>
      <c r="H3" s="40"/>
      <c r="I3" s="40"/>
      <c r="J3" s="40"/>
      <c r="K3" s="40" t="s">
        <v>437</v>
      </c>
      <c r="L3" s="40" t="s">
        <v>438</v>
      </c>
      <c r="M3" s="40" t="s">
        <v>439</v>
      </c>
      <c r="N3" s="40" t="s">
        <v>440</v>
      </c>
      <c r="O3" s="40" t="s">
        <v>441</v>
      </c>
      <c r="P3" s="40" t="s">
        <v>442</v>
      </c>
      <c r="Q3" s="40" t="s">
        <v>443</v>
      </c>
      <c r="R3" s="40" t="s">
        <v>444</v>
      </c>
      <c r="S3" s="40" t="s">
        <v>445</v>
      </c>
      <c r="T3" s="40"/>
      <c r="U3" s="40"/>
      <c r="V3" s="40"/>
      <c r="W3" s="40"/>
      <c r="X3" s="40" t="s">
        <v>446</v>
      </c>
      <c r="Y3" s="40" t="s">
        <v>447</v>
      </c>
      <c r="Z3" s="40" t="s">
        <v>448</v>
      </c>
      <c r="AA3" s="40" t="s">
        <v>446</v>
      </c>
      <c r="AB3" s="40" t="s">
        <v>447</v>
      </c>
      <c r="AC3" s="40" t="s">
        <v>448</v>
      </c>
      <c r="AD3" s="40" t="s">
        <v>433</v>
      </c>
      <c r="AE3" s="40" t="s">
        <v>446</v>
      </c>
      <c r="AF3" s="40" t="s">
        <v>447</v>
      </c>
      <c r="AG3" s="40" t="s">
        <v>448</v>
      </c>
      <c r="AH3" s="40" t="s">
        <v>449</v>
      </c>
      <c r="AI3" s="40" t="s">
        <v>450</v>
      </c>
      <c r="AJ3" s="40" t="s">
        <v>451</v>
      </c>
      <c r="AK3" s="40"/>
      <c r="AL3" s="41"/>
      <c r="AM3" s="36">
        <v>7.24</v>
      </c>
    </row>
    <row r="4" s="31" customFormat="1" ht="132" spans="1:1024 1025:16384">
      <c r="A4" s="40" t="s">
        <v>452</v>
      </c>
      <c r="B4" s="40" t="s">
        <v>453</v>
      </c>
      <c r="C4" s="42" t="s">
        <v>454</v>
      </c>
      <c r="D4" s="42" t="s">
        <v>455</v>
      </c>
      <c r="E4" s="43" t="s">
        <v>456</v>
      </c>
      <c r="F4" s="44"/>
      <c r="G4" s="45" t="s">
        <v>457</v>
      </c>
      <c r="H4" s="42" t="s">
        <v>458</v>
      </c>
      <c r="I4" s="46" t="s">
        <v>459</v>
      </c>
      <c r="J4" s="47" t="s">
        <v>460</v>
      </c>
      <c r="K4" s="48"/>
      <c r="L4" s="49" t="s">
        <v>36</v>
      </c>
      <c r="M4" s="49" t="s">
        <v>36</v>
      </c>
      <c r="N4" s="48"/>
      <c r="O4" s="48"/>
      <c r="P4" s="48"/>
      <c r="Q4" s="48"/>
      <c r="R4" s="48"/>
      <c r="S4" s="48"/>
      <c r="T4" s="49" t="s">
        <v>556</v>
      </c>
      <c r="U4" s="47" t="s">
        <v>784</v>
      </c>
      <c r="V4" s="46" t="s">
        <v>785</v>
      </c>
      <c r="W4" s="46" t="s">
        <v>791</v>
      </c>
      <c r="X4" s="49" t="s">
        <v>465</v>
      </c>
      <c r="Y4" s="49" t="s">
        <v>466</v>
      </c>
      <c r="Z4" s="49"/>
      <c r="AA4" s="49" t="s">
        <v>467</v>
      </c>
      <c r="AB4" s="49" t="s">
        <v>466</v>
      </c>
      <c r="AC4" s="49"/>
      <c r="AD4" s="50"/>
      <c r="AE4" s="51"/>
      <c r="AF4" s="51"/>
      <c r="AG4" s="49"/>
      <c r="AH4" s="49" t="s">
        <v>469</v>
      </c>
      <c r="AI4" s="49" t="s">
        <v>469</v>
      </c>
      <c r="AJ4" s="47" t="s">
        <v>470</v>
      </c>
      <c r="AK4" s="52" t="s">
        <v>471</v>
      </c>
      <c r="AL4" s="53" t="s">
        <v>749</v>
      </c>
      <c r="AM4" s="54" t="s">
        <v>759</v>
      </c>
      <c r="AN4" s="31" t="b">
        <f>A4=[1]数字化与研发投入!A4</f>
        <v>1</v>
      </c>
      <c r="AO4" s="31" t="b">
        <f>B4=[1]数字化与研发投入!B4</f>
        <v>1</v>
      </c>
      <c r="AP4" s="31" t="b">
        <f>C4=[1]数字化与研发投入!C4</f>
        <v>1</v>
      </c>
      <c r="AQ4" s="31" t="b">
        <f>D4=[1]数字化与研发投入!D4</f>
        <v>1</v>
      </c>
      <c r="AR4" s="31" t="b">
        <f>E4=[1]数字化与研发投入!E4</f>
        <v>1</v>
      </c>
      <c r="AS4" s="31" t="b">
        <f>F4=[1]数字化与研发投入!F4</f>
        <v>1</v>
      </c>
      <c r="AT4" s="31" t="b">
        <f>G4=[1]数字化与研发投入!G4</f>
        <v>1</v>
      </c>
      <c r="AU4" s="31" t="b">
        <f>H4=[1]数字化与研发投入!H4</f>
        <v>1</v>
      </c>
      <c r="AV4" s="31" t="b">
        <f>I4=[1]数字化与研发投入!I4</f>
        <v>1</v>
      </c>
      <c r="AW4" s="31" t="b">
        <f>J4=[1]数字化与研发投入!J4</f>
        <v>1</v>
      </c>
      <c r="AX4" s="31" t="b">
        <f>K4=[1]数字化与研发投入!K4</f>
        <v>1</v>
      </c>
      <c r="AY4" s="31" t="b">
        <f>L4=[1]数字化与研发投入!L4</f>
        <v>1</v>
      </c>
      <c r="AZ4" s="31" t="b">
        <f>M4=[1]数字化与研发投入!M4</f>
        <v>1</v>
      </c>
      <c r="BA4" s="31" t="b">
        <f>N4=[1]数字化与研发投入!N4</f>
        <v>1</v>
      </c>
      <c r="BB4" s="31" t="b">
        <f>O4=[1]数字化与研发投入!O4</f>
        <v>1</v>
      </c>
      <c r="BC4" s="31" t="b">
        <f>P4=[1]数字化与研发投入!P4</f>
        <v>1</v>
      </c>
      <c r="BD4" s="31" t="b">
        <f>Q4=[1]数字化与研发投入!Q4</f>
        <v>1</v>
      </c>
      <c r="BE4" s="31" t="b">
        <f>R4=[1]数字化与研发投入!R4</f>
        <v>1</v>
      </c>
      <c r="BF4" s="31" t="b">
        <f>S4=[1]数字化与研发投入!S4</f>
        <v>1</v>
      </c>
      <c r="BG4" s="31" t="b">
        <f>T4=[1]数字化与研发投入!T4</f>
        <v>1</v>
      </c>
      <c r="BH4" s="31" t="b">
        <f>U4=[1]数字化与研发投入!U4</f>
        <v>1</v>
      </c>
      <c r="BI4" s="31" t="b">
        <f>V4=[1]数字化与研发投入!V4</f>
        <v>1</v>
      </c>
      <c r="BJ4" s="31" t="b">
        <f>W4=[1]数字化与研发投入!W4</f>
        <v>1</v>
      </c>
      <c r="BK4" s="31" t="b">
        <f>X4=[1]数字化与研发投入!X4</f>
        <v>1</v>
      </c>
      <c r="BL4" s="31" t="b">
        <f>Y4=[1]数字化与研发投入!Y4</f>
        <v>1</v>
      </c>
      <c r="BM4" s="31" t="b">
        <f>Z4=[1]数字化与研发投入!Z4</f>
        <v>1</v>
      </c>
      <c r="BN4" s="31" t="b">
        <f>AA4=[1]数字化与研发投入!AA4</f>
        <v>1</v>
      </c>
      <c r="BO4" s="31" t="b">
        <f>AB4=[1]数字化与研发投入!AB4</f>
        <v>1</v>
      </c>
      <c r="BP4" s="31" t="b">
        <f>AC4=[1]数字化与研发投入!AC4</f>
        <v>1</v>
      </c>
      <c r="BQ4" s="31" t="b">
        <f>AD4=[1]数字化与研发投入!AD4</f>
        <v>1</v>
      </c>
      <c r="BR4" s="31" t="b">
        <f>AE4=[1]数字化与研发投入!AE4</f>
        <v>1</v>
      </c>
      <c r="BS4" s="31" t="b">
        <f>AF4=[1]数字化与研发投入!AF4</f>
        <v>1</v>
      </c>
      <c r="BT4" s="31" t="b">
        <f>AG4=[1]数字化与研发投入!AG4</f>
        <v>1</v>
      </c>
      <c r="BU4" s="31" t="b">
        <f>AH4=[1]数字化与研发投入!AH4</f>
        <v>1</v>
      </c>
      <c r="BV4" s="31" t="b">
        <f>AI4=[1]数字化与研发投入!AI4</f>
        <v>1</v>
      </c>
      <c r="BW4" s="31" t="b">
        <f>AJ4=[1]数字化与研发投入!AJ4</f>
        <v>0</v>
      </c>
      <c r="BX4" s="31" t="b">
        <f>AK4=[1]数字化与研发投入!AK4</f>
        <v>1</v>
      </c>
    </row>
    <row r="5" s="31" customFormat="1" ht="132" spans="1:1024 1025:16384">
      <c r="A5" s="40"/>
      <c r="B5" s="40"/>
      <c r="C5" s="55"/>
      <c r="D5" s="55"/>
      <c r="E5" s="56"/>
      <c r="F5" s="44"/>
      <c r="G5" s="57"/>
      <c r="H5" s="55"/>
      <c r="I5" s="46" t="s">
        <v>473</v>
      </c>
      <c r="J5" s="47" t="s">
        <v>474</v>
      </c>
      <c r="K5" s="48"/>
      <c r="L5" s="49" t="s">
        <v>36</v>
      </c>
      <c r="M5" s="48"/>
      <c r="N5" s="48"/>
      <c r="O5" s="48"/>
      <c r="P5" s="48"/>
      <c r="Q5" s="48"/>
      <c r="R5" s="48"/>
      <c r="S5" s="49" t="s">
        <v>36</v>
      </c>
      <c r="T5" s="49" t="s">
        <v>475</v>
      </c>
      <c r="U5" s="47"/>
      <c r="V5" s="46" t="s">
        <v>476</v>
      </c>
      <c r="W5" s="46" t="s">
        <v>791</v>
      </c>
      <c r="X5" s="49" t="s">
        <v>465</v>
      </c>
      <c r="Y5" s="49" t="s">
        <v>466</v>
      </c>
      <c r="Z5" s="49"/>
      <c r="AA5" s="49" t="s">
        <v>467</v>
      </c>
      <c r="AB5" s="49" t="s">
        <v>466</v>
      </c>
      <c r="AC5" s="49"/>
      <c r="AD5" s="47"/>
      <c r="AE5" s="49"/>
      <c r="AF5" s="49"/>
      <c r="AG5" s="49"/>
      <c r="AH5" s="49" t="s">
        <v>469</v>
      </c>
      <c r="AI5" s="49" t="s">
        <v>469</v>
      </c>
      <c r="AJ5" s="47" t="s">
        <v>478</v>
      </c>
      <c r="AK5" s="52" t="s">
        <v>471</v>
      </c>
      <c r="AL5" s="53" t="s">
        <v>749</v>
      </c>
      <c r="AM5" s="54" t="s">
        <v>759</v>
      </c>
      <c r="AN5" s="31" t="b">
        <f>A5=[1]数字化与研发投入!A5</f>
        <v>1</v>
      </c>
      <c r="AO5" s="31" t="b">
        <f>B5=[1]数字化与研发投入!B5</f>
        <v>1</v>
      </c>
      <c r="AP5" s="31" t="b">
        <f>C5=[1]数字化与研发投入!C5</f>
        <v>1</v>
      </c>
      <c r="AQ5" s="31" t="b">
        <f>D5=[1]数字化与研发投入!D5</f>
        <v>1</v>
      </c>
      <c r="AR5" s="31" t="b">
        <f>E5=[1]数字化与研发投入!E5</f>
        <v>1</v>
      </c>
      <c r="AS5" s="31" t="b">
        <f>F5=[1]数字化与研发投入!F5</f>
        <v>1</v>
      </c>
      <c r="AT5" s="31" t="b">
        <f>G5=[1]数字化与研发投入!G5</f>
        <v>1</v>
      </c>
      <c r="AU5" s="31" t="b">
        <f>H5=[1]数字化与研发投入!H5</f>
        <v>1</v>
      </c>
      <c r="AV5" s="31" t="b">
        <f>I5=[1]数字化与研发投入!I5</f>
        <v>1</v>
      </c>
      <c r="AW5" s="31" t="b">
        <f>J5=[1]数字化与研发投入!J5</f>
        <v>1</v>
      </c>
      <c r="AX5" s="31" t="b">
        <f>K5=[1]数字化与研发投入!K5</f>
        <v>1</v>
      </c>
      <c r="AY5" s="31" t="b">
        <f>L5=[1]数字化与研发投入!L5</f>
        <v>1</v>
      </c>
      <c r="AZ5" s="31" t="b">
        <f>M5=[1]数字化与研发投入!M5</f>
        <v>1</v>
      </c>
      <c r="BA5" s="31" t="b">
        <f>N5=[1]数字化与研发投入!N5</f>
        <v>1</v>
      </c>
      <c r="BB5" s="31" t="b">
        <f>O5=[1]数字化与研发投入!O5</f>
        <v>1</v>
      </c>
      <c r="BC5" s="31" t="b">
        <f>P5=[1]数字化与研发投入!P5</f>
        <v>1</v>
      </c>
      <c r="BD5" s="31" t="b">
        <f>Q5=[1]数字化与研发投入!Q5</f>
        <v>1</v>
      </c>
      <c r="BE5" s="31" t="b">
        <f>R5=[1]数字化与研发投入!R5</f>
        <v>1</v>
      </c>
      <c r="BF5" s="31" t="b">
        <f>S5=[1]数字化与研发投入!S5</f>
        <v>1</v>
      </c>
      <c r="BG5" s="31" t="b">
        <f>T5=[1]数字化与研发投入!T5</f>
        <v>1</v>
      </c>
      <c r="BH5" s="31" t="b">
        <f>U5=[1]数字化与研发投入!U5</f>
        <v>1</v>
      </c>
      <c r="BI5" s="31" t="b">
        <f>V5=[1]数字化与研发投入!V5</f>
        <v>1</v>
      </c>
      <c r="BJ5" s="31" t="b">
        <f>W5=[1]数字化与研发投入!W5</f>
        <v>1</v>
      </c>
      <c r="BK5" s="31" t="b">
        <f>X5=[1]数字化与研发投入!X5</f>
        <v>1</v>
      </c>
      <c r="BL5" s="31" t="b">
        <f>Y5=[1]数字化与研发投入!Y5</f>
        <v>1</v>
      </c>
      <c r="BM5" s="31" t="b">
        <f>Z5=[1]数字化与研发投入!Z5</f>
        <v>1</v>
      </c>
      <c r="BN5" s="31" t="b">
        <f>AA5=[1]数字化与研发投入!AA5</f>
        <v>1</v>
      </c>
      <c r="BO5" s="31" t="b">
        <f>AB5=[1]数字化与研发投入!AB5</f>
        <v>1</v>
      </c>
      <c r="BP5" s="31" t="b">
        <f>AC5=[1]数字化与研发投入!AC5</f>
        <v>1</v>
      </c>
      <c r="BQ5" s="31" t="b">
        <f>AD5=[1]数字化与研发投入!AD5</f>
        <v>1</v>
      </c>
      <c r="BR5" s="31" t="b">
        <f>AE5=[1]数字化与研发投入!AE5</f>
        <v>1</v>
      </c>
      <c r="BS5" s="31" t="b">
        <f>AF5=[1]数字化与研发投入!AF5</f>
        <v>1</v>
      </c>
      <c r="BT5" s="31" t="b">
        <f>AG5=[1]数字化与研发投入!AG5</f>
        <v>1</v>
      </c>
      <c r="BU5" s="31" t="b">
        <f>AH5=[1]数字化与研发投入!AH5</f>
        <v>1</v>
      </c>
      <c r="BV5" s="31" t="b">
        <f>AI5=[1]数字化与研发投入!AI5</f>
        <v>1</v>
      </c>
      <c r="BW5" s="31" t="b">
        <f>AJ5=[1]数字化与研发投入!AJ5</f>
        <v>0</v>
      </c>
      <c r="BX5" s="31" t="b">
        <f>AK5=[1]数字化与研发投入!AK5</f>
        <v>1</v>
      </c>
    </row>
    <row r="6" s="31" customFormat="1" ht="171.6" spans="1:1024 1025:16384">
      <c r="A6" s="40"/>
      <c r="B6" s="40"/>
      <c r="C6" s="55"/>
      <c r="D6" s="55"/>
      <c r="E6" s="56"/>
      <c r="F6" s="44"/>
      <c r="G6" s="57"/>
      <c r="H6" s="55"/>
      <c r="I6" s="46" t="s">
        <v>479</v>
      </c>
      <c r="J6" s="47" t="s">
        <v>480</v>
      </c>
      <c r="K6" s="48"/>
      <c r="L6" s="48"/>
      <c r="M6" s="48"/>
      <c r="N6" s="48"/>
      <c r="O6" s="49" t="s">
        <v>36</v>
      </c>
      <c r="P6" s="48"/>
      <c r="Q6" s="48"/>
      <c r="R6" s="48"/>
      <c r="S6" s="49" t="s">
        <v>36</v>
      </c>
      <c r="T6" s="49" t="s">
        <v>475</v>
      </c>
      <c r="U6" s="47"/>
      <c r="V6" s="46" t="s">
        <v>481</v>
      </c>
      <c r="W6" s="46" t="s">
        <v>792</v>
      </c>
      <c r="X6" s="49" t="s">
        <v>465</v>
      </c>
      <c r="Y6" s="49" t="s">
        <v>466</v>
      </c>
      <c r="Z6" s="49"/>
      <c r="AA6" s="49" t="s">
        <v>467</v>
      </c>
      <c r="AB6" s="49" t="s">
        <v>466</v>
      </c>
      <c r="AC6" s="49"/>
      <c r="AD6" s="47"/>
      <c r="AE6" s="49"/>
      <c r="AF6" s="49"/>
      <c r="AG6" s="49"/>
      <c r="AH6" s="49" t="s">
        <v>469</v>
      </c>
      <c r="AI6" s="49" t="s">
        <v>469</v>
      </c>
      <c r="AJ6" s="47" t="s">
        <v>483</v>
      </c>
      <c r="AK6" s="52" t="s">
        <v>471</v>
      </c>
      <c r="AL6" s="53" t="s">
        <v>749</v>
      </c>
      <c r="AM6" s="54" t="s">
        <v>759</v>
      </c>
      <c r="AN6" s="31" t="b">
        <f>A6=[1]数字化与研发投入!A6</f>
        <v>1</v>
      </c>
      <c r="AO6" s="31" t="b">
        <f>B6=[1]数字化与研发投入!B6</f>
        <v>1</v>
      </c>
      <c r="AP6" s="31" t="b">
        <f>C6=[1]数字化与研发投入!C6</f>
        <v>1</v>
      </c>
      <c r="AQ6" s="31" t="b">
        <f>D6=[1]数字化与研发投入!D6</f>
        <v>1</v>
      </c>
      <c r="AR6" s="31" t="b">
        <f>E6=[1]数字化与研发投入!E6</f>
        <v>1</v>
      </c>
      <c r="AS6" s="31" t="b">
        <f>F6=[1]数字化与研发投入!F6</f>
        <v>1</v>
      </c>
      <c r="AT6" s="31" t="b">
        <f>G6=[1]数字化与研发投入!G6</f>
        <v>1</v>
      </c>
      <c r="AU6" s="31" t="b">
        <f>H6=[1]数字化与研发投入!H6</f>
        <v>1</v>
      </c>
      <c r="AV6" s="31" t="b">
        <f>I6=[1]数字化与研发投入!I6</f>
        <v>1</v>
      </c>
      <c r="AW6" s="31" t="b">
        <f>J6=[1]数字化与研发投入!J6</f>
        <v>1</v>
      </c>
      <c r="AX6" s="31" t="b">
        <f>K6=[1]数字化与研发投入!K6</f>
        <v>1</v>
      </c>
      <c r="AY6" s="31" t="b">
        <f>L6=[1]数字化与研发投入!L6</f>
        <v>1</v>
      </c>
      <c r="AZ6" s="31" t="b">
        <f>M6=[1]数字化与研发投入!M6</f>
        <v>1</v>
      </c>
      <c r="BA6" s="31" t="b">
        <f>N6=[1]数字化与研发投入!N6</f>
        <v>1</v>
      </c>
      <c r="BB6" s="31" t="b">
        <f>O6=[1]数字化与研发投入!O6</f>
        <v>1</v>
      </c>
      <c r="BC6" s="31" t="b">
        <f>P6=[1]数字化与研发投入!P6</f>
        <v>1</v>
      </c>
      <c r="BD6" s="31" t="b">
        <f>Q6=[1]数字化与研发投入!Q6</f>
        <v>1</v>
      </c>
      <c r="BE6" s="31" t="b">
        <f>R6=[1]数字化与研发投入!R6</f>
        <v>1</v>
      </c>
      <c r="BF6" s="31" t="b">
        <f>S6=[1]数字化与研发投入!S6</f>
        <v>1</v>
      </c>
      <c r="BG6" s="31" t="b">
        <f>T6=[1]数字化与研发投入!T6</f>
        <v>1</v>
      </c>
      <c r="BH6" s="31" t="b">
        <f>U6=[1]数字化与研发投入!U6</f>
        <v>1</v>
      </c>
      <c r="BI6" s="31" t="b">
        <f>V6=[1]数字化与研发投入!V6</f>
        <v>1</v>
      </c>
      <c r="BJ6" s="31" t="b">
        <f>W6=[1]数字化与研发投入!W6</f>
        <v>1</v>
      </c>
      <c r="BK6" s="31" t="b">
        <f>X6=[1]数字化与研发投入!X6</f>
        <v>1</v>
      </c>
      <c r="BL6" s="31" t="b">
        <f>Y6=[1]数字化与研发投入!Y6</f>
        <v>1</v>
      </c>
      <c r="BM6" s="31" t="b">
        <f>Z6=[1]数字化与研发投入!Z6</f>
        <v>1</v>
      </c>
      <c r="BN6" s="31" t="b">
        <f>AA6=[1]数字化与研发投入!AA6</f>
        <v>1</v>
      </c>
      <c r="BO6" s="31" t="b">
        <f>AB6=[1]数字化与研发投入!AB6</f>
        <v>1</v>
      </c>
      <c r="BP6" s="31" t="b">
        <f>AC6=[1]数字化与研发投入!AC6</f>
        <v>1</v>
      </c>
      <c r="BQ6" s="31" t="b">
        <f>AD6=[1]数字化与研发投入!AD6</f>
        <v>1</v>
      </c>
      <c r="BR6" s="31" t="b">
        <f>AE6=[1]数字化与研发投入!AE6</f>
        <v>1</v>
      </c>
      <c r="BS6" s="31" t="b">
        <f>AF6=[1]数字化与研发投入!AF6</f>
        <v>1</v>
      </c>
      <c r="BT6" s="31" t="b">
        <f>AG6=[1]数字化与研发投入!AG6</f>
        <v>1</v>
      </c>
      <c r="BU6" s="31" t="b">
        <f>AH6=[1]数字化与研发投入!AH6</f>
        <v>1</v>
      </c>
      <c r="BV6" s="31" t="b">
        <f>AI6=[1]数字化与研发投入!AI6</f>
        <v>1</v>
      </c>
      <c r="BW6" s="31" t="b">
        <f>AJ6=[1]数字化与研发投入!AJ6</f>
        <v>0</v>
      </c>
      <c r="BX6" s="31" t="b">
        <f>AK6=[1]数字化与研发投入!AK6</f>
        <v>1</v>
      </c>
    </row>
    <row r="7" s="31" customFormat="1" ht="132" spans="1:1024 1025:16384">
      <c r="A7" s="40"/>
      <c r="B7" s="40"/>
      <c r="C7" s="55"/>
      <c r="D7" s="58"/>
      <c r="E7" s="59"/>
      <c r="F7" s="44"/>
      <c r="G7" s="57"/>
      <c r="H7" s="55"/>
      <c r="I7" s="46" t="s">
        <v>484</v>
      </c>
      <c r="J7" s="47" t="s">
        <v>485</v>
      </c>
      <c r="K7" s="60"/>
      <c r="L7" s="48"/>
      <c r="M7" s="48"/>
      <c r="N7" s="48"/>
      <c r="O7" s="48"/>
      <c r="P7" s="48"/>
      <c r="Q7" s="48"/>
      <c r="R7" s="48"/>
      <c r="S7" s="48"/>
      <c r="T7" s="49" t="s">
        <v>475</v>
      </c>
      <c r="U7" s="47"/>
      <c r="V7" s="46" t="s">
        <v>486</v>
      </c>
      <c r="W7" s="46" t="s">
        <v>791</v>
      </c>
      <c r="X7" s="49" t="s">
        <v>465</v>
      </c>
      <c r="Y7" s="49" t="s">
        <v>466</v>
      </c>
      <c r="Z7" s="49"/>
      <c r="AA7" s="49" t="s">
        <v>467</v>
      </c>
      <c r="AB7" s="49" t="s">
        <v>466</v>
      </c>
      <c r="AC7" s="49"/>
      <c r="AD7" s="47"/>
      <c r="AE7" s="49"/>
      <c r="AF7" s="49"/>
      <c r="AG7" s="49"/>
      <c r="AH7" s="49" t="s">
        <v>469</v>
      </c>
      <c r="AI7" s="49" t="s">
        <v>469</v>
      </c>
      <c r="AJ7" s="47" t="s">
        <v>478</v>
      </c>
      <c r="AK7" s="52" t="s">
        <v>471</v>
      </c>
      <c r="AL7" s="53" t="s">
        <v>752</v>
      </c>
      <c r="AM7" s="54" t="s">
        <v>759</v>
      </c>
      <c r="AN7" s="31" t="b">
        <f>A7=[1]数字化与研发投入!A7</f>
        <v>1</v>
      </c>
      <c r="AO7" s="31" t="b">
        <f>B7=[1]数字化与研发投入!B7</f>
        <v>1</v>
      </c>
      <c r="AP7" s="31" t="b">
        <f>C7=[1]数字化与研发投入!C7</f>
        <v>1</v>
      </c>
      <c r="AQ7" s="31" t="b">
        <f>D7=[1]数字化与研发投入!D7</f>
        <v>1</v>
      </c>
      <c r="AR7" s="31" t="b">
        <f>E7=[1]数字化与研发投入!E7</f>
        <v>1</v>
      </c>
      <c r="AS7" s="31" t="b">
        <f>F7=[1]数字化与研发投入!F7</f>
        <v>1</v>
      </c>
      <c r="AT7" s="31" t="b">
        <f>G7=[1]数字化与研发投入!G7</f>
        <v>1</v>
      </c>
      <c r="AU7" s="31" t="b">
        <f>H7=[1]数字化与研发投入!H7</f>
        <v>1</v>
      </c>
      <c r="AV7" s="31" t="b">
        <f>I7=[1]数字化与研发投入!I7</f>
        <v>1</v>
      </c>
      <c r="AW7" s="31" t="b">
        <f>J7=[1]数字化与研发投入!J7</f>
        <v>1</v>
      </c>
      <c r="AX7" s="31" t="b">
        <f>K7=[1]数字化与研发投入!K7</f>
        <v>1</v>
      </c>
      <c r="AY7" s="31" t="b">
        <f>L7=[1]数字化与研发投入!L7</f>
        <v>1</v>
      </c>
      <c r="AZ7" s="31" t="b">
        <f>M7=[1]数字化与研发投入!M7</f>
        <v>1</v>
      </c>
      <c r="BA7" s="31" t="b">
        <f>N7=[1]数字化与研发投入!N7</f>
        <v>1</v>
      </c>
      <c r="BB7" s="31" t="b">
        <f>O7=[1]数字化与研发投入!O7</f>
        <v>1</v>
      </c>
      <c r="BC7" s="31" t="b">
        <f>P7=[1]数字化与研发投入!P7</f>
        <v>1</v>
      </c>
      <c r="BD7" s="31" t="b">
        <f>Q7=[1]数字化与研发投入!Q7</f>
        <v>1</v>
      </c>
      <c r="BE7" s="31" t="b">
        <f>R7=[1]数字化与研发投入!R7</f>
        <v>1</v>
      </c>
      <c r="BF7" s="31" t="b">
        <f>S7=[1]数字化与研发投入!S7</f>
        <v>1</v>
      </c>
      <c r="BG7" s="31" t="b">
        <f>T7=[1]数字化与研发投入!T7</f>
        <v>1</v>
      </c>
      <c r="BH7" s="31" t="b">
        <f>U7=[1]数字化与研发投入!U7</f>
        <v>1</v>
      </c>
      <c r="BI7" s="31" t="b">
        <f>V7=[1]数字化与研发投入!V7</f>
        <v>1</v>
      </c>
      <c r="BJ7" s="31" t="b">
        <f>W7=[1]数字化与研发投入!W7</f>
        <v>1</v>
      </c>
      <c r="BK7" s="31" t="b">
        <f>X7=[1]数字化与研发投入!X7</f>
        <v>1</v>
      </c>
      <c r="BL7" s="31" t="b">
        <f>Y7=[1]数字化与研发投入!Y7</f>
        <v>1</v>
      </c>
      <c r="BM7" s="31" t="b">
        <f>Z7=[1]数字化与研发投入!Z7</f>
        <v>1</v>
      </c>
      <c r="BN7" s="31" t="b">
        <f>AA7=[1]数字化与研发投入!AA7</f>
        <v>1</v>
      </c>
      <c r="BO7" s="31" t="b">
        <f>AB7=[1]数字化与研发投入!AB7</f>
        <v>1</v>
      </c>
      <c r="BP7" s="31" t="b">
        <f>AC7=[1]数字化与研发投入!AC7</f>
        <v>1</v>
      </c>
      <c r="BQ7" s="31" t="b">
        <f>AD7=[1]数字化与研发投入!AD7</f>
        <v>1</v>
      </c>
      <c r="BR7" s="31" t="b">
        <f>AE7=[1]数字化与研发投入!AE7</f>
        <v>1</v>
      </c>
      <c r="BS7" s="31" t="b">
        <f>AF7=[1]数字化与研发投入!AF7</f>
        <v>1</v>
      </c>
      <c r="BT7" s="31" t="b">
        <f>AG7=[1]数字化与研发投入!AG7</f>
        <v>1</v>
      </c>
      <c r="BU7" s="31" t="b">
        <f>AH7=[1]数字化与研发投入!AH7</f>
        <v>1</v>
      </c>
      <c r="BV7" s="31" t="b">
        <f>AI7=[1]数字化与研发投入!AI7</f>
        <v>1</v>
      </c>
      <c r="BW7" s="31" t="b">
        <f>AJ7=[1]数字化与研发投入!AJ7</f>
        <v>0</v>
      </c>
      <c r="BX7" s="31" t="b">
        <f>AK7=[1]数字化与研发投入!AK7</f>
        <v>1</v>
      </c>
    </row>
    <row r="8" s="32" customFormat="1" ht="171" customHeight="1" spans="1:1024 1025:16384">
      <c r="A8" s="61"/>
      <c r="B8" s="61"/>
      <c r="C8" s="62"/>
      <c r="D8" s="63"/>
      <c r="E8" s="64"/>
      <c r="F8" s="65" t="s">
        <v>753</v>
      </c>
      <c r="G8" s="62"/>
      <c r="H8" s="62"/>
      <c r="I8" s="66" t="s">
        <v>489</v>
      </c>
      <c r="J8" s="67" t="s">
        <v>490</v>
      </c>
      <c r="K8" s="68"/>
      <c r="L8" s="69" t="s">
        <v>36</v>
      </c>
      <c r="M8" s="70"/>
      <c r="N8" s="69"/>
      <c r="O8" s="70"/>
      <c r="P8" s="70"/>
      <c r="Q8" s="69"/>
      <c r="R8" s="70"/>
      <c r="S8" s="69"/>
      <c r="T8" s="69" t="s">
        <v>475</v>
      </c>
      <c r="U8" s="67"/>
      <c r="V8" s="66" t="s">
        <v>491</v>
      </c>
      <c r="W8" s="66" t="s">
        <v>793</v>
      </c>
      <c r="X8" s="69" t="s">
        <v>465</v>
      </c>
      <c r="Y8" s="69" t="s">
        <v>466</v>
      </c>
      <c r="Z8" s="69"/>
      <c r="AA8" s="69" t="s">
        <v>467</v>
      </c>
      <c r="AB8" s="69" t="s">
        <v>466</v>
      </c>
      <c r="AC8" s="69"/>
      <c r="AD8" s="67"/>
      <c r="AE8" s="69"/>
      <c r="AF8" s="69"/>
      <c r="AG8" s="69"/>
      <c r="AH8" s="69"/>
      <c r="AI8" s="69"/>
      <c r="AJ8" s="67" t="s">
        <v>493</v>
      </c>
      <c r="AK8" s="71" t="s">
        <v>471</v>
      </c>
      <c r="AL8" s="53" t="s">
        <v>754</v>
      </c>
      <c r="AM8" s="54" t="s">
        <v>748</v>
      </c>
      <c r="AN8" s="72"/>
      <c r="AO8" s="72"/>
      <c r="AP8" s="72"/>
      <c r="AQ8" s="72"/>
      <c r="AR8" s="72"/>
      <c r="AS8" s="72"/>
      <c r="AT8" s="72"/>
      <c r="AU8" s="72"/>
      <c r="AV8" s="72"/>
      <c r="AW8" s="72"/>
      <c r="AX8" s="72"/>
      <c r="AY8" s="72"/>
      <c r="AZ8" s="72"/>
      <c r="BA8" s="72"/>
      <c r="BB8" s="72"/>
      <c r="BC8" s="72"/>
      <c r="BD8" s="72"/>
      <c r="BE8" s="72"/>
      <c r="BF8" s="72"/>
      <c r="BG8" s="72"/>
      <c r="BH8" s="72"/>
      <c r="BI8" s="72"/>
      <c r="BJ8" s="72"/>
      <c r="BK8" s="72"/>
      <c r="BL8" s="72"/>
      <c r="BM8" s="72"/>
      <c r="BN8" s="72"/>
      <c r="BO8" s="72"/>
      <c r="BP8" s="72"/>
      <c r="BQ8" s="72"/>
      <c r="BR8" s="72"/>
      <c r="BS8" s="72"/>
      <c r="BT8" s="72"/>
      <c r="BU8" s="72"/>
      <c r="BV8" s="72"/>
      <c r="BW8" s="72"/>
      <c r="BX8" s="72"/>
      <c r="BY8" s="72"/>
      <c r="BZ8" s="72"/>
      <c r="CA8" s="72"/>
      <c r="CB8" s="72"/>
      <c r="CC8" s="72"/>
      <c r="CD8" s="72"/>
      <c r="CE8" s="72"/>
      <c r="CF8" s="72"/>
      <c r="CG8" s="72"/>
      <c r="CH8" s="72"/>
      <c r="CI8" s="72"/>
      <c r="CJ8" s="72"/>
      <c r="CK8" s="72"/>
      <c r="CL8" s="72"/>
      <c r="CM8" s="72"/>
      <c r="CN8" s="72"/>
      <c r="CO8" s="72"/>
      <c r="CP8" s="72"/>
      <c r="CQ8" s="72"/>
      <c r="CR8" s="72"/>
      <c r="CS8" s="72"/>
      <c r="CT8" s="72"/>
      <c r="CU8" s="72"/>
      <c r="CV8" s="72"/>
      <c r="CW8" s="72"/>
      <c r="CX8" s="72"/>
      <c r="CY8" s="72"/>
      <c r="CZ8" s="72"/>
      <c r="DA8" s="72"/>
      <c r="DB8" s="72"/>
      <c r="DC8" s="72"/>
      <c r="DD8" s="72"/>
      <c r="DE8" s="72"/>
      <c r="DF8" s="72"/>
      <c r="DG8" s="72"/>
      <c r="DH8" s="72"/>
      <c r="DI8" s="72"/>
      <c r="DJ8" s="72"/>
      <c r="DK8" s="72"/>
      <c r="DL8" s="72"/>
      <c r="DM8" s="72"/>
      <c r="DN8" s="72"/>
      <c r="DO8" s="72"/>
      <c r="DP8" s="72"/>
      <c r="DQ8" s="72"/>
      <c r="DR8" s="72"/>
      <c r="DS8" s="72"/>
      <c r="DT8" s="72"/>
      <c r="DU8" s="72"/>
      <c r="DV8" s="72"/>
      <c r="DW8" s="72"/>
      <c r="DX8" s="72"/>
      <c r="DY8" s="72"/>
      <c r="DZ8" s="72"/>
      <c r="EA8" s="72"/>
      <c r="EB8" s="72"/>
      <c r="EC8" s="72"/>
      <c r="ED8" s="72"/>
      <c r="EE8" s="72"/>
      <c r="EF8" s="72"/>
      <c r="EG8" s="72"/>
      <c r="EH8" s="72"/>
      <c r="EI8" s="72"/>
      <c r="EJ8" s="72"/>
      <c r="EK8" s="72"/>
      <c r="EL8" s="72"/>
      <c r="EM8" s="72"/>
      <c r="EN8" s="72"/>
      <c r="EO8" s="72"/>
      <c r="EP8" s="72"/>
      <c r="EQ8" s="72"/>
      <c r="ER8" s="72"/>
      <c r="ES8" s="72"/>
      <c r="ET8" s="72"/>
      <c r="EU8" s="72"/>
      <c r="EV8" s="72"/>
      <c r="EW8" s="72"/>
      <c r="EX8" s="72"/>
      <c r="EY8" s="72"/>
      <c r="EZ8" s="72"/>
      <c r="FA8" s="72"/>
      <c r="FB8" s="72"/>
      <c r="FC8" s="72"/>
      <c r="FD8" s="72"/>
      <c r="FE8" s="72"/>
      <c r="FF8" s="72"/>
      <c r="FG8" s="72"/>
      <c r="FH8" s="72"/>
      <c r="FI8" s="72"/>
      <c r="FJ8" s="72"/>
      <c r="FK8" s="72"/>
      <c r="FL8" s="72"/>
      <c r="FM8" s="72"/>
      <c r="FN8" s="72"/>
      <c r="FO8" s="72"/>
      <c r="FP8" s="72"/>
      <c r="FQ8" s="72"/>
      <c r="FR8" s="72"/>
      <c r="FS8" s="72"/>
      <c r="FT8" s="72"/>
      <c r="FU8" s="72"/>
      <c r="FV8" s="72"/>
      <c r="FW8" s="72"/>
      <c r="FX8" s="72"/>
      <c r="FY8" s="72"/>
      <c r="FZ8" s="72"/>
      <c r="GA8" s="72"/>
      <c r="GB8" s="72"/>
      <c r="GC8" s="72"/>
      <c r="GD8" s="72"/>
      <c r="GE8" s="72"/>
      <c r="GF8" s="72"/>
      <c r="GG8" s="72"/>
      <c r="GH8" s="72"/>
      <c r="GI8" s="72"/>
      <c r="GJ8" s="72"/>
      <c r="GK8" s="72"/>
      <c r="GL8" s="72"/>
      <c r="GM8" s="72"/>
      <c r="GN8" s="72"/>
      <c r="GO8" s="72"/>
      <c r="GP8" s="72"/>
      <c r="GQ8" s="72"/>
      <c r="GR8" s="72"/>
      <c r="GS8" s="72"/>
      <c r="GT8" s="72"/>
      <c r="GU8" s="72"/>
      <c r="GV8" s="72"/>
      <c r="GW8" s="72"/>
      <c r="GX8" s="72"/>
      <c r="GY8" s="72"/>
      <c r="GZ8" s="72"/>
      <c r="HA8" s="72"/>
      <c r="HB8" s="72"/>
      <c r="HC8" s="72"/>
      <c r="HD8" s="72"/>
      <c r="HE8" s="72"/>
      <c r="HF8" s="72"/>
      <c r="HG8" s="72"/>
      <c r="HH8" s="72"/>
      <c r="HI8" s="72"/>
      <c r="HJ8" s="72"/>
      <c r="HK8" s="72"/>
      <c r="HL8" s="72"/>
      <c r="HM8" s="72"/>
      <c r="HN8" s="72"/>
      <c r="HO8" s="72"/>
      <c r="HP8" s="72"/>
      <c r="HQ8" s="72"/>
      <c r="HR8" s="72"/>
      <c r="HS8" s="72"/>
      <c r="HT8" s="72"/>
      <c r="HU8" s="72"/>
      <c r="HV8" s="72"/>
      <c r="HW8" s="72"/>
      <c r="HX8" s="72"/>
      <c r="HY8" s="72"/>
      <c r="HZ8" s="72"/>
      <c r="IA8" s="72"/>
      <c r="IB8" s="72"/>
      <c r="IC8" s="72"/>
      <c r="ID8" s="72"/>
      <c r="IE8" s="72"/>
      <c r="IF8" s="72"/>
      <c r="IG8" s="72"/>
      <c r="IH8" s="72"/>
      <c r="II8" s="72"/>
      <c r="IJ8" s="72"/>
      <c r="IK8" s="72"/>
      <c r="IL8" s="72"/>
      <c r="IM8" s="72"/>
      <c r="IN8" s="72"/>
      <c r="IO8" s="72"/>
      <c r="IP8" s="72"/>
      <c r="IQ8" s="72"/>
      <c r="IR8" s="72"/>
      <c r="IS8" s="72"/>
      <c r="IT8" s="72"/>
      <c r="IU8" s="72"/>
      <c r="IV8" s="72"/>
      <c r="IW8" s="72"/>
      <c r="IX8" s="72"/>
      <c r="IY8" s="72"/>
      <c r="IZ8" s="72"/>
      <c r="JA8" s="72"/>
      <c r="JB8" s="72"/>
      <c r="JC8" s="72"/>
      <c r="JD8" s="72"/>
      <c r="JE8" s="72"/>
      <c r="JF8" s="72"/>
      <c r="JG8" s="72"/>
      <c r="JH8" s="72"/>
      <c r="JI8" s="72"/>
      <c r="JJ8" s="72"/>
      <c r="JK8" s="72"/>
      <c r="JL8" s="72"/>
      <c r="JM8" s="72"/>
      <c r="JN8" s="72"/>
      <c r="JO8" s="72"/>
      <c r="JP8" s="72"/>
      <c r="JQ8" s="72"/>
      <c r="JR8" s="72"/>
      <c r="JS8" s="72"/>
      <c r="JT8" s="72"/>
      <c r="JU8" s="72"/>
      <c r="JV8" s="72"/>
      <c r="JW8" s="72"/>
      <c r="JX8" s="72"/>
      <c r="JY8" s="72"/>
      <c r="JZ8" s="72"/>
      <c r="KA8" s="72"/>
      <c r="KB8" s="72"/>
      <c r="KC8" s="72"/>
      <c r="KD8" s="72"/>
      <c r="KE8" s="72"/>
      <c r="KF8" s="72"/>
      <c r="KG8" s="72"/>
      <c r="KH8" s="72"/>
      <c r="KI8" s="72"/>
      <c r="KJ8" s="72"/>
      <c r="KK8" s="72"/>
      <c r="KL8" s="72"/>
      <c r="KM8" s="72"/>
      <c r="KN8" s="72"/>
      <c r="KO8" s="72"/>
      <c r="KP8" s="72"/>
      <c r="KQ8" s="72"/>
      <c r="KR8" s="72"/>
      <c r="KS8" s="72"/>
      <c r="KT8" s="72"/>
      <c r="KU8" s="72"/>
      <c r="KV8" s="72"/>
      <c r="KW8" s="72"/>
      <c r="KX8" s="72"/>
      <c r="KY8" s="72"/>
      <c r="KZ8" s="72"/>
      <c r="LA8" s="72"/>
      <c r="LB8" s="72"/>
      <c r="LC8" s="72"/>
      <c r="LD8" s="72"/>
      <c r="LE8" s="72"/>
      <c r="LF8" s="72"/>
      <c r="LG8" s="72"/>
      <c r="LH8" s="72"/>
      <c r="LI8" s="72"/>
      <c r="LJ8" s="72"/>
      <c r="LK8" s="72"/>
      <c r="LL8" s="72"/>
      <c r="LM8" s="72"/>
      <c r="LN8" s="72"/>
      <c r="LO8" s="72"/>
      <c r="LP8" s="72"/>
      <c r="LQ8" s="72"/>
      <c r="LR8" s="72"/>
      <c r="LS8" s="72"/>
      <c r="LT8" s="72"/>
      <c r="LU8" s="72"/>
      <c r="LV8" s="72"/>
      <c r="LW8" s="72"/>
      <c r="LX8" s="72"/>
      <c r="LY8" s="72"/>
      <c r="LZ8" s="72"/>
      <c r="MA8" s="72"/>
      <c r="MB8" s="72"/>
      <c r="MC8" s="72"/>
      <c r="MD8" s="72"/>
      <c r="ME8" s="72"/>
      <c r="MF8" s="72"/>
      <c r="MG8" s="72"/>
      <c r="MH8" s="72"/>
      <c r="MI8" s="72"/>
      <c r="MJ8" s="72"/>
      <c r="MK8" s="72"/>
      <c r="ML8" s="72"/>
      <c r="MM8" s="72"/>
      <c r="MN8" s="72"/>
      <c r="MO8" s="72"/>
      <c r="MP8" s="72"/>
      <c r="MQ8" s="72"/>
      <c r="MR8" s="72"/>
      <c r="MS8" s="72"/>
      <c r="MT8" s="72"/>
      <c r="MU8" s="72"/>
      <c r="MV8" s="72"/>
      <c r="MW8" s="72"/>
      <c r="MX8" s="72"/>
      <c r="MY8" s="72"/>
      <c r="MZ8" s="72"/>
      <c r="NA8" s="72"/>
      <c r="NB8" s="72"/>
      <c r="NC8" s="72"/>
      <c r="ND8" s="72"/>
      <c r="NE8" s="72"/>
      <c r="NF8" s="72"/>
      <c r="NG8" s="72"/>
      <c r="NH8" s="72"/>
      <c r="NI8" s="72"/>
      <c r="NJ8" s="72"/>
      <c r="NK8" s="72"/>
      <c r="NL8" s="72"/>
      <c r="NM8" s="72"/>
      <c r="NN8" s="72"/>
      <c r="NO8" s="72"/>
      <c r="NP8" s="72"/>
      <c r="NQ8" s="72"/>
      <c r="NR8" s="72"/>
      <c r="NS8" s="72"/>
      <c r="NT8" s="72"/>
      <c r="NU8" s="72"/>
      <c r="NV8" s="72"/>
      <c r="NW8" s="72"/>
      <c r="NX8" s="72"/>
      <c r="NY8" s="72"/>
      <c r="NZ8" s="72"/>
      <c r="OA8" s="72"/>
      <c r="OB8" s="72"/>
      <c r="OC8" s="72"/>
      <c r="OD8" s="72"/>
      <c r="OE8" s="72"/>
      <c r="OF8" s="72"/>
      <c r="OG8" s="72"/>
      <c r="OH8" s="72"/>
      <c r="OI8" s="72"/>
      <c r="OJ8" s="72"/>
      <c r="OK8" s="72"/>
      <c r="OL8" s="72"/>
      <c r="OM8" s="72"/>
      <c r="ON8" s="72"/>
      <c r="OO8" s="72"/>
      <c r="OP8" s="72"/>
      <c r="OQ8" s="72"/>
      <c r="OR8" s="72"/>
      <c r="OS8" s="72"/>
      <c r="OT8" s="72"/>
      <c r="OU8" s="72"/>
      <c r="OV8" s="72"/>
      <c r="OW8" s="72"/>
      <c r="OX8" s="72"/>
      <c r="OY8" s="72"/>
      <c r="OZ8" s="72"/>
      <c r="PA8" s="72"/>
      <c r="PB8" s="72"/>
      <c r="PC8" s="72"/>
      <c r="PD8" s="72"/>
      <c r="PE8" s="72"/>
      <c r="PF8" s="72"/>
      <c r="PG8" s="72"/>
      <c r="PH8" s="72"/>
      <c r="PI8" s="72"/>
      <c r="PJ8" s="72"/>
      <c r="PK8" s="72"/>
      <c r="PL8" s="72"/>
      <c r="PM8" s="72"/>
      <c r="PN8" s="72"/>
      <c r="PO8" s="72"/>
      <c r="PP8" s="72"/>
      <c r="PQ8" s="72"/>
      <c r="PR8" s="72"/>
      <c r="PS8" s="72"/>
      <c r="PT8" s="72"/>
      <c r="PU8" s="72"/>
      <c r="PV8" s="72"/>
      <c r="PW8" s="72"/>
      <c r="PX8" s="72"/>
      <c r="PY8" s="72"/>
      <c r="PZ8" s="72"/>
      <c r="QA8" s="72"/>
      <c r="QB8" s="72"/>
      <c r="QC8" s="72"/>
      <c r="QD8" s="72"/>
      <c r="QE8" s="72"/>
      <c r="QF8" s="72"/>
      <c r="QG8" s="72"/>
      <c r="QH8" s="72"/>
      <c r="QI8" s="72"/>
      <c r="QJ8" s="72"/>
      <c r="QK8" s="72"/>
      <c r="QL8" s="72"/>
      <c r="QM8" s="72"/>
      <c r="QN8" s="72"/>
      <c r="QO8" s="72"/>
      <c r="QP8" s="72"/>
      <c r="QQ8" s="72"/>
      <c r="QR8" s="72"/>
      <c r="QS8" s="72"/>
      <c r="QT8" s="72"/>
      <c r="QU8" s="72"/>
      <c r="QV8" s="72"/>
      <c r="QW8" s="72"/>
      <c r="QX8" s="72"/>
      <c r="QY8" s="72"/>
      <c r="QZ8" s="72"/>
      <c r="RA8" s="72"/>
      <c r="RB8" s="72"/>
      <c r="RC8" s="72"/>
      <c r="RD8" s="72"/>
      <c r="RE8" s="72"/>
      <c r="RF8" s="72"/>
      <c r="RG8" s="72"/>
      <c r="RH8" s="72"/>
      <c r="RI8" s="72"/>
      <c r="RJ8" s="72"/>
      <c r="RK8" s="72"/>
      <c r="RL8" s="72"/>
      <c r="RM8" s="72"/>
      <c r="RN8" s="72"/>
      <c r="RO8" s="72"/>
      <c r="RP8" s="72"/>
      <c r="RQ8" s="72"/>
      <c r="RR8" s="72"/>
      <c r="RS8" s="72"/>
      <c r="RT8" s="72"/>
      <c r="RU8" s="72"/>
      <c r="RV8" s="72"/>
      <c r="RW8" s="72"/>
      <c r="RX8" s="72"/>
      <c r="RY8" s="72"/>
      <c r="RZ8" s="72"/>
      <c r="SA8" s="72"/>
      <c r="SB8" s="72"/>
      <c r="SC8" s="72"/>
      <c r="SD8" s="72"/>
      <c r="SE8" s="72"/>
      <c r="SF8" s="72"/>
      <c r="SG8" s="72"/>
      <c r="SH8" s="72"/>
      <c r="SI8" s="72"/>
      <c r="SJ8" s="72"/>
      <c r="SK8" s="72"/>
      <c r="SL8" s="72"/>
      <c r="SM8" s="72"/>
      <c r="SN8" s="72"/>
      <c r="SO8" s="72"/>
      <c r="SP8" s="72"/>
      <c r="SQ8" s="72"/>
      <c r="SR8" s="72"/>
      <c r="SS8" s="72"/>
      <c r="ST8" s="72"/>
      <c r="SU8" s="72"/>
      <c r="SV8" s="72"/>
      <c r="SW8" s="72"/>
      <c r="SX8" s="72"/>
      <c r="SY8" s="72"/>
      <c r="SZ8" s="72"/>
      <c r="TA8" s="72"/>
      <c r="TB8" s="72"/>
      <c r="TC8" s="72"/>
      <c r="TD8" s="72"/>
      <c r="TE8" s="72"/>
      <c r="TF8" s="72"/>
      <c r="TG8" s="72"/>
      <c r="TH8" s="72"/>
      <c r="TI8" s="72"/>
      <c r="TJ8" s="72"/>
      <c r="TK8" s="72"/>
      <c r="TL8" s="72"/>
      <c r="TM8" s="72"/>
      <c r="TN8" s="72"/>
      <c r="TO8" s="72"/>
      <c r="TP8" s="72"/>
      <c r="TQ8" s="72"/>
      <c r="TR8" s="72"/>
      <c r="TS8" s="72"/>
      <c r="TT8" s="72"/>
      <c r="TU8" s="72"/>
      <c r="TV8" s="72"/>
      <c r="TW8" s="72"/>
      <c r="TX8" s="72"/>
      <c r="TY8" s="72"/>
      <c r="TZ8" s="72"/>
      <c r="UA8" s="72"/>
      <c r="UB8" s="72"/>
      <c r="UC8" s="72"/>
      <c r="UD8" s="72"/>
      <c r="UE8" s="72"/>
      <c r="UF8" s="72"/>
      <c r="UG8" s="72"/>
      <c r="UH8" s="72"/>
      <c r="UI8" s="72"/>
      <c r="UJ8" s="72"/>
      <c r="UK8" s="72"/>
      <c r="UL8" s="72"/>
      <c r="UM8" s="72"/>
      <c r="UN8" s="72"/>
      <c r="UO8" s="72"/>
      <c r="UP8" s="72"/>
      <c r="UQ8" s="72"/>
      <c r="UR8" s="72"/>
      <c r="US8" s="72"/>
      <c r="UT8" s="72"/>
      <c r="UU8" s="72"/>
      <c r="UV8" s="72"/>
      <c r="UW8" s="72"/>
      <c r="UX8" s="72"/>
      <c r="UY8" s="72"/>
      <c r="UZ8" s="72"/>
      <c r="VA8" s="72"/>
      <c r="VB8" s="72"/>
      <c r="VC8" s="72"/>
      <c r="VD8" s="72"/>
      <c r="VE8" s="72"/>
      <c r="VF8" s="72"/>
      <c r="VG8" s="72"/>
      <c r="VH8" s="72"/>
      <c r="VI8" s="72"/>
      <c r="VJ8" s="72"/>
      <c r="VK8" s="72"/>
      <c r="VL8" s="72"/>
      <c r="VM8" s="72"/>
      <c r="VN8" s="72"/>
      <c r="VO8" s="72"/>
      <c r="VP8" s="72"/>
      <c r="VQ8" s="72"/>
      <c r="VR8" s="72"/>
      <c r="VS8" s="72"/>
      <c r="VT8" s="72"/>
      <c r="VU8" s="72"/>
      <c r="VV8" s="72"/>
      <c r="VW8" s="72"/>
      <c r="VX8" s="72"/>
      <c r="VY8" s="72"/>
      <c r="VZ8" s="72"/>
      <c r="WA8" s="72"/>
      <c r="WB8" s="72"/>
      <c r="WC8" s="72"/>
      <c r="WD8" s="72"/>
      <c r="WE8" s="72"/>
      <c r="WF8" s="72"/>
      <c r="WG8" s="72"/>
      <c r="WH8" s="72"/>
      <c r="WI8" s="72"/>
      <c r="WJ8" s="72"/>
      <c r="WK8" s="72"/>
      <c r="WL8" s="72"/>
      <c r="WM8" s="72"/>
      <c r="WN8" s="72"/>
      <c r="WO8" s="72"/>
      <c r="WP8" s="72"/>
      <c r="WQ8" s="72"/>
      <c r="WR8" s="72"/>
      <c r="WS8" s="72"/>
      <c r="WT8" s="72"/>
      <c r="WU8" s="72"/>
      <c r="WV8" s="72"/>
      <c r="WW8" s="72"/>
      <c r="WX8" s="72"/>
      <c r="WY8" s="72"/>
      <c r="WZ8" s="72"/>
      <c r="XA8" s="72"/>
      <c r="XB8" s="72"/>
      <c r="XC8" s="72"/>
      <c r="XD8" s="72"/>
      <c r="XE8" s="72"/>
      <c r="XF8" s="72"/>
      <c r="XG8" s="72"/>
      <c r="XH8" s="72"/>
      <c r="XI8" s="72"/>
      <c r="XJ8" s="72"/>
      <c r="XK8" s="72"/>
      <c r="XL8" s="72"/>
      <c r="XM8" s="72"/>
      <c r="XN8" s="72"/>
      <c r="XO8" s="72"/>
      <c r="XP8" s="72"/>
      <c r="XQ8" s="72"/>
      <c r="XR8" s="72"/>
      <c r="XS8" s="72"/>
      <c r="XT8" s="72"/>
      <c r="XU8" s="72"/>
      <c r="XV8" s="72"/>
      <c r="XW8" s="72"/>
      <c r="XX8" s="72"/>
      <c r="XY8" s="72"/>
      <c r="XZ8" s="72"/>
      <c r="YA8" s="72"/>
      <c r="YB8" s="72"/>
      <c r="YC8" s="72"/>
      <c r="YD8" s="72"/>
      <c r="YE8" s="72"/>
      <c r="YF8" s="72"/>
      <c r="YG8" s="72"/>
      <c r="YH8" s="72"/>
      <c r="YI8" s="72"/>
      <c r="YJ8" s="72"/>
      <c r="YK8" s="72"/>
      <c r="YL8" s="72"/>
      <c r="YM8" s="72"/>
      <c r="YN8" s="72"/>
      <c r="YO8" s="72"/>
      <c r="YP8" s="72"/>
      <c r="YQ8" s="72"/>
      <c r="YR8" s="72"/>
      <c r="YS8" s="72"/>
      <c r="YT8" s="72"/>
      <c r="YU8" s="72"/>
      <c r="YV8" s="72"/>
      <c r="YW8" s="72"/>
      <c r="YX8" s="72"/>
      <c r="YY8" s="72"/>
      <c r="YZ8" s="72"/>
      <c r="ZA8" s="72"/>
      <c r="ZB8" s="72"/>
      <c r="ZC8" s="72"/>
      <c r="ZD8" s="72"/>
      <c r="ZE8" s="72"/>
      <c r="ZF8" s="72"/>
      <c r="ZG8" s="72"/>
      <c r="ZH8" s="72"/>
      <c r="ZI8" s="72"/>
      <c r="ZJ8" s="72"/>
      <c r="ZK8" s="72"/>
      <c r="ZL8" s="72"/>
      <c r="ZM8" s="72"/>
      <c r="ZN8" s="72"/>
      <c r="ZO8" s="72"/>
      <c r="ZP8" s="72"/>
      <c r="ZQ8" s="72"/>
      <c r="ZR8" s="72"/>
      <c r="ZS8" s="72"/>
      <c r="ZT8" s="72"/>
      <c r="ZU8" s="72"/>
      <c r="ZV8" s="72"/>
      <c r="ZW8" s="72"/>
      <c r="ZX8" s="72"/>
      <c r="ZY8" s="72"/>
      <c r="ZZ8" s="72"/>
      <c r="AAA8" s="72"/>
      <c r="AAB8" s="72"/>
      <c r="AAC8" s="72"/>
      <c r="AAD8" s="72"/>
      <c r="AAE8" s="72"/>
      <c r="AAF8" s="72"/>
      <c r="AAG8" s="72"/>
      <c r="AAH8" s="72"/>
      <c r="AAI8" s="72"/>
      <c r="AAJ8" s="72"/>
      <c r="AAK8" s="72"/>
      <c r="AAL8" s="72"/>
      <c r="AAM8" s="72"/>
      <c r="AAN8" s="72"/>
      <c r="AAO8" s="72"/>
      <c r="AAP8" s="72"/>
      <c r="AAQ8" s="72"/>
      <c r="AAR8" s="72"/>
      <c r="AAS8" s="72"/>
      <c r="AAT8" s="72"/>
      <c r="AAU8" s="72"/>
      <c r="AAV8" s="72"/>
      <c r="AAW8" s="72"/>
      <c r="AAX8" s="72"/>
      <c r="AAY8" s="72"/>
      <c r="AAZ8" s="72"/>
      <c r="ABA8" s="72"/>
      <c r="ABB8" s="72"/>
      <c r="ABC8" s="72"/>
      <c r="ABD8" s="72"/>
      <c r="ABE8" s="72"/>
      <c r="ABF8" s="72"/>
      <c r="ABG8" s="72"/>
      <c r="ABH8" s="72"/>
      <c r="ABI8" s="72"/>
      <c r="ABJ8" s="72"/>
      <c r="ABK8" s="72"/>
      <c r="ABL8" s="72"/>
      <c r="ABM8" s="72"/>
      <c r="ABN8" s="72"/>
      <c r="ABO8" s="72"/>
      <c r="ABP8" s="72"/>
      <c r="ABQ8" s="72"/>
      <c r="ABR8" s="72"/>
      <c r="ABS8" s="72"/>
      <c r="ABT8" s="72"/>
      <c r="ABU8" s="72"/>
      <c r="ABV8" s="72"/>
      <c r="ABW8" s="72"/>
      <c r="ABX8" s="72"/>
      <c r="ABY8" s="72"/>
      <c r="ABZ8" s="72"/>
      <c r="ACA8" s="72"/>
      <c r="ACB8" s="72"/>
      <c r="ACC8" s="72"/>
      <c r="ACD8" s="72"/>
      <c r="ACE8" s="72"/>
      <c r="ACF8" s="72"/>
      <c r="ACG8" s="72"/>
      <c r="ACH8" s="72"/>
      <c r="ACI8" s="72"/>
      <c r="ACJ8" s="72"/>
      <c r="ACK8" s="72"/>
      <c r="ACL8" s="72"/>
      <c r="ACM8" s="72"/>
      <c r="ACN8" s="72"/>
      <c r="ACO8" s="72"/>
      <c r="ACP8" s="72"/>
      <c r="ACQ8" s="72"/>
      <c r="ACR8" s="72"/>
      <c r="ACS8" s="72"/>
      <c r="ACT8" s="72"/>
      <c r="ACU8" s="72"/>
      <c r="ACV8" s="72"/>
      <c r="ACW8" s="72"/>
      <c r="ACX8" s="72"/>
      <c r="ACY8" s="72"/>
      <c r="ACZ8" s="72"/>
      <c r="ADA8" s="72"/>
      <c r="ADB8" s="72"/>
      <c r="ADC8" s="72"/>
      <c r="ADD8" s="72"/>
      <c r="ADE8" s="72"/>
      <c r="ADF8" s="72"/>
      <c r="ADG8" s="72"/>
      <c r="ADH8" s="72"/>
      <c r="ADI8" s="72"/>
      <c r="ADJ8" s="72"/>
      <c r="ADK8" s="72"/>
      <c r="ADL8" s="72"/>
      <c r="ADM8" s="72"/>
      <c r="ADN8" s="72"/>
      <c r="ADO8" s="72"/>
      <c r="ADP8" s="72"/>
      <c r="ADQ8" s="72"/>
      <c r="ADR8" s="72"/>
      <c r="ADS8" s="72"/>
      <c r="ADT8" s="72"/>
      <c r="ADU8" s="72"/>
      <c r="ADV8" s="72"/>
      <c r="ADW8" s="72"/>
      <c r="ADX8" s="72"/>
      <c r="ADY8" s="72"/>
      <c r="ADZ8" s="72"/>
      <c r="AEA8" s="72"/>
      <c r="AEB8" s="72"/>
      <c r="AEC8" s="72"/>
      <c r="AED8" s="72"/>
      <c r="AEE8" s="72"/>
      <c r="AEF8" s="72"/>
      <c r="AEG8" s="72"/>
      <c r="AEH8" s="72"/>
      <c r="AEI8" s="72"/>
      <c r="AEJ8" s="72"/>
      <c r="AEK8" s="72"/>
      <c r="AEL8" s="72"/>
      <c r="AEM8" s="72"/>
      <c r="AEN8" s="72"/>
      <c r="AEO8" s="72"/>
      <c r="AEP8" s="72"/>
      <c r="AEQ8" s="72"/>
      <c r="AER8" s="72"/>
      <c r="AES8" s="72"/>
      <c r="AET8" s="72"/>
      <c r="AEU8" s="72"/>
      <c r="AEV8" s="72"/>
      <c r="AEW8" s="72"/>
      <c r="AEX8" s="72"/>
      <c r="AEY8" s="72"/>
      <c r="AEZ8" s="72"/>
      <c r="AFA8" s="72"/>
      <c r="AFB8" s="72"/>
      <c r="AFC8" s="72"/>
      <c r="AFD8" s="72"/>
      <c r="AFE8" s="72"/>
      <c r="AFF8" s="72"/>
      <c r="AFG8" s="72"/>
      <c r="AFH8" s="72"/>
      <c r="AFI8" s="72"/>
      <c r="AFJ8" s="72"/>
      <c r="AFK8" s="72"/>
      <c r="AFL8" s="72"/>
      <c r="AFM8" s="72"/>
      <c r="AFN8" s="72"/>
      <c r="AFO8" s="72"/>
      <c r="AFP8" s="72"/>
      <c r="AFQ8" s="72"/>
      <c r="AFR8" s="72"/>
      <c r="AFS8" s="72"/>
      <c r="AFT8" s="72"/>
      <c r="AFU8" s="72"/>
      <c r="AFV8" s="72"/>
      <c r="AFW8" s="72"/>
      <c r="AFX8" s="72"/>
      <c r="AFY8" s="72"/>
      <c r="AFZ8" s="72"/>
      <c r="AGA8" s="72"/>
      <c r="AGB8" s="72"/>
      <c r="AGC8" s="72"/>
      <c r="AGD8" s="72"/>
      <c r="AGE8" s="72"/>
      <c r="AGF8" s="72"/>
      <c r="AGG8" s="72"/>
      <c r="AGH8" s="72"/>
      <c r="AGI8" s="72"/>
      <c r="AGJ8" s="72"/>
      <c r="AGK8" s="72"/>
      <c r="AGL8" s="72"/>
      <c r="AGM8" s="72"/>
      <c r="AGN8" s="72"/>
      <c r="AGO8" s="72"/>
      <c r="AGP8" s="72"/>
      <c r="AGQ8" s="72"/>
      <c r="AGR8" s="72"/>
      <c r="AGS8" s="72"/>
      <c r="AGT8" s="72"/>
      <c r="AGU8" s="72"/>
      <c r="AGV8" s="72"/>
      <c r="AGW8" s="72"/>
      <c r="AGX8" s="72"/>
      <c r="AGY8" s="72"/>
      <c r="AGZ8" s="72"/>
      <c r="AHA8" s="72"/>
      <c r="AHB8" s="72"/>
      <c r="AHC8" s="72"/>
      <c r="AHD8" s="72"/>
      <c r="AHE8" s="72"/>
      <c r="AHF8" s="72"/>
      <c r="AHG8" s="72"/>
      <c r="AHH8" s="72"/>
      <c r="AHI8" s="72"/>
      <c r="AHJ8" s="72"/>
      <c r="AHK8" s="72"/>
      <c r="AHL8" s="72"/>
      <c r="AHM8" s="72"/>
      <c r="AHN8" s="72"/>
      <c r="AHO8" s="72"/>
      <c r="AHP8" s="72"/>
      <c r="AHQ8" s="72"/>
      <c r="AHR8" s="72"/>
      <c r="AHS8" s="72"/>
      <c r="AHT8" s="72"/>
      <c r="AHU8" s="72"/>
      <c r="AHV8" s="72"/>
      <c r="AHW8" s="72"/>
      <c r="AHX8" s="72"/>
      <c r="AHY8" s="72"/>
      <c r="AHZ8" s="72"/>
      <c r="AIA8" s="72"/>
      <c r="AIB8" s="72"/>
      <c r="AIC8" s="72"/>
      <c r="AID8" s="72"/>
      <c r="AIE8" s="72"/>
      <c r="AIF8" s="72"/>
      <c r="AIG8" s="72"/>
      <c r="AIH8" s="72"/>
      <c r="AII8" s="72"/>
      <c r="AIJ8" s="72"/>
      <c r="AIK8" s="72"/>
      <c r="AIL8" s="72"/>
      <c r="AIM8" s="72"/>
      <c r="AIN8" s="72"/>
      <c r="AIO8" s="72"/>
      <c r="AIP8" s="72"/>
      <c r="AIQ8" s="72"/>
      <c r="AIR8" s="72"/>
      <c r="AIS8" s="72"/>
      <c r="AIT8" s="72"/>
      <c r="AIU8" s="72"/>
      <c r="AIV8" s="72"/>
      <c r="AIW8" s="72"/>
      <c r="AIX8" s="72"/>
      <c r="AIY8" s="72"/>
      <c r="AIZ8" s="72"/>
      <c r="AJA8" s="72"/>
      <c r="AJB8" s="72"/>
      <c r="AJC8" s="72"/>
      <c r="AJD8" s="72"/>
      <c r="AJE8" s="72"/>
      <c r="AJF8" s="72"/>
      <c r="AJG8" s="72"/>
      <c r="AJH8" s="72"/>
      <c r="AJI8" s="72"/>
      <c r="AJJ8" s="72"/>
      <c r="AJK8" s="72"/>
      <c r="AJL8" s="72"/>
      <c r="AJM8" s="72"/>
      <c r="AJN8" s="72"/>
      <c r="AJO8" s="72"/>
      <c r="AJP8" s="72"/>
      <c r="AJQ8" s="72"/>
      <c r="AJR8" s="72"/>
      <c r="AJS8" s="72"/>
      <c r="AJT8" s="72"/>
      <c r="AJU8" s="72"/>
      <c r="AJV8" s="72"/>
      <c r="AJW8" s="72"/>
      <c r="AJX8" s="72"/>
      <c r="AJY8" s="72"/>
      <c r="AJZ8" s="72"/>
      <c r="AKA8" s="72"/>
      <c r="AKB8" s="72"/>
      <c r="AKC8" s="72"/>
      <c r="AKD8" s="72"/>
      <c r="AKE8" s="72"/>
      <c r="AKF8" s="72"/>
      <c r="AKG8" s="72"/>
      <c r="AKH8" s="72"/>
      <c r="AKI8" s="72"/>
      <c r="AKJ8" s="72"/>
      <c r="AKK8" s="72"/>
      <c r="AKL8" s="72"/>
      <c r="AKM8" s="72"/>
      <c r="AKN8" s="72"/>
      <c r="AKO8" s="72"/>
      <c r="AKP8" s="72"/>
      <c r="AKQ8" s="72"/>
      <c r="AKR8" s="72"/>
      <c r="AKS8" s="72"/>
      <c r="AKT8" s="72"/>
      <c r="AKU8" s="72"/>
      <c r="AKV8" s="72"/>
      <c r="AKW8" s="72"/>
      <c r="AKX8" s="72"/>
      <c r="AKY8" s="72"/>
      <c r="AKZ8" s="72"/>
      <c r="ALA8" s="72"/>
      <c r="ALB8" s="72"/>
      <c r="ALC8" s="72"/>
      <c r="ALD8" s="72"/>
      <c r="ALE8" s="72"/>
      <c r="ALF8" s="72"/>
      <c r="ALG8" s="72"/>
      <c r="ALH8" s="72"/>
      <c r="ALI8" s="72"/>
      <c r="ALJ8" s="72"/>
      <c r="ALK8" s="72"/>
      <c r="ALL8" s="72"/>
      <c r="ALM8" s="72"/>
      <c r="ALN8" s="72"/>
      <c r="ALO8" s="72"/>
      <c r="ALP8" s="72"/>
      <c r="ALQ8" s="72"/>
      <c r="ALR8" s="72"/>
      <c r="ALS8" s="72"/>
      <c r="ALT8" s="72"/>
      <c r="ALU8" s="72"/>
      <c r="ALV8" s="72"/>
      <c r="ALW8" s="72"/>
      <c r="ALX8" s="72"/>
      <c r="ALY8" s="72"/>
      <c r="ALZ8" s="72"/>
      <c r="AMA8" s="72"/>
      <c r="AMB8" s="72"/>
      <c r="AMC8" s="72"/>
      <c r="AMD8" s="72"/>
      <c r="AME8" s="72"/>
      <c r="AMF8" s="72"/>
      <c r="AMG8" s="72"/>
      <c r="AMH8" s="72"/>
      <c r="AMI8" s="72"/>
      <c r="AMJ8" s="72"/>
      <c r="AMK8" s="72"/>
      <c r="AML8" s="72"/>
      <c r="AMM8" s="72"/>
      <c r="AMN8" s="72"/>
      <c r="AMO8" s="72"/>
      <c r="AMP8" s="72"/>
      <c r="AMQ8" s="72"/>
      <c r="AMR8" s="72"/>
      <c r="AMS8" s="72"/>
      <c r="AMT8" s="72"/>
      <c r="AMU8" s="72"/>
      <c r="AMV8" s="72"/>
      <c r="AMW8" s="72"/>
      <c r="AMX8" s="72"/>
      <c r="AMY8" s="72"/>
      <c r="AMZ8" s="72"/>
      <c r="ANA8" s="72"/>
      <c r="ANB8" s="72"/>
      <c r="ANC8" s="72"/>
      <c r="AND8" s="72"/>
      <c r="ANE8" s="72"/>
      <c r="ANF8" s="72"/>
      <c r="ANG8" s="72"/>
      <c r="ANH8" s="72"/>
      <c r="ANI8" s="72"/>
      <c r="ANJ8" s="72"/>
      <c r="ANK8" s="72"/>
      <c r="ANL8" s="72"/>
      <c r="ANM8" s="72"/>
      <c r="ANN8" s="72"/>
      <c r="ANO8" s="72"/>
      <c r="ANP8" s="72"/>
      <c r="ANQ8" s="72"/>
      <c r="ANR8" s="72"/>
      <c r="ANS8" s="72"/>
      <c r="ANT8" s="72"/>
      <c r="ANU8" s="72"/>
      <c r="ANV8" s="72"/>
      <c r="ANW8" s="72"/>
      <c r="ANX8" s="72"/>
      <c r="ANY8" s="72"/>
      <c r="ANZ8" s="72"/>
      <c r="AOA8" s="72"/>
      <c r="AOB8" s="72"/>
      <c r="AOC8" s="72"/>
      <c r="AOD8" s="72"/>
      <c r="AOE8" s="72"/>
      <c r="AOF8" s="72"/>
      <c r="AOG8" s="72"/>
      <c r="AOH8" s="72"/>
      <c r="AOI8" s="72"/>
      <c r="AOJ8" s="72"/>
      <c r="AOK8" s="72"/>
      <c r="AOL8" s="72"/>
      <c r="AOM8" s="72"/>
      <c r="AON8" s="72"/>
      <c r="AOO8" s="72"/>
      <c r="AOP8" s="72"/>
      <c r="AOQ8" s="72"/>
      <c r="AOR8" s="72"/>
      <c r="AOS8" s="72"/>
      <c r="AOT8" s="72"/>
      <c r="AOU8" s="72"/>
      <c r="AOV8" s="72"/>
      <c r="AOW8" s="72"/>
      <c r="AOX8" s="72"/>
      <c r="AOY8" s="72"/>
      <c r="AOZ8" s="72"/>
      <c r="APA8" s="72"/>
      <c r="APB8" s="72"/>
      <c r="APC8" s="72"/>
      <c r="APD8" s="72"/>
      <c r="APE8" s="72"/>
      <c r="APF8" s="72"/>
      <c r="APG8" s="72"/>
      <c r="APH8" s="72"/>
      <c r="API8" s="72"/>
      <c r="APJ8" s="72"/>
      <c r="APK8" s="72"/>
      <c r="APL8" s="72"/>
      <c r="APM8" s="72"/>
      <c r="APN8" s="72"/>
      <c r="APO8" s="72"/>
      <c r="APP8" s="72"/>
      <c r="APQ8" s="72"/>
      <c r="APR8" s="72"/>
      <c r="APS8" s="72"/>
      <c r="APT8" s="72"/>
      <c r="APU8" s="72"/>
      <c r="APV8" s="72"/>
      <c r="APW8" s="72"/>
      <c r="APX8" s="72"/>
      <c r="APY8" s="72"/>
      <c r="APZ8" s="72"/>
      <c r="AQA8" s="72"/>
      <c r="AQB8" s="72"/>
      <c r="AQC8" s="72"/>
      <c r="AQD8" s="72"/>
      <c r="AQE8" s="72"/>
      <c r="AQF8" s="72"/>
      <c r="AQG8" s="72"/>
      <c r="AQH8" s="72"/>
      <c r="AQI8" s="72"/>
      <c r="AQJ8" s="72"/>
      <c r="AQK8" s="72"/>
      <c r="AQL8" s="72"/>
      <c r="AQM8" s="72"/>
      <c r="AQN8" s="72"/>
      <c r="AQO8" s="72"/>
      <c r="AQP8" s="72"/>
      <c r="AQQ8" s="72"/>
      <c r="AQR8" s="72"/>
      <c r="AQS8" s="72"/>
      <c r="AQT8" s="72"/>
      <c r="AQU8" s="72"/>
      <c r="AQV8" s="72"/>
      <c r="AQW8" s="72"/>
      <c r="AQX8" s="72"/>
      <c r="AQY8" s="72"/>
      <c r="AQZ8" s="72"/>
      <c r="ARA8" s="72"/>
      <c r="ARB8" s="72"/>
      <c r="ARC8" s="72"/>
      <c r="ARD8" s="72"/>
      <c r="ARE8" s="72"/>
      <c r="ARF8" s="72"/>
      <c r="ARG8" s="72"/>
      <c r="ARH8" s="72"/>
      <c r="ARI8" s="72"/>
      <c r="ARJ8" s="72"/>
      <c r="ARK8" s="72"/>
      <c r="ARL8" s="72"/>
      <c r="ARM8" s="72"/>
      <c r="ARN8" s="72"/>
      <c r="ARO8" s="72"/>
      <c r="ARP8" s="72"/>
      <c r="ARQ8" s="72"/>
      <c r="ARR8" s="72"/>
      <c r="ARS8" s="72"/>
      <c r="ART8" s="72"/>
      <c r="ARU8" s="72"/>
      <c r="ARV8" s="72"/>
      <c r="ARW8" s="72"/>
      <c r="ARX8" s="72"/>
      <c r="ARY8" s="72"/>
      <c r="ARZ8" s="72"/>
      <c r="ASA8" s="72"/>
      <c r="ASB8" s="72"/>
      <c r="ASC8" s="72"/>
      <c r="ASD8" s="72"/>
      <c r="ASE8" s="72"/>
      <c r="ASF8" s="72"/>
      <c r="ASG8" s="72"/>
      <c r="ASH8" s="72"/>
      <c r="ASI8" s="72"/>
      <c r="ASJ8" s="72"/>
      <c r="ASK8" s="72"/>
      <c r="ASL8" s="72"/>
      <c r="ASM8" s="72"/>
      <c r="ASN8" s="72"/>
      <c r="ASO8" s="72"/>
      <c r="ASP8" s="72"/>
      <c r="ASQ8" s="72"/>
      <c r="ASR8" s="72"/>
      <c r="ASS8" s="72"/>
      <c r="AST8" s="72"/>
      <c r="ASU8" s="72"/>
      <c r="ASV8" s="72"/>
      <c r="ASW8" s="72"/>
      <c r="ASX8" s="72"/>
      <c r="ASY8" s="72"/>
      <c r="ASZ8" s="72"/>
      <c r="ATA8" s="72"/>
      <c r="ATB8" s="72"/>
      <c r="ATC8" s="72"/>
      <c r="ATD8" s="72"/>
      <c r="ATE8" s="72"/>
      <c r="ATF8" s="72"/>
      <c r="ATG8" s="72"/>
      <c r="ATH8" s="72"/>
      <c r="ATI8" s="72"/>
      <c r="ATJ8" s="72"/>
      <c r="ATK8" s="72"/>
      <c r="ATL8" s="72"/>
      <c r="ATM8" s="72"/>
      <c r="ATN8" s="72"/>
      <c r="ATO8" s="72"/>
      <c r="ATP8" s="72"/>
      <c r="ATQ8" s="72"/>
      <c r="ATR8" s="72"/>
      <c r="ATS8" s="72"/>
      <c r="ATT8" s="72"/>
      <c r="ATU8" s="72"/>
      <c r="ATV8" s="72"/>
      <c r="ATW8" s="72"/>
      <c r="ATX8" s="72"/>
      <c r="ATY8" s="72"/>
      <c r="ATZ8" s="72"/>
      <c r="AUA8" s="72"/>
      <c r="AUB8" s="72"/>
      <c r="AUC8" s="72"/>
      <c r="AUD8" s="72"/>
      <c r="AUE8" s="72"/>
      <c r="AUF8" s="72"/>
      <c r="AUG8" s="72"/>
      <c r="AUH8" s="72"/>
      <c r="AUI8" s="72"/>
      <c r="AUJ8" s="72"/>
      <c r="AUK8" s="72"/>
      <c r="AUL8" s="72"/>
      <c r="AUM8" s="72"/>
      <c r="AUN8" s="72"/>
      <c r="AUO8" s="72"/>
      <c r="AUP8" s="72"/>
      <c r="AUQ8" s="72"/>
      <c r="AUR8" s="72"/>
      <c r="AUS8" s="72"/>
      <c r="AUT8" s="72"/>
      <c r="AUU8" s="72"/>
      <c r="AUV8" s="72"/>
      <c r="AUW8" s="72"/>
      <c r="AUX8" s="72"/>
      <c r="AUY8" s="72"/>
      <c r="AUZ8" s="72"/>
      <c r="AVA8" s="72"/>
      <c r="AVB8" s="72"/>
      <c r="AVC8" s="72"/>
      <c r="AVD8" s="72"/>
      <c r="AVE8" s="72"/>
      <c r="AVF8" s="72"/>
      <c r="AVG8" s="72"/>
      <c r="AVH8" s="72"/>
      <c r="AVI8" s="72"/>
      <c r="AVJ8" s="72"/>
      <c r="AVK8" s="72"/>
      <c r="AVL8" s="72"/>
      <c r="AVM8" s="72"/>
      <c r="AVN8" s="72"/>
      <c r="AVO8" s="72"/>
      <c r="AVP8" s="72"/>
      <c r="AVQ8" s="72"/>
      <c r="AVR8" s="72"/>
      <c r="AVS8" s="72"/>
      <c r="AVT8" s="72"/>
      <c r="AVU8" s="72"/>
      <c r="AVV8" s="72"/>
      <c r="AVW8" s="72"/>
      <c r="AVX8" s="72"/>
      <c r="AVY8" s="72"/>
      <c r="AVZ8" s="72"/>
      <c r="AWA8" s="72"/>
      <c r="AWB8" s="72"/>
      <c r="AWC8" s="72"/>
      <c r="AWD8" s="72"/>
      <c r="AWE8" s="72"/>
      <c r="AWF8" s="72"/>
      <c r="AWG8" s="72"/>
      <c r="AWH8" s="72"/>
      <c r="AWI8" s="72"/>
      <c r="AWJ8" s="72"/>
      <c r="AWK8" s="72"/>
      <c r="AWL8" s="72"/>
      <c r="AWM8" s="72"/>
      <c r="AWN8" s="72"/>
      <c r="AWO8" s="72"/>
      <c r="AWP8" s="72"/>
      <c r="AWQ8" s="72"/>
      <c r="AWR8" s="72"/>
      <c r="AWS8" s="72"/>
      <c r="AWT8" s="72"/>
      <c r="AWU8" s="72"/>
      <c r="AWV8" s="72"/>
      <c r="AWW8" s="72"/>
      <c r="AWX8" s="72"/>
      <c r="AWY8" s="72"/>
      <c r="AWZ8" s="72"/>
      <c r="AXA8" s="72"/>
      <c r="AXB8" s="72"/>
      <c r="AXC8" s="72"/>
      <c r="AXD8" s="72"/>
      <c r="AXE8" s="72"/>
      <c r="AXF8" s="72"/>
      <c r="AXG8" s="72"/>
      <c r="AXH8" s="72"/>
      <c r="AXI8" s="72"/>
      <c r="AXJ8" s="72"/>
      <c r="AXK8" s="72"/>
      <c r="AXL8" s="72"/>
      <c r="AXM8" s="72"/>
      <c r="AXN8" s="72"/>
      <c r="AXO8" s="72"/>
      <c r="AXP8" s="72"/>
      <c r="AXQ8" s="72"/>
      <c r="AXR8" s="72"/>
      <c r="AXS8" s="72"/>
      <c r="AXT8" s="72"/>
      <c r="AXU8" s="72"/>
      <c r="AXV8" s="72"/>
      <c r="AXW8" s="72"/>
      <c r="AXX8" s="72"/>
      <c r="AXY8" s="72"/>
      <c r="AXZ8" s="72"/>
      <c r="AYA8" s="72"/>
      <c r="AYB8" s="72"/>
      <c r="AYC8" s="72"/>
      <c r="AYD8" s="72"/>
      <c r="AYE8" s="72"/>
      <c r="AYF8" s="72"/>
      <c r="AYG8" s="72"/>
      <c r="AYH8" s="72"/>
      <c r="AYI8" s="72"/>
      <c r="AYJ8" s="72"/>
      <c r="AYK8" s="72"/>
      <c r="AYL8" s="72"/>
      <c r="AYM8" s="72"/>
      <c r="AYN8" s="72"/>
      <c r="AYO8" s="72"/>
      <c r="AYP8" s="72"/>
      <c r="AYQ8" s="72"/>
      <c r="AYR8" s="72"/>
      <c r="AYS8" s="72"/>
      <c r="AYT8" s="72"/>
      <c r="AYU8" s="72"/>
      <c r="AYV8" s="72"/>
      <c r="AYW8" s="72"/>
      <c r="AYX8" s="72"/>
      <c r="AYY8" s="72"/>
      <c r="AYZ8" s="72"/>
      <c r="AZA8" s="72"/>
      <c r="AZB8" s="72"/>
      <c r="AZC8" s="72"/>
      <c r="AZD8" s="72"/>
      <c r="AZE8" s="72"/>
      <c r="AZF8" s="72"/>
      <c r="AZG8" s="72"/>
      <c r="AZH8" s="72"/>
      <c r="AZI8" s="72"/>
      <c r="AZJ8" s="72"/>
      <c r="AZK8" s="72"/>
      <c r="AZL8" s="72"/>
      <c r="AZM8" s="72"/>
      <c r="AZN8" s="72"/>
      <c r="AZO8" s="72"/>
      <c r="AZP8" s="72"/>
      <c r="AZQ8" s="72"/>
      <c r="AZR8" s="72"/>
      <c r="AZS8" s="72"/>
      <c r="AZT8" s="72"/>
      <c r="AZU8" s="72"/>
      <c r="AZV8" s="72"/>
      <c r="AZW8" s="72"/>
      <c r="AZX8" s="72"/>
      <c r="AZY8" s="72"/>
      <c r="AZZ8" s="72"/>
      <c r="BAA8" s="72"/>
      <c r="BAB8" s="72"/>
      <c r="BAC8" s="72"/>
      <c r="BAD8" s="72"/>
      <c r="BAE8" s="72"/>
      <c r="BAF8" s="72"/>
      <c r="BAG8" s="72"/>
      <c r="BAH8" s="72"/>
      <c r="BAI8" s="72"/>
      <c r="BAJ8" s="72"/>
      <c r="BAK8" s="72"/>
      <c r="BAL8" s="72"/>
      <c r="BAM8" s="72"/>
      <c r="BAN8" s="72"/>
      <c r="BAO8" s="72"/>
      <c r="BAP8" s="72"/>
      <c r="BAQ8" s="72"/>
      <c r="BAR8" s="72"/>
      <c r="BAS8" s="72"/>
      <c r="BAT8" s="72"/>
      <c r="BAU8" s="72"/>
      <c r="BAV8" s="72"/>
      <c r="BAW8" s="72"/>
      <c r="BAX8" s="72"/>
      <c r="BAY8" s="72"/>
      <c r="BAZ8" s="72"/>
      <c r="BBA8" s="72"/>
      <c r="BBB8" s="72"/>
      <c r="BBC8" s="72"/>
      <c r="BBD8" s="72"/>
      <c r="BBE8" s="72"/>
      <c r="BBF8" s="72"/>
      <c r="BBG8" s="72"/>
      <c r="BBH8" s="72"/>
      <c r="BBI8" s="72"/>
      <c r="BBJ8" s="72"/>
      <c r="BBK8" s="72"/>
      <c r="BBL8" s="72"/>
      <c r="BBM8" s="72"/>
      <c r="BBN8" s="72"/>
      <c r="BBO8" s="72"/>
      <c r="BBP8" s="72"/>
      <c r="BBQ8" s="72"/>
      <c r="BBR8" s="72"/>
      <c r="BBS8" s="72"/>
      <c r="BBT8" s="72"/>
      <c r="BBU8" s="72"/>
      <c r="BBV8" s="72"/>
      <c r="BBW8" s="72"/>
      <c r="BBX8" s="72"/>
      <c r="BBY8" s="72"/>
      <c r="BBZ8" s="72"/>
      <c r="BCA8" s="72"/>
      <c r="BCB8" s="72"/>
      <c r="BCC8" s="72"/>
      <c r="BCD8" s="72"/>
      <c r="BCE8" s="72"/>
      <c r="BCF8" s="72"/>
      <c r="BCG8" s="72"/>
      <c r="BCH8" s="72"/>
      <c r="BCI8" s="72"/>
      <c r="BCJ8" s="72"/>
      <c r="BCK8" s="72"/>
      <c r="BCL8" s="72"/>
      <c r="BCM8" s="72"/>
      <c r="BCN8" s="72"/>
      <c r="BCO8" s="72"/>
      <c r="BCP8" s="72"/>
      <c r="BCQ8" s="72"/>
      <c r="BCR8" s="72"/>
      <c r="BCS8" s="72"/>
      <c r="BCT8" s="72"/>
      <c r="BCU8" s="72"/>
      <c r="BCV8" s="72"/>
      <c r="BCW8" s="72"/>
      <c r="BCX8" s="72"/>
      <c r="BCY8" s="72"/>
      <c r="BCZ8" s="72"/>
      <c r="BDA8" s="72"/>
      <c r="BDB8" s="72"/>
      <c r="BDC8" s="72"/>
      <c r="BDD8" s="72"/>
      <c r="BDE8" s="72"/>
      <c r="BDF8" s="72"/>
      <c r="BDG8" s="72"/>
      <c r="BDH8" s="72"/>
      <c r="BDI8" s="72"/>
      <c r="BDJ8" s="72"/>
      <c r="BDK8" s="72"/>
      <c r="BDL8" s="72"/>
      <c r="BDM8" s="72"/>
      <c r="BDN8" s="72"/>
      <c r="BDO8" s="72"/>
      <c r="BDP8" s="72"/>
      <c r="BDQ8" s="72"/>
      <c r="BDR8" s="72"/>
      <c r="BDS8" s="72"/>
      <c r="BDT8" s="72"/>
      <c r="BDU8" s="72"/>
      <c r="BDV8" s="72"/>
      <c r="BDW8" s="72"/>
      <c r="BDX8" s="72"/>
      <c r="BDY8" s="72"/>
      <c r="BDZ8" s="72"/>
      <c r="BEA8" s="72"/>
      <c r="BEB8" s="72"/>
      <c r="BEC8" s="72"/>
      <c r="BED8" s="72"/>
      <c r="BEE8" s="72"/>
      <c r="BEF8" s="72"/>
      <c r="BEG8" s="72"/>
      <c r="BEH8" s="72"/>
      <c r="BEI8" s="72"/>
      <c r="BEJ8" s="72"/>
      <c r="BEK8" s="72"/>
      <c r="BEL8" s="72"/>
      <c r="BEM8" s="72"/>
      <c r="BEN8" s="72"/>
      <c r="BEO8" s="72"/>
      <c r="BEP8" s="72"/>
      <c r="BEQ8" s="72"/>
      <c r="BER8" s="72"/>
      <c r="BES8" s="72"/>
      <c r="BET8" s="72"/>
      <c r="BEU8" s="72"/>
      <c r="BEV8" s="72"/>
      <c r="BEW8" s="72"/>
      <c r="BEX8" s="72"/>
      <c r="BEY8" s="72"/>
      <c r="BEZ8" s="72"/>
      <c r="BFA8" s="72"/>
      <c r="BFB8" s="72"/>
      <c r="BFC8" s="72"/>
      <c r="BFD8" s="72"/>
      <c r="BFE8" s="72"/>
      <c r="BFF8" s="72"/>
      <c r="BFG8" s="72"/>
      <c r="BFH8" s="72"/>
      <c r="BFI8" s="72"/>
      <c r="BFJ8" s="72"/>
      <c r="BFK8" s="72"/>
      <c r="BFL8" s="72"/>
      <c r="BFM8" s="72"/>
      <c r="BFN8" s="72"/>
      <c r="BFO8" s="72"/>
      <c r="BFP8" s="72"/>
      <c r="BFQ8" s="72"/>
      <c r="BFR8" s="72"/>
      <c r="BFS8" s="72"/>
      <c r="BFT8" s="72"/>
      <c r="BFU8" s="72"/>
      <c r="BFV8" s="72"/>
      <c r="BFW8" s="72"/>
      <c r="BFX8" s="72"/>
      <c r="BFY8" s="72"/>
      <c r="BFZ8" s="72"/>
      <c r="BGA8" s="72"/>
      <c r="BGB8" s="72"/>
      <c r="BGC8" s="72"/>
      <c r="BGD8" s="72"/>
      <c r="BGE8" s="72"/>
      <c r="BGF8" s="72"/>
      <c r="BGG8" s="72"/>
      <c r="BGH8" s="72"/>
      <c r="BGI8" s="72"/>
      <c r="BGJ8" s="72"/>
      <c r="BGK8" s="72"/>
      <c r="BGL8" s="72"/>
      <c r="BGM8" s="72"/>
      <c r="BGN8" s="72"/>
      <c r="BGO8" s="72"/>
      <c r="BGP8" s="72"/>
      <c r="BGQ8" s="72"/>
      <c r="BGR8" s="72"/>
      <c r="BGS8" s="72"/>
      <c r="BGT8" s="72"/>
      <c r="BGU8" s="72"/>
      <c r="BGV8" s="72"/>
      <c r="BGW8" s="72"/>
      <c r="BGX8" s="72"/>
      <c r="BGY8" s="72"/>
      <c r="BGZ8" s="72"/>
      <c r="BHA8" s="72"/>
      <c r="BHB8" s="72"/>
      <c r="BHC8" s="72"/>
      <c r="BHD8" s="72"/>
      <c r="BHE8" s="72"/>
      <c r="BHF8" s="72"/>
      <c r="BHG8" s="72"/>
      <c r="BHH8" s="72"/>
      <c r="BHI8" s="72"/>
      <c r="BHJ8" s="72"/>
      <c r="BHK8" s="72"/>
      <c r="BHL8" s="72"/>
      <c r="BHM8" s="72"/>
      <c r="BHN8" s="72"/>
      <c r="BHO8" s="72"/>
      <c r="BHP8" s="72"/>
      <c r="BHQ8" s="72"/>
      <c r="BHR8" s="72"/>
      <c r="BHS8" s="72"/>
      <c r="BHT8" s="72"/>
      <c r="BHU8" s="72"/>
      <c r="BHV8" s="72"/>
      <c r="BHW8" s="72"/>
      <c r="BHX8" s="72"/>
      <c r="BHY8" s="72"/>
      <c r="BHZ8" s="72"/>
      <c r="BIA8" s="72"/>
      <c r="BIB8" s="72"/>
      <c r="BIC8" s="72"/>
      <c r="BID8" s="72"/>
      <c r="BIE8" s="72"/>
      <c r="BIF8" s="72"/>
      <c r="BIG8" s="72"/>
      <c r="BIH8" s="72"/>
      <c r="BII8" s="72"/>
      <c r="BIJ8" s="72"/>
      <c r="BIK8" s="72"/>
      <c r="BIL8" s="72"/>
      <c r="BIM8" s="72"/>
      <c r="BIN8" s="72"/>
      <c r="BIO8" s="72"/>
      <c r="BIP8" s="72"/>
      <c r="BIQ8" s="72"/>
      <c r="BIR8" s="72"/>
      <c r="BIS8" s="72"/>
      <c r="BIT8" s="72"/>
      <c r="BIU8" s="72"/>
      <c r="BIV8" s="72"/>
      <c r="BIW8" s="72"/>
      <c r="BIX8" s="72"/>
      <c r="BIY8" s="72"/>
      <c r="BIZ8" s="72"/>
      <c r="BJA8" s="72"/>
      <c r="BJB8" s="72"/>
      <c r="BJC8" s="72"/>
      <c r="BJD8" s="72"/>
      <c r="BJE8" s="72"/>
      <c r="BJF8" s="72"/>
      <c r="BJG8" s="72"/>
      <c r="BJH8" s="72"/>
      <c r="BJI8" s="72"/>
      <c r="BJJ8" s="72"/>
      <c r="BJK8" s="72"/>
      <c r="BJL8" s="72"/>
      <c r="BJM8" s="72"/>
      <c r="BJN8" s="72"/>
      <c r="BJO8" s="72"/>
      <c r="BJP8" s="72"/>
      <c r="BJQ8" s="72"/>
      <c r="BJR8" s="72"/>
      <c r="BJS8" s="72"/>
      <c r="BJT8" s="72"/>
      <c r="BJU8" s="72"/>
      <c r="BJV8" s="72"/>
      <c r="BJW8" s="72"/>
      <c r="BJX8" s="72"/>
      <c r="BJY8" s="72"/>
      <c r="BJZ8" s="72"/>
      <c r="BKA8" s="72"/>
      <c r="BKB8" s="72"/>
      <c r="BKC8" s="72"/>
      <c r="BKD8" s="72"/>
      <c r="BKE8" s="72"/>
      <c r="BKF8" s="72"/>
      <c r="BKG8" s="72"/>
      <c r="BKH8" s="72"/>
      <c r="BKI8" s="72"/>
      <c r="BKJ8" s="72"/>
      <c r="BKK8" s="72"/>
      <c r="BKL8" s="72"/>
      <c r="BKM8" s="72"/>
      <c r="BKN8" s="72"/>
      <c r="BKO8" s="72"/>
      <c r="BKP8" s="72"/>
      <c r="BKQ8" s="72"/>
      <c r="BKR8" s="72"/>
      <c r="BKS8" s="72"/>
      <c r="BKT8" s="72"/>
      <c r="BKU8" s="72"/>
      <c r="BKV8" s="72"/>
      <c r="BKW8" s="72"/>
      <c r="BKX8" s="72"/>
      <c r="BKY8" s="72"/>
      <c r="BKZ8" s="72"/>
      <c r="BLA8" s="72"/>
      <c r="BLB8" s="72"/>
      <c r="BLC8" s="72"/>
      <c r="BLD8" s="72"/>
      <c r="BLE8" s="72"/>
      <c r="BLF8" s="72"/>
      <c r="BLG8" s="72"/>
      <c r="BLH8" s="72"/>
      <c r="BLI8" s="72"/>
      <c r="BLJ8" s="72"/>
      <c r="BLK8" s="72"/>
      <c r="BLL8" s="72"/>
      <c r="BLM8" s="72"/>
      <c r="BLN8" s="72"/>
      <c r="BLO8" s="72"/>
      <c r="BLP8" s="72"/>
      <c r="BLQ8" s="72"/>
      <c r="BLR8" s="72"/>
      <c r="BLS8" s="72"/>
      <c r="BLT8" s="72"/>
      <c r="BLU8" s="72"/>
      <c r="BLV8" s="72"/>
      <c r="BLW8" s="72"/>
      <c r="BLX8" s="72"/>
      <c r="BLY8" s="72"/>
      <c r="BLZ8" s="72"/>
      <c r="BMA8" s="72"/>
      <c r="BMB8" s="72"/>
      <c r="BMC8" s="72"/>
      <c r="BMD8" s="72"/>
      <c r="BME8" s="72"/>
      <c r="BMF8" s="72"/>
      <c r="BMG8" s="72"/>
      <c r="BMH8" s="72"/>
      <c r="BMI8" s="72"/>
      <c r="BMJ8" s="72"/>
      <c r="BMK8" s="72"/>
      <c r="BML8" s="72"/>
      <c r="BMM8" s="72"/>
      <c r="BMN8" s="72"/>
      <c r="BMO8" s="72"/>
      <c r="BMP8" s="72"/>
      <c r="BMQ8" s="72"/>
      <c r="BMR8" s="72"/>
      <c r="BMS8" s="72"/>
      <c r="BMT8" s="72"/>
      <c r="BMU8" s="72"/>
      <c r="BMV8" s="72"/>
      <c r="BMW8" s="72"/>
      <c r="BMX8" s="72"/>
      <c r="BMY8" s="72"/>
      <c r="BMZ8" s="72"/>
      <c r="BNA8" s="72"/>
      <c r="BNB8" s="72"/>
      <c r="BNC8" s="72"/>
      <c r="BND8" s="72"/>
      <c r="BNE8" s="72"/>
      <c r="BNF8" s="72"/>
      <c r="BNG8" s="72"/>
      <c r="BNH8" s="72"/>
      <c r="BNI8" s="72"/>
      <c r="BNJ8" s="72"/>
      <c r="BNK8" s="72"/>
      <c r="BNL8" s="72"/>
      <c r="BNM8" s="72"/>
      <c r="BNN8" s="72"/>
      <c r="BNO8" s="72"/>
      <c r="BNP8" s="72"/>
      <c r="BNQ8" s="72"/>
      <c r="BNR8" s="72"/>
      <c r="BNS8" s="72"/>
      <c r="BNT8" s="72"/>
      <c r="BNU8" s="72"/>
      <c r="BNV8" s="72"/>
      <c r="BNW8" s="72"/>
      <c r="BNX8" s="72"/>
      <c r="BNY8" s="72"/>
      <c r="BNZ8" s="72"/>
      <c r="BOA8" s="72"/>
      <c r="BOB8" s="72"/>
      <c r="BOC8" s="72"/>
      <c r="BOD8" s="72"/>
      <c r="BOE8" s="72"/>
      <c r="BOF8" s="72"/>
      <c r="BOG8" s="72"/>
      <c r="BOH8" s="72"/>
      <c r="BOI8" s="72"/>
      <c r="BOJ8" s="72"/>
      <c r="BOK8" s="72"/>
      <c r="BOL8" s="72"/>
      <c r="BOM8" s="72"/>
      <c r="BON8" s="72"/>
      <c r="BOO8" s="72"/>
      <c r="BOP8" s="72"/>
      <c r="BOQ8" s="72"/>
      <c r="BOR8" s="72"/>
      <c r="BOS8" s="72"/>
      <c r="BOT8" s="72"/>
      <c r="BOU8" s="72"/>
      <c r="BOV8" s="72"/>
      <c r="BOW8" s="72"/>
      <c r="BOX8" s="72"/>
      <c r="BOY8" s="72"/>
      <c r="BOZ8" s="72"/>
      <c r="BPA8" s="72"/>
      <c r="BPB8" s="72"/>
      <c r="BPC8" s="72"/>
      <c r="BPD8" s="72"/>
      <c r="BPE8" s="72"/>
      <c r="BPF8" s="72"/>
      <c r="BPG8" s="72"/>
      <c r="BPH8" s="72"/>
      <c r="BPI8" s="72"/>
      <c r="BPJ8" s="72"/>
      <c r="BPK8" s="72"/>
      <c r="BPL8" s="72"/>
      <c r="BPM8" s="72"/>
      <c r="BPN8" s="72"/>
      <c r="BPO8" s="72"/>
      <c r="BPP8" s="72"/>
      <c r="BPQ8" s="72"/>
      <c r="BPR8" s="72"/>
      <c r="BPS8" s="72"/>
      <c r="BPT8" s="72"/>
      <c r="BPU8" s="72"/>
      <c r="BPV8" s="72"/>
      <c r="BPW8" s="72"/>
      <c r="BPX8" s="72"/>
      <c r="BPY8" s="72"/>
      <c r="BPZ8" s="72"/>
      <c r="BQA8" s="72"/>
      <c r="BQB8" s="72"/>
      <c r="BQC8" s="72"/>
      <c r="BQD8" s="72"/>
      <c r="BQE8" s="72"/>
      <c r="BQF8" s="72"/>
      <c r="BQG8" s="72"/>
      <c r="BQH8" s="72"/>
      <c r="BQI8" s="72"/>
      <c r="BQJ8" s="72"/>
      <c r="BQK8" s="72"/>
      <c r="BQL8" s="72"/>
      <c r="BQM8" s="72"/>
      <c r="BQN8" s="72"/>
      <c r="BQO8" s="72"/>
      <c r="BQP8" s="72"/>
      <c r="BQQ8" s="72"/>
      <c r="BQR8" s="72"/>
      <c r="BQS8" s="72"/>
      <c r="BQT8" s="72"/>
      <c r="BQU8" s="72"/>
      <c r="BQV8" s="72"/>
      <c r="BQW8" s="72"/>
      <c r="BQX8" s="72"/>
      <c r="BQY8" s="72"/>
      <c r="BQZ8" s="72"/>
      <c r="BRA8" s="72"/>
      <c r="BRB8" s="72"/>
      <c r="BRC8" s="72"/>
      <c r="BRD8" s="72"/>
      <c r="BRE8" s="72"/>
      <c r="BRF8" s="72"/>
      <c r="BRG8" s="72"/>
      <c r="BRH8" s="72"/>
      <c r="BRI8" s="72"/>
      <c r="BRJ8" s="72"/>
      <c r="BRK8" s="72"/>
      <c r="BRL8" s="72"/>
      <c r="BRM8" s="72"/>
      <c r="BRN8" s="72"/>
      <c r="BRO8" s="72"/>
      <c r="BRP8" s="72"/>
      <c r="BRQ8" s="72"/>
      <c r="BRR8" s="72"/>
      <c r="BRS8" s="72"/>
      <c r="BRT8" s="72"/>
      <c r="BRU8" s="72"/>
      <c r="BRV8" s="72"/>
      <c r="BRW8" s="72"/>
      <c r="BRX8" s="72"/>
      <c r="BRY8" s="72"/>
      <c r="BRZ8" s="72"/>
      <c r="BSA8" s="72"/>
      <c r="BSB8" s="72"/>
      <c r="BSC8" s="72"/>
      <c r="BSD8" s="72"/>
      <c r="BSE8" s="72"/>
      <c r="BSF8" s="72"/>
      <c r="BSG8" s="72"/>
      <c r="BSH8" s="72"/>
      <c r="BSI8" s="72"/>
      <c r="BSJ8" s="72"/>
      <c r="BSK8" s="72"/>
      <c r="BSL8" s="72"/>
      <c r="BSM8" s="72"/>
      <c r="BSN8" s="72"/>
      <c r="BSO8" s="72"/>
      <c r="BSP8" s="72"/>
      <c r="BSQ8" s="72"/>
      <c r="BSR8" s="72"/>
      <c r="BSS8" s="72"/>
      <c r="BST8" s="72"/>
      <c r="BSU8" s="72"/>
      <c r="BSV8" s="72"/>
      <c r="BSW8" s="72"/>
      <c r="BSX8" s="72"/>
      <c r="BSY8" s="72"/>
      <c r="BSZ8" s="72"/>
      <c r="BTA8" s="72"/>
      <c r="BTB8" s="72"/>
      <c r="BTC8" s="72"/>
      <c r="BTD8" s="72"/>
      <c r="BTE8" s="72"/>
      <c r="BTF8" s="72"/>
      <c r="BTG8" s="72"/>
      <c r="BTH8" s="72"/>
      <c r="BTI8" s="72"/>
      <c r="BTJ8" s="72"/>
      <c r="BTK8" s="72"/>
      <c r="BTL8" s="72"/>
      <c r="BTM8" s="72"/>
      <c r="BTN8" s="72"/>
      <c r="BTO8" s="72"/>
      <c r="BTP8" s="72"/>
      <c r="BTQ8" s="72"/>
      <c r="BTR8" s="72"/>
      <c r="BTS8" s="72"/>
      <c r="BTT8" s="72"/>
      <c r="BTU8" s="72"/>
      <c r="BTV8" s="72"/>
      <c r="BTW8" s="72"/>
      <c r="BTX8" s="72"/>
      <c r="BTY8" s="72"/>
      <c r="BTZ8" s="72"/>
      <c r="BUA8" s="72"/>
      <c r="BUB8" s="72"/>
      <c r="BUC8" s="72"/>
      <c r="BUD8" s="72"/>
      <c r="BUE8" s="72"/>
      <c r="BUF8" s="72"/>
      <c r="BUG8" s="72"/>
      <c r="BUH8" s="72"/>
      <c r="BUI8" s="72"/>
      <c r="BUJ8" s="72"/>
      <c r="BUK8" s="72"/>
      <c r="BUL8" s="72"/>
      <c r="BUM8" s="72"/>
      <c r="BUN8" s="72"/>
      <c r="BUO8" s="72"/>
      <c r="BUP8" s="72"/>
      <c r="BUQ8" s="72"/>
      <c r="BUR8" s="72"/>
      <c r="BUS8" s="72"/>
      <c r="BUT8" s="72"/>
      <c r="BUU8" s="72"/>
      <c r="BUV8" s="72"/>
      <c r="BUW8" s="72"/>
      <c r="BUX8" s="72"/>
      <c r="BUY8" s="72"/>
      <c r="BUZ8" s="72"/>
      <c r="BVA8" s="72"/>
      <c r="BVB8" s="72"/>
      <c r="BVC8" s="72"/>
      <c r="BVD8" s="72"/>
      <c r="BVE8" s="72"/>
      <c r="BVF8" s="72"/>
      <c r="BVG8" s="72"/>
      <c r="BVH8" s="72"/>
      <c r="BVI8" s="72"/>
      <c r="BVJ8" s="72"/>
      <c r="BVK8" s="72"/>
      <c r="BVL8" s="72"/>
      <c r="BVM8" s="72"/>
      <c r="BVN8" s="72"/>
      <c r="BVO8" s="72"/>
      <c r="BVP8" s="72"/>
      <c r="BVQ8" s="72"/>
      <c r="BVR8" s="72"/>
      <c r="BVS8" s="72"/>
      <c r="BVT8" s="72"/>
      <c r="BVU8" s="72"/>
      <c r="BVV8" s="72"/>
      <c r="BVW8" s="72"/>
      <c r="BVX8" s="72"/>
      <c r="BVY8" s="72"/>
      <c r="BVZ8" s="72"/>
      <c r="BWA8" s="72"/>
      <c r="BWB8" s="72"/>
      <c r="BWC8" s="72"/>
      <c r="BWD8" s="72"/>
      <c r="BWE8" s="72"/>
      <c r="BWF8" s="72"/>
      <c r="BWG8" s="72"/>
      <c r="BWH8" s="72"/>
      <c r="BWI8" s="72"/>
      <c r="BWJ8" s="72"/>
      <c r="BWK8" s="72"/>
      <c r="BWL8" s="72"/>
      <c r="BWM8" s="72"/>
      <c r="BWN8" s="72"/>
      <c r="BWO8" s="72"/>
      <c r="BWP8" s="72"/>
      <c r="BWQ8" s="72"/>
      <c r="BWR8" s="72"/>
      <c r="BWS8" s="72"/>
      <c r="BWT8" s="72"/>
      <c r="BWU8" s="72"/>
      <c r="BWV8" s="72"/>
      <c r="BWW8" s="72"/>
      <c r="BWX8" s="72"/>
      <c r="BWY8" s="72"/>
      <c r="BWZ8" s="72"/>
      <c r="BXA8" s="72"/>
      <c r="BXB8" s="72"/>
      <c r="BXC8" s="72"/>
      <c r="BXD8" s="72"/>
      <c r="BXE8" s="72"/>
      <c r="BXF8" s="72"/>
      <c r="BXG8" s="72"/>
      <c r="BXH8" s="72"/>
      <c r="BXI8" s="72"/>
      <c r="BXJ8" s="72"/>
      <c r="BXK8" s="72"/>
      <c r="BXL8" s="72"/>
      <c r="BXM8" s="72"/>
      <c r="BXN8" s="72"/>
      <c r="BXO8" s="72"/>
      <c r="BXP8" s="72"/>
      <c r="BXQ8" s="72"/>
      <c r="BXR8" s="72"/>
      <c r="BXS8" s="72"/>
      <c r="BXT8" s="72"/>
      <c r="BXU8" s="72"/>
      <c r="BXV8" s="72"/>
      <c r="BXW8" s="72"/>
      <c r="BXX8" s="72"/>
      <c r="BXY8" s="72"/>
      <c r="BXZ8" s="72"/>
      <c r="BYA8" s="72"/>
      <c r="BYB8" s="72"/>
      <c r="BYC8" s="72"/>
      <c r="BYD8" s="72"/>
      <c r="BYE8" s="72"/>
      <c r="BYF8" s="72"/>
      <c r="BYG8" s="72"/>
      <c r="BYH8" s="72"/>
      <c r="BYI8" s="72"/>
      <c r="BYJ8" s="72"/>
      <c r="BYK8" s="72"/>
      <c r="BYL8" s="72"/>
      <c r="BYM8" s="72"/>
      <c r="BYN8" s="72"/>
      <c r="BYO8" s="72"/>
      <c r="BYP8" s="72"/>
      <c r="BYQ8" s="72"/>
      <c r="BYR8" s="72"/>
      <c r="BYS8" s="72"/>
      <c r="BYT8" s="72"/>
      <c r="BYU8" s="72"/>
      <c r="BYV8" s="72"/>
      <c r="BYW8" s="72"/>
      <c r="BYX8" s="72"/>
      <c r="BYY8" s="72"/>
      <c r="BYZ8" s="72"/>
      <c r="BZA8" s="72"/>
      <c r="BZB8" s="72"/>
      <c r="BZC8" s="72"/>
      <c r="BZD8" s="72"/>
      <c r="BZE8" s="72"/>
      <c r="BZF8" s="72"/>
      <c r="BZG8" s="72"/>
      <c r="BZH8" s="72"/>
      <c r="BZI8" s="72"/>
      <c r="BZJ8" s="72"/>
      <c r="BZK8" s="72"/>
      <c r="BZL8" s="72"/>
      <c r="BZM8" s="72"/>
      <c r="BZN8" s="72"/>
      <c r="BZO8" s="72"/>
      <c r="BZP8" s="72"/>
      <c r="BZQ8" s="72"/>
      <c r="BZR8" s="72"/>
      <c r="BZS8" s="72"/>
      <c r="BZT8" s="72"/>
      <c r="BZU8" s="72"/>
      <c r="BZV8" s="72"/>
      <c r="BZW8" s="72"/>
      <c r="BZX8" s="72"/>
      <c r="BZY8" s="72"/>
      <c r="BZZ8" s="72"/>
      <c r="CAA8" s="72"/>
      <c r="CAB8" s="72"/>
      <c r="CAC8" s="72"/>
      <c r="CAD8" s="72"/>
      <c r="CAE8" s="72"/>
      <c r="CAF8" s="72"/>
      <c r="CAG8" s="72"/>
      <c r="CAH8" s="72"/>
      <c r="CAI8" s="72"/>
      <c r="CAJ8" s="72"/>
      <c r="CAK8" s="72"/>
      <c r="CAL8" s="72"/>
      <c r="CAM8" s="72"/>
      <c r="CAN8" s="72"/>
      <c r="CAO8" s="72"/>
      <c r="CAP8" s="72"/>
      <c r="CAQ8" s="72"/>
      <c r="CAR8" s="72"/>
      <c r="CAS8" s="72"/>
      <c r="CAT8" s="72"/>
      <c r="CAU8" s="72"/>
      <c r="CAV8" s="72"/>
      <c r="CAW8" s="72"/>
      <c r="CAX8" s="72"/>
      <c r="CAY8" s="72"/>
      <c r="CAZ8" s="72"/>
      <c r="CBA8" s="72"/>
      <c r="CBB8" s="72"/>
      <c r="CBC8" s="72"/>
      <c r="CBD8" s="72"/>
      <c r="CBE8" s="72"/>
      <c r="CBF8" s="72"/>
      <c r="CBG8" s="72"/>
      <c r="CBH8" s="72"/>
      <c r="CBI8" s="72"/>
      <c r="CBJ8" s="72"/>
      <c r="CBK8" s="72"/>
      <c r="CBL8" s="72"/>
      <c r="CBM8" s="72"/>
      <c r="CBN8" s="72"/>
      <c r="CBO8" s="72"/>
      <c r="CBP8" s="72"/>
      <c r="CBQ8" s="72"/>
      <c r="CBR8" s="72"/>
      <c r="CBS8" s="72"/>
      <c r="CBT8" s="72"/>
      <c r="CBU8" s="72"/>
      <c r="CBV8" s="72"/>
      <c r="CBW8" s="72"/>
      <c r="CBX8" s="72"/>
      <c r="CBY8" s="72"/>
      <c r="CBZ8" s="72"/>
      <c r="CCA8" s="72"/>
      <c r="CCB8" s="72"/>
      <c r="CCC8" s="72"/>
      <c r="CCD8" s="72"/>
      <c r="CCE8" s="72"/>
      <c r="CCF8" s="72"/>
      <c r="CCG8" s="72"/>
      <c r="CCH8" s="72"/>
      <c r="CCI8" s="72"/>
      <c r="CCJ8" s="72"/>
      <c r="CCK8" s="72"/>
      <c r="CCL8" s="72"/>
      <c r="CCM8" s="72"/>
      <c r="CCN8" s="72"/>
      <c r="CCO8" s="72"/>
      <c r="CCP8" s="72"/>
      <c r="CCQ8" s="72"/>
      <c r="CCR8" s="72"/>
      <c r="CCS8" s="72"/>
      <c r="CCT8" s="72"/>
      <c r="CCU8" s="72"/>
      <c r="CCV8" s="72"/>
      <c r="CCW8" s="72"/>
      <c r="CCX8" s="72"/>
      <c r="CCY8" s="72"/>
      <c r="CCZ8" s="72"/>
      <c r="CDA8" s="72"/>
      <c r="CDB8" s="72"/>
      <c r="CDC8" s="72"/>
      <c r="CDD8" s="72"/>
      <c r="CDE8" s="72"/>
      <c r="CDF8" s="72"/>
      <c r="CDG8" s="72"/>
      <c r="CDH8" s="72"/>
      <c r="CDI8" s="72"/>
      <c r="CDJ8" s="72"/>
      <c r="CDK8" s="72"/>
      <c r="CDL8" s="72"/>
      <c r="CDM8" s="72"/>
      <c r="CDN8" s="72"/>
      <c r="CDO8" s="72"/>
      <c r="CDP8" s="72"/>
      <c r="CDQ8" s="72"/>
      <c r="CDR8" s="72"/>
      <c r="CDS8" s="72"/>
      <c r="CDT8" s="72"/>
      <c r="CDU8" s="72"/>
      <c r="CDV8" s="72"/>
      <c r="CDW8" s="72"/>
      <c r="CDX8" s="72"/>
      <c r="CDY8" s="72"/>
      <c r="CDZ8" s="72"/>
      <c r="CEA8" s="72"/>
      <c r="CEB8" s="72"/>
      <c r="CEC8" s="72"/>
      <c r="CED8" s="72"/>
      <c r="CEE8" s="72"/>
      <c r="CEF8" s="72"/>
      <c r="CEG8" s="72"/>
      <c r="CEH8" s="72"/>
      <c r="CEI8" s="72"/>
      <c r="CEJ8" s="72"/>
      <c r="CEK8" s="72"/>
      <c r="CEL8" s="72"/>
      <c r="CEM8" s="72"/>
      <c r="CEN8" s="72"/>
      <c r="CEO8" s="72"/>
      <c r="CEP8" s="72"/>
      <c r="CEQ8" s="72"/>
      <c r="CER8" s="72"/>
      <c r="CES8" s="72"/>
      <c r="CET8" s="72"/>
      <c r="CEU8" s="72"/>
      <c r="CEV8" s="72"/>
      <c r="CEW8" s="72"/>
      <c r="CEX8" s="72"/>
      <c r="CEY8" s="72"/>
      <c r="CEZ8" s="72"/>
      <c r="CFA8" s="72"/>
      <c r="CFB8" s="72"/>
      <c r="CFC8" s="72"/>
      <c r="CFD8" s="72"/>
      <c r="CFE8" s="72"/>
      <c r="CFF8" s="72"/>
      <c r="CFG8" s="72"/>
      <c r="CFH8" s="72"/>
      <c r="CFI8" s="72"/>
      <c r="CFJ8" s="72"/>
      <c r="CFK8" s="72"/>
      <c r="CFL8" s="72"/>
      <c r="CFM8" s="72"/>
      <c r="CFN8" s="72"/>
      <c r="CFO8" s="72"/>
      <c r="CFP8" s="72"/>
      <c r="CFQ8" s="72"/>
      <c r="CFR8" s="72"/>
      <c r="CFS8" s="72"/>
      <c r="CFT8" s="72"/>
      <c r="CFU8" s="72"/>
      <c r="CFV8" s="72"/>
      <c r="CFW8" s="72"/>
      <c r="CFX8" s="72"/>
      <c r="CFY8" s="72"/>
      <c r="CFZ8" s="72"/>
      <c r="CGA8" s="72"/>
      <c r="CGB8" s="72"/>
      <c r="CGC8" s="72"/>
      <c r="CGD8" s="72"/>
      <c r="CGE8" s="72"/>
      <c r="CGF8" s="72"/>
      <c r="CGG8" s="72"/>
      <c r="CGH8" s="72"/>
      <c r="CGI8" s="72"/>
      <c r="CGJ8" s="72"/>
      <c r="CGK8" s="72"/>
      <c r="CGL8" s="72"/>
      <c r="CGM8" s="72"/>
      <c r="CGN8" s="72"/>
      <c r="CGO8" s="72"/>
      <c r="CGP8" s="72"/>
      <c r="CGQ8" s="72"/>
      <c r="CGR8" s="72"/>
      <c r="CGS8" s="72"/>
      <c r="CGT8" s="72"/>
      <c r="CGU8" s="72"/>
      <c r="CGV8" s="72"/>
      <c r="CGW8" s="72"/>
      <c r="CGX8" s="72"/>
      <c r="CGY8" s="72"/>
      <c r="CGZ8" s="72"/>
      <c r="CHA8" s="72"/>
      <c r="CHB8" s="72"/>
      <c r="CHC8" s="72"/>
      <c r="CHD8" s="72"/>
      <c r="CHE8" s="72"/>
      <c r="CHF8" s="72"/>
      <c r="CHG8" s="72"/>
      <c r="CHH8" s="72"/>
      <c r="CHI8" s="72"/>
      <c r="CHJ8" s="72"/>
      <c r="CHK8" s="72"/>
      <c r="CHL8" s="72"/>
      <c r="CHM8" s="72"/>
      <c r="CHN8" s="72"/>
      <c r="CHO8" s="72"/>
      <c r="CHP8" s="72"/>
      <c r="CHQ8" s="72"/>
      <c r="CHR8" s="72"/>
      <c r="CHS8" s="72"/>
      <c r="CHT8" s="72"/>
      <c r="CHU8" s="72"/>
      <c r="CHV8" s="72"/>
      <c r="CHW8" s="72"/>
      <c r="CHX8" s="72"/>
      <c r="CHY8" s="72"/>
      <c r="CHZ8" s="72"/>
      <c r="CIA8" s="72"/>
      <c r="CIB8" s="72"/>
      <c r="CIC8" s="72"/>
      <c r="CID8" s="72"/>
      <c r="CIE8" s="72"/>
      <c r="CIF8" s="72"/>
      <c r="CIG8" s="72"/>
      <c r="CIH8" s="72"/>
      <c r="CII8" s="72"/>
      <c r="CIJ8" s="72"/>
      <c r="CIK8" s="72"/>
      <c r="CIL8" s="72"/>
      <c r="CIM8" s="72"/>
      <c r="CIN8" s="72"/>
      <c r="CIO8" s="72"/>
      <c r="CIP8" s="72"/>
      <c r="CIQ8" s="72"/>
      <c r="CIR8" s="72"/>
      <c r="CIS8" s="72"/>
      <c r="CIT8" s="72"/>
      <c r="CIU8" s="72"/>
      <c r="CIV8" s="72"/>
      <c r="CIW8" s="72"/>
      <c r="CIX8" s="72"/>
      <c r="CIY8" s="72"/>
      <c r="CIZ8" s="72"/>
      <c r="CJA8" s="72"/>
      <c r="CJB8" s="72"/>
      <c r="CJC8" s="72"/>
      <c r="CJD8" s="72"/>
      <c r="CJE8" s="72"/>
      <c r="CJF8" s="72"/>
      <c r="CJG8" s="72"/>
      <c r="CJH8" s="72"/>
      <c r="CJI8" s="72"/>
      <c r="CJJ8" s="72"/>
      <c r="CJK8" s="72"/>
      <c r="CJL8" s="72"/>
      <c r="CJM8" s="72"/>
      <c r="CJN8" s="72"/>
      <c r="CJO8" s="72"/>
      <c r="CJP8" s="72"/>
      <c r="CJQ8" s="72"/>
      <c r="CJR8" s="72"/>
      <c r="CJS8" s="72"/>
      <c r="CJT8" s="72"/>
      <c r="CJU8" s="72"/>
      <c r="CJV8" s="72"/>
      <c r="CJW8" s="72"/>
      <c r="CJX8" s="72"/>
      <c r="CJY8" s="72"/>
      <c r="CJZ8" s="72"/>
      <c r="CKA8" s="72"/>
      <c r="CKB8" s="72"/>
      <c r="CKC8" s="72"/>
      <c r="CKD8" s="72"/>
      <c r="CKE8" s="72"/>
      <c r="CKF8" s="72"/>
      <c r="CKG8" s="72"/>
      <c r="CKH8" s="72"/>
      <c r="CKI8" s="72"/>
      <c r="CKJ8" s="72"/>
      <c r="CKK8" s="72"/>
      <c r="CKL8" s="72"/>
      <c r="CKM8" s="72"/>
      <c r="CKN8" s="72"/>
      <c r="CKO8" s="72"/>
      <c r="CKP8" s="72"/>
      <c r="CKQ8" s="72"/>
      <c r="CKR8" s="72"/>
      <c r="CKS8" s="72"/>
      <c r="CKT8" s="72"/>
      <c r="CKU8" s="72"/>
      <c r="CKV8" s="72"/>
      <c r="CKW8" s="72"/>
      <c r="CKX8" s="72"/>
      <c r="CKY8" s="72"/>
      <c r="CKZ8" s="72"/>
      <c r="CLA8" s="72"/>
      <c r="CLB8" s="72"/>
      <c r="CLC8" s="72"/>
      <c r="CLD8" s="72"/>
      <c r="CLE8" s="72"/>
      <c r="CLF8" s="72"/>
      <c r="CLG8" s="72"/>
      <c r="CLH8" s="72"/>
      <c r="CLI8" s="72"/>
      <c r="CLJ8" s="72"/>
      <c r="CLK8" s="72"/>
      <c r="CLL8" s="72"/>
      <c r="CLM8" s="72"/>
      <c r="CLN8" s="72"/>
      <c r="CLO8" s="72"/>
      <c r="CLP8" s="72"/>
      <c r="CLQ8" s="72"/>
      <c r="CLR8" s="72"/>
      <c r="CLS8" s="72"/>
      <c r="CLT8" s="72"/>
      <c r="CLU8" s="72"/>
      <c r="CLV8" s="72"/>
      <c r="CLW8" s="72"/>
      <c r="CLX8" s="72"/>
      <c r="CLY8" s="72"/>
      <c r="CLZ8" s="72"/>
      <c r="CMA8" s="72"/>
      <c r="CMB8" s="72"/>
      <c r="CMC8" s="72"/>
      <c r="CMD8" s="72"/>
      <c r="CME8" s="72"/>
      <c r="CMF8" s="72"/>
      <c r="CMG8" s="72"/>
      <c r="CMH8" s="72"/>
      <c r="CMI8" s="72"/>
      <c r="CMJ8" s="72"/>
      <c r="CMK8" s="72"/>
      <c r="CML8" s="72"/>
      <c r="CMM8" s="72"/>
      <c r="CMN8" s="72"/>
      <c r="CMO8" s="72"/>
      <c r="CMP8" s="72"/>
      <c r="CMQ8" s="72"/>
      <c r="CMR8" s="72"/>
      <c r="CMS8" s="72"/>
      <c r="CMT8" s="72"/>
      <c r="CMU8" s="72"/>
      <c r="CMV8" s="72"/>
      <c r="CMW8" s="72"/>
      <c r="CMX8" s="72"/>
      <c r="CMY8" s="72"/>
      <c r="CMZ8" s="72"/>
      <c r="CNA8" s="72"/>
      <c r="CNB8" s="72"/>
      <c r="CNC8" s="72"/>
      <c r="CND8" s="72"/>
      <c r="CNE8" s="72"/>
      <c r="CNF8" s="72"/>
      <c r="CNG8" s="72"/>
      <c r="CNH8" s="72"/>
      <c r="CNI8" s="72"/>
      <c r="CNJ8" s="72"/>
      <c r="CNK8" s="72"/>
      <c r="CNL8" s="72"/>
      <c r="CNM8" s="72"/>
      <c r="CNN8" s="72"/>
      <c r="CNO8" s="72"/>
      <c r="CNP8" s="72"/>
      <c r="CNQ8" s="72"/>
      <c r="CNR8" s="72"/>
      <c r="CNS8" s="72"/>
      <c r="CNT8" s="72"/>
      <c r="CNU8" s="72"/>
      <c r="CNV8" s="72"/>
      <c r="CNW8" s="72"/>
      <c r="CNX8" s="72"/>
      <c r="CNY8" s="72"/>
      <c r="CNZ8" s="72"/>
      <c r="COA8" s="72"/>
      <c r="COB8" s="72"/>
      <c r="COC8" s="72"/>
      <c r="COD8" s="72"/>
      <c r="COE8" s="72"/>
      <c r="COF8" s="72"/>
      <c r="COG8" s="72"/>
      <c r="COH8" s="72"/>
      <c r="COI8" s="72"/>
      <c r="COJ8" s="72"/>
      <c r="COK8" s="72"/>
      <c r="COL8" s="72"/>
      <c r="COM8" s="72"/>
      <c r="CON8" s="72"/>
      <c r="COO8" s="72"/>
      <c r="COP8" s="72"/>
      <c r="COQ8" s="72"/>
      <c r="COR8" s="72"/>
      <c r="COS8" s="72"/>
      <c r="COT8" s="72"/>
      <c r="COU8" s="72"/>
      <c r="COV8" s="72"/>
      <c r="COW8" s="72"/>
      <c r="COX8" s="72"/>
      <c r="COY8" s="72"/>
      <c r="COZ8" s="72"/>
      <c r="CPA8" s="72"/>
      <c r="CPB8" s="72"/>
      <c r="CPC8" s="72"/>
      <c r="CPD8" s="72"/>
      <c r="CPE8" s="72"/>
      <c r="CPF8" s="72"/>
      <c r="CPG8" s="72"/>
      <c r="CPH8" s="72"/>
      <c r="CPI8" s="72"/>
      <c r="CPJ8" s="72"/>
      <c r="CPK8" s="72"/>
      <c r="CPL8" s="72"/>
      <c r="CPM8" s="72"/>
      <c r="CPN8" s="72"/>
      <c r="CPO8" s="72"/>
      <c r="CPP8" s="72"/>
      <c r="CPQ8" s="72"/>
      <c r="CPR8" s="72"/>
      <c r="CPS8" s="72"/>
      <c r="CPT8" s="72"/>
      <c r="CPU8" s="72"/>
      <c r="CPV8" s="72"/>
      <c r="CPW8" s="72"/>
      <c r="CPX8" s="72"/>
      <c r="CPY8" s="72"/>
      <c r="CPZ8" s="72"/>
      <c r="CQA8" s="72"/>
      <c r="CQB8" s="72"/>
      <c r="CQC8" s="72"/>
      <c r="CQD8" s="72"/>
      <c r="CQE8" s="72"/>
      <c r="CQF8" s="72"/>
      <c r="CQG8" s="72"/>
      <c r="CQH8" s="72"/>
      <c r="CQI8" s="72"/>
      <c r="CQJ8" s="72"/>
      <c r="CQK8" s="72"/>
      <c r="CQL8" s="72"/>
      <c r="CQM8" s="72"/>
      <c r="CQN8" s="72"/>
      <c r="CQO8" s="72"/>
      <c r="CQP8" s="72"/>
      <c r="CQQ8" s="72"/>
      <c r="CQR8" s="72"/>
      <c r="CQS8" s="72"/>
      <c r="CQT8" s="72"/>
      <c r="CQU8" s="72"/>
      <c r="CQV8" s="72"/>
      <c r="CQW8" s="72"/>
      <c r="CQX8" s="72"/>
      <c r="CQY8" s="72"/>
      <c r="CQZ8" s="72"/>
      <c r="CRA8" s="72"/>
      <c r="CRB8" s="72"/>
      <c r="CRC8" s="72"/>
      <c r="CRD8" s="72"/>
      <c r="CRE8" s="72"/>
      <c r="CRF8" s="72"/>
      <c r="CRG8" s="72"/>
      <c r="CRH8" s="72"/>
      <c r="CRI8" s="72"/>
      <c r="CRJ8" s="72"/>
      <c r="CRK8" s="72"/>
      <c r="CRL8" s="72"/>
      <c r="CRM8" s="72"/>
      <c r="CRN8" s="72"/>
      <c r="CRO8" s="72"/>
      <c r="CRP8" s="72"/>
      <c r="CRQ8" s="72"/>
      <c r="CRR8" s="72"/>
      <c r="CRS8" s="72"/>
      <c r="CRT8" s="72"/>
      <c r="CRU8" s="72"/>
      <c r="CRV8" s="72"/>
      <c r="CRW8" s="72"/>
      <c r="CRX8" s="72"/>
      <c r="CRY8" s="72"/>
      <c r="CRZ8" s="72"/>
      <c r="CSA8" s="72"/>
      <c r="CSB8" s="72"/>
      <c r="CSC8" s="72"/>
      <c r="CSD8" s="72"/>
      <c r="CSE8" s="72"/>
      <c r="CSF8" s="72"/>
      <c r="CSG8" s="72"/>
      <c r="CSH8" s="72"/>
      <c r="CSI8" s="72"/>
      <c r="CSJ8" s="72"/>
      <c r="CSK8" s="72"/>
      <c r="CSL8" s="72"/>
      <c r="CSM8" s="72"/>
      <c r="CSN8" s="72"/>
      <c r="CSO8" s="72"/>
      <c r="CSP8" s="72"/>
      <c r="CSQ8" s="72"/>
      <c r="CSR8" s="72"/>
      <c r="CSS8" s="72"/>
      <c r="CST8" s="72"/>
      <c r="CSU8" s="72"/>
      <c r="CSV8" s="72"/>
      <c r="CSW8" s="72"/>
      <c r="CSX8" s="72"/>
      <c r="CSY8" s="72"/>
      <c r="CSZ8" s="72"/>
      <c r="CTA8" s="72"/>
      <c r="CTB8" s="72"/>
      <c r="CTC8" s="72"/>
      <c r="CTD8" s="72"/>
      <c r="CTE8" s="72"/>
      <c r="CTF8" s="72"/>
      <c r="CTG8" s="72"/>
      <c r="CTH8" s="72"/>
      <c r="CTI8" s="72"/>
      <c r="CTJ8" s="72"/>
      <c r="CTK8" s="72"/>
      <c r="CTL8" s="72"/>
      <c r="CTM8" s="72"/>
      <c r="CTN8" s="72"/>
      <c r="CTO8" s="72"/>
      <c r="CTP8" s="72"/>
      <c r="CTQ8" s="72"/>
      <c r="CTR8" s="72"/>
      <c r="CTS8" s="72"/>
      <c r="CTT8" s="72"/>
      <c r="CTU8" s="72"/>
      <c r="CTV8" s="72"/>
      <c r="CTW8" s="72"/>
      <c r="CTX8" s="72"/>
      <c r="CTY8" s="72"/>
      <c r="CTZ8" s="72"/>
      <c r="CUA8" s="72"/>
      <c r="CUB8" s="72"/>
      <c r="CUC8" s="72"/>
      <c r="CUD8" s="72"/>
      <c r="CUE8" s="72"/>
      <c r="CUF8" s="72"/>
      <c r="CUG8" s="72"/>
      <c r="CUH8" s="72"/>
      <c r="CUI8" s="72"/>
      <c r="CUJ8" s="72"/>
      <c r="CUK8" s="72"/>
      <c r="CUL8" s="72"/>
      <c r="CUM8" s="72"/>
      <c r="CUN8" s="72"/>
      <c r="CUO8" s="72"/>
      <c r="CUP8" s="72"/>
      <c r="CUQ8" s="72"/>
      <c r="CUR8" s="72"/>
      <c r="CUS8" s="72"/>
      <c r="CUT8" s="72"/>
      <c r="CUU8" s="72"/>
      <c r="CUV8" s="72"/>
      <c r="CUW8" s="72"/>
      <c r="CUX8" s="72"/>
      <c r="CUY8" s="72"/>
      <c r="CUZ8" s="72"/>
      <c r="CVA8" s="72"/>
      <c r="CVB8" s="72"/>
      <c r="CVC8" s="72"/>
      <c r="CVD8" s="72"/>
      <c r="CVE8" s="72"/>
      <c r="CVF8" s="72"/>
      <c r="CVG8" s="72"/>
      <c r="CVH8" s="72"/>
      <c r="CVI8" s="72"/>
      <c r="CVJ8" s="72"/>
      <c r="CVK8" s="72"/>
      <c r="CVL8" s="72"/>
      <c r="CVM8" s="72"/>
      <c r="CVN8" s="72"/>
      <c r="CVO8" s="72"/>
      <c r="CVP8" s="72"/>
      <c r="CVQ8" s="72"/>
      <c r="CVR8" s="72"/>
      <c r="CVS8" s="72"/>
      <c r="CVT8" s="72"/>
      <c r="CVU8" s="72"/>
      <c r="CVV8" s="72"/>
      <c r="CVW8" s="72"/>
      <c r="CVX8" s="72"/>
      <c r="CVY8" s="72"/>
      <c r="CVZ8" s="72"/>
      <c r="CWA8" s="72"/>
      <c r="CWB8" s="72"/>
      <c r="CWC8" s="72"/>
      <c r="CWD8" s="72"/>
      <c r="CWE8" s="72"/>
      <c r="CWF8" s="72"/>
      <c r="CWG8" s="72"/>
      <c r="CWH8" s="72"/>
      <c r="CWI8" s="72"/>
      <c r="CWJ8" s="72"/>
      <c r="CWK8" s="72"/>
      <c r="CWL8" s="72"/>
      <c r="CWM8" s="72"/>
      <c r="CWN8" s="72"/>
      <c r="CWO8" s="72"/>
      <c r="CWP8" s="72"/>
      <c r="CWQ8" s="72"/>
      <c r="CWR8" s="72"/>
      <c r="CWS8" s="72"/>
      <c r="CWT8" s="72"/>
      <c r="CWU8" s="72"/>
      <c r="CWV8" s="72"/>
      <c r="CWW8" s="72"/>
      <c r="CWX8" s="72"/>
      <c r="CWY8" s="72"/>
      <c r="CWZ8" s="72"/>
      <c r="CXA8" s="72"/>
      <c r="CXB8" s="72"/>
      <c r="CXC8" s="72"/>
      <c r="CXD8" s="72"/>
      <c r="CXE8" s="72"/>
      <c r="CXF8" s="72"/>
      <c r="CXG8" s="72"/>
      <c r="CXH8" s="72"/>
      <c r="CXI8" s="72"/>
      <c r="CXJ8" s="72"/>
      <c r="CXK8" s="72"/>
      <c r="CXL8" s="72"/>
      <c r="CXM8" s="72"/>
      <c r="CXN8" s="72"/>
      <c r="CXO8" s="72"/>
      <c r="CXP8" s="72"/>
      <c r="CXQ8" s="72"/>
      <c r="CXR8" s="72"/>
      <c r="CXS8" s="72"/>
      <c r="CXT8" s="72"/>
      <c r="CXU8" s="72"/>
      <c r="CXV8" s="72"/>
      <c r="CXW8" s="72"/>
      <c r="CXX8" s="72"/>
      <c r="CXY8" s="72"/>
      <c r="CXZ8" s="72"/>
      <c r="CYA8" s="72"/>
      <c r="CYB8" s="72"/>
      <c r="CYC8" s="72"/>
      <c r="CYD8" s="72"/>
      <c r="CYE8" s="72"/>
      <c r="CYF8" s="72"/>
      <c r="CYG8" s="72"/>
      <c r="CYH8" s="72"/>
      <c r="CYI8" s="72"/>
      <c r="CYJ8" s="72"/>
      <c r="CYK8" s="72"/>
      <c r="CYL8" s="72"/>
      <c r="CYM8" s="72"/>
      <c r="CYN8" s="72"/>
      <c r="CYO8" s="72"/>
      <c r="CYP8" s="72"/>
      <c r="CYQ8" s="72"/>
      <c r="CYR8" s="72"/>
      <c r="CYS8" s="72"/>
      <c r="CYT8" s="72"/>
      <c r="CYU8" s="72"/>
      <c r="CYV8" s="72"/>
      <c r="CYW8" s="72"/>
      <c r="CYX8" s="72"/>
      <c r="CYY8" s="72"/>
      <c r="CYZ8" s="72"/>
      <c r="CZA8" s="72"/>
      <c r="CZB8" s="72"/>
      <c r="CZC8" s="72"/>
      <c r="CZD8" s="72"/>
      <c r="CZE8" s="72"/>
      <c r="CZF8" s="72"/>
      <c r="CZG8" s="72"/>
      <c r="CZH8" s="72"/>
      <c r="CZI8" s="72"/>
      <c r="CZJ8" s="72"/>
      <c r="CZK8" s="72"/>
      <c r="CZL8" s="72"/>
      <c r="CZM8" s="72"/>
      <c r="CZN8" s="72"/>
      <c r="CZO8" s="72"/>
      <c r="CZP8" s="72"/>
      <c r="CZQ8" s="72"/>
      <c r="CZR8" s="72"/>
      <c r="CZS8" s="72"/>
      <c r="CZT8" s="72"/>
      <c r="CZU8" s="72"/>
      <c r="CZV8" s="72"/>
      <c r="CZW8" s="72"/>
      <c r="CZX8" s="72"/>
      <c r="CZY8" s="72"/>
      <c r="CZZ8" s="72"/>
      <c r="DAA8" s="72"/>
      <c r="DAB8" s="72"/>
      <c r="DAC8" s="72"/>
      <c r="DAD8" s="72"/>
      <c r="DAE8" s="72"/>
      <c r="DAF8" s="72"/>
      <c r="DAG8" s="72"/>
      <c r="DAH8" s="72"/>
      <c r="DAI8" s="72"/>
      <c r="DAJ8" s="72"/>
      <c r="DAK8" s="72"/>
      <c r="DAL8" s="72"/>
      <c r="DAM8" s="72"/>
      <c r="DAN8" s="72"/>
      <c r="DAO8" s="72"/>
      <c r="DAP8" s="72"/>
      <c r="DAQ8" s="72"/>
      <c r="DAR8" s="72"/>
      <c r="DAS8" s="72"/>
      <c r="DAT8" s="72"/>
      <c r="DAU8" s="72"/>
      <c r="DAV8" s="72"/>
      <c r="DAW8" s="72"/>
      <c r="DAX8" s="72"/>
      <c r="DAY8" s="72"/>
      <c r="DAZ8" s="72"/>
      <c r="DBA8" s="72"/>
      <c r="DBB8" s="72"/>
      <c r="DBC8" s="72"/>
      <c r="DBD8" s="72"/>
      <c r="DBE8" s="72"/>
      <c r="DBF8" s="72"/>
      <c r="DBG8" s="72"/>
      <c r="DBH8" s="72"/>
      <c r="DBI8" s="72"/>
      <c r="DBJ8" s="72"/>
      <c r="DBK8" s="72"/>
      <c r="DBL8" s="72"/>
      <c r="DBM8" s="72"/>
      <c r="DBN8" s="72"/>
      <c r="DBO8" s="72"/>
      <c r="DBP8" s="72"/>
      <c r="DBQ8" s="72"/>
      <c r="DBR8" s="72"/>
      <c r="DBS8" s="72"/>
      <c r="DBT8" s="72"/>
      <c r="DBU8" s="72"/>
      <c r="DBV8" s="72"/>
      <c r="DBW8" s="72"/>
      <c r="DBX8" s="72"/>
      <c r="DBY8" s="72"/>
      <c r="DBZ8" s="72"/>
      <c r="DCA8" s="72"/>
      <c r="DCB8" s="72"/>
      <c r="DCC8" s="72"/>
      <c r="DCD8" s="72"/>
      <c r="DCE8" s="72"/>
      <c r="DCF8" s="72"/>
      <c r="DCG8" s="72"/>
      <c r="DCH8" s="72"/>
      <c r="DCI8" s="72"/>
      <c r="DCJ8" s="72"/>
      <c r="DCK8" s="72"/>
      <c r="DCL8" s="72"/>
      <c r="DCM8" s="72"/>
      <c r="DCN8" s="72"/>
      <c r="DCO8" s="72"/>
      <c r="DCP8" s="72"/>
      <c r="DCQ8" s="72"/>
      <c r="DCR8" s="72"/>
      <c r="DCS8" s="72"/>
      <c r="DCT8" s="72"/>
      <c r="DCU8" s="72"/>
      <c r="DCV8" s="72"/>
      <c r="DCW8" s="72"/>
      <c r="DCX8" s="72"/>
      <c r="DCY8" s="72"/>
      <c r="DCZ8" s="72"/>
      <c r="DDA8" s="72"/>
      <c r="DDB8" s="72"/>
      <c r="DDC8" s="72"/>
      <c r="DDD8" s="72"/>
      <c r="DDE8" s="72"/>
      <c r="DDF8" s="72"/>
      <c r="DDG8" s="72"/>
      <c r="DDH8" s="72"/>
      <c r="DDI8" s="72"/>
      <c r="DDJ8" s="72"/>
      <c r="DDK8" s="72"/>
      <c r="DDL8" s="72"/>
      <c r="DDM8" s="72"/>
      <c r="DDN8" s="72"/>
      <c r="DDO8" s="72"/>
      <c r="DDP8" s="72"/>
      <c r="DDQ8" s="72"/>
      <c r="DDR8" s="72"/>
      <c r="DDS8" s="72"/>
      <c r="DDT8" s="72"/>
      <c r="DDU8" s="72"/>
      <c r="DDV8" s="72"/>
      <c r="DDW8" s="72"/>
      <c r="DDX8" s="72"/>
      <c r="DDY8" s="72"/>
      <c r="DDZ8" s="72"/>
      <c r="DEA8" s="72"/>
      <c r="DEB8" s="72"/>
      <c r="DEC8" s="72"/>
      <c r="DED8" s="72"/>
      <c r="DEE8" s="72"/>
      <c r="DEF8" s="72"/>
      <c r="DEG8" s="72"/>
      <c r="DEH8" s="72"/>
      <c r="DEI8" s="72"/>
      <c r="DEJ8" s="72"/>
      <c r="DEK8" s="72"/>
      <c r="DEL8" s="72"/>
      <c r="DEM8" s="72"/>
      <c r="DEN8" s="72"/>
      <c r="DEO8" s="72"/>
      <c r="DEP8" s="72"/>
      <c r="DEQ8" s="72"/>
      <c r="DER8" s="72"/>
      <c r="DES8" s="72"/>
      <c r="DET8" s="72"/>
      <c r="DEU8" s="72"/>
      <c r="DEV8" s="72"/>
      <c r="DEW8" s="72"/>
      <c r="DEX8" s="72"/>
      <c r="DEY8" s="72"/>
      <c r="DEZ8" s="72"/>
      <c r="DFA8" s="72"/>
      <c r="DFB8" s="72"/>
      <c r="DFC8" s="72"/>
      <c r="DFD8" s="72"/>
      <c r="DFE8" s="72"/>
      <c r="DFF8" s="72"/>
      <c r="DFG8" s="72"/>
      <c r="DFH8" s="72"/>
      <c r="DFI8" s="72"/>
      <c r="DFJ8" s="72"/>
      <c r="DFK8" s="72"/>
      <c r="DFL8" s="72"/>
      <c r="DFM8" s="72"/>
      <c r="DFN8" s="72"/>
      <c r="DFO8" s="72"/>
      <c r="DFP8" s="72"/>
      <c r="DFQ8" s="72"/>
      <c r="DFR8" s="72"/>
      <c r="DFS8" s="72"/>
      <c r="DFT8" s="72"/>
      <c r="DFU8" s="72"/>
      <c r="DFV8" s="72"/>
      <c r="DFW8" s="72"/>
      <c r="DFX8" s="72"/>
      <c r="DFY8" s="72"/>
      <c r="DFZ8" s="72"/>
      <c r="DGA8" s="72"/>
      <c r="DGB8" s="72"/>
      <c r="DGC8" s="72"/>
      <c r="DGD8" s="72"/>
      <c r="DGE8" s="72"/>
      <c r="DGF8" s="72"/>
      <c r="DGG8" s="72"/>
      <c r="DGH8" s="72"/>
      <c r="DGI8" s="72"/>
      <c r="DGJ8" s="72"/>
      <c r="DGK8" s="72"/>
      <c r="DGL8" s="72"/>
      <c r="DGM8" s="72"/>
      <c r="DGN8" s="72"/>
      <c r="DGO8" s="72"/>
      <c r="DGP8" s="72"/>
      <c r="DGQ8" s="72"/>
      <c r="DGR8" s="72"/>
      <c r="DGS8" s="72"/>
      <c r="DGT8" s="72"/>
      <c r="DGU8" s="72"/>
      <c r="DGV8" s="72"/>
      <c r="DGW8" s="72"/>
      <c r="DGX8" s="72"/>
      <c r="DGY8" s="72"/>
      <c r="DGZ8" s="72"/>
      <c r="DHA8" s="72"/>
      <c r="DHB8" s="72"/>
      <c r="DHC8" s="72"/>
      <c r="DHD8" s="72"/>
      <c r="DHE8" s="72"/>
      <c r="DHF8" s="72"/>
      <c r="DHG8" s="72"/>
      <c r="DHH8" s="72"/>
      <c r="DHI8" s="72"/>
      <c r="DHJ8" s="72"/>
      <c r="DHK8" s="72"/>
      <c r="DHL8" s="72"/>
      <c r="DHM8" s="72"/>
      <c r="DHN8" s="72"/>
      <c r="DHO8" s="72"/>
      <c r="DHP8" s="72"/>
      <c r="DHQ8" s="72"/>
      <c r="DHR8" s="72"/>
      <c r="DHS8" s="72"/>
      <c r="DHT8" s="72"/>
      <c r="DHU8" s="72"/>
      <c r="DHV8" s="72"/>
      <c r="DHW8" s="72"/>
      <c r="DHX8" s="72"/>
      <c r="DHY8" s="72"/>
      <c r="DHZ8" s="72"/>
      <c r="DIA8" s="72"/>
      <c r="DIB8" s="72"/>
      <c r="DIC8" s="72"/>
      <c r="DID8" s="72"/>
      <c r="DIE8" s="72"/>
      <c r="DIF8" s="72"/>
      <c r="DIG8" s="72"/>
      <c r="DIH8" s="72"/>
      <c r="DII8" s="72"/>
      <c r="DIJ8" s="72"/>
      <c r="DIK8" s="72"/>
      <c r="DIL8" s="72"/>
      <c r="DIM8" s="72"/>
      <c r="DIN8" s="72"/>
      <c r="DIO8" s="72"/>
      <c r="DIP8" s="72"/>
      <c r="DIQ8" s="72"/>
      <c r="DIR8" s="72"/>
      <c r="DIS8" s="72"/>
      <c r="DIT8" s="72"/>
      <c r="DIU8" s="72"/>
      <c r="DIV8" s="72"/>
      <c r="DIW8" s="72"/>
      <c r="DIX8" s="72"/>
      <c r="DIY8" s="72"/>
      <c r="DIZ8" s="72"/>
      <c r="DJA8" s="72"/>
      <c r="DJB8" s="72"/>
      <c r="DJC8" s="72"/>
      <c r="DJD8" s="72"/>
      <c r="DJE8" s="72"/>
      <c r="DJF8" s="72"/>
      <c r="DJG8" s="72"/>
      <c r="DJH8" s="72"/>
      <c r="DJI8" s="72"/>
      <c r="DJJ8" s="72"/>
      <c r="DJK8" s="72"/>
      <c r="DJL8" s="72"/>
      <c r="DJM8" s="72"/>
      <c r="DJN8" s="72"/>
      <c r="DJO8" s="72"/>
      <c r="DJP8" s="72"/>
      <c r="DJQ8" s="72"/>
      <c r="DJR8" s="72"/>
      <c r="DJS8" s="72"/>
      <c r="DJT8" s="72"/>
      <c r="DJU8" s="72"/>
      <c r="DJV8" s="72"/>
      <c r="DJW8" s="72"/>
      <c r="DJX8" s="72"/>
      <c r="DJY8" s="72"/>
      <c r="DJZ8" s="72"/>
      <c r="DKA8" s="72"/>
      <c r="DKB8" s="72"/>
      <c r="DKC8" s="72"/>
      <c r="DKD8" s="72"/>
      <c r="DKE8" s="72"/>
      <c r="DKF8" s="72"/>
      <c r="DKG8" s="72"/>
      <c r="DKH8" s="72"/>
      <c r="DKI8" s="72"/>
      <c r="DKJ8" s="72"/>
      <c r="DKK8" s="72"/>
      <c r="DKL8" s="72"/>
      <c r="DKM8" s="72"/>
      <c r="DKN8" s="72"/>
      <c r="DKO8" s="72"/>
      <c r="DKP8" s="72"/>
      <c r="DKQ8" s="72"/>
      <c r="DKR8" s="72"/>
      <c r="DKS8" s="72"/>
      <c r="DKT8" s="72"/>
      <c r="DKU8" s="72"/>
      <c r="DKV8" s="72"/>
      <c r="DKW8" s="72"/>
      <c r="DKX8" s="72"/>
      <c r="DKY8" s="72"/>
      <c r="DKZ8" s="72"/>
      <c r="DLA8" s="72"/>
      <c r="DLB8" s="72"/>
      <c r="DLC8" s="72"/>
      <c r="DLD8" s="72"/>
      <c r="DLE8" s="72"/>
      <c r="DLF8" s="72"/>
      <c r="DLG8" s="72"/>
      <c r="DLH8" s="72"/>
      <c r="DLI8" s="72"/>
      <c r="DLJ8" s="72"/>
      <c r="DLK8" s="72"/>
      <c r="DLL8" s="72"/>
      <c r="DLM8" s="72"/>
      <c r="DLN8" s="72"/>
      <c r="DLO8" s="72"/>
      <c r="DLP8" s="72"/>
      <c r="DLQ8" s="72"/>
      <c r="DLR8" s="72"/>
      <c r="DLS8" s="72"/>
      <c r="DLT8" s="72"/>
      <c r="DLU8" s="72"/>
      <c r="DLV8" s="72"/>
      <c r="DLW8" s="72"/>
      <c r="DLX8" s="72"/>
      <c r="DLY8" s="72"/>
      <c r="DLZ8" s="72"/>
      <c r="DMA8" s="72"/>
      <c r="DMB8" s="72"/>
      <c r="DMC8" s="72"/>
      <c r="DMD8" s="72"/>
      <c r="DME8" s="72"/>
      <c r="DMF8" s="72"/>
      <c r="DMG8" s="72"/>
      <c r="DMH8" s="72"/>
      <c r="DMI8" s="72"/>
      <c r="DMJ8" s="72"/>
      <c r="DMK8" s="72"/>
      <c r="DML8" s="72"/>
      <c r="DMM8" s="72"/>
      <c r="DMN8" s="72"/>
      <c r="DMO8" s="72"/>
      <c r="DMP8" s="72"/>
      <c r="DMQ8" s="72"/>
      <c r="DMR8" s="72"/>
      <c r="DMS8" s="72"/>
      <c r="DMT8" s="72"/>
      <c r="DMU8" s="72"/>
      <c r="DMV8" s="72"/>
      <c r="DMW8" s="72"/>
      <c r="DMX8" s="72"/>
      <c r="DMY8" s="72"/>
      <c r="DMZ8" s="72"/>
      <c r="DNA8" s="72"/>
      <c r="DNB8" s="72"/>
      <c r="DNC8" s="72"/>
      <c r="DND8" s="72"/>
      <c r="DNE8" s="72"/>
      <c r="DNF8" s="72"/>
      <c r="DNG8" s="72"/>
      <c r="DNH8" s="72"/>
      <c r="DNI8" s="72"/>
      <c r="DNJ8" s="72"/>
      <c r="DNK8" s="72"/>
      <c r="DNL8" s="72"/>
      <c r="DNM8" s="72"/>
      <c r="DNN8" s="72"/>
      <c r="DNO8" s="72"/>
      <c r="DNP8" s="72"/>
      <c r="DNQ8" s="72"/>
      <c r="DNR8" s="72"/>
      <c r="DNS8" s="72"/>
      <c r="DNT8" s="72"/>
      <c r="DNU8" s="72"/>
      <c r="DNV8" s="72"/>
      <c r="DNW8" s="72"/>
      <c r="DNX8" s="72"/>
      <c r="DNY8" s="72"/>
      <c r="DNZ8" s="72"/>
      <c r="DOA8" s="72"/>
      <c r="DOB8" s="72"/>
      <c r="DOC8" s="72"/>
      <c r="DOD8" s="72"/>
      <c r="DOE8" s="72"/>
      <c r="DOF8" s="72"/>
      <c r="DOG8" s="72"/>
      <c r="DOH8" s="72"/>
      <c r="DOI8" s="72"/>
      <c r="DOJ8" s="72"/>
      <c r="DOK8" s="72"/>
      <c r="DOL8" s="72"/>
      <c r="DOM8" s="72"/>
      <c r="DON8" s="72"/>
      <c r="DOO8" s="72"/>
      <c r="DOP8" s="72"/>
      <c r="DOQ8" s="72"/>
      <c r="DOR8" s="72"/>
      <c r="DOS8" s="72"/>
      <c r="DOT8" s="72"/>
      <c r="DOU8" s="72"/>
      <c r="DOV8" s="72"/>
      <c r="DOW8" s="72"/>
      <c r="DOX8" s="72"/>
      <c r="DOY8" s="72"/>
      <c r="DOZ8" s="72"/>
      <c r="DPA8" s="72"/>
      <c r="DPB8" s="72"/>
      <c r="DPC8" s="72"/>
      <c r="DPD8" s="72"/>
      <c r="DPE8" s="72"/>
      <c r="DPF8" s="72"/>
      <c r="DPG8" s="72"/>
      <c r="DPH8" s="72"/>
      <c r="DPI8" s="72"/>
      <c r="DPJ8" s="72"/>
      <c r="DPK8" s="72"/>
      <c r="DPL8" s="72"/>
      <c r="DPM8" s="72"/>
      <c r="DPN8" s="72"/>
      <c r="DPO8" s="72"/>
      <c r="DPP8" s="72"/>
      <c r="DPQ8" s="72"/>
      <c r="DPR8" s="72"/>
      <c r="DPS8" s="72"/>
      <c r="DPT8" s="72"/>
      <c r="DPU8" s="72"/>
      <c r="DPV8" s="72"/>
      <c r="DPW8" s="72"/>
      <c r="DPX8" s="72"/>
      <c r="DPY8" s="72"/>
      <c r="DPZ8" s="72"/>
      <c r="DQA8" s="72"/>
      <c r="DQB8" s="72"/>
      <c r="DQC8" s="72"/>
      <c r="DQD8" s="72"/>
      <c r="DQE8" s="72"/>
      <c r="DQF8" s="72"/>
      <c r="DQG8" s="72"/>
      <c r="DQH8" s="72"/>
      <c r="DQI8" s="72"/>
      <c r="DQJ8" s="72"/>
      <c r="DQK8" s="72"/>
      <c r="DQL8" s="72"/>
      <c r="DQM8" s="72"/>
      <c r="DQN8" s="72"/>
      <c r="DQO8" s="72"/>
      <c r="DQP8" s="72"/>
      <c r="DQQ8" s="72"/>
      <c r="DQR8" s="72"/>
      <c r="DQS8" s="72"/>
      <c r="DQT8" s="72"/>
      <c r="DQU8" s="72"/>
      <c r="DQV8" s="72"/>
      <c r="DQW8" s="72"/>
      <c r="DQX8" s="72"/>
      <c r="DQY8" s="72"/>
      <c r="DQZ8" s="72"/>
      <c r="DRA8" s="72"/>
      <c r="DRB8" s="72"/>
      <c r="DRC8" s="72"/>
      <c r="DRD8" s="72"/>
      <c r="DRE8" s="72"/>
      <c r="DRF8" s="72"/>
      <c r="DRG8" s="72"/>
      <c r="DRH8" s="72"/>
      <c r="DRI8" s="72"/>
      <c r="DRJ8" s="72"/>
      <c r="DRK8" s="72"/>
      <c r="DRL8" s="72"/>
      <c r="DRM8" s="72"/>
      <c r="DRN8" s="72"/>
      <c r="DRO8" s="72"/>
      <c r="DRP8" s="72"/>
      <c r="DRQ8" s="72"/>
      <c r="DRR8" s="72"/>
      <c r="DRS8" s="72"/>
      <c r="DRT8" s="72"/>
      <c r="DRU8" s="72"/>
      <c r="DRV8" s="72"/>
      <c r="DRW8" s="72"/>
      <c r="DRX8" s="72"/>
      <c r="DRY8" s="72"/>
      <c r="DRZ8" s="72"/>
      <c r="DSA8" s="72"/>
      <c r="DSB8" s="72"/>
      <c r="DSC8" s="72"/>
      <c r="DSD8" s="72"/>
      <c r="DSE8" s="72"/>
      <c r="DSF8" s="72"/>
      <c r="DSG8" s="72"/>
      <c r="DSH8" s="72"/>
      <c r="DSI8" s="72"/>
      <c r="DSJ8" s="72"/>
      <c r="DSK8" s="72"/>
      <c r="DSL8" s="72"/>
      <c r="DSM8" s="72"/>
      <c r="DSN8" s="72"/>
      <c r="DSO8" s="72"/>
      <c r="DSP8" s="72"/>
      <c r="DSQ8" s="72"/>
      <c r="DSR8" s="72"/>
      <c r="DSS8" s="72"/>
      <c r="DST8" s="72"/>
      <c r="DSU8" s="72"/>
      <c r="DSV8" s="72"/>
      <c r="DSW8" s="72"/>
      <c r="DSX8" s="72"/>
      <c r="DSY8" s="72"/>
      <c r="DSZ8" s="72"/>
      <c r="DTA8" s="72"/>
      <c r="DTB8" s="72"/>
      <c r="DTC8" s="72"/>
      <c r="DTD8" s="72"/>
      <c r="DTE8" s="72"/>
      <c r="DTF8" s="72"/>
      <c r="DTG8" s="72"/>
      <c r="DTH8" s="72"/>
      <c r="DTI8" s="72"/>
      <c r="DTJ8" s="72"/>
      <c r="DTK8" s="72"/>
      <c r="DTL8" s="72"/>
      <c r="DTM8" s="72"/>
      <c r="DTN8" s="72"/>
      <c r="DTO8" s="72"/>
      <c r="DTP8" s="72"/>
      <c r="DTQ8" s="72"/>
      <c r="DTR8" s="72"/>
      <c r="DTS8" s="72"/>
      <c r="DTT8" s="72"/>
      <c r="DTU8" s="72"/>
      <c r="DTV8" s="72"/>
      <c r="DTW8" s="72"/>
      <c r="DTX8" s="72"/>
      <c r="DTY8" s="72"/>
      <c r="DTZ8" s="72"/>
      <c r="DUA8" s="72"/>
      <c r="DUB8" s="72"/>
      <c r="DUC8" s="72"/>
      <c r="DUD8" s="72"/>
      <c r="DUE8" s="72"/>
      <c r="DUF8" s="72"/>
      <c r="DUG8" s="72"/>
      <c r="DUH8" s="72"/>
      <c r="DUI8" s="72"/>
      <c r="DUJ8" s="72"/>
      <c r="DUK8" s="72"/>
      <c r="DUL8" s="72"/>
      <c r="DUM8" s="72"/>
      <c r="DUN8" s="72"/>
      <c r="DUO8" s="72"/>
      <c r="DUP8" s="72"/>
      <c r="DUQ8" s="72"/>
      <c r="DUR8" s="72"/>
      <c r="DUS8" s="72"/>
      <c r="DUT8" s="72"/>
      <c r="DUU8" s="72"/>
      <c r="DUV8" s="72"/>
      <c r="DUW8" s="72"/>
      <c r="DUX8" s="72"/>
      <c r="DUY8" s="72"/>
      <c r="DUZ8" s="72"/>
      <c r="DVA8" s="72"/>
      <c r="DVB8" s="72"/>
      <c r="DVC8" s="72"/>
      <c r="DVD8" s="72"/>
      <c r="DVE8" s="72"/>
      <c r="DVF8" s="72"/>
      <c r="DVG8" s="72"/>
      <c r="DVH8" s="72"/>
      <c r="DVI8" s="72"/>
      <c r="DVJ8" s="72"/>
      <c r="DVK8" s="72"/>
      <c r="DVL8" s="72"/>
      <c r="DVM8" s="72"/>
      <c r="DVN8" s="72"/>
      <c r="DVO8" s="72"/>
      <c r="DVP8" s="72"/>
      <c r="DVQ8" s="72"/>
      <c r="DVR8" s="72"/>
      <c r="DVS8" s="72"/>
      <c r="DVT8" s="72"/>
      <c r="DVU8" s="72"/>
      <c r="DVV8" s="72"/>
      <c r="DVW8" s="72"/>
      <c r="DVX8" s="72"/>
      <c r="DVY8" s="72"/>
      <c r="DVZ8" s="72"/>
      <c r="DWA8" s="72"/>
      <c r="DWB8" s="72"/>
      <c r="DWC8" s="72"/>
      <c r="DWD8" s="72"/>
      <c r="DWE8" s="72"/>
      <c r="DWF8" s="72"/>
      <c r="DWG8" s="72"/>
      <c r="DWH8" s="72"/>
      <c r="DWI8" s="72"/>
      <c r="DWJ8" s="72"/>
      <c r="DWK8" s="72"/>
      <c r="DWL8" s="72"/>
      <c r="DWM8" s="72"/>
      <c r="DWN8" s="72"/>
      <c r="DWO8" s="72"/>
      <c r="DWP8" s="72"/>
      <c r="DWQ8" s="72"/>
      <c r="DWR8" s="72"/>
      <c r="DWS8" s="72"/>
      <c r="DWT8" s="72"/>
      <c r="DWU8" s="72"/>
      <c r="DWV8" s="72"/>
      <c r="DWW8" s="72"/>
      <c r="DWX8" s="72"/>
      <c r="DWY8" s="72"/>
      <c r="DWZ8" s="72"/>
      <c r="DXA8" s="72"/>
      <c r="DXB8" s="72"/>
      <c r="DXC8" s="72"/>
      <c r="DXD8" s="72"/>
      <c r="DXE8" s="72"/>
      <c r="DXF8" s="72"/>
      <c r="DXG8" s="72"/>
      <c r="DXH8" s="72"/>
      <c r="DXI8" s="72"/>
      <c r="DXJ8" s="72"/>
      <c r="DXK8" s="72"/>
      <c r="DXL8" s="72"/>
      <c r="DXM8" s="72"/>
      <c r="DXN8" s="72"/>
      <c r="DXO8" s="72"/>
      <c r="DXP8" s="72"/>
      <c r="DXQ8" s="72"/>
      <c r="DXR8" s="72"/>
      <c r="DXS8" s="72"/>
      <c r="DXT8" s="72"/>
      <c r="DXU8" s="72"/>
      <c r="DXV8" s="72"/>
      <c r="DXW8" s="72"/>
      <c r="DXX8" s="72"/>
      <c r="DXY8" s="72"/>
      <c r="DXZ8" s="72"/>
      <c r="DYA8" s="72"/>
      <c r="DYB8" s="72"/>
      <c r="DYC8" s="72"/>
      <c r="DYD8" s="72"/>
      <c r="DYE8" s="72"/>
      <c r="DYF8" s="72"/>
      <c r="DYG8" s="72"/>
      <c r="DYH8" s="72"/>
      <c r="DYI8" s="72"/>
      <c r="DYJ8" s="72"/>
      <c r="DYK8" s="72"/>
      <c r="DYL8" s="72"/>
      <c r="DYM8" s="72"/>
      <c r="DYN8" s="72"/>
      <c r="DYO8" s="72"/>
      <c r="DYP8" s="72"/>
      <c r="DYQ8" s="72"/>
      <c r="DYR8" s="72"/>
      <c r="DYS8" s="72"/>
      <c r="DYT8" s="72"/>
      <c r="DYU8" s="72"/>
      <c r="DYV8" s="72"/>
      <c r="DYW8" s="72"/>
      <c r="DYX8" s="72"/>
      <c r="DYY8" s="72"/>
      <c r="DYZ8" s="72"/>
      <c r="DZA8" s="72"/>
      <c r="DZB8" s="72"/>
      <c r="DZC8" s="72"/>
      <c r="DZD8" s="72"/>
      <c r="DZE8" s="72"/>
      <c r="DZF8" s="72"/>
      <c r="DZG8" s="72"/>
      <c r="DZH8" s="72"/>
      <c r="DZI8" s="72"/>
      <c r="DZJ8" s="72"/>
      <c r="DZK8" s="72"/>
      <c r="DZL8" s="72"/>
      <c r="DZM8" s="72"/>
      <c r="DZN8" s="72"/>
      <c r="DZO8" s="72"/>
      <c r="DZP8" s="72"/>
      <c r="DZQ8" s="72"/>
      <c r="DZR8" s="72"/>
      <c r="DZS8" s="72"/>
      <c r="DZT8" s="72"/>
      <c r="DZU8" s="72"/>
      <c r="DZV8" s="72"/>
      <c r="DZW8" s="72"/>
      <c r="DZX8" s="72"/>
      <c r="DZY8" s="72"/>
      <c r="DZZ8" s="72"/>
      <c r="EAA8" s="72"/>
      <c r="EAB8" s="72"/>
      <c r="EAC8" s="72"/>
      <c r="EAD8" s="72"/>
      <c r="EAE8" s="72"/>
      <c r="EAF8" s="72"/>
      <c r="EAG8" s="72"/>
      <c r="EAH8" s="72"/>
      <c r="EAI8" s="72"/>
      <c r="EAJ8" s="72"/>
      <c r="EAK8" s="72"/>
      <c r="EAL8" s="72"/>
      <c r="EAM8" s="72"/>
      <c r="EAN8" s="72"/>
      <c r="EAO8" s="72"/>
      <c r="EAP8" s="72"/>
      <c r="EAQ8" s="72"/>
      <c r="EAR8" s="72"/>
      <c r="EAS8" s="72"/>
      <c r="EAT8" s="72"/>
      <c r="EAU8" s="72"/>
      <c r="EAV8" s="72"/>
      <c r="EAW8" s="72"/>
      <c r="EAX8" s="72"/>
      <c r="EAY8" s="72"/>
      <c r="EAZ8" s="72"/>
      <c r="EBA8" s="72"/>
      <c r="EBB8" s="72"/>
      <c r="EBC8" s="72"/>
      <c r="EBD8" s="72"/>
      <c r="EBE8" s="72"/>
      <c r="EBF8" s="72"/>
      <c r="EBG8" s="72"/>
      <c r="EBH8" s="72"/>
      <c r="EBI8" s="72"/>
      <c r="EBJ8" s="72"/>
      <c r="EBK8" s="72"/>
      <c r="EBL8" s="72"/>
      <c r="EBM8" s="72"/>
      <c r="EBN8" s="72"/>
      <c r="EBO8" s="72"/>
      <c r="EBP8" s="72"/>
      <c r="EBQ8" s="72"/>
      <c r="EBR8" s="72"/>
      <c r="EBS8" s="72"/>
      <c r="EBT8" s="72"/>
      <c r="EBU8" s="72"/>
      <c r="EBV8" s="72"/>
      <c r="EBW8" s="72"/>
      <c r="EBX8" s="72"/>
      <c r="EBY8" s="72"/>
      <c r="EBZ8" s="72"/>
      <c r="ECA8" s="72"/>
      <c r="ECB8" s="72"/>
      <c r="ECC8" s="72"/>
      <c r="ECD8" s="72"/>
      <c r="ECE8" s="72"/>
      <c r="ECF8" s="72"/>
      <c r="ECG8" s="72"/>
      <c r="ECH8" s="72"/>
      <c r="ECI8" s="72"/>
      <c r="ECJ8" s="72"/>
      <c r="ECK8" s="72"/>
      <c r="ECL8" s="72"/>
      <c r="ECM8" s="72"/>
      <c r="ECN8" s="72"/>
      <c r="ECO8" s="72"/>
      <c r="ECP8" s="72"/>
      <c r="ECQ8" s="72"/>
      <c r="ECR8" s="72"/>
      <c r="ECS8" s="72"/>
      <c r="ECT8" s="72"/>
      <c r="ECU8" s="72"/>
      <c r="ECV8" s="72"/>
      <c r="ECW8" s="72"/>
      <c r="ECX8" s="72"/>
      <c r="ECY8" s="72"/>
      <c r="ECZ8" s="72"/>
      <c r="EDA8" s="72"/>
      <c r="EDB8" s="72"/>
      <c r="EDC8" s="72"/>
      <c r="EDD8" s="72"/>
      <c r="EDE8" s="72"/>
      <c r="EDF8" s="72"/>
      <c r="EDG8" s="72"/>
      <c r="EDH8" s="72"/>
      <c r="EDI8" s="72"/>
      <c r="EDJ8" s="72"/>
      <c r="EDK8" s="72"/>
      <c r="EDL8" s="72"/>
      <c r="EDM8" s="72"/>
      <c r="EDN8" s="72"/>
      <c r="EDO8" s="72"/>
      <c r="EDP8" s="72"/>
      <c r="EDQ8" s="72"/>
      <c r="EDR8" s="72"/>
      <c r="EDS8" s="72"/>
      <c r="EDT8" s="72"/>
      <c r="EDU8" s="72"/>
      <c r="EDV8" s="72"/>
      <c r="EDW8" s="72"/>
      <c r="EDX8" s="72"/>
      <c r="EDY8" s="72"/>
      <c r="EDZ8" s="72"/>
      <c r="EEA8" s="72"/>
      <c r="EEB8" s="72"/>
      <c r="EEC8" s="72"/>
      <c r="EED8" s="72"/>
      <c r="EEE8" s="72"/>
      <c r="EEF8" s="72"/>
      <c r="EEG8" s="72"/>
      <c r="EEH8" s="72"/>
      <c r="EEI8" s="72"/>
      <c r="EEJ8" s="72"/>
      <c r="EEK8" s="72"/>
      <c r="EEL8" s="72"/>
      <c r="EEM8" s="72"/>
      <c r="EEN8" s="72"/>
      <c r="EEO8" s="72"/>
      <c r="EEP8" s="72"/>
      <c r="EEQ8" s="72"/>
      <c r="EER8" s="72"/>
      <c r="EES8" s="72"/>
      <c r="EET8" s="72"/>
      <c r="EEU8" s="72"/>
      <c r="EEV8" s="72"/>
      <c r="EEW8" s="72"/>
      <c r="EEX8" s="72"/>
      <c r="EEY8" s="72"/>
      <c r="EEZ8" s="72"/>
      <c r="EFA8" s="72"/>
      <c r="EFB8" s="72"/>
      <c r="EFC8" s="72"/>
      <c r="EFD8" s="72"/>
      <c r="EFE8" s="72"/>
      <c r="EFF8" s="72"/>
      <c r="EFG8" s="72"/>
      <c r="EFH8" s="72"/>
      <c r="EFI8" s="72"/>
      <c r="EFJ8" s="72"/>
      <c r="EFK8" s="72"/>
      <c r="EFL8" s="72"/>
      <c r="EFM8" s="72"/>
      <c r="EFN8" s="72"/>
      <c r="EFO8" s="72"/>
      <c r="EFP8" s="72"/>
      <c r="EFQ8" s="72"/>
      <c r="EFR8" s="72"/>
      <c r="EFS8" s="72"/>
      <c r="EFT8" s="72"/>
      <c r="EFU8" s="72"/>
      <c r="EFV8" s="72"/>
      <c r="EFW8" s="72"/>
      <c r="EFX8" s="72"/>
      <c r="EFY8" s="72"/>
      <c r="EFZ8" s="72"/>
      <c r="EGA8" s="72"/>
      <c r="EGB8" s="72"/>
      <c r="EGC8" s="72"/>
      <c r="EGD8" s="72"/>
      <c r="EGE8" s="72"/>
      <c r="EGF8" s="72"/>
      <c r="EGG8" s="72"/>
      <c r="EGH8" s="72"/>
      <c r="EGI8" s="72"/>
      <c r="EGJ8" s="72"/>
      <c r="EGK8" s="72"/>
      <c r="EGL8" s="72"/>
      <c r="EGM8" s="72"/>
      <c r="EGN8" s="72"/>
      <c r="EGO8" s="72"/>
      <c r="EGP8" s="72"/>
      <c r="EGQ8" s="72"/>
      <c r="EGR8" s="72"/>
      <c r="EGS8" s="72"/>
      <c r="EGT8" s="72"/>
      <c r="EGU8" s="72"/>
      <c r="EGV8" s="72"/>
      <c r="EGW8" s="72"/>
      <c r="EGX8" s="72"/>
      <c r="EGY8" s="72"/>
      <c r="EGZ8" s="72"/>
      <c r="EHA8" s="72"/>
      <c r="EHB8" s="72"/>
      <c r="EHC8" s="72"/>
      <c r="EHD8" s="72"/>
      <c r="EHE8" s="72"/>
      <c r="EHF8" s="72"/>
      <c r="EHG8" s="72"/>
      <c r="EHH8" s="72"/>
      <c r="EHI8" s="72"/>
      <c r="EHJ8" s="72"/>
      <c r="EHK8" s="72"/>
      <c r="EHL8" s="72"/>
      <c r="EHM8" s="72"/>
      <c r="EHN8" s="72"/>
      <c r="EHO8" s="72"/>
      <c r="EHP8" s="72"/>
      <c r="EHQ8" s="72"/>
      <c r="EHR8" s="72"/>
      <c r="EHS8" s="72"/>
      <c r="EHT8" s="72"/>
      <c r="EHU8" s="72"/>
      <c r="EHV8" s="72"/>
      <c r="EHW8" s="72"/>
      <c r="EHX8" s="72"/>
      <c r="EHY8" s="72"/>
      <c r="EHZ8" s="72"/>
      <c r="EIA8" s="72"/>
      <c r="EIB8" s="72"/>
      <c r="EIC8" s="72"/>
      <c r="EID8" s="72"/>
      <c r="EIE8" s="72"/>
      <c r="EIF8" s="72"/>
      <c r="EIG8" s="72"/>
      <c r="EIH8" s="72"/>
      <c r="EII8" s="72"/>
      <c r="EIJ8" s="72"/>
      <c r="EIK8" s="72"/>
      <c r="EIL8" s="72"/>
      <c r="EIM8" s="72"/>
      <c r="EIN8" s="72"/>
      <c r="EIO8" s="72"/>
      <c r="EIP8" s="72"/>
      <c r="EIQ8" s="72"/>
      <c r="EIR8" s="72"/>
      <c r="EIS8" s="72"/>
      <c r="EIT8" s="72"/>
      <c r="EIU8" s="72"/>
      <c r="EIV8" s="72"/>
      <c r="EIW8" s="72"/>
      <c r="EIX8" s="72"/>
      <c r="EIY8" s="72"/>
      <c r="EIZ8" s="72"/>
      <c r="EJA8" s="72"/>
      <c r="EJB8" s="72"/>
      <c r="EJC8" s="72"/>
      <c r="EJD8" s="72"/>
      <c r="EJE8" s="72"/>
      <c r="EJF8" s="72"/>
      <c r="EJG8" s="72"/>
      <c r="EJH8" s="72"/>
      <c r="EJI8" s="72"/>
      <c r="EJJ8" s="72"/>
      <c r="EJK8" s="72"/>
      <c r="EJL8" s="72"/>
      <c r="EJM8" s="72"/>
      <c r="EJN8" s="72"/>
      <c r="EJO8" s="72"/>
      <c r="EJP8" s="72"/>
      <c r="EJQ8" s="72"/>
      <c r="EJR8" s="72"/>
      <c r="EJS8" s="72"/>
      <c r="EJT8" s="72"/>
      <c r="EJU8" s="72"/>
      <c r="EJV8" s="72"/>
      <c r="EJW8" s="72"/>
      <c r="EJX8" s="72"/>
      <c r="EJY8" s="72"/>
      <c r="EJZ8" s="72"/>
      <c r="EKA8" s="72"/>
      <c r="EKB8" s="72"/>
      <c r="EKC8" s="72"/>
      <c r="EKD8" s="72"/>
      <c r="EKE8" s="72"/>
      <c r="EKF8" s="72"/>
      <c r="EKG8" s="72"/>
      <c r="EKH8" s="72"/>
      <c r="EKI8" s="72"/>
      <c r="EKJ8" s="72"/>
      <c r="EKK8" s="72"/>
      <c r="EKL8" s="72"/>
      <c r="EKM8" s="72"/>
      <c r="EKN8" s="72"/>
      <c r="EKO8" s="72"/>
      <c r="EKP8" s="72"/>
      <c r="EKQ8" s="72"/>
      <c r="EKR8" s="72"/>
      <c r="EKS8" s="72"/>
      <c r="EKT8" s="72"/>
      <c r="EKU8" s="72"/>
      <c r="EKV8" s="72"/>
      <c r="EKW8" s="72"/>
      <c r="EKX8" s="72"/>
      <c r="EKY8" s="72"/>
      <c r="EKZ8" s="72"/>
      <c r="ELA8" s="72"/>
      <c r="ELB8" s="72"/>
      <c r="ELC8" s="72"/>
      <c r="ELD8" s="72"/>
      <c r="ELE8" s="72"/>
      <c r="ELF8" s="72"/>
      <c r="ELG8" s="72"/>
      <c r="ELH8" s="72"/>
      <c r="ELI8" s="72"/>
      <c r="ELJ8" s="72"/>
      <c r="ELK8" s="72"/>
      <c r="ELL8" s="72"/>
      <c r="ELM8" s="72"/>
      <c r="ELN8" s="72"/>
      <c r="ELO8" s="72"/>
      <c r="ELP8" s="72"/>
      <c r="ELQ8" s="72"/>
      <c r="ELR8" s="72"/>
      <c r="ELS8" s="72"/>
      <c r="ELT8" s="72"/>
      <c r="ELU8" s="72"/>
      <c r="ELV8" s="72"/>
      <c r="ELW8" s="72"/>
      <c r="ELX8" s="72"/>
      <c r="ELY8" s="72"/>
      <c r="ELZ8" s="72"/>
      <c r="EMA8" s="72"/>
      <c r="EMB8" s="72"/>
      <c r="EMC8" s="72"/>
      <c r="EMD8" s="72"/>
      <c r="EME8" s="72"/>
      <c r="EMF8" s="72"/>
      <c r="EMG8" s="72"/>
      <c r="EMH8" s="72"/>
      <c r="EMI8" s="72"/>
      <c r="EMJ8" s="72"/>
      <c r="EMK8" s="72"/>
      <c r="EML8" s="72"/>
      <c r="EMM8" s="72"/>
      <c r="EMN8" s="72"/>
      <c r="EMO8" s="72"/>
      <c r="EMP8" s="72"/>
      <c r="EMQ8" s="72"/>
      <c r="EMR8" s="72"/>
      <c r="EMS8" s="72"/>
      <c r="EMT8" s="72"/>
      <c r="EMU8" s="72"/>
      <c r="EMV8" s="72"/>
      <c r="EMW8" s="72"/>
      <c r="EMX8" s="72"/>
      <c r="EMY8" s="72"/>
      <c r="EMZ8" s="72"/>
      <c r="ENA8" s="72"/>
      <c r="ENB8" s="72"/>
      <c r="ENC8" s="72"/>
      <c r="END8" s="72"/>
      <c r="ENE8" s="72"/>
      <c r="ENF8" s="72"/>
      <c r="ENG8" s="72"/>
      <c r="ENH8" s="72"/>
      <c r="ENI8" s="72"/>
      <c r="ENJ8" s="72"/>
      <c r="ENK8" s="72"/>
      <c r="ENL8" s="72"/>
      <c r="ENM8" s="72"/>
      <c r="ENN8" s="72"/>
      <c r="ENO8" s="72"/>
      <c r="ENP8" s="72"/>
      <c r="ENQ8" s="72"/>
      <c r="ENR8" s="72"/>
      <c r="ENS8" s="72"/>
      <c r="ENT8" s="72"/>
      <c r="ENU8" s="72"/>
      <c r="ENV8" s="72"/>
      <c r="ENW8" s="72"/>
      <c r="ENX8" s="72"/>
      <c r="ENY8" s="72"/>
      <c r="ENZ8" s="72"/>
      <c r="EOA8" s="72"/>
      <c r="EOB8" s="72"/>
      <c r="EOC8" s="72"/>
      <c r="EOD8" s="72"/>
      <c r="EOE8" s="72"/>
      <c r="EOF8" s="72"/>
      <c r="EOG8" s="72"/>
      <c r="EOH8" s="72"/>
      <c r="EOI8" s="72"/>
      <c r="EOJ8" s="72"/>
      <c r="EOK8" s="72"/>
      <c r="EOL8" s="72"/>
      <c r="EOM8" s="72"/>
      <c r="EON8" s="72"/>
      <c r="EOO8" s="72"/>
      <c r="EOP8" s="72"/>
      <c r="EOQ8" s="72"/>
      <c r="EOR8" s="72"/>
      <c r="EOS8" s="72"/>
      <c r="EOT8" s="72"/>
      <c r="EOU8" s="72"/>
      <c r="EOV8" s="72"/>
      <c r="EOW8" s="72"/>
      <c r="EOX8" s="72"/>
      <c r="EOY8" s="72"/>
      <c r="EOZ8" s="72"/>
      <c r="EPA8" s="72"/>
      <c r="EPB8" s="72"/>
      <c r="EPC8" s="72"/>
      <c r="EPD8" s="72"/>
      <c r="EPE8" s="72"/>
      <c r="EPF8" s="72"/>
      <c r="EPG8" s="72"/>
      <c r="EPH8" s="72"/>
      <c r="EPI8" s="72"/>
      <c r="EPJ8" s="72"/>
      <c r="EPK8" s="72"/>
      <c r="EPL8" s="72"/>
      <c r="EPM8" s="72"/>
      <c r="EPN8" s="72"/>
      <c r="EPO8" s="72"/>
      <c r="EPP8" s="72"/>
      <c r="EPQ8" s="72"/>
      <c r="EPR8" s="72"/>
      <c r="EPS8" s="72"/>
      <c r="EPT8" s="72"/>
      <c r="EPU8" s="72"/>
      <c r="EPV8" s="72"/>
      <c r="EPW8" s="72"/>
      <c r="EPX8" s="72"/>
      <c r="EPY8" s="72"/>
      <c r="EPZ8" s="72"/>
      <c r="EQA8" s="72"/>
      <c r="EQB8" s="72"/>
      <c r="EQC8" s="72"/>
      <c r="EQD8" s="72"/>
      <c r="EQE8" s="72"/>
      <c r="EQF8" s="72"/>
      <c r="EQG8" s="72"/>
      <c r="EQH8" s="72"/>
      <c r="EQI8" s="72"/>
      <c r="EQJ8" s="72"/>
      <c r="EQK8" s="72"/>
      <c r="EQL8" s="72"/>
      <c r="EQM8" s="72"/>
      <c r="EQN8" s="72"/>
      <c r="EQO8" s="72"/>
      <c r="EQP8" s="72"/>
      <c r="EQQ8" s="72"/>
      <c r="EQR8" s="72"/>
      <c r="EQS8" s="72"/>
      <c r="EQT8" s="72"/>
      <c r="EQU8" s="72"/>
      <c r="EQV8" s="72"/>
      <c r="EQW8" s="72"/>
      <c r="EQX8" s="72"/>
      <c r="EQY8" s="72"/>
      <c r="EQZ8" s="72"/>
      <c r="ERA8" s="72"/>
      <c r="ERB8" s="72"/>
      <c r="ERC8" s="72"/>
      <c r="ERD8" s="72"/>
      <c r="ERE8" s="72"/>
      <c r="ERF8" s="72"/>
      <c r="ERG8" s="72"/>
      <c r="ERH8" s="72"/>
      <c r="ERI8" s="72"/>
      <c r="ERJ8" s="72"/>
      <c r="ERK8" s="72"/>
      <c r="ERL8" s="72"/>
      <c r="ERM8" s="72"/>
      <c r="ERN8" s="72"/>
      <c r="ERO8" s="72"/>
      <c r="ERP8" s="72"/>
      <c r="ERQ8" s="72"/>
      <c r="ERR8" s="72"/>
      <c r="ERS8" s="72"/>
      <c r="ERT8" s="72"/>
      <c r="ERU8" s="72"/>
      <c r="ERV8" s="72"/>
      <c r="ERW8" s="72"/>
      <c r="ERX8" s="72"/>
      <c r="ERY8" s="72"/>
      <c r="ERZ8" s="72"/>
      <c r="ESA8" s="72"/>
      <c r="ESB8" s="72"/>
      <c r="ESC8" s="72"/>
      <c r="ESD8" s="72"/>
      <c r="ESE8" s="72"/>
      <c r="ESF8" s="72"/>
      <c r="ESG8" s="72"/>
      <c r="ESH8" s="72"/>
      <c r="ESI8" s="72"/>
      <c r="ESJ8" s="72"/>
      <c r="ESK8" s="72"/>
      <c r="ESL8" s="72"/>
      <c r="ESM8" s="72"/>
      <c r="ESN8" s="72"/>
      <c r="ESO8" s="72"/>
      <c r="ESP8" s="72"/>
      <c r="ESQ8" s="72"/>
      <c r="ESR8" s="72"/>
      <c r="ESS8" s="72"/>
      <c r="EST8" s="72"/>
      <c r="ESU8" s="72"/>
      <c r="ESV8" s="72"/>
      <c r="ESW8" s="72"/>
      <c r="ESX8" s="72"/>
      <c r="ESY8" s="72"/>
      <c r="ESZ8" s="72"/>
      <c r="ETA8" s="72"/>
      <c r="ETB8" s="72"/>
      <c r="ETC8" s="72"/>
      <c r="ETD8" s="72"/>
      <c r="ETE8" s="72"/>
      <c r="ETF8" s="72"/>
      <c r="ETG8" s="72"/>
      <c r="ETH8" s="72"/>
      <c r="ETI8" s="72"/>
      <c r="ETJ8" s="72"/>
      <c r="ETK8" s="72"/>
      <c r="ETL8" s="72"/>
      <c r="ETM8" s="72"/>
      <c r="ETN8" s="72"/>
      <c r="ETO8" s="72"/>
      <c r="ETP8" s="72"/>
      <c r="ETQ8" s="72"/>
      <c r="ETR8" s="72"/>
      <c r="ETS8" s="72"/>
      <c r="ETT8" s="72"/>
      <c r="ETU8" s="72"/>
      <c r="ETV8" s="72"/>
      <c r="ETW8" s="72"/>
      <c r="ETX8" s="72"/>
      <c r="ETY8" s="72"/>
      <c r="ETZ8" s="72"/>
      <c r="EUA8" s="72"/>
      <c r="EUB8" s="72"/>
      <c r="EUC8" s="72"/>
      <c r="EUD8" s="72"/>
      <c r="EUE8" s="72"/>
      <c r="EUF8" s="72"/>
      <c r="EUG8" s="72"/>
      <c r="EUH8" s="72"/>
      <c r="EUI8" s="72"/>
      <c r="EUJ8" s="72"/>
      <c r="EUK8" s="72"/>
      <c r="EUL8" s="72"/>
      <c r="EUM8" s="72"/>
      <c r="EUN8" s="72"/>
      <c r="EUO8" s="72"/>
      <c r="EUP8" s="72"/>
      <c r="EUQ8" s="72"/>
      <c r="EUR8" s="72"/>
      <c r="EUS8" s="72"/>
      <c r="EUT8" s="72"/>
      <c r="EUU8" s="72"/>
      <c r="EUV8" s="72"/>
      <c r="EUW8" s="72"/>
      <c r="EUX8" s="72"/>
      <c r="EUY8" s="72"/>
      <c r="EUZ8" s="72"/>
      <c r="EVA8" s="72"/>
      <c r="EVB8" s="72"/>
      <c r="EVC8" s="72"/>
      <c r="EVD8" s="72"/>
      <c r="EVE8" s="72"/>
      <c r="EVF8" s="72"/>
      <c r="EVG8" s="72"/>
      <c r="EVH8" s="72"/>
      <c r="EVI8" s="72"/>
      <c r="EVJ8" s="72"/>
      <c r="EVK8" s="72"/>
      <c r="EVL8" s="72"/>
      <c r="EVM8" s="72"/>
      <c r="EVN8" s="72"/>
      <c r="EVO8" s="72"/>
      <c r="EVP8" s="72"/>
      <c r="EVQ8" s="72"/>
      <c r="EVR8" s="72"/>
      <c r="EVS8" s="72"/>
      <c r="EVT8" s="72"/>
      <c r="EVU8" s="72"/>
      <c r="EVV8" s="72"/>
      <c r="EVW8" s="72"/>
      <c r="EVX8" s="72"/>
      <c r="EVY8" s="72"/>
      <c r="EVZ8" s="72"/>
      <c r="EWA8" s="72"/>
      <c r="EWB8" s="72"/>
      <c r="EWC8" s="72"/>
      <c r="EWD8" s="72"/>
      <c r="EWE8" s="72"/>
      <c r="EWF8" s="72"/>
      <c r="EWG8" s="72"/>
      <c r="EWH8" s="72"/>
      <c r="EWI8" s="72"/>
      <c r="EWJ8" s="72"/>
      <c r="EWK8" s="72"/>
      <c r="EWL8" s="72"/>
      <c r="EWM8" s="72"/>
      <c r="EWN8" s="72"/>
      <c r="EWO8" s="72"/>
      <c r="EWP8" s="72"/>
      <c r="EWQ8" s="72"/>
      <c r="EWR8" s="72"/>
      <c r="EWS8" s="72"/>
      <c r="EWT8" s="72"/>
      <c r="EWU8" s="72"/>
      <c r="EWV8" s="72"/>
      <c r="EWW8" s="72"/>
      <c r="EWX8" s="72"/>
      <c r="EWY8" s="72"/>
      <c r="EWZ8" s="72"/>
      <c r="EXA8" s="72"/>
      <c r="EXB8" s="72"/>
      <c r="EXC8" s="72"/>
      <c r="EXD8" s="72"/>
      <c r="EXE8" s="72"/>
      <c r="EXF8" s="72"/>
      <c r="EXG8" s="72"/>
      <c r="EXH8" s="72"/>
      <c r="EXI8" s="72"/>
      <c r="EXJ8" s="72"/>
      <c r="EXK8" s="72"/>
      <c r="EXL8" s="72"/>
      <c r="EXM8" s="72"/>
      <c r="EXN8" s="72"/>
      <c r="EXO8" s="72"/>
      <c r="EXP8" s="72"/>
      <c r="EXQ8" s="72"/>
      <c r="EXR8" s="72"/>
      <c r="EXS8" s="72"/>
      <c r="EXT8" s="72"/>
      <c r="EXU8" s="72"/>
      <c r="EXV8" s="72"/>
      <c r="EXW8" s="72"/>
      <c r="EXX8" s="72"/>
      <c r="EXY8" s="72"/>
      <c r="EXZ8" s="72"/>
      <c r="EYA8" s="72"/>
      <c r="EYB8" s="72"/>
      <c r="EYC8" s="72"/>
      <c r="EYD8" s="72"/>
      <c r="EYE8" s="72"/>
      <c r="EYF8" s="72"/>
      <c r="EYG8" s="72"/>
      <c r="EYH8" s="72"/>
      <c r="EYI8" s="72"/>
      <c r="EYJ8" s="72"/>
      <c r="EYK8" s="72"/>
      <c r="EYL8" s="72"/>
      <c r="EYM8" s="72"/>
      <c r="EYN8" s="72"/>
      <c r="EYO8" s="72"/>
      <c r="EYP8" s="72"/>
      <c r="EYQ8" s="72"/>
      <c r="EYR8" s="72"/>
      <c r="EYS8" s="72"/>
      <c r="EYT8" s="72"/>
      <c r="EYU8" s="72"/>
      <c r="EYV8" s="72"/>
      <c r="EYW8" s="72"/>
      <c r="EYX8" s="72"/>
      <c r="EYY8" s="72"/>
      <c r="EYZ8" s="72"/>
      <c r="EZA8" s="72"/>
      <c r="EZB8" s="72"/>
      <c r="EZC8" s="72"/>
      <c r="EZD8" s="72"/>
      <c r="EZE8" s="72"/>
      <c r="EZF8" s="72"/>
      <c r="EZG8" s="72"/>
      <c r="EZH8" s="72"/>
      <c r="EZI8" s="72"/>
      <c r="EZJ8" s="72"/>
      <c r="EZK8" s="72"/>
      <c r="EZL8" s="72"/>
      <c r="EZM8" s="72"/>
      <c r="EZN8" s="72"/>
      <c r="EZO8" s="72"/>
      <c r="EZP8" s="72"/>
      <c r="EZQ8" s="72"/>
      <c r="EZR8" s="72"/>
      <c r="EZS8" s="72"/>
      <c r="EZT8" s="72"/>
      <c r="EZU8" s="72"/>
      <c r="EZV8" s="72"/>
      <c r="EZW8" s="72"/>
      <c r="EZX8" s="72"/>
      <c r="EZY8" s="72"/>
      <c r="EZZ8" s="72"/>
      <c r="FAA8" s="72"/>
      <c r="FAB8" s="72"/>
      <c r="FAC8" s="72"/>
      <c r="FAD8" s="72"/>
      <c r="FAE8" s="72"/>
      <c r="FAF8" s="72"/>
      <c r="FAG8" s="72"/>
      <c r="FAH8" s="72"/>
      <c r="FAI8" s="72"/>
      <c r="FAJ8" s="72"/>
      <c r="FAK8" s="72"/>
      <c r="FAL8" s="72"/>
      <c r="FAM8" s="72"/>
      <c r="FAN8" s="72"/>
      <c r="FAO8" s="72"/>
      <c r="FAP8" s="72"/>
      <c r="FAQ8" s="72"/>
      <c r="FAR8" s="72"/>
      <c r="FAS8" s="72"/>
      <c r="FAT8" s="72"/>
      <c r="FAU8" s="72"/>
      <c r="FAV8" s="72"/>
      <c r="FAW8" s="72"/>
      <c r="FAX8" s="72"/>
      <c r="FAY8" s="72"/>
      <c r="FAZ8" s="72"/>
      <c r="FBA8" s="72"/>
      <c r="FBB8" s="72"/>
      <c r="FBC8" s="72"/>
      <c r="FBD8" s="72"/>
      <c r="FBE8" s="72"/>
      <c r="FBF8" s="72"/>
      <c r="FBG8" s="72"/>
      <c r="FBH8" s="72"/>
      <c r="FBI8" s="72"/>
      <c r="FBJ8" s="72"/>
      <c r="FBK8" s="72"/>
      <c r="FBL8" s="72"/>
      <c r="FBM8" s="72"/>
      <c r="FBN8" s="72"/>
      <c r="FBO8" s="72"/>
      <c r="FBP8" s="72"/>
      <c r="FBQ8" s="72"/>
      <c r="FBR8" s="72"/>
      <c r="FBS8" s="72"/>
      <c r="FBT8" s="72"/>
      <c r="FBU8" s="72"/>
      <c r="FBV8" s="72"/>
      <c r="FBW8" s="72"/>
      <c r="FBX8" s="72"/>
      <c r="FBY8" s="72"/>
      <c r="FBZ8" s="72"/>
      <c r="FCA8" s="72"/>
      <c r="FCB8" s="72"/>
      <c r="FCC8" s="72"/>
      <c r="FCD8" s="72"/>
      <c r="FCE8" s="72"/>
      <c r="FCF8" s="72"/>
      <c r="FCG8" s="72"/>
      <c r="FCH8" s="72"/>
      <c r="FCI8" s="72"/>
      <c r="FCJ8" s="72"/>
      <c r="FCK8" s="72"/>
      <c r="FCL8" s="72"/>
      <c r="FCM8" s="72"/>
      <c r="FCN8" s="72"/>
      <c r="FCO8" s="72"/>
      <c r="FCP8" s="72"/>
      <c r="FCQ8" s="72"/>
      <c r="FCR8" s="72"/>
      <c r="FCS8" s="72"/>
      <c r="FCT8" s="72"/>
      <c r="FCU8" s="72"/>
      <c r="FCV8" s="72"/>
      <c r="FCW8" s="72"/>
      <c r="FCX8" s="72"/>
      <c r="FCY8" s="72"/>
      <c r="FCZ8" s="72"/>
      <c r="FDA8" s="72"/>
      <c r="FDB8" s="72"/>
      <c r="FDC8" s="72"/>
      <c r="FDD8" s="72"/>
      <c r="FDE8" s="72"/>
      <c r="FDF8" s="72"/>
      <c r="FDG8" s="72"/>
      <c r="FDH8" s="72"/>
      <c r="FDI8" s="72"/>
      <c r="FDJ8" s="72"/>
      <c r="FDK8" s="72"/>
      <c r="FDL8" s="72"/>
      <c r="FDM8" s="72"/>
      <c r="FDN8" s="72"/>
      <c r="FDO8" s="72"/>
      <c r="FDP8" s="72"/>
      <c r="FDQ8" s="72"/>
      <c r="FDR8" s="72"/>
      <c r="FDS8" s="72"/>
      <c r="FDT8" s="72"/>
      <c r="FDU8" s="72"/>
      <c r="FDV8" s="72"/>
      <c r="FDW8" s="72"/>
      <c r="FDX8" s="72"/>
      <c r="FDY8" s="72"/>
      <c r="FDZ8" s="72"/>
      <c r="FEA8" s="72"/>
      <c r="FEB8" s="72"/>
      <c r="FEC8" s="72"/>
      <c r="FED8" s="72"/>
      <c r="FEE8" s="72"/>
      <c r="FEF8" s="72"/>
      <c r="FEG8" s="72"/>
      <c r="FEH8" s="72"/>
      <c r="FEI8" s="72"/>
      <c r="FEJ8" s="72"/>
      <c r="FEK8" s="72"/>
      <c r="FEL8" s="72"/>
      <c r="FEM8" s="72"/>
      <c r="FEN8" s="72"/>
      <c r="FEO8" s="72"/>
      <c r="FEP8" s="72"/>
      <c r="FEQ8" s="72"/>
      <c r="FER8" s="72"/>
      <c r="FES8" s="72"/>
      <c r="FET8" s="72"/>
      <c r="FEU8" s="72"/>
      <c r="FEV8" s="72"/>
      <c r="FEW8" s="72"/>
      <c r="FEX8" s="72"/>
      <c r="FEY8" s="72"/>
      <c r="FEZ8" s="72"/>
      <c r="FFA8" s="72"/>
      <c r="FFB8" s="72"/>
      <c r="FFC8" s="72"/>
      <c r="FFD8" s="72"/>
      <c r="FFE8" s="72"/>
      <c r="FFF8" s="72"/>
      <c r="FFG8" s="72"/>
      <c r="FFH8" s="72"/>
      <c r="FFI8" s="72"/>
      <c r="FFJ8" s="72"/>
      <c r="FFK8" s="72"/>
      <c r="FFL8" s="72"/>
      <c r="FFM8" s="72"/>
      <c r="FFN8" s="72"/>
      <c r="FFO8" s="72"/>
      <c r="FFP8" s="72"/>
      <c r="FFQ8" s="72"/>
      <c r="FFR8" s="72"/>
      <c r="FFS8" s="72"/>
      <c r="FFT8" s="72"/>
      <c r="FFU8" s="72"/>
      <c r="FFV8" s="72"/>
      <c r="FFW8" s="72"/>
      <c r="FFX8" s="72"/>
      <c r="FFY8" s="72"/>
      <c r="FFZ8" s="72"/>
      <c r="FGA8" s="72"/>
      <c r="FGB8" s="72"/>
      <c r="FGC8" s="72"/>
      <c r="FGD8" s="72"/>
      <c r="FGE8" s="72"/>
      <c r="FGF8" s="72"/>
      <c r="FGG8" s="72"/>
      <c r="FGH8" s="72"/>
      <c r="FGI8" s="72"/>
      <c r="FGJ8" s="72"/>
      <c r="FGK8" s="72"/>
      <c r="FGL8" s="72"/>
      <c r="FGM8" s="72"/>
      <c r="FGN8" s="72"/>
      <c r="FGO8" s="72"/>
      <c r="FGP8" s="72"/>
      <c r="FGQ8" s="72"/>
      <c r="FGR8" s="72"/>
      <c r="FGS8" s="72"/>
      <c r="FGT8" s="72"/>
      <c r="FGU8" s="72"/>
      <c r="FGV8" s="72"/>
      <c r="FGW8" s="72"/>
      <c r="FGX8" s="72"/>
      <c r="FGY8" s="72"/>
      <c r="FGZ8" s="72"/>
      <c r="FHA8" s="72"/>
      <c r="FHB8" s="72"/>
      <c r="FHC8" s="72"/>
      <c r="FHD8" s="72"/>
      <c r="FHE8" s="72"/>
      <c r="FHF8" s="72"/>
      <c r="FHG8" s="72"/>
      <c r="FHH8" s="72"/>
      <c r="FHI8" s="72"/>
      <c r="FHJ8" s="72"/>
      <c r="FHK8" s="72"/>
      <c r="FHL8" s="72"/>
      <c r="FHM8" s="72"/>
      <c r="FHN8" s="72"/>
      <c r="FHO8" s="72"/>
      <c r="FHP8" s="72"/>
      <c r="FHQ8" s="72"/>
      <c r="FHR8" s="72"/>
      <c r="FHS8" s="72"/>
      <c r="FHT8" s="72"/>
      <c r="FHU8" s="72"/>
      <c r="FHV8" s="72"/>
      <c r="FHW8" s="72"/>
      <c r="FHX8" s="72"/>
      <c r="FHY8" s="72"/>
      <c r="FHZ8" s="72"/>
      <c r="FIA8" s="72"/>
      <c r="FIB8" s="72"/>
      <c r="FIC8" s="72"/>
      <c r="FID8" s="72"/>
      <c r="FIE8" s="72"/>
      <c r="FIF8" s="72"/>
      <c r="FIG8" s="72"/>
      <c r="FIH8" s="72"/>
      <c r="FII8" s="72"/>
      <c r="FIJ8" s="72"/>
      <c r="FIK8" s="72"/>
      <c r="FIL8" s="72"/>
      <c r="FIM8" s="72"/>
      <c r="FIN8" s="72"/>
      <c r="FIO8" s="72"/>
      <c r="FIP8" s="72"/>
      <c r="FIQ8" s="72"/>
      <c r="FIR8" s="72"/>
      <c r="FIS8" s="72"/>
      <c r="FIT8" s="72"/>
      <c r="FIU8" s="72"/>
      <c r="FIV8" s="72"/>
      <c r="FIW8" s="72"/>
      <c r="FIX8" s="72"/>
      <c r="FIY8" s="72"/>
      <c r="FIZ8" s="72"/>
      <c r="FJA8" s="72"/>
      <c r="FJB8" s="72"/>
      <c r="FJC8" s="72"/>
      <c r="FJD8" s="72"/>
      <c r="FJE8" s="72"/>
      <c r="FJF8" s="72"/>
      <c r="FJG8" s="72"/>
      <c r="FJH8" s="72"/>
      <c r="FJI8" s="72"/>
      <c r="FJJ8" s="72"/>
      <c r="FJK8" s="72"/>
      <c r="FJL8" s="72"/>
      <c r="FJM8" s="72"/>
      <c r="FJN8" s="72"/>
      <c r="FJO8" s="72"/>
      <c r="FJP8" s="72"/>
      <c r="FJQ8" s="72"/>
      <c r="FJR8" s="72"/>
      <c r="FJS8" s="72"/>
      <c r="FJT8" s="72"/>
      <c r="FJU8" s="72"/>
      <c r="FJV8" s="72"/>
      <c r="FJW8" s="72"/>
      <c r="FJX8" s="72"/>
      <c r="FJY8" s="72"/>
      <c r="FJZ8" s="72"/>
      <c r="FKA8" s="72"/>
      <c r="FKB8" s="72"/>
      <c r="FKC8" s="72"/>
      <c r="FKD8" s="72"/>
      <c r="FKE8" s="72"/>
      <c r="FKF8" s="72"/>
      <c r="FKG8" s="72"/>
      <c r="FKH8" s="72"/>
      <c r="FKI8" s="72"/>
      <c r="FKJ8" s="72"/>
      <c r="FKK8" s="72"/>
      <c r="FKL8" s="72"/>
      <c r="FKM8" s="72"/>
      <c r="FKN8" s="72"/>
      <c r="FKO8" s="72"/>
      <c r="FKP8" s="72"/>
      <c r="FKQ8" s="72"/>
      <c r="FKR8" s="72"/>
      <c r="FKS8" s="72"/>
      <c r="FKT8" s="72"/>
      <c r="FKU8" s="72"/>
      <c r="FKV8" s="72"/>
      <c r="FKW8" s="72"/>
      <c r="FKX8" s="72"/>
      <c r="FKY8" s="72"/>
      <c r="FKZ8" s="72"/>
      <c r="FLA8" s="72"/>
      <c r="FLB8" s="72"/>
      <c r="FLC8" s="72"/>
      <c r="FLD8" s="72"/>
      <c r="FLE8" s="72"/>
      <c r="FLF8" s="72"/>
      <c r="FLG8" s="72"/>
      <c r="FLH8" s="72"/>
      <c r="FLI8" s="72"/>
      <c r="FLJ8" s="72"/>
      <c r="FLK8" s="72"/>
      <c r="FLL8" s="72"/>
      <c r="FLM8" s="72"/>
      <c r="FLN8" s="72"/>
      <c r="FLO8" s="72"/>
      <c r="FLP8" s="72"/>
      <c r="FLQ8" s="72"/>
      <c r="FLR8" s="72"/>
      <c r="FLS8" s="72"/>
      <c r="FLT8" s="72"/>
      <c r="FLU8" s="72"/>
      <c r="FLV8" s="72"/>
      <c r="FLW8" s="72"/>
      <c r="FLX8" s="72"/>
      <c r="FLY8" s="72"/>
      <c r="FLZ8" s="72"/>
      <c r="FMA8" s="72"/>
      <c r="FMB8" s="72"/>
      <c r="FMC8" s="72"/>
      <c r="FMD8" s="72"/>
      <c r="FME8" s="72"/>
      <c r="FMF8" s="72"/>
      <c r="FMG8" s="72"/>
      <c r="FMH8" s="72"/>
      <c r="FMI8" s="72"/>
      <c r="FMJ8" s="72"/>
      <c r="FMK8" s="72"/>
      <c r="FML8" s="72"/>
      <c r="FMM8" s="72"/>
      <c r="FMN8" s="72"/>
      <c r="FMO8" s="72"/>
      <c r="FMP8" s="72"/>
      <c r="FMQ8" s="72"/>
      <c r="FMR8" s="72"/>
      <c r="FMS8" s="72"/>
      <c r="FMT8" s="72"/>
      <c r="FMU8" s="72"/>
      <c r="FMV8" s="72"/>
      <c r="FMW8" s="72"/>
      <c r="FMX8" s="72"/>
      <c r="FMY8" s="72"/>
      <c r="FMZ8" s="72"/>
      <c r="FNA8" s="72"/>
      <c r="FNB8" s="72"/>
      <c r="FNC8" s="72"/>
      <c r="FND8" s="72"/>
      <c r="FNE8" s="72"/>
      <c r="FNF8" s="72"/>
      <c r="FNG8" s="72"/>
      <c r="FNH8" s="72"/>
      <c r="FNI8" s="72"/>
      <c r="FNJ8" s="72"/>
      <c r="FNK8" s="72"/>
      <c r="FNL8" s="72"/>
      <c r="FNM8" s="72"/>
      <c r="FNN8" s="72"/>
      <c r="FNO8" s="72"/>
      <c r="FNP8" s="72"/>
      <c r="FNQ8" s="72"/>
      <c r="FNR8" s="72"/>
      <c r="FNS8" s="72"/>
      <c r="FNT8" s="72"/>
      <c r="FNU8" s="72"/>
      <c r="FNV8" s="72"/>
      <c r="FNW8" s="72"/>
      <c r="FNX8" s="72"/>
      <c r="FNY8" s="72"/>
      <c r="FNZ8" s="72"/>
      <c r="FOA8" s="72"/>
      <c r="FOB8" s="72"/>
      <c r="FOC8" s="72"/>
      <c r="FOD8" s="72"/>
      <c r="FOE8" s="72"/>
      <c r="FOF8" s="72"/>
      <c r="FOG8" s="72"/>
      <c r="FOH8" s="72"/>
      <c r="FOI8" s="72"/>
      <c r="FOJ8" s="72"/>
      <c r="FOK8" s="72"/>
      <c r="FOL8" s="72"/>
      <c r="FOM8" s="72"/>
      <c r="FON8" s="72"/>
      <c r="FOO8" s="72"/>
      <c r="FOP8" s="72"/>
      <c r="FOQ8" s="72"/>
      <c r="FOR8" s="72"/>
      <c r="FOS8" s="72"/>
      <c r="FOT8" s="72"/>
      <c r="FOU8" s="72"/>
      <c r="FOV8" s="72"/>
      <c r="FOW8" s="72"/>
      <c r="FOX8" s="72"/>
      <c r="FOY8" s="72"/>
      <c r="FOZ8" s="72"/>
      <c r="FPA8" s="72"/>
      <c r="FPB8" s="72"/>
      <c r="FPC8" s="72"/>
      <c r="FPD8" s="72"/>
      <c r="FPE8" s="72"/>
      <c r="FPF8" s="72"/>
      <c r="FPG8" s="72"/>
      <c r="FPH8" s="72"/>
      <c r="FPI8" s="72"/>
      <c r="FPJ8" s="72"/>
      <c r="FPK8" s="72"/>
      <c r="FPL8" s="72"/>
      <c r="FPM8" s="72"/>
      <c r="FPN8" s="72"/>
      <c r="FPO8" s="72"/>
      <c r="FPP8" s="72"/>
      <c r="FPQ8" s="72"/>
      <c r="FPR8" s="72"/>
      <c r="FPS8" s="72"/>
      <c r="FPT8" s="72"/>
      <c r="FPU8" s="72"/>
      <c r="FPV8" s="72"/>
      <c r="FPW8" s="72"/>
      <c r="FPX8" s="72"/>
      <c r="FPY8" s="72"/>
      <c r="FPZ8" s="72"/>
      <c r="FQA8" s="72"/>
      <c r="FQB8" s="72"/>
      <c r="FQC8" s="72"/>
      <c r="FQD8" s="72"/>
      <c r="FQE8" s="72"/>
      <c r="FQF8" s="72"/>
      <c r="FQG8" s="72"/>
      <c r="FQH8" s="72"/>
      <c r="FQI8" s="72"/>
      <c r="FQJ8" s="72"/>
      <c r="FQK8" s="72"/>
      <c r="FQL8" s="72"/>
      <c r="FQM8" s="72"/>
      <c r="FQN8" s="72"/>
      <c r="FQO8" s="72"/>
      <c r="FQP8" s="72"/>
      <c r="FQQ8" s="72"/>
      <c r="FQR8" s="72"/>
      <c r="FQS8" s="72"/>
      <c r="FQT8" s="72"/>
      <c r="FQU8" s="72"/>
      <c r="FQV8" s="72"/>
      <c r="FQW8" s="72"/>
      <c r="FQX8" s="72"/>
      <c r="FQY8" s="72"/>
      <c r="FQZ8" s="72"/>
      <c r="FRA8" s="72"/>
      <c r="FRB8" s="72"/>
      <c r="FRC8" s="72"/>
      <c r="FRD8" s="72"/>
      <c r="FRE8" s="72"/>
      <c r="FRF8" s="72"/>
      <c r="FRG8" s="72"/>
      <c r="FRH8" s="72"/>
      <c r="FRI8" s="72"/>
      <c r="FRJ8" s="72"/>
      <c r="FRK8" s="72"/>
      <c r="FRL8" s="72"/>
      <c r="FRM8" s="72"/>
      <c r="FRN8" s="72"/>
      <c r="FRO8" s="72"/>
      <c r="FRP8" s="72"/>
      <c r="FRQ8" s="72"/>
      <c r="FRR8" s="72"/>
      <c r="FRS8" s="72"/>
      <c r="FRT8" s="72"/>
      <c r="FRU8" s="72"/>
      <c r="FRV8" s="72"/>
      <c r="FRW8" s="72"/>
      <c r="FRX8" s="72"/>
      <c r="FRY8" s="72"/>
      <c r="FRZ8" s="72"/>
      <c r="FSA8" s="72"/>
      <c r="FSB8" s="72"/>
      <c r="FSC8" s="72"/>
      <c r="FSD8" s="72"/>
      <c r="FSE8" s="72"/>
      <c r="FSF8" s="72"/>
      <c r="FSG8" s="72"/>
      <c r="FSH8" s="72"/>
      <c r="FSI8" s="72"/>
      <c r="FSJ8" s="72"/>
      <c r="FSK8" s="72"/>
      <c r="FSL8" s="72"/>
      <c r="FSM8" s="72"/>
      <c r="FSN8" s="72"/>
      <c r="FSO8" s="72"/>
      <c r="FSP8" s="72"/>
      <c r="FSQ8" s="72"/>
      <c r="FSR8" s="72"/>
      <c r="FSS8" s="72"/>
      <c r="FST8" s="72"/>
      <c r="FSU8" s="72"/>
      <c r="FSV8" s="72"/>
      <c r="FSW8" s="72"/>
      <c r="FSX8" s="72"/>
      <c r="FSY8" s="72"/>
      <c r="FSZ8" s="72"/>
      <c r="FTA8" s="72"/>
      <c r="FTB8" s="72"/>
      <c r="FTC8" s="72"/>
      <c r="FTD8" s="72"/>
      <c r="FTE8" s="72"/>
      <c r="FTF8" s="72"/>
      <c r="FTG8" s="72"/>
      <c r="FTH8" s="72"/>
      <c r="FTI8" s="72"/>
      <c r="FTJ8" s="72"/>
      <c r="FTK8" s="72"/>
      <c r="FTL8" s="72"/>
      <c r="FTM8" s="72"/>
      <c r="FTN8" s="72"/>
      <c r="FTO8" s="72"/>
      <c r="FTP8" s="72"/>
      <c r="FTQ8" s="72"/>
      <c r="FTR8" s="72"/>
      <c r="FTS8" s="72"/>
      <c r="FTT8" s="72"/>
      <c r="FTU8" s="72"/>
      <c r="FTV8" s="72"/>
      <c r="FTW8" s="72"/>
      <c r="FTX8" s="72"/>
      <c r="FTY8" s="72"/>
      <c r="FTZ8" s="72"/>
      <c r="FUA8" s="72"/>
      <c r="FUB8" s="72"/>
      <c r="FUC8" s="72"/>
      <c r="FUD8" s="72"/>
      <c r="FUE8" s="72"/>
      <c r="FUF8" s="72"/>
      <c r="FUG8" s="72"/>
      <c r="FUH8" s="72"/>
      <c r="FUI8" s="72"/>
      <c r="FUJ8" s="72"/>
      <c r="FUK8" s="72"/>
      <c r="FUL8" s="72"/>
      <c r="FUM8" s="72"/>
      <c r="FUN8" s="72"/>
      <c r="FUO8" s="72"/>
      <c r="FUP8" s="72"/>
      <c r="FUQ8" s="72"/>
      <c r="FUR8" s="72"/>
      <c r="FUS8" s="72"/>
      <c r="FUT8" s="72"/>
      <c r="FUU8" s="72"/>
      <c r="FUV8" s="72"/>
      <c r="FUW8" s="72"/>
      <c r="FUX8" s="72"/>
      <c r="FUY8" s="72"/>
      <c r="FUZ8" s="72"/>
      <c r="FVA8" s="72"/>
      <c r="FVB8" s="72"/>
      <c r="FVC8" s="72"/>
      <c r="FVD8" s="72"/>
      <c r="FVE8" s="72"/>
      <c r="FVF8" s="72"/>
      <c r="FVG8" s="72"/>
      <c r="FVH8" s="72"/>
      <c r="FVI8" s="72"/>
      <c r="FVJ8" s="72"/>
      <c r="FVK8" s="72"/>
      <c r="FVL8" s="72"/>
      <c r="FVM8" s="72"/>
      <c r="FVN8" s="72"/>
      <c r="FVO8" s="72"/>
      <c r="FVP8" s="72"/>
      <c r="FVQ8" s="72"/>
      <c r="FVR8" s="72"/>
      <c r="FVS8" s="72"/>
      <c r="FVT8" s="72"/>
      <c r="FVU8" s="72"/>
      <c r="FVV8" s="72"/>
      <c r="FVW8" s="72"/>
      <c r="FVX8" s="72"/>
      <c r="FVY8" s="72"/>
      <c r="FVZ8" s="72"/>
      <c r="FWA8" s="72"/>
      <c r="FWB8" s="72"/>
      <c r="FWC8" s="72"/>
      <c r="FWD8" s="72"/>
      <c r="FWE8" s="72"/>
      <c r="FWF8" s="72"/>
      <c r="FWG8" s="72"/>
      <c r="FWH8" s="72"/>
      <c r="FWI8" s="72"/>
      <c r="FWJ8" s="72"/>
      <c r="FWK8" s="72"/>
      <c r="FWL8" s="72"/>
      <c r="FWM8" s="72"/>
      <c r="FWN8" s="72"/>
      <c r="FWO8" s="72"/>
      <c r="FWP8" s="72"/>
      <c r="FWQ8" s="72"/>
      <c r="FWR8" s="72"/>
      <c r="FWS8" s="72"/>
      <c r="FWT8" s="72"/>
      <c r="FWU8" s="72"/>
      <c r="FWV8" s="72"/>
      <c r="FWW8" s="72"/>
      <c r="FWX8" s="72"/>
      <c r="FWY8" s="72"/>
      <c r="FWZ8" s="72"/>
      <c r="FXA8" s="72"/>
      <c r="FXB8" s="72"/>
      <c r="FXC8" s="72"/>
      <c r="FXD8" s="72"/>
      <c r="FXE8" s="72"/>
      <c r="FXF8" s="72"/>
      <c r="FXG8" s="72"/>
      <c r="FXH8" s="72"/>
      <c r="FXI8" s="72"/>
      <c r="FXJ8" s="72"/>
      <c r="FXK8" s="72"/>
      <c r="FXL8" s="72"/>
      <c r="FXM8" s="72"/>
      <c r="FXN8" s="72"/>
      <c r="FXO8" s="72"/>
      <c r="FXP8" s="72"/>
      <c r="FXQ8" s="72"/>
      <c r="FXR8" s="72"/>
      <c r="FXS8" s="72"/>
      <c r="FXT8" s="72"/>
      <c r="FXU8" s="72"/>
      <c r="FXV8" s="72"/>
      <c r="FXW8" s="72"/>
      <c r="FXX8" s="72"/>
      <c r="FXY8" s="72"/>
      <c r="FXZ8" s="72"/>
      <c r="FYA8" s="72"/>
      <c r="FYB8" s="72"/>
      <c r="FYC8" s="72"/>
      <c r="FYD8" s="72"/>
      <c r="FYE8" s="72"/>
      <c r="FYF8" s="72"/>
      <c r="FYG8" s="72"/>
      <c r="FYH8" s="72"/>
      <c r="FYI8" s="72"/>
      <c r="FYJ8" s="72"/>
      <c r="FYK8" s="72"/>
      <c r="FYL8" s="72"/>
      <c r="FYM8" s="72"/>
      <c r="FYN8" s="72"/>
      <c r="FYO8" s="72"/>
      <c r="FYP8" s="72"/>
      <c r="FYQ8" s="72"/>
      <c r="FYR8" s="72"/>
      <c r="FYS8" s="72"/>
      <c r="FYT8" s="72"/>
      <c r="FYU8" s="72"/>
      <c r="FYV8" s="72"/>
      <c r="FYW8" s="72"/>
      <c r="FYX8" s="72"/>
      <c r="FYY8" s="72"/>
      <c r="FYZ8" s="72"/>
      <c r="FZA8" s="72"/>
      <c r="FZB8" s="72"/>
      <c r="FZC8" s="72"/>
      <c r="FZD8" s="72"/>
      <c r="FZE8" s="72"/>
      <c r="FZF8" s="72"/>
      <c r="FZG8" s="72"/>
      <c r="FZH8" s="72"/>
      <c r="FZI8" s="72"/>
      <c r="FZJ8" s="72"/>
      <c r="FZK8" s="72"/>
      <c r="FZL8" s="72"/>
      <c r="FZM8" s="72"/>
      <c r="FZN8" s="72"/>
      <c r="FZO8" s="72"/>
      <c r="FZP8" s="72"/>
      <c r="FZQ8" s="72"/>
      <c r="FZR8" s="72"/>
      <c r="FZS8" s="72"/>
      <c r="FZT8" s="72"/>
      <c r="FZU8" s="72"/>
      <c r="FZV8" s="72"/>
      <c r="FZW8" s="72"/>
      <c r="FZX8" s="72"/>
      <c r="FZY8" s="72"/>
      <c r="FZZ8" s="72"/>
      <c r="GAA8" s="72"/>
      <c r="GAB8" s="72"/>
      <c r="GAC8" s="72"/>
      <c r="GAD8" s="72"/>
      <c r="GAE8" s="72"/>
      <c r="GAF8" s="72"/>
      <c r="GAG8" s="72"/>
      <c r="GAH8" s="72"/>
      <c r="GAI8" s="72"/>
      <c r="GAJ8" s="72"/>
      <c r="GAK8" s="72"/>
      <c r="GAL8" s="72"/>
      <c r="GAM8" s="72"/>
      <c r="GAN8" s="72"/>
      <c r="GAO8" s="72"/>
      <c r="GAP8" s="72"/>
      <c r="GAQ8" s="72"/>
      <c r="GAR8" s="72"/>
      <c r="GAS8" s="72"/>
      <c r="GAT8" s="72"/>
      <c r="GAU8" s="72"/>
      <c r="GAV8" s="72"/>
      <c r="GAW8" s="72"/>
      <c r="GAX8" s="72"/>
      <c r="GAY8" s="72"/>
      <c r="GAZ8" s="72"/>
      <c r="GBA8" s="72"/>
      <c r="GBB8" s="72"/>
      <c r="GBC8" s="72"/>
      <c r="GBD8" s="72"/>
      <c r="GBE8" s="72"/>
      <c r="GBF8" s="72"/>
      <c r="GBG8" s="72"/>
      <c r="GBH8" s="72"/>
      <c r="GBI8" s="72"/>
      <c r="GBJ8" s="72"/>
      <c r="GBK8" s="72"/>
      <c r="GBL8" s="72"/>
      <c r="GBM8" s="72"/>
      <c r="GBN8" s="72"/>
      <c r="GBO8" s="72"/>
      <c r="GBP8" s="72"/>
      <c r="GBQ8" s="72"/>
      <c r="GBR8" s="72"/>
      <c r="GBS8" s="72"/>
      <c r="GBT8" s="72"/>
      <c r="GBU8" s="72"/>
      <c r="GBV8" s="72"/>
      <c r="GBW8" s="72"/>
      <c r="GBX8" s="72"/>
      <c r="GBY8" s="72"/>
      <c r="GBZ8" s="72"/>
      <c r="GCA8" s="72"/>
      <c r="GCB8" s="72"/>
      <c r="GCC8" s="72"/>
      <c r="GCD8" s="72"/>
      <c r="GCE8" s="72"/>
      <c r="GCF8" s="72"/>
      <c r="GCG8" s="72"/>
      <c r="GCH8" s="72"/>
      <c r="GCI8" s="72"/>
      <c r="GCJ8" s="72"/>
      <c r="GCK8" s="72"/>
      <c r="GCL8" s="72"/>
      <c r="GCM8" s="72"/>
      <c r="GCN8" s="72"/>
      <c r="GCO8" s="72"/>
      <c r="GCP8" s="72"/>
      <c r="GCQ8" s="72"/>
      <c r="GCR8" s="72"/>
      <c r="GCS8" s="72"/>
      <c r="GCT8" s="72"/>
      <c r="GCU8" s="72"/>
      <c r="GCV8" s="72"/>
      <c r="GCW8" s="72"/>
      <c r="GCX8" s="72"/>
      <c r="GCY8" s="72"/>
      <c r="GCZ8" s="72"/>
      <c r="GDA8" s="72"/>
      <c r="GDB8" s="72"/>
      <c r="GDC8" s="72"/>
      <c r="GDD8" s="72"/>
      <c r="GDE8" s="72"/>
      <c r="GDF8" s="72"/>
      <c r="GDG8" s="72"/>
      <c r="GDH8" s="72"/>
      <c r="GDI8" s="72"/>
      <c r="GDJ8" s="72"/>
      <c r="GDK8" s="72"/>
      <c r="GDL8" s="72"/>
      <c r="GDM8" s="72"/>
      <c r="GDN8" s="72"/>
      <c r="GDO8" s="72"/>
      <c r="GDP8" s="72"/>
      <c r="GDQ8" s="72"/>
      <c r="GDR8" s="72"/>
      <c r="GDS8" s="72"/>
      <c r="GDT8" s="72"/>
      <c r="GDU8" s="72"/>
      <c r="GDV8" s="72"/>
      <c r="GDW8" s="72"/>
      <c r="GDX8" s="72"/>
      <c r="GDY8" s="72"/>
      <c r="GDZ8" s="72"/>
      <c r="GEA8" s="72"/>
      <c r="GEB8" s="72"/>
      <c r="GEC8" s="72"/>
      <c r="GED8" s="72"/>
      <c r="GEE8" s="72"/>
      <c r="GEF8" s="72"/>
      <c r="GEG8" s="72"/>
      <c r="GEH8" s="72"/>
      <c r="GEI8" s="72"/>
      <c r="GEJ8" s="72"/>
      <c r="GEK8" s="72"/>
      <c r="GEL8" s="72"/>
      <c r="GEM8" s="72"/>
      <c r="GEN8" s="72"/>
      <c r="GEO8" s="72"/>
      <c r="GEP8" s="72"/>
      <c r="GEQ8" s="72"/>
      <c r="GER8" s="72"/>
      <c r="GES8" s="72"/>
      <c r="GET8" s="72"/>
      <c r="GEU8" s="72"/>
      <c r="GEV8" s="72"/>
      <c r="GEW8" s="72"/>
      <c r="GEX8" s="72"/>
      <c r="GEY8" s="72"/>
      <c r="GEZ8" s="72"/>
      <c r="GFA8" s="72"/>
      <c r="GFB8" s="72"/>
      <c r="GFC8" s="72"/>
      <c r="GFD8" s="72"/>
      <c r="GFE8" s="72"/>
      <c r="GFF8" s="72"/>
      <c r="GFG8" s="72"/>
      <c r="GFH8" s="72"/>
      <c r="GFI8" s="72"/>
      <c r="GFJ8" s="72"/>
      <c r="GFK8" s="72"/>
      <c r="GFL8" s="72"/>
      <c r="GFM8" s="72"/>
      <c r="GFN8" s="72"/>
      <c r="GFO8" s="72"/>
      <c r="GFP8" s="72"/>
      <c r="GFQ8" s="72"/>
      <c r="GFR8" s="72"/>
      <c r="GFS8" s="72"/>
      <c r="GFT8" s="72"/>
      <c r="GFU8" s="72"/>
      <c r="GFV8" s="72"/>
      <c r="GFW8" s="72"/>
      <c r="GFX8" s="72"/>
      <c r="GFY8" s="72"/>
      <c r="GFZ8" s="72"/>
      <c r="GGA8" s="72"/>
      <c r="GGB8" s="72"/>
      <c r="GGC8" s="72"/>
      <c r="GGD8" s="72"/>
      <c r="GGE8" s="72"/>
      <c r="GGF8" s="72"/>
      <c r="GGG8" s="72"/>
      <c r="GGH8" s="72"/>
      <c r="GGI8" s="72"/>
      <c r="GGJ8" s="72"/>
      <c r="GGK8" s="72"/>
      <c r="GGL8" s="72"/>
      <c r="GGM8" s="72"/>
      <c r="GGN8" s="72"/>
      <c r="GGO8" s="72"/>
      <c r="GGP8" s="72"/>
      <c r="GGQ8" s="72"/>
      <c r="GGR8" s="72"/>
      <c r="GGS8" s="72"/>
      <c r="GGT8" s="72"/>
      <c r="GGU8" s="72"/>
      <c r="GGV8" s="72"/>
      <c r="GGW8" s="72"/>
      <c r="GGX8" s="72"/>
      <c r="GGY8" s="72"/>
      <c r="GGZ8" s="72"/>
      <c r="GHA8" s="72"/>
      <c r="GHB8" s="72"/>
      <c r="GHC8" s="72"/>
      <c r="GHD8" s="72"/>
      <c r="GHE8" s="72"/>
      <c r="GHF8" s="72"/>
      <c r="GHG8" s="72"/>
      <c r="GHH8" s="72"/>
      <c r="GHI8" s="72"/>
      <c r="GHJ8" s="72"/>
      <c r="GHK8" s="72"/>
      <c r="GHL8" s="72"/>
      <c r="GHM8" s="72"/>
      <c r="GHN8" s="72"/>
      <c r="GHO8" s="72"/>
      <c r="GHP8" s="72"/>
      <c r="GHQ8" s="72"/>
      <c r="GHR8" s="72"/>
      <c r="GHS8" s="72"/>
      <c r="GHT8" s="72"/>
      <c r="GHU8" s="72"/>
      <c r="GHV8" s="72"/>
      <c r="GHW8" s="72"/>
      <c r="GHX8" s="72"/>
      <c r="GHY8" s="72"/>
      <c r="GHZ8" s="72"/>
      <c r="GIA8" s="72"/>
      <c r="GIB8" s="72"/>
      <c r="GIC8" s="72"/>
      <c r="GID8" s="72"/>
      <c r="GIE8" s="72"/>
      <c r="GIF8" s="72"/>
      <c r="GIG8" s="72"/>
      <c r="GIH8" s="72"/>
      <c r="GII8" s="72"/>
      <c r="GIJ8" s="72"/>
      <c r="GIK8" s="72"/>
      <c r="GIL8" s="72"/>
      <c r="GIM8" s="72"/>
      <c r="GIN8" s="72"/>
      <c r="GIO8" s="72"/>
      <c r="GIP8" s="72"/>
      <c r="GIQ8" s="72"/>
      <c r="GIR8" s="72"/>
      <c r="GIS8" s="72"/>
      <c r="GIT8" s="72"/>
      <c r="GIU8" s="72"/>
      <c r="GIV8" s="72"/>
      <c r="GIW8" s="72"/>
      <c r="GIX8" s="72"/>
      <c r="GIY8" s="72"/>
      <c r="GIZ8" s="72"/>
      <c r="GJA8" s="72"/>
      <c r="GJB8" s="72"/>
      <c r="GJC8" s="72"/>
      <c r="GJD8" s="72"/>
      <c r="GJE8" s="72"/>
      <c r="GJF8" s="72"/>
      <c r="GJG8" s="72"/>
      <c r="GJH8" s="72"/>
      <c r="GJI8" s="72"/>
      <c r="GJJ8" s="72"/>
      <c r="GJK8" s="72"/>
      <c r="GJL8" s="72"/>
      <c r="GJM8" s="72"/>
      <c r="GJN8" s="72"/>
      <c r="GJO8" s="72"/>
      <c r="GJP8" s="72"/>
      <c r="GJQ8" s="72"/>
      <c r="GJR8" s="72"/>
      <c r="GJS8" s="72"/>
      <c r="GJT8" s="72"/>
      <c r="GJU8" s="72"/>
      <c r="GJV8" s="72"/>
      <c r="GJW8" s="72"/>
      <c r="GJX8" s="72"/>
      <c r="GJY8" s="72"/>
      <c r="GJZ8" s="72"/>
      <c r="GKA8" s="72"/>
      <c r="GKB8" s="72"/>
      <c r="GKC8" s="72"/>
      <c r="GKD8" s="72"/>
      <c r="GKE8" s="72"/>
      <c r="GKF8" s="72"/>
      <c r="GKG8" s="72"/>
      <c r="GKH8" s="72"/>
      <c r="GKI8" s="72"/>
      <c r="GKJ8" s="72"/>
      <c r="GKK8" s="72"/>
      <c r="GKL8" s="72"/>
      <c r="GKM8" s="72"/>
      <c r="GKN8" s="72"/>
      <c r="GKO8" s="72"/>
      <c r="GKP8" s="72"/>
      <c r="GKQ8" s="72"/>
      <c r="GKR8" s="72"/>
      <c r="GKS8" s="72"/>
      <c r="GKT8" s="72"/>
      <c r="GKU8" s="72"/>
      <c r="GKV8" s="72"/>
      <c r="GKW8" s="72"/>
      <c r="GKX8" s="72"/>
      <c r="GKY8" s="72"/>
      <c r="GKZ8" s="72"/>
      <c r="GLA8" s="72"/>
      <c r="GLB8" s="72"/>
      <c r="GLC8" s="72"/>
      <c r="GLD8" s="72"/>
      <c r="GLE8" s="72"/>
      <c r="GLF8" s="72"/>
      <c r="GLG8" s="72"/>
      <c r="GLH8" s="72"/>
      <c r="GLI8" s="72"/>
      <c r="GLJ8" s="72"/>
      <c r="GLK8" s="72"/>
      <c r="GLL8" s="72"/>
      <c r="GLM8" s="72"/>
      <c r="GLN8" s="72"/>
      <c r="GLO8" s="72"/>
      <c r="GLP8" s="72"/>
      <c r="GLQ8" s="72"/>
      <c r="GLR8" s="72"/>
      <c r="GLS8" s="72"/>
      <c r="GLT8" s="72"/>
      <c r="GLU8" s="72"/>
      <c r="GLV8" s="72"/>
      <c r="GLW8" s="72"/>
      <c r="GLX8" s="72"/>
      <c r="GLY8" s="72"/>
      <c r="GLZ8" s="72"/>
      <c r="GMA8" s="72"/>
      <c r="GMB8" s="72"/>
      <c r="GMC8" s="72"/>
      <c r="GMD8" s="72"/>
      <c r="GME8" s="72"/>
      <c r="GMF8" s="72"/>
      <c r="GMG8" s="72"/>
      <c r="GMH8" s="72"/>
      <c r="GMI8" s="72"/>
      <c r="GMJ8" s="72"/>
      <c r="GMK8" s="72"/>
      <c r="GML8" s="72"/>
      <c r="GMM8" s="72"/>
      <c r="GMN8" s="72"/>
      <c r="GMO8" s="72"/>
      <c r="GMP8" s="72"/>
      <c r="GMQ8" s="72"/>
      <c r="GMR8" s="72"/>
      <c r="GMS8" s="72"/>
      <c r="GMT8" s="72"/>
      <c r="GMU8" s="72"/>
      <c r="GMV8" s="72"/>
      <c r="GMW8" s="72"/>
      <c r="GMX8" s="72"/>
      <c r="GMY8" s="72"/>
      <c r="GMZ8" s="72"/>
      <c r="GNA8" s="72"/>
      <c r="GNB8" s="72"/>
      <c r="GNC8" s="72"/>
      <c r="GND8" s="72"/>
      <c r="GNE8" s="72"/>
      <c r="GNF8" s="72"/>
      <c r="GNG8" s="72"/>
      <c r="GNH8" s="72"/>
      <c r="GNI8" s="72"/>
      <c r="GNJ8" s="72"/>
      <c r="GNK8" s="72"/>
      <c r="GNL8" s="72"/>
      <c r="GNM8" s="72"/>
      <c r="GNN8" s="72"/>
      <c r="GNO8" s="72"/>
      <c r="GNP8" s="72"/>
      <c r="GNQ8" s="72"/>
      <c r="GNR8" s="72"/>
      <c r="GNS8" s="72"/>
      <c r="GNT8" s="72"/>
      <c r="GNU8" s="72"/>
      <c r="GNV8" s="72"/>
      <c r="GNW8" s="72"/>
      <c r="GNX8" s="72"/>
      <c r="GNY8" s="72"/>
      <c r="GNZ8" s="72"/>
      <c r="GOA8" s="72"/>
      <c r="GOB8" s="72"/>
      <c r="GOC8" s="72"/>
      <c r="GOD8" s="72"/>
      <c r="GOE8" s="72"/>
      <c r="GOF8" s="72"/>
      <c r="GOG8" s="72"/>
      <c r="GOH8" s="72"/>
      <c r="GOI8" s="72"/>
      <c r="GOJ8" s="72"/>
      <c r="GOK8" s="72"/>
      <c r="GOL8" s="72"/>
      <c r="GOM8" s="72"/>
      <c r="GON8" s="72"/>
      <c r="GOO8" s="72"/>
      <c r="GOP8" s="72"/>
      <c r="GOQ8" s="72"/>
      <c r="GOR8" s="72"/>
      <c r="GOS8" s="72"/>
      <c r="GOT8" s="72"/>
      <c r="GOU8" s="72"/>
      <c r="GOV8" s="72"/>
      <c r="GOW8" s="72"/>
      <c r="GOX8" s="72"/>
      <c r="GOY8" s="72"/>
      <c r="GOZ8" s="72"/>
      <c r="GPA8" s="72"/>
      <c r="GPB8" s="72"/>
      <c r="GPC8" s="72"/>
      <c r="GPD8" s="72"/>
      <c r="GPE8" s="72"/>
      <c r="GPF8" s="72"/>
      <c r="GPG8" s="72"/>
      <c r="GPH8" s="72"/>
      <c r="GPI8" s="72"/>
      <c r="GPJ8" s="72"/>
      <c r="GPK8" s="72"/>
      <c r="GPL8" s="72"/>
      <c r="GPM8" s="72"/>
      <c r="GPN8" s="72"/>
      <c r="GPO8" s="72"/>
      <c r="GPP8" s="72"/>
      <c r="GPQ8" s="72"/>
      <c r="GPR8" s="72"/>
      <c r="GPS8" s="72"/>
      <c r="GPT8" s="72"/>
      <c r="GPU8" s="72"/>
      <c r="GPV8" s="72"/>
      <c r="GPW8" s="72"/>
      <c r="GPX8" s="72"/>
      <c r="GPY8" s="72"/>
      <c r="GPZ8" s="72"/>
      <c r="GQA8" s="72"/>
      <c r="GQB8" s="72"/>
      <c r="GQC8" s="72"/>
      <c r="GQD8" s="72"/>
      <c r="GQE8" s="72"/>
      <c r="GQF8" s="72"/>
      <c r="GQG8" s="72"/>
      <c r="GQH8" s="72"/>
      <c r="GQI8" s="72"/>
      <c r="GQJ8" s="72"/>
      <c r="GQK8" s="72"/>
      <c r="GQL8" s="72"/>
      <c r="GQM8" s="72"/>
      <c r="GQN8" s="72"/>
      <c r="GQO8" s="72"/>
      <c r="GQP8" s="72"/>
      <c r="GQQ8" s="72"/>
      <c r="GQR8" s="72"/>
      <c r="GQS8" s="72"/>
      <c r="GQT8" s="72"/>
      <c r="GQU8" s="72"/>
      <c r="GQV8" s="72"/>
      <c r="GQW8" s="72"/>
      <c r="GQX8" s="72"/>
      <c r="GQY8" s="72"/>
      <c r="GQZ8" s="72"/>
      <c r="GRA8" s="72"/>
      <c r="GRB8" s="72"/>
      <c r="GRC8" s="72"/>
      <c r="GRD8" s="72"/>
      <c r="GRE8" s="72"/>
      <c r="GRF8" s="72"/>
      <c r="GRG8" s="72"/>
      <c r="GRH8" s="72"/>
      <c r="GRI8" s="72"/>
      <c r="GRJ8" s="72"/>
      <c r="GRK8" s="72"/>
      <c r="GRL8" s="72"/>
      <c r="GRM8" s="72"/>
      <c r="GRN8" s="72"/>
      <c r="GRO8" s="72"/>
      <c r="GRP8" s="72"/>
      <c r="GRQ8" s="72"/>
      <c r="GRR8" s="72"/>
      <c r="GRS8" s="72"/>
      <c r="GRT8" s="72"/>
      <c r="GRU8" s="72"/>
      <c r="GRV8" s="72"/>
      <c r="GRW8" s="72"/>
      <c r="GRX8" s="72"/>
      <c r="GRY8" s="72"/>
      <c r="GRZ8" s="72"/>
      <c r="GSA8" s="72"/>
      <c r="GSB8" s="72"/>
      <c r="GSC8" s="72"/>
      <c r="GSD8" s="72"/>
      <c r="GSE8" s="72"/>
      <c r="GSF8" s="72"/>
      <c r="GSG8" s="72"/>
      <c r="GSH8" s="72"/>
      <c r="GSI8" s="72"/>
      <c r="GSJ8" s="72"/>
      <c r="GSK8" s="72"/>
      <c r="GSL8" s="72"/>
      <c r="GSM8" s="72"/>
      <c r="GSN8" s="72"/>
      <c r="GSO8" s="72"/>
      <c r="GSP8" s="72"/>
      <c r="GSQ8" s="72"/>
      <c r="GSR8" s="72"/>
      <c r="GSS8" s="72"/>
      <c r="GST8" s="72"/>
      <c r="GSU8" s="72"/>
      <c r="GSV8" s="72"/>
      <c r="GSW8" s="72"/>
      <c r="GSX8" s="72"/>
      <c r="GSY8" s="72"/>
      <c r="GSZ8" s="72"/>
      <c r="GTA8" s="72"/>
      <c r="GTB8" s="72"/>
      <c r="GTC8" s="72"/>
      <c r="GTD8" s="72"/>
      <c r="GTE8" s="72"/>
      <c r="GTF8" s="72"/>
      <c r="GTG8" s="72"/>
      <c r="GTH8" s="72"/>
      <c r="GTI8" s="72"/>
      <c r="GTJ8" s="72"/>
      <c r="GTK8" s="72"/>
      <c r="GTL8" s="72"/>
      <c r="GTM8" s="72"/>
      <c r="GTN8" s="72"/>
      <c r="GTO8" s="72"/>
      <c r="GTP8" s="72"/>
      <c r="GTQ8" s="72"/>
      <c r="GTR8" s="72"/>
      <c r="GTS8" s="72"/>
      <c r="GTT8" s="72"/>
      <c r="GTU8" s="72"/>
      <c r="GTV8" s="72"/>
      <c r="GTW8" s="72"/>
      <c r="GTX8" s="72"/>
      <c r="GTY8" s="72"/>
      <c r="GTZ8" s="72"/>
      <c r="GUA8" s="72"/>
      <c r="GUB8" s="72"/>
      <c r="GUC8" s="72"/>
      <c r="GUD8" s="72"/>
      <c r="GUE8" s="72"/>
      <c r="GUF8" s="72"/>
      <c r="GUG8" s="72"/>
      <c r="GUH8" s="72"/>
      <c r="GUI8" s="72"/>
      <c r="GUJ8" s="72"/>
      <c r="GUK8" s="72"/>
      <c r="GUL8" s="72"/>
      <c r="GUM8" s="72"/>
      <c r="GUN8" s="72"/>
      <c r="GUO8" s="72"/>
      <c r="GUP8" s="72"/>
      <c r="GUQ8" s="72"/>
      <c r="GUR8" s="72"/>
      <c r="GUS8" s="72"/>
      <c r="GUT8" s="72"/>
      <c r="GUU8" s="72"/>
      <c r="GUV8" s="72"/>
      <c r="GUW8" s="72"/>
      <c r="GUX8" s="72"/>
      <c r="GUY8" s="72"/>
      <c r="GUZ8" s="72"/>
      <c r="GVA8" s="72"/>
      <c r="GVB8" s="72"/>
      <c r="GVC8" s="72"/>
      <c r="GVD8" s="72"/>
      <c r="GVE8" s="72"/>
      <c r="GVF8" s="72"/>
      <c r="GVG8" s="72"/>
      <c r="GVH8" s="72"/>
      <c r="GVI8" s="72"/>
      <c r="GVJ8" s="72"/>
      <c r="GVK8" s="72"/>
      <c r="GVL8" s="72"/>
      <c r="GVM8" s="72"/>
      <c r="GVN8" s="72"/>
      <c r="GVO8" s="72"/>
      <c r="GVP8" s="72"/>
      <c r="GVQ8" s="72"/>
      <c r="GVR8" s="72"/>
      <c r="GVS8" s="72"/>
      <c r="GVT8" s="72"/>
      <c r="GVU8" s="72"/>
      <c r="GVV8" s="72"/>
      <c r="GVW8" s="72"/>
      <c r="GVX8" s="72"/>
      <c r="GVY8" s="72"/>
      <c r="GVZ8" s="72"/>
      <c r="GWA8" s="72"/>
      <c r="GWB8" s="72"/>
      <c r="GWC8" s="72"/>
      <c r="GWD8" s="72"/>
      <c r="GWE8" s="72"/>
      <c r="GWF8" s="72"/>
      <c r="GWG8" s="72"/>
      <c r="GWH8" s="72"/>
      <c r="GWI8" s="72"/>
      <c r="GWJ8" s="72"/>
      <c r="GWK8" s="72"/>
      <c r="GWL8" s="72"/>
      <c r="GWM8" s="72"/>
      <c r="GWN8" s="72"/>
      <c r="GWO8" s="72"/>
      <c r="GWP8" s="72"/>
      <c r="GWQ8" s="72"/>
      <c r="GWR8" s="72"/>
      <c r="GWS8" s="72"/>
      <c r="GWT8" s="72"/>
      <c r="GWU8" s="72"/>
      <c r="GWV8" s="72"/>
      <c r="GWW8" s="72"/>
      <c r="GWX8" s="72"/>
      <c r="GWY8" s="72"/>
      <c r="GWZ8" s="72"/>
      <c r="GXA8" s="72"/>
      <c r="GXB8" s="72"/>
      <c r="GXC8" s="72"/>
      <c r="GXD8" s="72"/>
      <c r="GXE8" s="72"/>
      <c r="GXF8" s="72"/>
      <c r="GXG8" s="72"/>
      <c r="GXH8" s="72"/>
      <c r="GXI8" s="72"/>
      <c r="GXJ8" s="72"/>
      <c r="GXK8" s="72"/>
      <c r="GXL8" s="72"/>
      <c r="GXM8" s="72"/>
      <c r="GXN8" s="72"/>
      <c r="GXO8" s="72"/>
      <c r="GXP8" s="72"/>
      <c r="GXQ8" s="72"/>
      <c r="GXR8" s="72"/>
      <c r="GXS8" s="72"/>
      <c r="GXT8" s="72"/>
      <c r="GXU8" s="72"/>
      <c r="GXV8" s="72"/>
      <c r="GXW8" s="72"/>
      <c r="GXX8" s="72"/>
      <c r="GXY8" s="72"/>
      <c r="GXZ8" s="72"/>
      <c r="GYA8" s="72"/>
      <c r="GYB8" s="72"/>
      <c r="GYC8" s="72"/>
      <c r="GYD8" s="72"/>
      <c r="GYE8" s="72"/>
      <c r="GYF8" s="72"/>
      <c r="GYG8" s="72"/>
      <c r="GYH8" s="72"/>
      <c r="GYI8" s="72"/>
      <c r="GYJ8" s="72"/>
      <c r="GYK8" s="72"/>
      <c r="GYL8" s="72"/>
      <c r="GYM8" s="72"/>
      <c r="GYN8" s="72"/>
      <c r="GYO8" s="72"/>
      <c r="GYP8" s="72"/>
      <c r="GYQ8" s="72"/>
      <c r="GYR8" s="72"/>
      <c r="GYS8" s="72"/>
      <c r="GYT8" s="72"/>
      <c r="GYU8" s="72"/>
      <c r="GYV8" s="72"/>
      <c r="GYW8" s="72"/>
      <c r="GYX8" s="72"/>
      <c r="GYY8" s="72"/>
      <c r="GYZ8" s="72"/>
      <c r="GZA8" s="72"/>
      <c r="GZB8" s="72"/>
      <c r="GZC8" s="72"/>
      <c r="GZD8" s="72"/>
      <c r="GZE8" s="72"/>
      <c r="GZF8" s="72"/>
      <c r="GZG8" s="72"/>
      <c r="GZH8" s="72"/>
      <c r="GZI8" s="72"/>
      <c r="GZJ8" s="72"/>
      <c r="GZK8" s="72"/>
      <c r="GZL8" s="72"/>
      <c r="GZM8" s="72"/>
      <c r="GZN8" s="72"/>
      <c r="GZO8" s="72"/>
      <c r="GZP8" s="72"/>
      <c r="GZQ8" s="72"/>
      <c r="GZR8" s="72"/>
      <c r="GZS8" s="72"/>
      <c r="GZT8" s="72"/>
      <c r="GZU8" s="72"/>
      <c r="GZV8" s="72"/>
      <c r="GZW8" s="72"/>
      <c r="GZX8" s="72"/>
      <c r="GZY8" s="72"/>
      <c r="GZZ8" s="72"/>
      <c r="HAA8" s="72"/>
      <c r="HAB8" s="72"/>
      <c r="HAC8" s="72"/>
      <c r="HAD8" s="72"/>
      <c r="HAE8" s="72"/>
      <c r="HAF8" s="72"/>
      <c r="HAG8" s="72"/>
      <c r="HAH8" s="72"/>
      <c r="HAI8" s="72"/>
      <c r="HAJ8" s="72"/>
      <c r="HAK8" s="72"/>
      <c r="HAL8" s="72"/>
      <c r="HAM8" s="72"/>
      <c r="HAN8" s="72"/>
      <c r="HAO8" s="72"/>
      <c r="HAP8" s="72"/>
      <c r="HAQ8" s="72"/>
      <c r="HAR8" s="72"/>
      <c r="HAS8" s="72"/>
      <c r="HAT8" s="72"/>
      <c r="HAU8" s="72"/>
      <c r="HAV8" s="72"/>
      <c r="HAW8" s="72"/>
      <c r="HAX8" s="72"/>
      <c r="HAY8" s="72"/>
      <c r="HAZ8" s="72"/>
      <c r="HBA8" s="72"/>
      <c r="HBB8" s="72"/>
      <c r="HBC8" s="72"/>
      <c r="HBD8" s="72"/>
      <c r="HBE8" s="72"/>
      <c r="HBF8" s="72"/>
      <c r="HBG8" s="72"/>
      <c r="HBH8" s="72"/>
      <c r="HBI8" s="72"/>
      <c r="HBJ8" s="72"/>
      <c r="HBK8" s="72"/>
      <c r="HBL8" s="72"/>
      <c r="HBM8" s="72"/>
      <c r="HBN8" s="72"/>
      <c r="HBO8" s="72"/>
      <c r="HBP8" s="72"/>
      <c r="HBQ8" s="72"/>
      <c r="HBR8" s="72"/>
      <c r="HBS8" s="72"/>
      <c r="HBT8" s="72"/>
      <c r="HBU8" s="72"/>
      <c r="HBV8" s="72"/>
      <c r="HBW8" s="72"/>
      <c r="HBX8" s="72"/>
      <c r="HBY8" s="72"/>
      <c r="HBZ8" s="72"/>
      <c r="HCA8" s="72"/>
      <c r="HCB8" s="72"/>
      <c r="HCC8" s="72"/>
      <c r="HCD8" s="72"/>
      <c r="HCE8" s="72"/>
      <c r="HCF8" s="72"/>
      <c r="HCG8" s="72"/>
      <c r="HCH8" s="72"/>
      <c r="HCI8" s="72"/>
      <c r="HCJ8" s="72"/>
      <c r="HCK8" s="72"/>
      <c r="HCL8" s="72"/>
      <c r="HCM8" s="72"/>
      <c r="HCN8" s="72"/>
      <c r="HCO8" s="72"/>
      <c r="HCP8" s="72"/>
      <c r="HCQ8" s="72"/>
      <c r="HCR8" s="72"/>
      <c r="HCS8" s="72"/>
      <c r="HCT8" s="72"/>
      <c r="HCU8" s="72"/>
      <c r="HCV8" s="72"/>
      <c r="HCW8" s="72"/>
      <c r="HCX8" s="72"/>
      <c r="HCY8" s="72"/>
      <c r="HCZ8" s="72"/>
      <c r="HDA8" s="72"/>
      <c r="HDB8" s="72"/>
      <c r="HDC8" s="72"/>
      <c r="HDD8" s="72"/>
      <c r="HDE8" s="72"/>
      <c r="HDF8" s="72"/>
      <c r="HDG8" s="72"/>
      <c r="HDH8" s="72"/>
      <c r="HDI8" s="72"/>
      <c r="HDJ8" s="72"/>
      <c r="HDK8" s="72"/>
      <c r="HDL8" s="72"/>
      <c r="HDM8" s="72"/>
      <c r="HDN8" s="72"/>
      <c r="HDO8" s="72"/>
      <c r="HDP8" s="72"/>
      <c r="HDQ8" s="72"/>
      <c r="HDR8" s="72"/>
      <c r="HDS8" s="72"/>
      <c r="HDT8" s="72"/>
      <c r="HDU8" s="72"/>
      <c r="HDV8" s="72"/>
      <c r="HDW8" s="72"/>
      <c r="HDX8" s="72"/>
      <c r="HDY8" s="72"/>
      <c r="HDZ8" s="72"/>
      <c r="HEA8" s="72"/>
      <c r="HEB8" s="72"/>
      <c r="HEC8" s="72"/>
      <c r="HED8" s="72"/>
      <c r="HEE8" s="72"/>
      <c r="HEF8" s="72"/>
      <c r="HEG8" s="72"/>
      <c r="HEH8" s="72"/>
      <c r="HEI8" s="72"/>
      <c r="HEJ8" s="72"/>
      <c r="HEK8" s="72"/>
      <c r="HEL8" s="72"/>
      <c r="HEM8" s="72"/>
      <c r="HEN8" s="72"/>
      <c r="HEO8" s="72"/>
      <c r="HEP8" s="72"/>
      <c r="HEQ8" s="72"/>
      <c r="HER8" s="72"/>
      <c r="HES8" s="72"/>
      <c r="HET8" s="72"/>
      <c r="HEU8" s="72"/>
      <c r="HEV8" s="72"/>
      <c r="HEW8" s="72"/>
      <c r="HEX8" s="72"/>
      <c r="HEY8" s="72"/>
      <c r="HEZ8" s="72"/>
      <c r="HFA8" s="72"/>
      <c r="HFB8" s="72"/>
      <c r="HFC8" s="72"/>
      <c r="HFD8" s="72"/>
      <c r="HFE8" s="72"/>
      <c r="HFF8" s="72"/>
      <c r="HFG8" s="72"/>
      <c r="HFH8" s="72"/>
      <c r="HFI8" s="72"/>
      <c r="HFJ8" s="72"/>
      <c r="HFK8" s="72"/>
      <c r="HFL8" s="72"/>
      <c r="HFM8" s="72"/>
      <c r="HFN8" s="72"/>
      <c r="HFO8" s="72"/>
      <c r="HFP8" s="72"/>
      <c r="HFQ8" s="72"/>
      <c r="HFR8" s="72"/>
      <c r="HFS8" s="72"/>
      <c r="HFT8" s="72"/>
      <c r="HFU8" s="72"/>
      <c r="HFV8" s="72"/>
      <c r="HFW8" s="72"/>
      <c r="HFX8" s="72"/>
      <c r="HFY8" s="72"/>
      <c r="HFZ8" s="72"/>
      <c r="HGA8" s="72"/>
      <c r="HGB8" s="72"/>
      <c r="HGC8" s="72"/>
      <c r="HGD8" s="72"/>
      <c r="HGE8" s="72"/>
      <c r="HGF8" s="72"/>
      <c r="HGG8" s="72"/>
      <c r="HGH8" s="72"/>
      <c r="HGI8" s="72"/>
      <c r="HGJ8" s="72"/>
      <c r="HGK8" s="72"/>
      <c r="HGL8" s="72"/>
      <c r="HGM8" s="72"/>
      <c r="HGN8" s="72"/>
      <c r="HGO8" s="72"/>
      <c r="HGP8" s="72"/>
      <c r="HGQ8" s="72"/>
      <c r="HGR8" s="72"/>
      <c r="HGS8" s="72"/>
      <c r="HGT8" s="72"/>
      <c r="HGU8" s="72"/>
      <c r="HGV8" s="72"/>
      <c r="HGW8" s="72"/>
      <c r="HGX8" s="72"/>
      <c r="HGY8" s="72"/>
      <c r="HGZ8" s="72"/>
      <c r="HHA8" s="72"/>
      <c r="HHB8" s="72"/>
      <c r="HHC8" s="72"/>
      <c r="HHD8" s="72"/>
      <c r="HHE8" s="72"/>
      <c r="HHF8" s="72"/>
      <c r="HHG8" s="72"/>
      <c r="HHH8" s="72"/>
      <c r="HHI8" s="72"/>
      <c r="HHJ8" s="72"/>
      <c r="HHK8" s="72"/>
      <c r="HHL8" s="72"/>
      <c r="HHM8" s="72"/>
      <c r="HHN8" s="72"/>
      <c r="HHO8" s="72"/>
      <c r="HHP8" s="72"/>
      <c r="HHQ8" s="72"/>
      <c r="HHR8" s="72"/>
      <c r="HHS8" s="72"/>
      <c r="HHT8" s="72"/>
      <c r="HHU8" s="72"/>
      <c r="HHV8" s="72"/>
      <c r="HHW8" s="72"/>
      <c r="HHX8" s="72"/>
      <c r="HHY8" s="72"/>
      <c r="HHZ8" s="72"/>
      <c r="HIA8" s="72"/>
      <c r="HIB8" s="72"/>
      <c r="HIC8" s="72"/>
      <c r="HID8" s="72"/>
      <c r="HIE8" s="72"/>
      <c r="HIF8" s="72"/>
      <c r="HIG8" s="72"/>
      <c r="HIH8" s="72"/>
      <c r="HII8" s="72"/>
      <c r="HIJ8" s="72"/>
      <c r="HIK8" s="72"/>
      <c r="HIL8" s="72"/>
      <c r="HIM8" s="72"/>
      <c r="HIN8" s="72"/>
      <c r="HIO8" s="72"/>
      <c r="HIP8" s="72"/>
      <c r="HIQ8" s="72"/>
      <c r="HIR8" s="72"/>
      <c r="HIS8" s="72"/>
      <c r="HIT8" s="72"/>
      <c r="HIU8" s="72"/>
      <c r="HIV8" s="72"/>
      <c r="HIW8" s="72"/>
      <c r="HIX8" s="72"/>
      <c r="HIY8" s="72"/>
      <c r="HIZ8" s="72"/>
      <c r="HJA8" s="72"/>
      <c r="HJB8" s="72"/>
      <c r="HJC8" s="72"/>
      <c r="HJD8" s="72"/>
      <c r="HJE8" s="72"/>
      <c r="HJF8" s="72"/>
      <c r="HJG8" s="72"/>
      <c r="HJH8" s="72"/>
      <c r="HJI8" s="72"/>
      <c r="HJJ8" s="72"/>
      <c r="HJK8" s="72"/>
      <c r="HJL8" s="72"/>
      <c r="HJM8" s="72"/>
      <c r="HJN8" s="72"/>
      <c r="HJO8" s="72"/>
      <c r="HJP8" s="72"/>
      <c r="HJQ8" s="72"/>
      <c r="HJR8" s="72"/>
      <c r="HJS8" s="72"/>
      <c r="HJT8" s="72"/>
      <c r="HJU8" s="72"/>
      <c r="HJV8" s="72"/>
      <c r="HJW8" s="72"/>
      <c r="HJX8" s="72"/>
      <c r="HJY8" s="72"/>
      <c r="HJZ8" s="72"/>
      <c r="HKA8" s="72"/>
      <c r="HKB8" s="72"/>
      <c r="HKC8" s="72"/>
      <c r="HKD8" s="72"/>
      <c r="HKE8" s="72"/>
      <c r="HKF8" s="72"/>
      <c r="HKG8" s="72"/>
      <c r="HKH8" s="72"/>
      <c r="HKI8" s="72"/>
      <c r="HKJ8" s="72"/>
      <c r="HKK8" s="72"/>
      <c r="HKL8" s="72"/>
      <c r="HKM8" s="72"/>
      <c r="HKN8" s="72"/>
      <c r="HKO8" s="72"/>
      <c r="HKP8" s="72"/>
      <c r="HKQ8" s="72"/>
      <c r="HKR8" s="72"/>
      <c r="HKS8" s="72"/>
      <c r="HKT8" s="72"/>
      <c r="HKU8" s="72"/>
      <c r="HKV8" s="72"/>
      <c r="HKW8" s="72"/>
      <c r="HKX8" s="72"/>
      <c r="HKY8" s="72"/>
      <c r="HKZ8" s="72"/>
      <c r="HLA8" s="72"/>
      <c r="HLB8" s="72"/>
      <c r="HLC8" s="72"/>
      <c r="HLD8" s="72"/>
      <c r="HLE8" s="72"/>
      <c r="HLF8" s="72"/>
      <c r="HLG8" s="72"/>
      <c r="HLH8" s="72"/>
      <c r="HLI8" s="72"/>
      <c r="HLJ8" s="72"/>
      <c r="HLK8" s="72"/>
      <c r="HLL8" s="72"/>
      <c r="HLM8" s="72"/>
      <c r="HLN8" s="72"/>
      <c r="HLO8" s="72"/>
      <c r="HLP8" s="72"/>
      <c r="HLQ8" s="72"/>
      <c r="HLR8" s="72"/>
      <c r="HLS8" s="72"/>
      <c r="HLT8" s="72"/>
      <c r="HLU8" s="72"/>
      <c r="HLV8" s="72"/>
      <c r="HLW8" s="72"/>
      <c r="HLX8" s="72"/>
      <c r="HLY8" s="72"/>
      <c r="HLZ8" s="72"/>
      <c r="HMA8" s="72"/>
      <c r="HMB8" s="72"/>
      <c r="HMC8" s="72"/>
      <c r="HMD8" s="72"/>
      <c r="HME8" s="72"/>
      <c r="HMF8" s="72"/>
      <c r="HMG8" s="72"/>
      <c r="HMH8" s="72"/>
      <c r="HMI8" s="72"/>
      <c r="HMJ8" s="72"/>
      <c r="HMK8" s="72"/>
      <c r="HML8" s="72"/>
      <c r="HMM8" s="72"/>
      <c r="HMN8" s="72"/>
      <c r="HMO8" s="72"/>
      <c r="HMP8" s="72"/>
      <c r="HMQ8" s="72"/>
      <c r="HMR8" s="72"/>
      <c r="HMS8" s="72"/>
      <c r="HMT8" s="72"/>
      <c r="HMU8" s="72"/>
      <c r="HMV8" s="72"/>
      <c r="HMW8" s="72"/>
      <c r="HMX8" s="72"/>
      <c r="HMY8" s="72"/>
      <c r="HMZ8" s="72"/>
      <c r="HNA8" s="72"/>
      <c r="HNB8" s="72"/>
      <c r="HNC8" s="72"/>
      <c r="HND8" s="72"/>
      <c r="HNE8" s="72"/>
      <c r="HNF8" s="72"/>
      <c r="HNG8" s="72"/>
      <c r="HNH8" s="72"/>
      <c r="HNI8" s="72"/>
      <c r="HNJ8" s="72"/>
      <c r="HNK8" s="72"/>
      <c r="HNL8" s="72"/>
      <c r="HNM8" s="72"/>
      <c r="HNN8" s="72"/>
      <c r="HNO8" s="72"/>
      <c r="HNP8" s="72"/>
      <c r="HNQ8" s="72"/>
      <c r="HNR8" s="72"/>
      <c r="HNS8" s="72"/>
      <c r="HNT8" s="72"/>
      <c r="HNU8" s="72"/>
      <c r="HNV8" s="72"/>
      <c r="HNW8" s="72"/>
      <c r="HNX8" s="72"/>
      <c r="HNY8" s="72"/>
      <c r="HNZ8" s="72"/>
      <c r="HOA8" s="72"/>
      <c r="HOB8" s="72"/>
      <c r="HOC8" s="72"/>
      <c r="HOD8" s="72"/>
      <c r="HOE8" s="72"/>
      <c r="HOF8" s="72"/>
      <c r="HOG8" s="72"/>
      <c r="HOH8" s="72"/>
      <c r="HOI8" s="72"/>
      <c r="HOJ8" s="72"/>
      <c r="HOK8" s="72"/>
      <c r="HOL8" s="72"/>
      <c r="HOM8" s="72"/>
      <c r="HON8" s="72"/>
      <c r="HOO8" s="72"/>
      <c r="HOP8" s="72"/>
      <c r="HOQ8" s="72"/>
      <c r="HOR8" s="72"/>
      <c r="HOS8" s="72"/>
      <c r="HOT8" s="72"/>
      <c r="HOU8" s="72"/>
      <c r="HOV8" s="72"/>
      <c r="HOW8" s="72"/>
      <c r="HOX8" s="72"/>
      <c r="HOY8" s="72"/>
      <c r="HOZ8" s="72"/>
      <c r="HPA8" s="72"/>
      <c r="HPB8" s="72"/>
      <c r="HPC8" s="72"/>
      <c r="HPD8" s="72"/>
      <c r="HPE8" s="72"/>
      <c r="HPF8" s="72"/>
      <c r="HPG8" s="72"/>
      <c r="HPH8" s="72"/>
      <c r="HPI8" s="72"/>
      <c r="HPJ8" s="72"/>
      <c r="HPK8" s="72"/>
      <c r="HPL8" s="72"/>
      <c r="HPM8" s="72"/>
      <c r="HPN8" s="72"/>
      <c r="HPO8" s="72"/>
      <c r="HPP8" s="72"/>
      <c r="HPQ8" s="72"/>
      <c r="HPR8" s="72"/>
      <c r="HPS8" s="72"/>
      <c r="HPT8" s="72"/>
      <c r="HPU8" s="72"/>
      <c r="HPV8" s="72"/>
      <c r="HPW8" s="72"/>
      <c r="HPX8" s="72"/>
      <c r="HPY8" s="72"/>
      <c r="HPZ8" s="72"/>
      <c r="HQA8" s="72"/>
      <c r="HQB8" s="72"/>
      <c r="HQC8" s="72"/>
      <c r="HQD8" s="72"/>
      <c r="HQE8" s="72"/>
      <c r="HQF8" s="72"/>
      <c r="HQG8" s="72"/>
      <c r="HQH8" s="72"/>
      <c r="HQI8" s="72"/>
      <c r="HQJ8" s="72"/>
      <c r="HQK8" s="72"/>
      <c r="HQL8" s="72"/>
      <c r="HQM8" s="72"/>
      <c r="HQN8" s="72"/>
      <c r="HQO8" s="72"/>
      <c r="HQP8" s="72"/>
      <c r="HQQ8" s="72"/>
      <c r="HQR8" s="72"/>
      <c r="HQS8" s="72"/>
      <c r="HQT8" s="72"/>
      <c r="HQU8" s="72"/>
      <c r="HQV8" s="72"/>
      <c r="HQW8" s="72"/>
      <c r="HQX8" s="72"/>
      <c r="HQY8" s="72"/>
      <c r="HQZ8" s="72"/>
      <c r="HRA8" s="72"/>
      <c r="HRB8" s="72"/>
      <c r="HRC8" s="72"/>
      <c r="HRD8" s="72"/>
      <c r="HRE8" s="72"/>
      <c r="HRF8" s="72"/>
      <c r="HRG8" s="72"/>
      <c r="HRH8" s="72"/>
      <c r="HRI8" s="72"/>
      <c r="HRJ8" s="72"/>
      <c r="HRK8" s="72"/>
      <c r="HRL8" s="72"/>
      <c r="HRM8" s="72"/>
      <c r="HRN8" s="72"/>
      <c r="HRO8" s="72"/>
      <c r="HRP8" s="72"/>
      <c r="HRQ8" s="72"/>
      <c r="HRR8" s="72"/>
      <c r="HRS8" s="72"/>
      <c r="HRT8" s="72"/>
      <c r="HRU8" s="72"/>
      <c r="HRV8" s="72"/>
      <c r="HRW8" s="72"/>
      <c r="HRX8" s="72"/>
      <c r="HRY8" s="72"/>
      <c r="HRZ8" s="72"/>
      <c r="HSA8" s="72"/>
      <c r="HSB8" s="72"/>
      <c r="HSC8" s="72"/>
      <c r="HSD8" s="72"/>
      <c r="HSE8" s="72"/>
      <c r="HSF8" s="72"/>
      <c r="HSG8" s="72"/>
      <c r="HSH8" s="72"/>
      <c r="HSI8" s="72"/>
      <c r="HSJ8" s="72"/>
      <c r="HSK8" s="72"/>
      <c r="HSL8" s="72"/>
      <c r="HSM8" s="72"/>
      <c r="HSN8" s="72"/>
      <c r="HSO8" s="72"/>
      <c r="HSP8" s="72"/>
      <c r="HSQ8" s="72"/>
      <c r="HSR8" s="72"/>
      <c r="HSS8" s="72"/>
      <c r="HST8" s="72"/>
      <c r="HSU8" s="72"/>
      <c r="HSV8" s="72"/>
      <c r="HSW8" s="72"/>
      <c r="HSX8" s="72"/>
      <c r="HSY8" s="72"/>
      <c r="HSZ8" s="72"/>
      <c r="HTA8" s="72"/>
      <c r="HTB8" s="72"/>
      <c r="HTC8" s="72"/>
      <c r="HTD8" s="72"/>
      <c r="HTE8" s="72"/>
      <c r="HTF8" s="72"/>
      <c r="HTG8" s="72"/>
      <c r="HTH8" s="72"/>
      <c r="HTI8" s="72"/>
      <c r="HTJ8" s="72"/>
      <c r="HTK8" s="72"/>
      <c r="HTL8" s="72"/>
      <c r="HTM8" s="72"/>
      <c r="HTN8" s="72"/>
      <c r="HTO8" s="72"/>
      <c r="HTP8" s="72"/>
      <c r="HTQ8" s="72"/>
      <c r="HTR8" s="72"/>
      <c r="HTS8" s="72"/>
      <c r="HTT8" s="72"/>
      <c r="HTU8" s="72"/>
      <c r="HTV8" s="72"/>
      <c r="HTW8" s="72"/>
      <c r="HTX8" s="72"/>
      <c r="HTY8" s="72"/>
      <c r="HTZ8" s="72"/>
      <c r="HUA8" s="72"/>
      <c r="HUB8" s="72"/>
      <c r="HUC8" s="72"/>
      <c r="HUD8" s="72"/>
      <c r="HUE8" s="72"/>
      <c r="HUF8" s="72"/>
      <c r="HUG8" s="72"/>
      <c r="HUH8" s="72"/>
      <c r="HUI8" s="72"/>
      <c r="HUJ8" s="72"/>
      <c r="HUK8" s="72"/>
      <c r="HUL8" s="72"/>
      <c r="HUM8" s="72"/>
      <c r="HUN8" s="72"/>
      <c r="HUO8" s="72"/>
      <c r="HUP8" s="72"/>
      <c r="HUQ8" s="72"/>
      <c r="HUR8" s="72"/>
      <c r="HUS8" s="72"/>
      <c r="HUT8" s="72"/>
      <c r="HUU8" s="72"/>
      <c r="HUV8" s="72"/>
      <c r="HUW8" s="72"/>
      <c r="HUX8" s="72"/>
      <c r="HUY8" s="72"/>
      <c r="HUZ8" s="72"/>
      <c r="HVA8" s="72"/>
      <c r="HVB8" s="72"/>
      <c r="HVC8" s="72"/>
      <c r="HVD8" s="72"/>
      <c r="HVE8" s="72"/>
      <c r="HVF8" s="72"/>
      <c r="HVG8" s="72"/>
      <c r="HVH8" s="72"/>
      <c r="HVI8" s="72"/>
      <c r="HVJ8" s="72"/>
      <c r="HVK8" s="72"/>
      <c r="HVL8" s="72"/>
      <c r="HVM8" s="72"/>
      <c r="HVN8" s="72"/>
      <c r="HVO8" s="72"/>
      <c r="HVP8" s="72"/>
      <c r="HVQ8" s="72"/>
      <c r="HVR8" s="72"/>
      <c r="HVS8" s="72"/>
      <c r="HVT8" s="72"/>
      <c r="HVU8" s="72"/>
      <c r="HVV8" s="72"/>
      <c r="HVW8" s="72"/>
      <c r="HVX8" s="72"/>
      <c r="HVY8" s="72"/>
      <c r="HVZ8" s="72"/>
      <c r="HWA8" s="72"/>
      <c r="HWB8" s="72"/>
      <c r="HWC8" s="72"/>
      <c r="HWD8" s="72"/>
      <c r="HWE8" s="72"/>
      <c r="HWF8" s="72"/>
      <c r="HWG8" s="72"/>
      <c r="HWH8" s="72"/>
      <c r="HWI8" s="72"/>
      <c r="HWJ8" s="72"/>
      <c r="HWK8" s="72"/>
      <c r="HWL8" s="72"/>
      <c r="HWM8" s="72"/>
      <c r="HWN8" s="72"/>
      <c r="HWO8" s="72"/>
      <c r="HWP8" s="72"/>
      <c r="HWQ8" s="72"/>
      <c r="HWR8" s="72"/>
      <c r="HWS8" s="72"/>
      <c r="HWT8" s="72"/>
      <c r="HWU8" s="72"/>
      <c r="HWV8" s="72"/>
      <c r="HWW8" s="72"/>
      <c r="HWX8" s="72"/>
      <c r="HWY8" s="72"/>
      <c r="HWZ8" s="72"/>
      <c r="HXA8" s="72"/>
      <c r="HXB8" s="72"/>
      <c r="HXC8" s="72"/>
      <c r="HXD8" s="72"/>
      <c r="HXE8" s="72"/>
      <c r="HXF8" s="72"/>
      <c r="HXG8" s="72"/>
      <c r="HXH8" s="72"/>
      <c r="HXI8" s="72"/>
      <c r="HXJ8" s="72"/>
      <c r="HXK8" s="72"/>
      <c r="HXL8" s="72"/>
      <c r="HXM8" s="72"/>
      <c r="HXN8" s="72"/>
      <c r="HXO8" s="72"/>
      <c r="HXP8" s="72"/>
      <c r="HXQ8" s="72"/>
      <c r="HXR8" s="72"/>
      <c r="HXS8" s="72"/>
      <c r="HXT8" s="72"/>
      <c r="HXU8" s="72"/>
      <c r="HXV8" s="72"/>
      <c r="HXW8" s="72"/>
      <c r="HXX8" s="72"/>
      <c r="HXY8" s="72"/>
      <c r="HXZ8" s="72"/>
      <c r="HYA8" s="72"/>
      <c r="HYB8" s="72"/>
      <c r="HYC8" s="72"/>
      <c r="HYD8" s="72"/>
      <c r="HYE8" s="72"/>
      <c r="HYF8" s="72"/>
      <c r="HYG8" s="72"/>
      <c r="HYH8" s="72"/>
      <c r="HYI8" s="72"/>
      <c r="HYJ8" s="72"/>
      <c r="HYK8" s="72"/>
      <c r="HYL8" s="72"/>
      <c r="HYM8" s="72"/>
      <c r="HYN8" s="72"/>
      <c r="HYO8" s="72"/>
      <c r="HYP8" s="72"/>
      <c r="HYQ8" s="72"/>
      <c r="HYR8" s="72"/>
      <c r="HYS8" s="72"/>
      <c r="HYT8" s="72"/>
      <c r="HYU8" s="72"/>
      <c r="HYV8" s="72"/>
      <c r="HYW8" s="72"/>
      <c r="HYX8" s="72"/>
      <c r="HYY8" s="72"/>
      <c r="HYZ8" s="72"/>
      <c r="HZA8" s="72"/>
      <c r="HZB8" s="72"/>
      <c r="HZC8" s="72"/>
      <c r="HZD8" s="72"/>
      <c r="HZE8" s="72"/>
      <c r="HZF8" s="72"/>
      <c r="HZG8" s="72"/>
      <c r="HZH8" s="72"/>
      <c r="HZI8" s="72"/>
      <c r="HZJ8" s="72"/>
      <c r="HZK8" s="72"/>
      <c r="HZL8" s="72"/>
      <c r="HZM8" s="72"/>
      <c r="HZN8" s="72"/>
      <c r="HZO8" s="72"/>
      <c r="HZP8" s="72"/>
      <c r="HZQ8" s="72"/>
      <c r="HZR8" s="72"/>
      <c r="HZS8" s="72"/>
      <c r="HZT8" s="72"/>
      <c r="HZU8" s="72"/>
      <c r="HZV8" s="72"/>
      <c r="HZW8" s="72"/>
      <c r="HZX8" s="72"/>
      <c r="HZY8" s="72"/>
      <c r="HZZ8" s="72"/>
      <c r="IAA8" s="72"/>
      <c r="IAB8" s="72"/>
      <c r="IAC8" s="72"/>
      <c r="IAD8" s="72"/>
      <c r="IAE8" s="72"/>
      <c r="IAF8" s="72"/>
      <c r="IAG8" s="72"/>
      <c r="IAH8" s="72"/>
      <c r="IAI8" s="72"/>
      <c r="IAJ8" s="72"/>
      <c r="IAK8" s="72"/>
      <c r="IAL8" s="72"/>
      <c r="IAM8" s="72"/>
      <c r="IAN8" s="72"/>
      <c r="IAO8" s="72"/>
      <c r="IAP8" s="72"/>
      <c r="IAQ8" s="72"/>
      <c r="IAR8" s="72"/>
      <c r="IAS8" s="72"/>
      <c r="IAT8" s="72"/>
      <c r="IAU8" s="72"/>
      <c r="IAV8" s="72"/>
      <c r="IAW8" s="72"/>
      <c r="IAX8" s="72"/>
      <c r="IAY8" s="72"/>
      <c r="IAZ8" s="72"/>
      <c r="IBA8" s="72"/>
      <c r="IBB8" s="72"/>
      <c r="IBC8" s="72"/>
      <c r="IBD8" s="72"/>
      <c r="IBE8" s="72"/>
      <c r="IBF8" s="72"/>
      <c r="IBG8" s="72"/>
      <c r="IBH8" s="72"/>
      <c r="IBI8" s="72"/>
      <c r="IBJ8" s="72"/>
      <c r="IBK8" s="72"/>
      <c r="IBL8" s="72"/>
      <c r="IBM8" s="72"/>
      <c r="IBN8" s="72"/>
      <c r="IBO8" s="72"/>
      <c r="IBP8" s="72"/>
      <c r="IBQ8" s="72"/>
      <c r="IBR8" s="72"/>
      <c r="IBS8" s="72"/>
      <c r="IBT8" s="72"/>
      <c r="IBU8" s="72"/>
      <c r="IBV8" s="72"/>
      <c r="IBW8" s="72"/>
      <c r="IBX8" s="72"/>
      <c r="IBY8" s="72"/>
      <c r="IBZ8" s="72"/>
      <c r="ICA8" s="72"/>
      <c r="ICB8" s="72"/>
      <c r="ICC8" s="72"/>
      <c r="ICD8" s="72"/>
      <c r="ICE8" s="72"/>
      <c r="ICF8" s="72"/>
      <c r="ICG8" s="72"/>
      <c r="ICH8" s="72"/>
      <c r="ICI8" s="72"/>
      <c r="ICJ8" s="72"/>
      <c r="ICK8" s="72"/>
      <c r="ICL8" s="72"/>
      <c r="ICM8" s="72"/>
      <c r="ICN8" s="72"/>
      <c r="ICO8" s="72"/>
      <c r="ICP8" s="72"/>
      <c r="ICQ8" s="72"/>
      <c r="ICR8" s="72"/>
      <c r="ICS8" s="72"/>
      <c r="ICT8" s="72"/>
      <c r="ICU8" s="72"/>
      <c r="ICV8" s="72"/>
      <c r="ICW8" s="72"/>
      <c r="ICX8" s="72"/>
      <c r="ICY8" s="72"/>
      <c r="ICZ8" s="72"/>
      <c r="IDA8" s="72"/>
      <c r="IDB8" s="72"/>
      <c r="IDC8" s="72"/>
      <c r="IDD8" s="72"/>
      <c r="IDE8" s="72"/>
      <c r="IDF8" s="72"/>
      <c r="IDG8" s="72"/>
      <c r="IDH8" s="72"/>
      <c r="IDI8" s="72"/>
      <c r="IDJ8" s="72"/>
      <c r="IDK8" s="72"/>
      <c r="IDL8" s="72"/>
      <c r="IDM8" s="72"/>
      <c r="IDN8" s="72"/>
      <c r="IDO8" s="72"/>
      <c r="IDP8" s="72"/>
      <c r="IDQ8" s="72"/>
      <c r="IDR8" s="72"/>
      <c r="IDS8" s="72"/>
      <c r="IDT8" s="72"/>
      <c r="IDU8" s="72"/>
      <c r="IDV8" s="72"/>
      <c r="IDW8" s="72"/>
      <c r="IDX8" s="72"/>
      <c r="IDY8" s="72"/>
      <c r="IDZ8" s="72"/>
      <c r="IEA8" s="72"/>
      <c r="IEB8" s="72"/>
      <c r="IEC8" s="72"/>
      <c r="IED8" s="72"/>
      <c r="IEE8" s="72"/>
      <c r="IEF8" s="72"/>
      <c r="IEG8" s="72"/>
      <c r="IEH8" s="72"/>
      <c r="IEI8" s="72"/>
      <c r="IEJ8" s="72"/>
      <c r="IEK8" s="72"/>
      <c r="IEL8" s="72"/>
      <c r="IEM8" s="72"/>
      <c r="IEN8" s="72"/>
      <c r="IEO8" s="72"/>
      <c r="IEP8" s="72"/>
      <c r="IEQ8" s="72"/>
      <c r="IER8" s="72"/>
      <c r="IES8" s="72"/>
      <c r="IET8" s="72"/>
      <c r="IEU8" s="72"/>
      <c r="IEV8" s="72"/>
      <c r="IEW8" s="72"/>
      <c r="IEX8" s="72"/>
      <c r="IEY8" s="72"/>
      <c r="IEZ8" s="72"/>
      <c r="IFA8" s="72"/>
      <c r="IFB8" s="72"/>
      <c r="IFC8" s="72"/>
      <c r="IFD8" s="72"/>
      <c r="IFE8" s="72"/>
      <c r="IFF8" s="72"/>
      <c r="IFG8" s="72"/>
      <c r="IFH8" s="72"/>
      <c r="IFI8" s="72"/>
      <c r="IFJ8" s="72"/>
      <c r="IFK8" s="72"/>
      <c r="IFL8" s="72"/>
      <c r="IFM8" s="72"/>
      <c r="IFN8" s="72"/>
      <c r="IFO8" s="72"/>
      <c r="IFP8" s="72"/>
      <c r="IFQ8" s="72"/>
      <c r="IFR8" s="72"/>
      <c r="IFS8" s="72"/>
      <c r="IFT8" s="72"/>
      <c r="IFU8" s="72"/>
      <c r="IFV8" s="72"/>
      <c r="IFW8" s="72"/>
      <c r="IFX8" s="72"/>
      <c r="IFY8" s="72"/>
      <c r="IFZ8" s="72"/>
      <c r="IGA8" s="72"/>
      <c r="IGB8" s="72"/>
      <c r="IGC8" s="72"/>
      <c r="IGD8" s="72"/>
      <c r="IGE8" s="72"/>
      <c r="IGF8" s="72"/>
      <c r="IGG8" s="72"/>
      <c r="IGH8" s="72"/>
      <c r="IGI8" s="72"/>
      <c r="IGJ8" s="72"/>
      <c r="IGK8" s="72"/>
      <c r="IGL8" s="72"/>
      <c r="IGM8" s="72"/>
      <c r="IGN8" s="72"/>
      <c r="IGO8" s="72"/>
      <c r="IGP8" s="72"/>
      <c r="IGQ8" s="72"/>
      <c r="IGR8" s="72"/>
      <c r="IGS8" s="72"/>
      <c r="IGT8" s="72"/>
      <c r="IGU8" s="72"/>
      <c r="IGV8" s="72"/>
      <c r="IGW8" s="72"/>
      <c r="IGX8" s="72"/>
      <c r="IGY8" s="72"/>
      <c r="IGZ8" s="72"/>
      <c r="IHA8" s="72"/>
      <c r="IHB8" s="72"/>
      <c r="IHC8" s="72"/>
      <c r="IHD8" s="72"/>
      <c r="IHE8" s="72"/>
      <c r="IHF8" s="72"/>
      <c r="IHG8" s="72"/>
      <c r="IHH8" s="72"/>
      <c r="IHI8" s="72"/>
      <c r="IHJ8" s="72"/>
      <c r="IHK8" s="72"/>
      <c r="IHL8" s="72"/>
      <c r="IHM8" s="72"/>
      <c r="IHN8" s="72"/>
      <c r="IHO8" s="72"/>
      <c r="IHP8" s="72"/>
      <c r="IHQ8" s="72"/>
      <c r="IHR8" s="72"/>
      <c r="IHS8" s="72"/>
      <c r="IHT8" s="72"/>
      <c r="IHU8" s="72"/>
      <c r="IHV8" s="72"/>
      <c r="IHW8" s="72"/>
      <c r="IHX8" s="72"/>
      <c r="IHY8" s="72"/>
      <c r="IHZ8" s="72"/>
      <c r="IIA8" s="72"/>
      <c r="IIB8" s="72"/>
      <c r="IIC8" s="72"/>
      <c r="IID8" s="72"/>
      <c r="IIE8" s="72"/>
      <c r="IIF8" s="72"/>
      <c r="IIG8" s="72"/>
      <c r="IIH8" s="72"/>
      <c r="III8" s="72"/>
      <c r="IIJ8" s="72"/>
      <c r="IIK8" s="72"/>
      <c r="IIL8" s="72"/>
      <c r="IIM8" s="72"/>
      <c r="IIN8" s="72"/>
      <c r="IIO8" s="72"/>
      <c r="IIP8" s="72"/>
      <c r="IIQ8" s="72"/>
      <c r="IIR8" s="72"/>
      <c r="IIS8" s="72"/>
      <c r="IIT8" s="72"/>
      <c r="IIU8" s="72"/>
      <c r="IIV8" s="72"/>
      <c r="IIW8" s="72"/>
      <c r="IIX8" s="72"/>
      <c r="IIY8" s="72"/>
      <c r="IIZ8" s="72"/>
      <c r="IJA8" s="72"/>
      <c r="IJB8" s="72"/>
      <c r="IJC8" s="72"/>
      <c r="IJD8" s="72"/>
      <c r="IJE8" s="72"/>
      <c r="IJF8" s="72"/>
      <c r="IJG8" s="72"/>
      <c r="IJH8" s="72"/>
      <c r="IJI8" s="72"/>
      <c r="IJJ8" s="72"/>
      <c r="IJK8" s="72"/>
      <c r="IJL8" s="72"/>
      <c r="IJM8" s="72"/>
      <c r="IJN8" s="72"/>
      <c r="IJO8" s="72"/>
      <c r="IJP8" s="72"/>
      <c r="IJQ8" s="72"/>
      <c r="IJR8" s="72"/>
      <c r="IJS8" s="72"/>
      <c r="IJT8" s="72"/>
      <c r="IJU8" s="72"/>
      <c r="IJV8" s="72"/>
      <c r="IJW8" s="72"/>
      <c r="IJX8" s="72"/>
      <c r="IJY8" s="72"/>
      <c r="IJZ8" s="72"/>
      <c r="IKA8" s="72"/>
      <c r="IKB8" s="72"/>
      <c r="IKC8" s="72"/>
      <c r="IKD8" s="72"/>
      <c r="IKE8" s="72"/>
      <c r="IKF8" s="72"/>
      <c r="IKG8" s="72"/>
      <c r="IKH8" s="72"/>
      <c r="IKI8" s="72"/>
      <c r="IKJ8" s="72"/>
      <c r="IKK8" s="72"/>
      <c r="IKL8" s="72"/>
      <c r="IKM8" s="72"/>
      <c r="IKN8" s="72"/>
      <c r="IKO8" s="72"/>
      <c r="IKP8" s="72"/>
      <c r="IKQ8" s="72"/>
      <c r="IKR8" s="72"/>
      <c r="IKS8" s="72"/>
      <c r="IKT8" s="72"/>
      <c r="IKU8" s="72"/>
      <c r="IKV8" s="72"/>
      <c r="IKW8" s="72"/>
      <c r="IKX8" s="72"/>
      <c r="IKY8" s="72"/>
      <c r="IKZ8" s="72"/>
      <c r="ILA8" s="72"/>
      <c r="ILB8" s="72"/>
      <c r="ILC8" s="72"/>
      <c r="ILD8" s="72"/>
      <c r="ILE8" s="72"/>
      <c r="ILF8" s="72"/>
      <c r="ILG8" s="72"/>
      <c r="ILH8" s="72"/>
      <c r="ILI8" s="72"/>
      <c r="ILJ8" s="72"/>
      <c r="ILK8" s="72"/>
      <c r="ILL8" s="72"/>
      <c r="ILM8" s="72"/>
      <c r="ILN8" s="72"/>
      <c r="ILO8" s="72"/>
      <c r="ILP8" s="72"/>
      <c r="ILQ8" s="72"/>
      <c r="ILR8" s="72"/>
      <c r="ILS8" s="72"/>
      <c r="ILT8" s="72"/>
      <c r="ILU8" s="72"/>
      <c r="ILV8" s="72"/>
      <c r="ILW8" s="72"/>
      <c r="ILX8" s="72"/>
      <c r="ILY8" s="72"/>
      <c r="ILZ8" s="72"/>
      <c r="IMA8" s="72"/>
      <c r="IMB8" s="72"/>
      <c r="IMC8" s="72"/>
      <c r="IMD8" s="72"/>
      <c r="IME8" s="72"/>
      <c r="IMF8" s="72"/>
      <c r="IMG8" s="72"/>
      <c r="IMH8" s="72"/>
      <c r="IMI8" s="72"/>
      <c r="IMJ8" s="72"/>
      <c r="IMK8" s="72"/>
      <c r="IML8" s="72"/>
      <c r="IMM8" s="72"/>
      <c r="IMN8" s="72"/>
      <c r="IMO8" s="72"/>
      <c r="IMP8" s="72"/>
      <c r="IMQ8" s="72"/>
      <c r="IMR8" s="72"/>
      <c r="IMS8" s="72"/>
      <c r="IMT8" s="72"/>
      <c r="IMU8" s="72"/>
      <c r="IMV8" s="72"/>
      <c r="IMW8" s="72"/>
      <c r="IMX8" s="72"/>
      <c r="IMY8" s="72"/>
      <c r="IMZ8" s="72"/>
      <c r="INA8" s="72"/>
      <c r="INB8" s="72"/>
      <c r="INC8" s="72"/>
      <c r="IND8" s="72"/>
      <c r="INE8" s="72"/>
      <c r="INF8" s="72"/>
      <c r="ING8" s="72"/>
      <c r="INH8" s="72"/>
      <c r="INI8" s="72"/>
      <c r="INJ8" s="72"/>
      <c r="INK8" s="72"/>
      <c r="INL8" s="72"/>
      <c r="INM8" s="72"/>
      <c r="INN8" s="72"/>
      <c r="INO8" s="72"/>
      <c r="INP8" s="72"/>
      <c r="INQ8" s="72"/>
      <c r="INR8" s="72"/>
      <c r="INS8" s="72"/>
      <c r="INT8" s="72"/>
      <c r="INU8" s="72"/>
      <c r="INV8" s="72"/>
      <c r="INW8" s="72"/>
      <c r="INX8" s="72"/>
      <c r="INY8" s="72"/>
      <c r="INZ8" s="72"/>
      <c r="IOA8" s="72"/>
      <c r="IOB8" s="72"/>
      <c r="IOC8" s="72"/>
      <c r="IOD8" s="72"/>
      <c r="IOE8" s="72"/>
      <c r="IOF8" s="72"/>
      <c r="IOG8" s="72"/>
      <c r="IOH8" s="72"/>
      <c r="IOI8" s="72"/>
      <c r="IOJ8" s="72"/>
      <c r="IOK8" s="72"/>
      <c r="IOL8" s="72"/>
      <c r="IOM8" s="72"/>
      <c r="ION8" s="72"/>
      <c r="IOO8" s="72"/>
      <c r="IOP8" s="72"/>
      <c r="IOQ8" s="72"/>
      <c r="IOR8" s="72"/>
      <c r="IOS8" s="72"/>
      <c r="IOT8" s="72"/>
      <c r="IOU8" s="72"/>
      <c r="IOV8" s="72"/>
      <c r="IOW8" s="72"/>
      <c r="IOX8" s="72"/>
      <c r="IOY8" s="72"/>
      <c r="IOZ8" s="72"/>
      <c r="IPA8" s="72"/>
      <c r="IPB8" s="72"/>
      <c r="IPC8" s="72"/>
      <c r="IPD8" s="72"/>
      <c r="IPE8" s="72"/>
      <c r="IPF8" s="72"/>
      <c r="IPG8" s="72"/>
      <c r="IPH8" s="72"/>
      <c r="IPI8" s="72"/>
      <c r="IPJ8" s="72"/>
      <c r="IPK8" s="72"/>
      <c r="IPL8" s="72"/>
      <c r="IPM8" s="72"/>
      <c r="IPN8" s="72"/>
      <c r="IPO8" s="72"/>
      <c r="IPP8" s="72"/>
      <c r="IPQ8" s="72"/>
      <c r="IPR8" s="72"/>
      <c r="IPS8" s="72"/>
      <c r="IPT8" s="72"/>
      <c r="IPU8" s="72"/>
      <c r="IPV8" s="72"/>
      <c r="IPW8" s="72"/>
      <c r="IPX8" s="72"/>
      <c r="IPY8" s="72"/>
      <c r="IPZ8" s="72"/>
      <c r="IQA8" s="72"/>
      <c r="IQB8" s="72"/>
      <c r="IQC8" s="72"/>
      <c r="IQD8" s="72"/>
      <c r="IQE8" s="72"/>
      <c r="IQF8" s="72"/>
      <c r="IQG8" s="72"/>
      <c r="IQH8" s="72"/>
      <c r="IQI8" s="72"/>
      <c r="IQJ8" s="72"/>
      <c r="IQK8" s="72"/>
      <c r="IQL8" s="72"/>
      <c r="IQM8" s="72"/>
      <c r="IQN8" s="72"/>
      <c r="IQO8" s="72"/>
      <c r="IQP8" s="72"/>
      <c r="IQQ8" s="72"/>
      <c r="IQR8" s="72"/>
      <c r="IQS8" s="72"/>
      <c r="IQT8" s="72"/>
      <c r="IQU8" s="72"/>
      <c r="IQV8" s="72"/>
      <c r="IQW8" s="72"/>
      <c r="IQX8" s="72"/>
      <c r="IQY8" s="72"/>
      <c r="IQZ8" s="72"/>
      <c r="IRA8" s="72"/>
      <c r="IRB8" s="72"/>
      <c r="IRC8" s="72"/>
      <c r="IRD8" s="72"/>
      <c r="IRE8" s="72"/>
      <c r="IRF8" s="72"/>
      <c r="IRG8" s="72"/>
      <c r="IRH8" s="72"/>
      <c r="IRI8" s="72"/>
      <c r="IRJ8" s="72"/>
      <c r="IRK8" s="72"/>
      <c r="IRL8" s="72"/>
      <c r="IRM8" s="72"/>
      <c r="IRN8" s="72"/>
      <c r="IRO8" s="72"/>
      <c r="IRP8" s="72"/>
      <c r="IRQ8" s="72"/>
      <c r="IRR8" s="72"/>
      <c r="IRS8" s="72"/>
      <c r="IRT8" s="72"/>
      <c r="IRU8" s="72"/>
      <c r="IRV8" s="72"/>
      <c r="IRW8" s="72"/>
      <c r="IRX8" s="72"/>
      <c r="IRY8" s="72"/>
      <c r="IRZ8" s="72"/>
      <c r="ISA8" s="72"/>
      <c r="ISB8" s="72"/>
      <c r="ISC8" s="72"/>
      <c r="ISD8" s="72"/>
      <c r="ISE8" s="72"/>
      <c r="ISF8" s="72"/>
      <c r="ISG8" s="72"/>
      <c r="ISH8" s="72"/>
      <c r="ISI8" s="72"/>
      <c r="ISJ8" s="72"/>
      <c r="ISK8" s="72"/>
      <c r="ISL8" s="72"/>
      <c r="ISM8" s="72"/>
      <c r="ISN8" s="72"/>
      <c r="ISO8" s="72"/>
      <c r="ISP8" s="72"/>
      <c r="ISQ8" s="72"/>
      <c r="ISR8" s="72"/>
      <c r="ISS8" s="72"/>
      <c r="IST8" s="72"/>
      <c r="ISU8" s="72"/>
      <c r="ISV8" s="72"/>
      <c r="ISW8" s="72"/>
      <c r="ISX8" s="72"/>
      <c r="ISY8" s="72"/>
      <c r="ISZ8" s="72"/>
      <c r="ITA8" s="72"/>
      <c r="ITB8" s="72"/>
      <c r="ITC8" s="72"/>
      <c r="ITD8" s="72"/>
      <c r="ITE8" s="72"/>
      <c r="ITF8" s="72"/>
      <c r="ITG8" s="72"/>
      <c r="ITH8" s="72"/>
      <c r="ITI8" s="72"/>
      <c r="ITJ8" s="72"/>
      <c r="ITK8" s="72"/>
      <c r="ITL8" s="72"/>
      <c r="ITM8" s="72"/>
      <c r="ITN8" s="72"/>
      <c r="ITO8" s="72"/>
      <c r="ITP8" s="72"/>
      <c r="ITQ8" s="72"/>
      <c r="ITR8" s="72"/>
      <c r="ITS8" s="72"/>
      <c r="ITT8" s="72"/>
      <c r="ITU8" s="72"/>
      <c r="ITV8" s="72"/>
      <c r="ITW8" s="72"/>
      <c r="ITX8" s="72"/>
      <c r="ITY8" s="72"/>
      <c r="ITZ8" s="72"/>
      <c r="IUA8" s="72"/>
      <c r="IUB8" s="72"/>
      <c r="IUC8" s="72"/>
      <c r="IUD8" s="72"/>
      <c r="IUE8" s="72"/>
      <c r="IUF8" s="72"/>
      <c r="IUG8" s="72"/>
      <c r="IUH8" s="72"/>
      <c r="IUI8" s="72"/>
      <c r="IUJ8" s="72"/>
      <c r="IUK8" s="72"/>
      <c r="IUL8" s="72"/>
      <c r="IUM8" s="72"/>
      <c r="IUN8" s="72"/>
      <c r="IUO8" s="72"/>
      <c r="IUP8" s="72"/>
      <c r="IUQ8" s="72"/>
      <c r="IUR8" s="72"/>
      <c r="IUS8" s="72"/>
      <c r="IUT8" s="72"/>
      <c r="IUU8" s="72"/>
      <c r="IUV8" s="72"/>
      <c r="IUW8" s="72"/>
      <c r="IUX8" s="72"/>
      <c r="IUY8" s="72"/>
      <c r="IUZ8" s="72"/>
      <c r="IVA8" s="72"/>
      <c r="IVB8" s="72"/>
      <c r="IVC8" s="72"/>
      <c r="IVD8" s="72"/>
      <c r="IVE8" s="72"/>
      <c r="IVF8" s="72"/>
      <c r="IVG8" s="72"/>
      <c r="IVH8" s="72"/>
      <c r="IVI8" s="72"/>
      <c r="IVJ8" s="72"/>
      <c r="IVK8" s="72"/>
      <c r="IVL8" s="72"/>
      <c r="IVM8" s="72"/>
      <c r="IVN8" s="72"/>
      <c r="IVO8" s="72"/>
      <c r="IVP8" s="72"/>
      <c r="IVQ8" s="72"/>
      <c r="IVR8" s="72"/>
      <c r="IVS8" s="72"/>
      <c r="IVT8" s="72"/>
      <c r="IVU8" s="72"/>
      <c r="IVV8" s="72"/>
      <c r="IVW8" s="72"/>
      <c r="IVX8" s="72"/>
      <c r="IVY8" s="72"/>
      <c r="IVZ8" s="72"/>
      <c r="IWA8" s="72"/>
      <c r="IWB8" s="72"/>
      <c r="IWC8" s="72"/>
      <c r="IWD8" s="72"/>
      <c r="IWE8" s="72"/>
      <c r="IWF8" s="72"/>
      <c r="IWG8" s="72"/>
      <c r="IWH8" s="72"/>
      <c r="IWI8" s="72"/>
      <c r="IWJ8" s="72"/>
      <c r="IWK8" s="72"/>
      <c r="IWL8" s="72"/>
      <c r="IWM8" s="72"/>
      <c r="IWN8" s="72"/>
      <c r="IWO8" s="72"/>
      <c r="IWP8" s="72"/>
      <c r="IWQ8" s="72"/>
      <c r="IWR8" s="72"/>
      <c r="IWS8" s="72"/>
      <c r="IWT8" s="72"/>
      <c r="IWU8" s="72"/>
      <c r="IWV8" s="72"/>
      <c r="IWW8" s="72"/>
      <c r="IWX8" s="72"/>
      <c r="IWY8" s="72"/>
      <c r="IWZ8" s="72"/>
      <c r="IXA8" s="72"/>
      <c r="IXB8" s="72"/>
      <c r="IXC8" s="72"/>
      <c r="IXD8" s="72"/>
      <c r="IXE8" s="72"/>
      <c r="IXF8" s="72"/>
      <c r="IXG8" s="72"/>
      <c r="IXH8" s="72"/>
      <c r="IXI8" s="72"/>
      <c r="IXJ8" s="72"/>
      <c r="IXK8" s="72"/>
      <c r="IXL8" s="72"/>
      <c r="IXM8" s="72"/>
      <c r="IXN8" s="72"/>
      <c r="IXO8" s="72"/>
      <c r="IXP8" s="72"/>
      <c r="IXQ8" s="72"/>
      <c r="IXR8" s="72"/>
      <c r="IXS8" s="72"/>
      <c r="IXT8" s="72"/>
      <c r="IXU8" s="72"/>
      <c r="IXV8" s="72"/>
      <c r="IXW8" s="72"/>
      <c r="IXX8" s="72"/>
      <c r="IXY8" s="72"/>
      <c r="IXZ8" s="72"/>
      <c r="IYA8" s="72"/>
      <c r="IYB8" s="72"/>
      <c r="IYC8" s="72"/>
      <c r="IYD8" s="72"/>
      <c r="IYE8" s="72"/>
      <c r="IYF8" s="72"/>
      <c r="IYG8" s="72"/>
      <c r="IYH8" s="72"/>
      <c r="IYI8" s="72"/>
      <c r="IYJ8" s="72"/>
      <c r="IYK8" s="72"/>
      <c r="IYL8" s="72"/>
      <c r="IYM8" s="72"/>
      <c r="IYN8" s="72"/>
      <c r="IYO8" s="72"/>
      <c r="IYP8" s="72"/>
      <c r="IYQ8" s="72"/>
      <c r="IYR8" s="72"/>
      <c r="IYS8" s="72"/>
      <c r="IYT8" s="72"/>
      <c r="IYU8" s="72"/>
      <c r="IYV8" s="72"/>
      <c r="IYW8" s="72"/>
      <c r="IYX8" s="72"/>
      <c r="IYY8" s="72"/>
      <c r="IYZ8" s="72"/>
      <c r="IZA8" s="72"/>
      <c r="IZB8" s="72"/>
      <c r="IZC8" s="72"/>
      <c r="IZD8" s="72"/>
      <c r="IZE8" s="72"/>
      <c r="IZF8" s="72"/>
      <c r="IZG8" s="72"/>
      <c r="IZH8" s="72"/>
      <c r="IZI8" s="72"/>
      <c r="IZJ8" s="72"/>
      <c r="IZK8" s="72"/>
      <c r="IZL8" s="72"/>
      <c r="IZM8" s="72"/>
      <c r="IZN8" s="72"/>
      <c r="IZO8" s="72"/>
      <c r="IZP8" s="72"/>
      <c r="IZQ8" s="72"/>
      <c r="IZR8" s="72"/>
      <c r="IZS8" s="72"/>
      <c r="IZT8" s="72"/>
      <c r="IZU8" s="72"/>
      <c r="IZV8" s="72"/>
      <c r="IZW8" s="72"/>
      <c r="IZX8" s="72"/>
      <c r="IZY8" s="72"/>
      <c r="IZZ8" s="72"/>
      <c r="JAA8" s="72"/>
      <c r="JAB8" s="72"/>
      <c r="JAC8" s="72"/>
      <c r="JAD8" s="72"/>
      <c r="JAE8" s="72"/>
      <c r="JAF8" s="72"/>
      <c r="JAG8" s="72"/>
      <c r="JAH8" s="72"/>
      <c r="JAI8" s="72"/>
      <c r="JAJ8" s="72"/>
      <c r="JAK8" s="72"/>
      <c r="JAL8" s="72"/>
      <c r="JAM8" s="72"/>
      <c r="JAN8" s="72"/>
      <c r="JAO8" s="72"/>
      <c r="JAP8" s="72"/>
      <c r="JAQ8" s="72"/>
      <c r="JAR8" s="72"/>
      <c r="JAS8" s="72"/>
      <c r="JAT8" s="72"/>
      <c r="JAU8" s="72"/>
      <c r="JAV8" s="72"/>
      <c r="JAW8" s="72"/>
      <c r="JAX8" s="72"/>
      <c r="JAY8" s="72"/>
      <c r="JAZ8" s="72"/>
      <c r="JBA8" s="72"/>
      <c r="JBB8" s="72"/>
      <c r="JBC8" s="72"/>
      <c r="JBD8" s="72"/>
      <c r="JBE8" s="72"/>
      <c r="JBF8" s="72"/>
      <c r="JBG8" s="72"/>
      <c r="JBH8" s="72"/>
      <c r="JBI8" s="72"/>
      <c r="JBJ8" s="72"/>
      <c r="JBK8" s="72"/>
      <c r="JBL8" s="72"/>
      <c r="JBM8" s="72"/>
      <c r="JBN8" s="72"/>
      <c r="JBO8" s="72"/>
      <c r="JBP8" s="72"/>
      <c r="JBQ8" s="72"/>
      <c r="JBR8" s="72"/>
      <c r="JBS8" s="72"/>
      <c r="JBT8" s="72"/>
      <c r="JBU8" s="72"/>
      <c r="JBV8" s="72"/>
      <c r="JBW8" s="72"/>
      <c r="JBX8" s="72"/>
      <c r="JBY8" s="72"/>
      <c r="JBZ8" s="72"/>
      <c r="JCA8" s="72"/>
      <c r="JCB8" s="72"/>
      <c r="JCC8" s="72"/>
      <c r="JCD8" s="72"/>
      <c r="JCE8" s="72"/>
      <c r="JCF8" s="72"/>
      <c r="JCG8" s="72"/>
      <c r="JCH8" s="72"/>
      <c r="JCI8" s="72"/>
      <c r="JCJ8" s="72"/>
      <c r="JCK8" s="72"/>
      <c r="JCL8" s="72"/>
      <c r="JCM8" s="72"/>
      <c r="JCN8" s="72"/>
      <c r="JCO8" s="72"/>
      <c r="JCP8" s="72"/>
      <c r="JCQ8" s="72"/>
      <c r="JCR8" s="72"/>
      <c r="JCS8" s="72"/>
      <c r="JCT8" s="72"/>
      <c r="JCU8" s="72"/>
      <c r="JCV8" s="72"/>
      <c r="JCW8" s="72"/>
      <c r="JCX8" s="72"/>
      <c r="JCY8" s="72"/>
      <c r="JCZ8" s="72"/>
      <c r="JDA8" s="72"/>
      <c r="JDB8" s="72"/>
      <c r="JDC8" s="72"/>
      <c r="JDD8" s="72"/>
      <c r="JDE8" s="72"/>
      <c r="JDF8" s="72"/>
      <c r="JDG8" s="72"/>
      <c r="JDH8" s="72"/>
      <c r="JDI8" s="72"/>
      <c r="JDJ8" s="72"/>
      <c r="JDK8" s="72"/>
      <c r="JDL8" s="72"/>
      <c r="JDM8" s="72"/>
      <c r="JDN8" s="72"/>
      <c r="JDO8" s="72"/>
      <c r="JDP8" s="72"/>
      <c r="JDQ8" s="72"/>
      <c r="JDR8" s="72"/>
      <c r="JDS8" s="72"/>
      <c r="JDT8" s="72"/>
      <c r="JDU8" s="72"/>
      <c r="JDV8" s="72"/>
      <c r="JDW8" s="72"/>
      <c r="JDX8" s="72"/>
      <c r="JDY8" s="72"/>
      <c r="JDZ8" s="72"/>
      <c r="JEA8" s="72"/>
      <c r="JEB8" s="72"/>
      <c r="JEC8" s="72"/>
      <c r="JED8" s="72"/>
      <c r="JEE8" s="72"/>
      <c r="JEF8" s="72"/>
      <c r="JEG8" s="72"/>
      <c r="JEH8" s="72"/>
      <c r="JEI8" s="72"/>
      <c r="JEJ8" s="72"/>
      <c r="JEK8" s="72"/>
      <c r="JEL8" s="72"/>
      <c r="JEM8" s="72"/>
      <c r="JEN8" s="72"/>
      <c r="JEO8" s="72"/>
      <c r="JEP8" s="72"/>
      <c r="JEQ8" s="72"/>
      <c r="JER8" s="72"/>
      <c r="JES8" s="72"/>
      <c r="JET8" s="72"/>
      <c r="JEU8" s="72"/>
      <c r="JEV8" s="72"/>
      <c r="JEW8" s="72"/>
      <c r="JEX8" s="72"/>
      <c r="JEY8" s="72"/>
      <c r="JEZ8" s="72"/>
      <c r="JFA8" s="72"/>
      <c r="JFB8" s="72"/>
      <c r="JFC8" s="72"/>
      <c r="JFD8" s="72"/>
      <c r="JFE8" s="72"/>
      <c r="JFF8" s="72"/>
      <c r="JFG8" s="72"/>
      <c r="JFH8" s="72"/>
      <c r="JFI8" s="72"/>
      <c r="JFJ8" s="72"/>
      <c r="JFK8" s="72"/>
      <c r="JFL8" s="72"/>
      <c r="JFM8" s="72"/>
      <c r="JFN8" s="72"/>
      <c r="JFO8" s="72"/>
      <c r="JFP8" s="72"/>
      <c r="JFQ8" s="72"/>
      <c r="JFR8" s="72"/>
      <c r="JFS8" s="72"/>
      <c r="JFT8" s="72"/>
      <c r="JFU8" s="72"/>
      <c r="JFV8" s="72"/>
      <c r="JFW8" s="72"/>
      <c r="JFX8" s="72"/>
      <c r="JFY8" s="72"/>
      <c r="JFZ8" s="72"/>
      <c r="JGA8" s="72"/>
      <c r="JGB8" s="72"/>
      <c r="JGC8" s="72"/>
      <c r="JGD8" s="72"/>
      <c r="JGE8" s="72"/>
      <c r="JGF8" s="72"/>
      <c r="JGG8" s="72"/>
      <c r="JGH8" s="72"/>
      <c r="JGI8" s="72"/>
      <c r="JGJ8" s="72"/>
      <c r="JGK8" s="72"/>
      <c r="JGL8" s="72"/>
      <c r="JGM8" s="72"/>
      <c r="JGN8" s="72"/>
      <c r="JGO8" s="72"/>
      <c r="JGP8" s="72"/>
      <c r="JGQ8" s="72"/>
      <c r="JGR8" s="72"/>
      <c r="JGS8" s="72"/>
      <c r="JGT8" s="72"/>
      <c r="JGU8" s="72"/>
      <c r="JGV8" s="72"/>
      <c r="JGW8" s="72"/>
      <c r="JGX8" s="72"/>
      <c r="JGY8" s="72"/>
      <c r="JGZ8" s="72"/>
      <c r="JHA8" s="72"/>
      <c r="JHB8" s="72"/>
      <c r="JHC8" s="72"/>
      <c r="JHD8" s="72"/>
      <c r="JHE8" s="72"/>
      <c r="JHF8" s="72"/>
      <c r="JHG8" s="72"/>
      <c r="JHH8" s="72"/>
      <c r="JHI8" s="72"/>
      <c r="JHJ8" s="72"/>
      <c r="JHK8" s="72"/>
      <c r="JHL8" s="72"/>
      <c r="JHM8" s="72"/>
      <c r="JHN8" s="72"/>
      <c r="JHO8" s="72"/>
      <c r="JHP8" s="72"/>
      <c r="JHQ8" s="72"/>
      <c r="JHR8" s="72"/>
      <c r="JHS8" s="72"/>
      <c r="JHT8" s="72"/>
      <c r="JHU8" s="72"/>
      <c r="JHV8" s="72"/>
      <c r="JHW8" s="72"/>
      <c r="JHX8" s="72"/>
      <c r="JHY8" s="72"/>
      <c r="JHZ8" s="72"/>
      <c r="JIA8" s="72"/>
      <c r="JIB8" s="72"/>
      <c r="JIC8" s="72"/>
      <c r="JID8" s="72"/>
      <c r="JIE8" s="72"/>
      <c r="JIF8" s="72"/>
      <c r="JIG8" s="72"/>
      <c r="JIH8" s="72"/>
      <c r="JII8" s="72"/>
      <c r="JIJ8" s="72"/>
      <c r="JIK8" s="72"/>
      <c r="JIL8" s="72"/>
      <c r="JIM8" s="72"/>
      <c r="JIN8" s="72"/>
      <c r="JIO8" s="72"/>
      <c r="JIP8" s="72"/>
      <c r="JIQ8" s="72"/>
      <c r="JIR8" s="72"/>
      <c r="JIS8" s="72"/>
      <c r="JIT8" s="72"/>
      <c r="JIU8" s="72"/>
      <c r="JIV8" s="72"/>
      <c r="JIW8" s="72"/>
      <c r="JIX8" s="72"/>
      <c r="JIY8" s="72"/>
      <c r="JIZ8" s="72"/>
      <c r="JJA8" s="72"/>
      <c r="JJB8" s="72"/>
      <c r="JJC8" s="72"/>
      <c r="JJD8" s="72"/>
      <c r="JJE8" s="72"/>
      <c r="JJF8" s="72"/>
      <c r="JJG8" s="72"/>
      <c r="JJH8" s="72"/>
      <c r="JJI8" s="72"/>
      <c r="JJJ8" s="72"/>
      <c r="JJK8" s="72"/>
      <c r="JJL8" s="72"/>
      <c r="JJM8" s="72"/>
      <c r="JJN8" s="72"/>
      <c r="JJO8" s="72"/>
      <c r="JJP8" s="72"/>
      <c r="JJQ8" s="72"/>
      <c r="JJR8" s="72"/>
      <c r="JJS8" s="72"/>
      <c r="JJT8" s="72"/>
      <c r="JJU8" s="72"/>
      <c r="JJV8" s="72"/>
      <c r="JJW8" s="72"/>
      <c r="JJX8" s="72"/>
      <c r="JJY8" s="72"/>
      <c r="JJZ8" s="72"/>
      <c r="JKA8" s="72"/>
      <c r="JKB8" s="72"/>
      <c r="JKC8" s="72"/>
      <c r="JKD8" s="72"/>
      <c r="JKE8" s="72"/>
      <c r="JKF8" s="72"/>
      <c r="JKG8" s="72"/>
      <c r="JKH8" s="72"/>
      <c r="JKI8" s="72"/>
      <c r="JKJ8" s="72"/>
      <c r="JKK8" s="72"/>
      <c r="JKL8" s="72"/>
      <c r="JKM8" s="72"/>
      <c r="JKN8" s="72"/>
      <c r="JKO8" s="72"/>
      <c r="JKP8" s="72"/>
      <c r="JKQ8" s="72"/>
      <c r="JKR8" s="72"/>
      <c r="JKS8" s="72"/>
      <c r="JKT8" s="72"/>
      <c r="JKU8" s="72"/>
      <c r="JKV8" s="72"/>
      <c r="JKW8" s="72"/>
      <c r="JKX8" s="72"/>
      <c r="JKY8" s="72"/>
      <c r="JKZ8" s="72"/>
      <c r="JLA8" s="72"/>
      <c r="JLB8" s="72"/>
      <c r="JLC8" s="72"/>
      <c r="JLD8" s="72"/>
      <c r="JLE8" s="72"/>
      <c r="JLF8" s="72"/>
      <c r="JLG8" s="72"/>
      <c r="JLH8" s="72"/>
      <c r="JLI8" s="72"/>
      <c r="JLJ8" s="72"/>
      <c r="JLK8" s="72"/>
      <c r="JLL8" s="72"/>
      <c r="JLM8" s="72"/>
      <c r="JLN8" s="72"/>
      <c r="JLO8" s="72"/>
      <c r="JLP8" s="72"/>
      <c r="JLQ8" s="72"/>
      <c r="JLR8" s="72"/>
      <c r="JLS8" s="72"/>
      <c r="JLT8" s="72"/>
      <c r="JLU8" s="72"/>
      <c r="JLV8" s="72"/>
      <c r="JLW8" s="72"/>
      <c r="JLX8" s="72"/>
      <c r="JLY8" s="72"/>
      <c r="JLZ8" s="72"/>
      <c r="JMA8" s="72"/>
      <c r="JMB8" s="72"/>
      <c r="JMC8" s="72"/>
      <c r="JMD8" s="72"/>
      <c r="JME8" s="72"/>
      <c r="JMF8" s="72"/>
      <c r="JMG8" s="72"/>
      <c r="JMH8" s="72"/>
      <c r="JMI8" s="72"/>
      <c r="JMJ8" s="72"/>
      <c r="JMK8" s="72"/>
      <c r="JML8" s="72"/>
      <c r="JMM8" s="72"/>
      <c r="JMN8" s="72"/>
      <c r="JMO8" s="72"/>
      <c r="JMP8" s="72"/>
      <c r="JMQ8" s="72"/>
      <c r="JMR8" s="72"/>
      <c r="JMS8" s="72"/>
      <c r="JMT8" s="72"/>
      <c r="JMU8" s="72"/>
      <c r="JMV8" s="72"/>
      <c r="JMW8" s="72"/>
      <c r="JMX8" s="72"/>
      <c r="JMY8" s="72"/>
      <c r="JMZ8" s="72"/>
      <c r="JNA8" s="72"/>
      <c r="JNB8" s="72"/>
      <c r="JNC8" s="72"/>
      <c r="JND8" s="72"/>
      <c r="JNE8" s="72"/>
      <c r="JNF8" s="72"/>
      <c r="JNG8" s="72"/>
      <c r="JNH8" s="72"/>
      <c r="JNI8" s="72"/>
      <c r="JNJ8" s="72"/>
      <c r="JNK8" s="72"/>
      <c r="JNL8" s="72"/>
      <c r="JNM8" s="72"/>
      <c r="JNN8" s="72"/>
      <c r="JNO8" s="72"/>
      <c r="JNP8" s="72"/>
      <c r="JNQ8" s="72"/>
      <c r="JNR8" s="72"/>
      <c r="JNS8" s="72"/>
      <c r="JNT8" s="72"/>
      <c r="JNU8" s="72"/>
      <c r="JNV8" s="72"/>
      <c r="JNW8" s="72"/>
      <c r="JNX8" s="72"/>
      <c r="JNY8" s="72"/>
      <c r="JNZ8" s="72"/>
      <c r="JOA8" s="72"/>
      <c r="JOB8" s="72"/>
      <c r="JOC8" s="72"/>
      <c r="JOD8" s="72"/>
      <c r="JOE8" s="72"/>
      <c r="JOF8" s="72"/>
      <c r="JOG8" s="72"/>
      <c r="JOH8" s="72"/>
      <c r="JOI8" s="72"/>
      <c r="JOJ8" s="72"/>
      <c r="JOK8" s="72"/>
      <c r="JOL8" s="72"/>
      <c r="JOM8" s="72"/>
      <c r="JON8" s="72"/>
      <c r="JOO8" s="72"/>
      <c r="JOP8" s="72"/>
      <c r="JOQ8" s="72"/>
      <c r="JOR8" s="72"/>
      <c r="JOS8" s="72"/>
      <c r="JOT8" s="72"/>
      <c r="JOU8" s="72"/>
      <c r="JOV8" s="72"/>
      <c r="JOW8" s="72"/>
      <c r="JOX8" s="72"/>
      <c r="JOY8" s="72"/>
      <c r="JOZ8" s="72"/>
      <c r="JPA8" s="72"/>
      <c r="JPB8" s="72"/>
      <c r="JPC8" s="72"/>
      <c r="JPD8" s="72"/>
      <c r="JPE8" s="72"/>
      <c r="JPF8" s="72"/>
      <c r="JPG8" s="72"/>
      <c r="JPH8" s="72"/>
      <c r="JPI8" s="72"/>
      <c r="JPJ8" s="72"/>
      <c r="JPK8" s="72"/>
      <c r="JPL8" s="72"/>
      <c r="JPM8" s="72"/>
      <c r="JPN8" s="72"/>
      <c r="JPO8" s="72"/>
      <c r="JPP8" s="72"/>
      <c r="JPQ8" s="72"/>
      <c r="JPR8" s="72"/>
      <c r="JPS8" s="72"/>
      <c r="JPT8" s="72"/>
      <c r="JPU8" s="72"/>
      <c r="JPV8" s="72"/>
      <c r="JPW8" s="72"/>
      <c r="JPX8" s="72"/>
      <c r="JPY8" s="72"/>
      <c r="JPZ8" s="72"/>
      <c r="JQA8" s="72"/>
      <c r="JQB8" s="72"/>
      <c r="JQC8" s="72"/>
      <c r="JQD8" s="72"/>
      <c r="JQE8" s="72"/>
      <c r="JQF8" s="72"/>
      <c r="JQG8" s="72"/>
      <c r="JQH8" s="72"/>
      <c r="JQI8" s="72"/>
      <c r="JQJ8" s="72"/>
      <c r="JQK8" s="72"/>
      <c r="JQL8" s="72"/>
      <c r="JQM8" s="72"/>
      <c r="JQN8" s="72"/>
      <c r="JQO8" s="72"/>
      <c r="JQP8" s="72"/>
      <c r="JQQ8" s="72"/>
      <c r="JQR8" s="72"/>
      <c r="JQS8" s="72"/>
      <c r="JQT8" s="72"/>
      <c r="JQU8" s="72"/>
      <c r="JQV8" s="72"/>
      <c r="JQW8" s="72"/>
      <c r="JQX8" s="72"/>
      <c r="JQY8" s="72"/>
      <c r="JQZ8" s="72"/>
      <c r="JRA8" s="72"/>
      <c r="JRB8" s="72"/>
      <c r="JRC8" s="72"/>
      <c r="JRD8" s="72"/>
      <c r="JRE8" s="72"/>
      <c r="JRF8" s="72"/>
      <c r="JRG8" s="72"/>
      <c r="JRH8" s="72"/>
      <c r="JRI8" s="72"/>
      <c r="JRJ8" s="72"/>
      <c r="JRK8" s="72"/>
      <c r="JRL8" s="72"/>
      <c r="JRM8" s="72"/>
      <c r="JRN8" s="72"/>
      <c r="JRO8" s="72"/>
      <c r="JRP8" s="72"/>
      <c r="JRQ8" s="72"/>
      <c r="JRR8" s="72"/>
      <c r="JRS8" s="72"/>
      <c r="JRT8" s="72"/>
      <c r="JRU8" s="72"/>
      <c r="JRV8" s="72"/>
      <c r="JRW8" s="72"/>
      <c r="JRX8" s="72"/>
      <c r="JRY8" s="72"/>
      <c r="JRZ8" s="72"/>
      <c r="JSA8" s="72"/>
      <c r="JSB8" s="72"/>
      <c r="JSC8" s="72"/>
      <c r="JSD8" s="72"/>
      <c r="JSE8" s="72"/>
      <c r="JSF8" s="72"/>
      <c r="JSG8" s="72"/>
      <c r="JSH8" s="72"/>
      <c r="JSI8" s="72"/>
      <c r="JSJ8" s="72"/>
      <c r="JSK8" s="72"/>
      <c r="JSL8" s="72"/>
      <c r="JSM8" s="72"/>
      <c r="JSN8" s="72"/>
      <c r="JSO8" s="72"/>
      <c r="JSP8" s="72"/>
      <c r="JSQ8" s="72"/>
      <c r="JSR8" s="72"/>
      <c r="JSS8" s="72"/>
      <c r="JST8" s="72"/>
      <c r="JSU8" s="72"/>
      <c r="JSV8" s="72"/>
      <c r="JSW8" s="72"/>
      <c r="JSX8" s="72"/>
      <c r="JSY8" s="72"/>
      <c r="JSZ8" s="72"/>
      <c r="JTA8" s="72"/>
      <c r="JTB8" s="72"/>
      <c r="JTC8" s="72"/>
      <c r="JTD8" s="72"/>
      <c r="JTE8" s="72"/>
      <c r="JTF8" s="72"/>
      <c r="JTG8" s="72"/>
      <c r="JTH8" s="72"/>
      <c r="JTI8" s="72"/>
      <c r="JTJ8" s="72"/>
      <c r="JTK8" s="72"/>
      <c r="JTL8" s="72"/>
      <c r="JTM8" s="72"/>
      <c r="JTN8" s="72"/>
      <c r="JTO8" s="72"/>
      <c r="JTP8" s="72"/>
      <c r="JTQ8" s="72"/>
      <c r="JTR8" s="72"/>
      <c r="JTS8" s="72"/>
      <c r="JTT8" s="72"/>
      <c r="JTU8" s="72"/>
      <c r="JTV8" s="72"/>
      <c r="JTW8" s="72"/>
      <c r="JTX8" s="72"/>
      <c r="JTY8" s="72"/>
      <c r="JTZ8" s="72"/>
      <c r="JUA8" s="72"/>
      <c r="JUB8" s="72"/>
      <c r="JUC8" s="72"/>
      <c r="JUD8" s="72"/>
      <c r="JUE8" s="72"/>
      <c r="JUF8" s="72"/>
      <c r="JUG8" s="72"/>
      <c r="JUH8" s="72"/>
      <c r="JUI8" s="72"/>
      <c r="JUJ8" s="72"/>
      <c r="JUK8" s="72"/>
      <c r="JUL8" s="72"/>
      <c r="JUM8" s="72"/>
      <c r="JUN8" s="72"/>
      <c r="JUO8" s="72"/>
      <c r="JUP8" s="72"/>
      <c r="JUQ8" s="72"/>
      <c r="JUR8" s="72"/>
      <c r="JUS8" s="72"/>
      <c r="JUT8" s="72"/>
      <c r="JUU8" s="72"/>
      <c r="JUV8" s="72"/>
      <c r="JUW8" s="72"/>
      <c r="JUX8" s="72"/>
      <c r="JUY8" s="72"/>
      <c r="JUZ8" s="72"/>
      <c r="JVA8" s="72"/>
      <c r="JVB8" s="72"/>
      <c r="JVC8" s="72"/>
      <c r="JVD8" s="72"/>
      <c r="JVE8" s="72"/>
      <c r="JVF8" s="72"/>
      <c r="JVG8" s="72"/>
      <c r="JVH8" s="72"/>
      <c r="JVI8" s="72"/>
      <c r="JVJ8" s="72"/>
      <c r="JVK8" s="72"/>
      <c r="JVL8" s="72"/>
      <c r="JVM8" s="72"/>
      <c r="JVN8" s="72"/>
      <c r="JVO8" s="72"/>
      <c r="JVP8" s="72"/>
      <c r="JVQ8" s="72"/>
      <c r="JVR8" s="72"/>
      <c r="JVS8" s="72"/>
      <c r="JVT8" s="72"/>
      <c r="JVU8" s="72"/>
      <c r="JVV8" s="72"/>
      <c r="JVW8" s="72"/>
      <c r="JVX8" s="72"/>
      <c r="JVY8" s="72"/>
      <c r="JVZ8" s="72"/>
      <c r="JWA8" s="72"/>
      <c r="JWB8" s="72"/>
      <c r="JWC8" s="72"/>
      <c r="JWD8" s="72"/>
      <c r="JWE8" s="72"/>
      <c r="JWF8" s="72"/>
      <c r="JWG8" s="72"/>
      <c r="JWH8" s="72"/>
      <c r="JWI8" s="72"/>
      <c r="JWJ8" s="72"/>
      <c r="JWK8" s="72"/>
      <c r="JWL8" s="72"/>
      <c r="JWM8" s="72"/>
      <c r="JWN8" s="72"/>
      <c r="JWO8" s="72"/>
      <c r="JWP8" s="72"/>
      <c r="JWQ8" s="72"/>
      <c r="JWR8" s="72"/>
      <c r="JWS8" s="72"/>
      <c r="JWT8" s="72"/>
      <c r="JWU8" s="72"/>
      <c r="JWV8" s="72"/>
      <c r="JWW8" s="72"/>
      <c r="JWX8" s="72"/>
      <c r="JWY8" s="72"/>
      <c r="JWZ8" s="72"/>
      <c r="JXA8" s="72"/>
      <c r="JXB8" s="72"/>
      <c r="JXC8" s="72"/>
      <c r="JXD8" s="72"/>
      <c r="JXE8" s="72"/>
      <c r="JXF8" s="72"/>
      <c r="JXG8" s="72"/>
      <c r="JXH8" s="72"/>
      <c r="JXI8" s="72"/>
      <c r="JXJ8" s="72"/>
      <c r="JXK8" s="72"/>
      <c r="JXL8" s="72"/>
      <c r="JXM8" s="72"/>
      <c r="JXN8" s="72"/>
      <c r="JXO8" s="72"/>
      <c r="JXP8" s="72"/>
      <c r="JXQ8" s="72"/>
      <c r="JXR8" s="72"/>
      <c r="JXS8" s="72"/>
      <c r="JXT8" s="72"/>
      <c r="JXU8" s="72"/>
      <c r="JXV8" s="72"/>
      <c r="JXW8" s="72"/>
      <c r="JXX8" s="72"/>
      <c r="JXY8" s="72"/>
      <c r="JXZ8" s="72"/>
      <c r="JYA8" s="72"/>
      <c r="JYB8" s="72"/>
      <c r="JYC8" s="72"/>
      <c r="JYD8" s="72"/>
      <c r="JYE8" s="72"/>
      <c r="JYF8" s="72"/>
      <c r="JYG8" s="72"/>
      <c r="JYH8" s="72"/>
      <c r="JYI8" s="72"/>
      <c r="JYJ8" s="72"/>
      <c r="JYK8" s="72"/>
      <c r="JYL8" s="72"/>
      <c r="JYM8" s="72"/>
      <c r="JYN8" s="72"/>
      <c r="JYO8" s="72"/>
      <c r="JYP8" s="72"/>
      <c r="JYQ8" s="72"/>
      <c r="JYR8" s="72"/>
      <c r="JYS8" s="72"/>
      <c r="JYT8" s="72"/>
      <c r="JYU8" s="72"/>
      <c r="JYV8" s="72"/>
      <c r="JYW8" s="72"/>
      <c r="JYX8" s="72"/>
      <c r="JYY8" s="72"/>
      <c r="JYZ8" s="72"/>
      <c r="JZA8" s="72"/>
      <c r="JZB8" s="72"/>
      <c r="JZC8" s="72"/>
      <c r="JZD8" s="72"/>
      <c r="JZE8" s="72"/>
      <c r="JZF8" s="72"/>
      <c r="JZG8" s="72"/>
      <c r="JZH8" s="72"/>
      <c r="JZI8" s="72"/>
      <c r="JZJ8" s="72"/>
      <c r="JZK8" s="72"/>
      <c r="JZL8" s="72"/>
      <c r="JZM8" s="72"/>
      <c r="JZN8" s="72"/>
      <c r="JZO8" s="72"/>
      <c r="JZP8" s="72"/>
      <c r="JZQ8" s="72"/>
      <c r="JZR8" s="72"/>
      <c r="JZS8" s="72"/>
      <c r="JZT8" s="72"/>
      <c r="JZU8" s="72"/>
      <c r="JZV8" s="72"/>
      <c r="JZW8" s="72"/>
      <c r="JZX8" s="72"/>
      <c r="JZY8" s="72"/>
      <c r="JZZ8" s="72"/>
      <c r="KAA8" s="72"/>
      <c r="KAB8" s="72"/>
      <c r="KAC8" s="72"/>
      <c r="KAD8" s="72"/>
      <c r="KAE8" s="72"/>
      <c r="KAF8" s="72"/>
      <c r="KAG8" s="72"/>
      <c r="KAH8" s="72"/>
      <c r="KAI8" s="72"/>
      <c r="KAJ8" s="72"/>
      <c r="KAK8" s="72"/>
      <c r="KAL8" s="72"/>
      <c r="KAM8" s="72"/>
      <c r="KAN8" s="72"/>
      <c r="KAO8" s="72"/>
      <c r="KAP8" s="72"/>
      <c r="KAQ8" s="72"/>
      <c r="KAR8" s="72"/>
      <c r="KAS8" s="72"/>
      <c r="KAT8" s="72"/>
      <c r="KAU8" s="72"/>
      <c r="KAV8" s="72"/>
      <c r="KAW8" s="72"/>
      <c r="KAX8" s="72"/>
      <c r="KAY8" s="72"/>
      <c r="KAZ8" s="72"/>
      <c r="KBA8" s="72"/>
      <c r="KBB8" s="72"/>
      <c r="KBC8" s="72"/>
      <c r="KBD8" s="72"/>
      <c r="KBE8" s="72"/>
      <c r="KBF8" s="72"/>
      <c r="KBG8" s="72"/>
      <c r="KBH8" s="72"/>
      <c r="KBI8" s="72"/>
      <c r="KBJ8" s="72"/>
      <c r="KBK8" s="72"/>
      <c r="KBL8" s="72"/>
      <c r="KBM8" s="72"/>
      <c r="KBN8" s="72"/>
      <c r="KBO8" s="72"/>
      <c r="KBP8" s="72"/>
      <c r="KBQ8" s="72"/>
      <c r="KBR8" s="72"/>
      <c r="KBS8" s="72"/>
      <c r="KBT8" s="72"/>
      <c r="KBU8" s="72"/>
      <c r="KBV8" s="72"/>
      <c r="KBW8" s="72"/>
      <c r="KBX8" s="72"/>
      <c r="KBY8" s="72"/>
      <c r="KBZ8" s="72"/>
      <c r="KCA8" s="72"/>
      <c r="KCB8" s="72"/>
      <c r="KCC8" s="72"/>
      <c r="KCD8" s="72"/>
      <c r="KCE8" s="72"/>
      <c r="KCF8" s="72"/>
      <c r="KCG8" s="72"/>
      <c r="KCH8" s="72"/>
      <c r="KCI8" s="72"/>
      <c r="KCJ8" s="72"/>
      <c r="KCK8" s="72"/>
      <c r="KCL8" s="72"/>
      <c r="KCM8" s="72"/>
      <c r="KCN8" s="72"/>
      <c r="KCO8" s="72"/>
      <c r="KCP8" s="72"/>
      <c r="KCQ8" s="72"/>
      <c r="KCR8" s="72"/>
      <c r="KCS8" s="72"/>
      <c r="KCT8" s="72"/>
      <c r="KCU8" s="72"/>
      <c r="KCV8" s="72"/>
      <c r="KCW8" s="72"/>
      <c r="KCX8" s="72"/>
      <c r="KCY8" s="72"/>
      <c r="KCZ8" s="72"/>
      <c r="KDA8" s="72"/>
      <c r="KDB8" s="72"/>
      <c r="KDC8" s="72"/>
      <c r="KDD8" s="72"/>
      <c r="KDE8" s="72"/>
      <c r="KDF8" s="72"/>
      <c r="KDG8" s="72"/>
      <c r="KDH8" s="72"/>
      <c r="KDI8" s="72"/>
      <c r="KDJ8" s="72"/>
      <c r="KDK8" s="72"/>
      <c r="KDL8" s="72"/>
      <c r="KDM8" s="72"/>
      <c r="KDN8" s="72"/>
      <c r="KDO8" s="72"/>
      <c r="KDP8" s="72"/>
      <c r="KDQ8" s="72"/>
      <c r="KDR8" s="72"/>
      <c r="KDS8" s="72"/>
      <c r="KDT8" s="72"/>
      <c r="KDU8" s="72"/>
      <c r="KDV8" s="72"/>
      <c r="KDW8" s="72"/>
      <c r="KDX8" s="72"/>
      <c r="KDY8" s="72"/>
      <c r="KDZ8" s="72"/>
      <c r="KEA8" s="72"/>
      <c r="KEB8" s="72"/>
      <c r="KEC8" s="72"/>
      <c r="KED8" s="72"/>
      <c r="KEE8" s="72"/>
      <c r="KEF8" s="72"/>
      <c r="KEG8" s="72"/>
      <c r="KEH8" s="72"/>
      <c r="KEI8" s="72"/>
      <c r="KEJ8" s="72"/>
      <c r="KEK8" s="72"/>
      <c r="KEL8" s="72"/>
      <c r="KEM8" s="72"/>
      <c r="KEN8" s="72"/>
      <c r="KEO8" s="72"/>
      <c r="KEP8" s="72"/>
      <c r="KEQ8" s="72"/>
      <c r="KER8" s="72"/>
      <c r="KES8" s="72"/>
      <c r="KET8" s="72"/>
      <c r="KEU8" s="72"/>
      <c r="KEV8" s="72"/>
      <c r="KEW8" s="72"/>
      <c r="KEX8" s="72"/>
      <c r="KEY8" s="72"/>
      <c r="KEZ8" s="72"/>
      <c r="KFA8" s="72"/>
      <c r="KFB8" s="72"/>
      <c r="KFC8" s="72"/>
      <c r="KFD8" s="72"/>
      <c r="KFE8" s="72"/>
      <c r="KFF8" s="72"/>
      <c r="KFG8" s="72"/>
      <c r="KFH8" s="72"/>
      <c r="KFI8" s="72"/>
      <c r="KFJ8" s="72"/>
      <c r="KFK8" s="72"/>
      <c r="KFL8" s="72"/>
      <c r="KFM8" s="72"/>
      <c r="KFN8" s="72"/>
      <c r="KFO8" s="72"/>
      <c r="KFP8" s="72"/>
      <c r="KFQ8" s="72"/>
      <c r="KFR8" s="72"/>
      <c r="KFS8" s="72"/>
      <c r="KFT8" s="72"/>
      <c r="KFU8" s="72"/>
      <c r="KFV8" s="72"/>
      <c r="KFW8" s="72"/>
      <c r="KFX8" s="72"/>
      <c r="KFY8" s="72"/>
      <c r="KFZ8" s="72"/>
      <c r="KGA8" s="72"/>
      <c r="KGB8" s="72"/>
      <c r="KGC8" s="72"/>
      <c r="KGD8" s="72"/>
      <c r="KGE8" s="72"/>
      <c r="KGF8" s="72"/>
      <c r="KGG8" s="72"/>
      <c r="KGH8" s="72"/>
      <c r="KGI8" s="72"/>
      <c r="KGJ8" s="72"/>
      <c r="KGK8" s="72"/>
      <c r="KGL8" s="72"/>
      <c r="KGM8" s="72"/>
      <c r="KGN8" s="72"/>
      <c r="KGO8" s="72"/>
      <c r="KGP8" s="72"/>
      <c r="KGQ8" s="72"/>
      <c r="KGR8" s="72"/>
      <c r="KGS8" s="72"/>
      <c r="KGT8" s="72"/>
      <c r="KGU8" s="72"/>
      <c r="KGV8" s="72"/>
      <c r="KGW8" s="72"/>
      <c r="KGX8" s="72"/>
      <c r="KGY8" s="72"/>
      <c r="KGZ8" s="72"/>
      <c r="KHA8" s="72"/>
      <c r="KHB8" s="72"/>
      <c r="KHC8" s="72"/>
      <c r="KHD8" s="72"/>
      <c r="KHE8" s="72"/>
      <c r="KHF8" s="72"/>
      <c r="KHG8" s="72"/>
      <c r="KHH8" s="72"/>
      <c r="KHI8" s="72"/>
      <c r="KHJ8" s="72"/>
      <c r="KHK8" s="72"/>
      <c r="KHL8" s="72"/>
      <c r="KHM8" s="72"/>
      <c r="KHN8" s="72"/>
      <c r="KHO8" s="72"/>
      <c r="KHP8" s="72"/>
      <c r="KHQ8" s="72"/>
      <c r="KHR8" s="72"/>
      <c r="KHS8" s="72"/>
      <c r="KHT8" s="72"/>
      <c r="KHU8" s="72"/>
      <c r="KHV8" s="72"/>
      <c r="KHW8" s="72"/>
      <c r="KHX8" s="72"/>
      <c r="KHY8" s="72"/>
      <c r="KHZ8" s="72"/>
      <c r="KIA8" s="72"/>
      <c r="KIB8" s="72"/>
      <c r="KIC8" s="72"/>
      <c r="KID8" s="72"/>
      <c r="KIE8" s="72"/>
      <c r="KIF8" s="72"/>
      <c r="KIG8" s="72"/>
      <c r="KIH8" s="72"/>
      <c r="KII8" s="72"/>
      <c r="KIJ8" s="72"/>
      <c r="KIK8" s="72"/>
      <c r="KIL8" s="72"/>
      <c r="KIM8" s="72"/>
      <c r="KIN8" s="72"/>
      <c r="KIO8" s="72"/>
      <c r="KIP8" s="72"/>
      <c r="KIQ8" s="72"/>
      <c r="KIR8" s="72"/>
      <c r="KIS8" s="72"/>
      <c r="KIT8" s="72"/>
      <c r="KIU8" s="72"/>
      <c r="KIV8" s="72"/>
      <c r="KIW8" s="72"/>
      <c r="KIX8" s="72"/>
      <c r="KIY8" s="72"/>
      <c r="KIZ8" s="72"/>
      <c r="KJA8" s="72"/>
      <c r="KJB8" s="72"/>
      <c r="KJC8" s="72"/>
      <c r="KJD8" s="72"/>
      <c r="KJE8" s="72"/>
      <c r="KJF8" s="72"/>
      <c r="KJG8" s="72"/>
      <c r="KJH8" s="72"/>
      <c r="KJI8" s="72"/>
      <c r="KJJ8" s="72"/>
      <c r="KJK8" s="72"/>
      <c r="KJL8" s="72"/>
      <c r="KJM8" s="72"/>
      <c r="KJN8" s="72"/>
      <c r="KJO8" s="72"/>
      <c r="KJP8" s="72"/>
      <c r="KJQ8" s="72"/>
      <c r="KJR8" s="72"/>
      <c r="KJS8" s="72"/>
      <c r="KJT8" s="72"/>
      <c r="KJU8" s="72"/>
      <c r="KJV8" s="72"/>
      <c r="KJW8" s="72"/>
      <c r="KJX8" s="72"/>
      <c r="KJY8" s="72"/>
      <c r="KJZ8" s="72"/>
      <c r="KKA8" s="72"/>
      <c r="KKB8" s="72"/>
      <c r="KKC8" s="72"/>
      <c r="KKD8" s="72"/>
      <c r="KKE8" s="72"/>
      <c r="KKF8" s="72"/>
      <c r="KKG8" s="72"/>
      <c r="KKH8" s="72"/>
      <c r="KKI8" s="72"/>
      <c r="KKJ8" s="72"/>
      <c r="KKK8" s="72"/>
      <c r="KKL8" s="72"/>
      <c r="KKM8" s="72"/>
      <c r="KKN8" s="72"/>
      <c r="KKO8" s="72"/>
      <c r="KKP8" s="72"/>
      <c r="KKQ8" s="72"/>
      <c r="KKR8" s="72"/>
      <c r="KKS8" s="72"/>
      <c r="KKT8" s="72"/>
      <c r="KKU8" s="72"/>
      <c r="KKV8" s="72"/>
      <c r="KKW8" s="72"/>
      <c r="KKX8" s="72"/>
      <c r="KKY8" s="72"/>
      <c r="KKZ8" s="72"/>
      <c r="KLA8" s="72"/>
      <c r="KLB8" s="72"/>
      <c r="KLC8" s="72"/>
      <c r="KLD8" s="72"/>
      <c r="KLE8" s="72"/>
      <c r="KLF8" s="72"/>
      <c r="KLG8" s="72"/>
      <c r="KLH8" s="72"/>
      <c r="KLI8" s="72"/>
      <c r="KLJ8" s="72"/>
      <c r="KLK8" s="72"/>
      <c r="KLL8" s="72"/>
      <c r="KLM8" s="72"/>
      <c r="KLN8" s="72"/>
      <c r="KLO8" s="72"/>
      <c r="KLP8" s="72"/>
      <c r="KLQ8" s="72"/>
      <c r="KLR8" s="72"/>
      <c r="KLS8" s="72"/>
      <c r="KLT8" s="72"/>
      <c r="KLU8" s="72"/>
      <c r="KLV8" s="72"/>
      <c r="KLW8" s="72"/>
      <c r="KLX8" s="72"/>
      <c r="KLY8" s="72"/>
      <c r="KLZ8" s="72"/>
      <c r="KMA8" s="72"/>
      <c r="KMB8" s="72"/>
      <c r="KMC8" s="72"/>
      <c r="KMD8" s="72"/>
      <c r="KME8" s="72"/>
      <c r="KMF8" s="72"/>
      <c r="KMG8" s="72"/>
      <c r="KMH8" s="72"/>
      <c r="KMI8" s="72"/>
      <c r="KMJ8" s="72"/>
      <c r="KMK8" s="72"/>
      <c r="KML8" s="72"/>
      <c r="KMM8" s="72"/>
      <c r="KMN8" s="72"/>
      <c r="KMO8" s="72"/>
      <c r="KMP8" s="72"/>
      <c r="KMQ8" s="72"/>
      <c r="KMR8" s="72"/>
      <c r="KMS8" s="72"/>
      <c r="KMT8" s="72"/>
      <c r="KMU8" s="72"/>
      <c r="KMV8" s="72"/>
      <c r="KMW8" s="72"/>
      <c r="KMX8" s="72"/>
      <c r="KMY8" s="72"/>
      <c r="KMZ8" s="72"/>
      <c r="KNA8" s="72"/>
      <c r="KNB8" s="72"/>
      <c r="KNC8" s="72"/>
      <c r="KND8" s="72"/>
      <c r="KNE8" s="72"/>
      <c r="KNF8" s="72"/>
      <c r="KNG8" s="72"/>
      <c r="KNH8" s="72"/>
      <c r="KNI8" s="72"/>
      <c r="KNJ8" s="72"/>
      <c r="KNK8" s="72"/>
      <c r="KNL8" s="72"/>
      <c r="KNM8" s="72"/>
      <c r="KNN8" s="72"/>
      <c r="KNO8" s="72"/>
      <c r="KNP8" s="72"/>
      <c r="KNQ8" s="72"/>
      <c r="KNR8" s="72"/>
      <c r="KNS8" s="72"/>
      <c r="KNT8" s="72"/>
      <c r="KNU8" s="72"/>
      <c r="KNV8" s="72"/>
      <c r="KNW8" s="72"/>
      <c r="KNX8" s="72"/>
      <c r="KNY8" s="72"/>
      <c r="KNZ8" s="72"/>
      <c r="KOA8" s="72"/>
      <c r="KOB8" s="72"/>
      <c r="KOC8" s="72"/>
      <c r="KOD8" s="72"/>
      <c r="KOE8" s="72"/>
      <c r="KOF8" s="72"/>
      <c r="KOG8" s="72"/>
      <c r="KOH8" s="72"/>
      <c r="KOI8" s="72"/>
      <c r="KOJ8" s="72"/>
      <c r="KOK8" s="72"/>
      <c r="KOL8" s="72"/>
      <c r="KOM8" s="72"/>
      <c r="KON8" s="72"/>
      <c r="KOO8" s="72"/>
      <c r="KOP8" s="72"/>
      <c r="KOQ8" s="72"/>
      <c r="KOR8" s="72"/>
      <c r="KOS8" s="72"/>
      <c r="KOT8" s="72"/>
      <c r="KOU8" s="72"/>
      <c r="KOV8" s="72"/>
      <c r="KOW8" s="72"/>
      <c r="KOX8" s="72"/>
      <c r="KOY8" s="72"/>
      <c r="KOZ8" s="72"/>
      <c r="KPA8" s="72"/>
      <c r="KPB8" s="72"/>
      <c r="KPC8" s="72"/>
      <c r="KPD8" s="72"/>
      <c r="KPE8" s="72"/>
      <c r="KPF8" s="72"/>
      <c r="KPG8" s="72"/>
      <c r="KPH8" s="72"/>
      <c r="KPI8" s="72"/>
      <c r="KPJ8" s="72"/>
      <c r="KPK8" s="72"/>
      <c r="KPL8" s="72"/>
      <c r="KPM8" s="72"/>
      <c r="KPN8" s="72"/>
      <c r="KPO8" s="72"/>
      <c r="KPP8" s="72"/>
      <c r="KPQ8" s="72"/>
      <c r="KPR8" s="72"/>
      <c r="KPS8" s="72"/>
      <c r="KPT8" s="72"/>
      <c r="KPU8" s="72"/>
      <c r="KPV8" s="72"/>
      <c r="KPW8" s="72"/>
      <c r="KPX8" s="72"/>
      <c r="KPY8" s="72"/>
      <c r="KPZ8" s="72"/>
      <c r="KQA8" s="72"/>
      <c r="KQB8" s="72"/>
      <c r="KQC8" s="72"/>
      <c r="KQD8" s="72"/>
      <c r="KQE8" s="72"/>
      <c r="KQF8" s="72"/>
      <c r="KQG8" s="72"/>
      <c r="KQH8" s="72"/>
      <c r="KQI8" s="72"/>
      <c r="KQJ8" s="72"/>
      <c r="KQK8" s="72"/>
      <c r="KQL8" s="72"/>
      <c r="KQM8" s="72"/>
      <c r="KQN8" s="72"/>
      <c r="KQO8" s="72"/>
      <c r="KQP8" s="72"/>
      <c r="KQQ8" s="72"/>
      <c r="KQR8" s="72"/>
      <c r="KQS8" s="72"/>
      <c r="KQT8" s="72"/>
      <c r="KQU8" s="72"/>
      <c r="KQV8" s="72"/>
      <c r="KQW8" s="72"/>
      <c r="KQX8" s="72"/>
      <c r="KQY8" s="72"/>
      <c r="KQZ8" s="72"/>
      <c r="KRA8" s="72"/>
      <c r="KRB8" s="72"/>
      <c r="KRC8" s="72"/>
      <c r="KRD8" s="72"/>
      <c r="KRE8" s="72"/>
      <c r="KRF8" s="72"/>
      <c r="KRG8" s="72"/>
      <c r="KRH8" s="72"/>
      <c r="KRI8" s="72"/>
      <c r="KRJ8" s="72"/>
      <c r="KRK8" s="72"/>
      <c r="KRL8" s="72"/>
      <c r="KRM8" s="72"/>
      <c r="KRN8" s="72"/>
      <c r="KRO8" s="72"/>
      <c r="KRP8" s="72"/>
      <c r="KRQ8" s="72"/>
      <c r="KRR8" s="72"/>
      <c r="KRS8" s="72"/>
      <c r="KRT8" s="72"/>
      <c r="KRU8" s="72"/>
      <c r="KRV8" s="72"/>
      <c r="KRW8" s="72"/>
      <c r="KRX8" s="72"/>
      <c r="KRY8" s="72"/>
      <c r="KRZ8" s="72"/>
      <c r="KSA8" s="72"/>
      <c r="KSB8" s="72"/>
      <c r="KSC8" s="72"/>
      <c r="KSD8" s="72"/>
      <c r="KSE8" s="72"/>
      <c r="KSF8" s="72"/>
      <c r="KSG8" s="72"/>
      <c r="KSH8" s="72"/>
      <c r="KSI8" s="72"/>
      <c r="KSJ8" s="72"/>
      <c r="KSK8" s="72"/>
      <c r="KSL8" s="72"/>
      <c r="KSM8" s="72"/>
      <c r="KSN8" s="72"/>
      <c r="KSO8" s="72"/>
      <c r="KSP8" s="72"/>
      <c r="KSQ8" s="72"/>
      <c r="KSR8" s="72"/>
      <c r="KSS8" s="72"/>
      <c r="KST8" s="72"/>
      <c r="KSU8" s="72"/>
      <c r="KSV8" s="72"/>
      <c r="KSW8" s="72"/>
      <c r="KSX8" s="72"/>
      <c r="KSY8" s="72"/>
      <c r="KSZ8" s="72"/>
      <c r="KTA8" s="72"/>
      <c r="KTB8" s="72"/>
      <c r="KTC8" s="72"/>
      <c r="KTD8" s="72"/>
      <c r="KTE8" s="72"/>
      <c r="KTF8" s="72"/>
      <c r="KTG8" s="72"/>
      <c r="KTH8" s="72"/>
      <c r="KTI8" s="72"/>
      <c r="KTJ8" s="72"/>
      <c r="KTK8" s="72"/>
      <c r="KTL8" s="72"/>
      <c r="KTM8" s="72"/>
      <c r="KTN8" s="72"/>
      <c r="KTO8" s="72"/>
      <c r="KTP8" s="72"/>
      <c r="KTQ8" s="72"/>
      <c r="KTR8" s="72"/>
      <c r="KTS8" s="72"/>
      <c r="KTT8" s="72"/>
      <c r="KTU8" s="72"/>
      <c r="KTV8" s="72"/>
      <c r="KTW8" s="72"/>
      <c r="KTX8" s="72"/>
      <c r="KTY8" s="72"/>
      <c r="KTZ8" s="72"/>
      <c r="KUA8" s="72"/>
      <c r="KUB8" s="72"/>
      <c r="KUC8" s="72"/>
      <c r="KUD8" s="72"/>
      <c r="KUE8" s="72"/>
      <c r="KUF8" s="72"/>
      <c r="KUG8" s="72"/>
      <c r="KUH8" s="72"/>
      <c r="KUI8" s="72"/>
      <c r="KUJ8" s="72"/>
      <c r="KUK8" s="72"/>
      <c r="KUL8" s="72"/>
      <c r="KUM8" s="72"/>
      <c r="KUN8" s="72"/>
      <c r="KUO8" s="72"/>
      <c r="KUP8" s="72"/>
      <c r="KUQ8" s="72"/>
      <c r="KUR8" s="72"/>
      <c r="KUS8" s="72"/>
      <c r="KUT8" s="72"/>
      <c r="KUU8" s="72"/>
      <c r="KUV8" s="72"/>
      <c r="KUW8" s="72"/>
      <c r="KUX8" s="72"/>
      <c r="KUY8" s="72"/>
      <c r="KUZ8" s="72"/>
      <c r="KVA8" s="72"/>
      <c r="KVB8" s="72"/>
      <c r="KVC8" s="72"/>
      <c r="KVD8" s="72"/>
      <c r="KVE8" s="72"/>
      <c r="KVF8" s="72"/>
      <c r="KVG8" s="72"/>
      <c r="KVH8" s="72"/>
      <c r="KVI8" s="72"/>
      <c r="KVJ8" s="72"/>
      <c r="KVK8" s="72"/>
      <c r="KVL8" s="72"/>
      <c r="KVM8" s="72"/>
      <c r="KVN8" s="72"/>
      <c r="KVO8" s="72"/>
      <c r="KVP8" s="72"/>
      <c r="KVQ8" s="72"/>
      <c r="KVR8" s="72"/>
      <c r="KVS8" s="72"/>
      <c r="KVT8" s="72"/>
      <c r="KVU8" s="72"/>
      <c r="KVV8" s="72"/>
      <c r="KVW8" s="72"/>
      <c r="KVX8" s="72"/>
      <c r="KVY8" s="72"/>
      <c r="KVZ8" s="72"/>
      <c r="KWA8" s="72"/>
      <c r="KWB8" s="72"/>
      <c r="KWC8" s="72"/>
      <c r="KWD8" s="72"/>
      <c r="KWE8" s="72"/>
      <c r="KWF8" s="72"/>
      <c r="KWG8" s="72"/>
      <c r="KWH8" s="72"/>
      <c r="KWI8" s="72"/>
      <c r="KWJ8" s="72"/>
      <c r="KWK8" s="72"/>
      <c r="KWL8" s="72"/>
      <c r="KWM8" s="72"/>
      <c r="KWN8" s="72"/>
      <c r="KWO8" s="72"/>
      <c r="KWP8" s="72"/>
      <c r="KWQ8" s="72"/>
      <c r="KWR8" s="72"/>
      <c r="KWS8" s="72"/>
      <c r="KWT8" s="72"/>
      <c r="KWU8" s="72"/>
      <c r="KWV8" s="72"/>
      <c r="KWW8" s="72"/>
      <c r="KWX8" s="72"/>
      <c r="KWY8" s="72"/>
      <c r="KWZ8" s="72"/>
      <c r="KXA8" s="72"/>
      <c r="KXB8" s="72"/>
      <c r="KXC8" s="72"/>
      <c r="KXD8" s="72"/>
      <c r="KXE8" s="72"/>
      <c r="KXF8" s="72"/>
      <c r="KXG8" s="72"/>
      <c r="KXH8" s="72"/>
      <c r="KXI8" s="72"/>
      <c r="KXJ8" s="72"/>
      <c r="KXK8" s="72"/>
      <c r="KXL8" s="72"/>
      <c r="KXM8" s="72"/>
      <c r="KXN8" s="72"/>
      <c r="KXO8" s="72"/>
      <c r="KXP8" s="72"/>
      <c r="KXQ8" s="72"/>
      <c r="KXR8" s="72"/>
      <c r="KXS8" s="72"/>
      <c r="KXT8" s="72"/>
      <c r="KXU8" s="72"/>
      <c r="KXV8" s="72"/>
      <c r="KXW8" s="72"/>
      <c r="KXX8" s="72"/>
      <c r="KXY8" s="72"/>
      <c r="KXZ8" s="72"/>
      <c r="KYA8" s="72"/>
      <c r="KYB8" s="72"/>
      <c r="KYC8" s="72"/>
      <c r="KYD8" s="72"/>
      <c r="KYE8" s="72"/>
      <c r="KYF8" s="72"/>
      <c r="KYG8" s="72"/>
      <c r="KYH8" s="72"/>
      <c r="KYI8" s="72"/>
      <c r="KYJ8" s="72"/>
      <c r="KYK8" s="72"/>
      <c r="KYL8" s="72"/>
      <c r="KYM8" s="72"/>
      <c r="KYN8" s="72"/>
      <c r="KYO8" s="72"/>
      <c r="KYP8" s="72"/>
      <c r="KYQ8" s="72"/>
      <c r="KYR8" s="72"/>
      <c r="KYS8" s="72"/>
      <c r="KYT8" s="72"/>
      <c r="KYU8" s="72"/>
      <c r="KYV8" s="72"/>
      <c r="KYW8" s="72"/>
      <c r="KYX8" s="72"/>
      <c r="KYY8" s="72"/>
      <c r="KYZ8" s="72"/>
      <c r="KZA8" s="72"/>
      <c r="KZB8" s="72"/>
      <c r="KZC8" s="72"/>
      <c r="KZD8" s="72"/>
      <c r="KZE8" s="72"/>
      <c r="KZF8" s="72"/>
      <c r="KZG8" s="72"/>
      <c r="KZH8" s="72"/>
      <c r="KZI8" s="72"/>
      <c r="KZJ8" s="72"/>
      <c r="KZK8" s="72"/>
      <c r="KZL8" s="72"/>
      <c r="KZM8" s="72"/>
      <c r="KZN8" s="72"/>
      <c r="KZO8" s="72"/>
      <c r="KZP8" s="72"/>
      <c r="KZQ8" s="72"/>
      <c r="KZR8" s="72"/>
      <c r="KZS8" s="72"/>
      <c r="KZT8" s="72"/>
      <c r="KZU8" s="72"/>
      <c r="KZV8" s="72"/>
      <c r="KZW8" s="72"/>
      <c r="KZX8" s="72"/>
      <c r="KZY8" s="72"/>
      <c r="KZZ8" s="72"/>
      <c r="LAA8" s="72"/>
      <c r="LAB8" s="72"/>
      <c r="LAC8" s="72"/>
      <c r="LAD8" s="72"/>
      <c r="LAE8" s="72"/>
      <c r="LAF8" s="72"/>
      <c r="LAG8" s="72"/>
      <c r="LAH8" s="72"/>
      <c r="LAI8" s="72"/>
      <c r="LAJ8" s="72"/>
      <c r="LAK8" s="72"/>
      <c r="LAL8" s="72"/>
      <c r="LAM8" s="72"/>
      <c r="LAN8" s="72"/>
      <c r="LAO8" s="72"/>
      <c r="LAP8" s="72"/>
      <c r="LAQ8" s="72"/>
      <c r="LAR8" s="72"/>
      <c r="LAS8" s="72"/>
      <c r="LAT8" s="72"/>
      <c r="LAU8" s="72"/>
      <c r="LAV8" s="72"/>
      <c r="LAW8" s="72"/>
      <c r="LAX8" s="72"/>
      <c r="LAY8" s="72"/>
      <c r="LAZ8" s="72"/>
      <c r="LBA8" s="72"/>
      <c r="LBB8" s="72"/>
      <c r="LBC8" s="72"/>
      <c r="LBD8" s="72"/>
      <c r="LBE8" s="72"/>
      <c r="LBF8" s="72"/>
      <c r="LBG8" s="72"/>
      <c r="LBH8" s="72"/>
      <c r="LBI8" s="72"/>
      <c r="LBJ8" s="72"/>
      <c r="LBK8" s="72"/>
      <c r="LBL8" s="72"/>
      <c r="LBM8" s="72"/>
      <c r="LBN8" s="72"/>
      <c r="LBO8" s="72"/>
      <c r="LBP8" s="72"/>
      <c r="LBQ8" s="72"/>
      <c r="LBR8" s="72"/>
      <c r="LBS8" s="72"/>
      <c r="LBT8" s="72"/>
      <c r="LBU8" s="72"/>
      <c r="LBV8" s="72"/>
      <c r="LBW8" s="72"/>
      <c r="LBX8" s="72"/>
      <c r="LBY8" s="72"/>
      <c r="LBZ8" s="72"/>
      <c r="LCA8" s="72"/>
      <c r="LCB8" s="72"/>
      <c r="LCC8" s="72"/>
      <c r="LCD8" s="72"/>
      <c r="LCE8" s="72"/>
      <c r="LCF8" s="72"/>
      <c r="LCG8" s="72"/>
      <c r="LCH8" s="72"/>
      <c r="LCI8" s="72"/>
      <c r="LCJ8" s="72"/>
      <c r="LCK8" s="72"/>
      <c r="LCL8" s="72"/>
      <c r="LCM8" s="72"/>
      <c r="LCN8" s="72"/>
      <c r="LCO8" s="72"/>
      <c r="LCP8" s="72"/>
      <c r="LCQ8" s="72"/>
      <c r="LCR8" s="72"/>
      <c r="LCS8" s="72"/>
      <c r="LCT8" s="72"/>
      <c r="LCU8" s="72"/>
      <c r="LCV8" s="72"/>
      <c r="LCW8" s="72"/>
      <c r="LCX8" s="72"/>
      <c r="LCY8" s="72"/>
      <c r="LCZ8" s="72"/>
      <c r="LDA8" s="72"/>
      <c r="LDB8" s="72"/>
      <c r="LDC8" s="72"/>
      <c r="LDD8" s="72"/>
      <c r="LDE8" s="72"/>
      <c r="LDF8" s="72"/>
      <c r="LDG8" s="72"/>
      <c r="LDH8" s="72"/>
      <c r="LDI8" s="72"/>
      <c r="LDJ8" s="72"/>
      <c r="LDK8" s="72"/>
      <c r="LDL8" s="72"/>
      <c r="LDM8" s="72"/>
      <c r="LDN8" s="72"/>
      <c r="LDO8" s="72"/>
      <c r="LDP8" s="72"/>
      <c r="LDQ8" s="72"/>
      <c r="LDR8" s="72"/>
      <c r="LDS8" s="72"/>
      <c r="LDT8" s="72"/>
      <c r="LDU8" s="72"/>
      <c r="LDV8" s="72"/>
      <c r="LDW8" s="72"/>
      <c r="LDX8" s="72"/>
      <c r="LDY8" s="72"/>
      <c r="LDZ8" s="72"/>
      <c r="LEA8" s="72"/>
      <c r="LEB8" s="72"/>
      <c r="LEC8" s="72"/>
      <c r="LED8" s="72"/>
      <c r="LEE8" s="72"/>
      <c r="LEF8" s="72"/>
      <c r="LEG8" s="72"/>
      <c r="LEH8" s="72"/>
      <c r="LEI8" s="72"/>
      <c r="LEJ8" s="72"/>
      <c r="LEK8" s="72"/>
      <c r="LEL8" s="72"/>
      <c r="LEM8" s="72"/>
      <c r="LEN8" s="72"/>
      <c r="LEO8" s="72"/>
      <c r="LEP8" s="72"/>
      <c r="LEQ8" s="72"/>
      <c r="LER8" s="72"/>
      <c r="LES8" s="72"/>
      <c r="LET8" s="72"/>
      <c r="LEU8" s="72"/>
      <c r="LEV8" s="72"/>
      <c r="LEW8" s="72"/>
      <c r="LEX8" s="72"/>
      <c r="LEY8" s="72"/>
      <c r="LEZ8" s="72"/>
      <c r="LFA8" s="72"/>
      <c r="LFB8" s="72"/>
      <c r="LFC8" s="72"/>
      <c r="LFD8" s="72"/>
      <c r="LFE8" s="72"/>
      <c r="LFF8" s="72"/>
      <c r="LFG8" s="72"/>
      <c r="LFH8" s="72"/>
      <c r="LFI8" s="72"/>
      <c r="LFJ8" s="72"/>
      <c r="LFK8" s="72"/>
      <c r="LFL8" s="72"/>
      <c r="LFM8" s="72"/>
      <c r="LFN8" s="72"/>
      <c r="LFO8" s="72"/>
      <c r="LFP8" s="72"/>
      <c r="LFQ8" s="72"/>
      <c r="LFR8" s="72"/>
      <c r="LFS8" s="72"/>
      <c r="LFT8" s="72"/>
      <c r="LFU8" s="72"/>
      <c r="LFV8" s="72"/>
      <c r="LFW8" s="72"/>
      <c r="LFX8" s="72"/>
      <c r="LFY8" s="72"/>
      <c r="LFZ8" s="72"/>
      <c r="LGA8" s="72"/>
      <c r="LGB8" s="72"/>
      <c r="LGC8" s="72"/>
      <c r="LGD8" s="72"/>
      <c r="LGE8" s="72"/>
      <c r="LGF8" s="72"/>
      <c r="LGG8" s="72"/>
      <c r="LGH8" s="72"/>
      <c r="LGI8" s="72"/>
      <c r="LGJ8" s="72"/>
      <c r="LGK8" s="72"/>
      <c r="LGL8" s="72"/>
      <c r="LGM8" s="72"/>
      <c r="LGN8" s="72"/>
      <c r="LGO8" s="72"/>
      <c r="LGP8" s="72"/>
      <c r="LGQ8" s="72"/>
      <c r="LGR8" s="72"/>
      <c r="LGS8" s="72"/>
      <c r="LGT8" s="72"/>
      <c r="LGU8" s="72"/>
      <c r="LGV8" s="72"/>
      <c r="LGW8" s="72"/>
      <c r="LGX8" s="72"/>
      <c r="LGY8" s="72"/>
      <c r="LGZ8" s="72"/>
      <c r="LHA8" s="72"/>
      <c r="LHB8" s="72"/>
      <c r="LHC8" s="72"/>
      <c r="LHD8" s="72"/>
      <c r="LHE8" s="72"/>
      <c r="LHF8" s="72"/>
      <c r="LHG8" s="72"/>
      <c r="LHH8" s="72"/>
      <c r="LHI8" s="72"/>
      <c r="LHJ8" s="72"/>
      <c r="LHK8" s="72"/>
      <c r="LHL8" s="72"/>
      <c r="LHM8" s="72"/>
      <c r="LHN8" s="72"/>
      <c r="LHO8" s="72"/>
      <c r="LHP8" s="72"/>
      <c r="LHQ8" s="72"/>
      <c r="LHR8" s="72"/>
      <c r="LHS8" s="72"/>
      <c r="LHT8" s="72"/>
      <c r="LHU8" s="72"/>
      <c r="LHV8" s="72"/>
      <c r="LHW8" s="72"/>
      <c r="LHX8" s="72"/>
      <c r="LHY8" s="72"/>
      <c r="LHZ8" s="72"/>
      <c r="LIA8" s="72"/>
      <c r="LIB8" s="72"/>
      <c r="LIC8" s="72"/>
      <c r="LID8" s="72"/>
      <c r="LIE8" s="72"/>
      <c r="LIF8" s="72"/>
      <c r="LIG8" s="72"/>
      <c r="LIH8" s="72"/>
      <c r="LII8" s="72"/>
      <c r="LIJ8" s="72"/>
      <c r="LIK8" s="72"/>
      <c r="LIL8" s="72"/>
      <c r="LIM8" s="72"/>
      <c r="LIN8" s="72"/>
      <c r="LIO8" s="72"/>
      <c r="LIP8" s="72"/>
      <c r="LIQ8" s="72"/>
      <c r="LIR8" s="72"/>
      <c r="LIS8" s="72"/>
      <c r="LIT8" s="72"/>
      <c r="LIU8" s="72"/>
      <c r="LIV8" s="72"/>
      <c r="LIW8" s="72"/>
      <c r="LIX8" s="72"/>
      <c r="LIY8" s="72"/>
      <c r="LIZ8" s="72"/>
      <c r="LJA8" s="72"/>
      <c r="LJB8" s="72"/>
      <c r="LJC8" s="72"/>
      <c r="LJD8" s="72"/>
      <c r="LJE8" s="72"/>
      <c r="LJF8" s="72"/>
      <c r="LJG8" s="72"/>
      <c r="LJH8" s="72"/>
      <c r="LJI8" s="72"/>
      <c r="LJJ8" s="72"/>
      <c r="LJK8" s="72"/>
      <c r="LJL8" s="72"/>
      <c r="LJM8" s="72"/>
      <c r="LJN8" s="72"/>
      <c r="LJO8" s="72"/>
      <c r="LJP8" s="72"/>
      <c r="LJQ8" s="72"/>
      <c r="LJR8" s="72"/>
      <c r="LJS8" s="72"/>
      <c r="LJT8" s="72"/>
      <c r="LJU8" s="72"/>
      <c r="LJV8" s="72"/>
      <c r="LJW8" s="72"/>
      <c r="LJX8" s="72"/>
      <c r="LJY8" s="72"/>
      <c r="LJZ8" s="72"/>
      <c r="LKA8" s="72"/>
      <c r="LKB8" s="72"/>
      <c r="LKC8" s="72"/>
      <c r="LKD8" s="72"/>
      <c r="LKE8" s="72"/>
      <c r="LKF8" s="72"/>
      <c r="LKG8" s="72"/>
      <c r="LKH8" s="72"/>
      <c r="LKI8" s="72"/>
      <c r="LKJ8" s="72"/>
      <c r="LKK8" s="72"/>
      <c r="LKL8" s="72"/>
      <c r="LKM8" s="72"/>
      <c r="LKN8" s="72"/>
      <c r="LKO8" s="72"/>
      <c r="LKP8" s="72"/>
      <c r="LKQ8" s="72"/>
      <c r="LKR8" s="72"/>
      <c r="LKS8" s="72"/>
      <c r="LKT8" s="72"/>
      <c r="LKU8" s="72"/>
      <c r="LKV8" s="72"/>
      <c r="LKW8" s="72"/>
      <c r="LKX8" s="72"/>
      <c r="LKY8" s="72"/>
      <c r="LKZ8" s="72"/>
      <c r="LLA8" s="72"/>
      <c r="LLB8" s="72"/>
      <c r="LLC8" s="72"/>
      <c r="LLD8" s="72"/>
      <c r="LLE8" s="72"/>
      <c r="LLF8" s="72"/>
      <c r="LLG8" s="72"/>
      <c r="LLH8" s="72"/>
      <c r="LLI8" s="72"/>
      <c r="LLJ8" s="72"/>
      <c r="LLK8" s="72"/>
      <c r="LLL8" s="72"/>
      <c r="LLM8" s="72"/>
      <c r="LLN8" s="72"/>
      <c r="LLO8" s="72"/>
      <c r="LLP8" s="72"/>
      <c r="LLQ8" s="72"/>
      <c r="LLR8" s="72"/>
      <c r="LLS8" s="72"/>
      <c r="LLT8" s="72"/>
      <c r="LLU8" s="72"/>
      <c r="LLV8" s="72"/>
      <c r="LLW8" s="72"/>
      <c r="LLX8" s="72"/>
      <c r="LLY8" s="72"/>
      <c r="LLZ8" s="72"/>
      <c r="LMA8" s="72"/>
      <c r="LMB8" s="72"/>
      <c r="LMC8" s="72"/>
      <c r="LMD8" s="72"/>
      <c r="LME8" s="72"/>
      <c r="LMF8" s="72"/>
      <c r="LMG8" s="72"/>
      <c r="LMH8" s="72"/>
      <c r="LMI8" s="72"/>
      <c r="LMJ8" s="72"/>
      <c r="LMK8" s="72"/>
      <c r="LML8" s="72"/>
      <c r="LMM8" s="72"/>
      <c r="LMN8" s="72"/>
      <c r="LMO8" s="72"/>
      <c r="LMP8" s="72"/>
      <c r="LMQ8" s="72"/>
      <c r="LMR8" s="72"/>
      <c r="LMS8" s="72"/>
      <c r="LMT8" s="72"/>
      <c r="LMU8" s="72"/>
      <c r="LMV8" s="72"/>
      <c r="LMW8" s="72"/>
      <c r="LMX8" s="72"/>
      <c r="LMY8" s="72"/>
      <c r="LMZ8" s="72"/>
      <c r="LNA8" s="72"/>
      <c r="LNB8" s="72"/>
      <c r="LNC8" s="72"/>
      <c r="LND8" s="72"/>
      <c r="LNE8" s="72"/>
      <c r="LNF8" s="72"/>
      <c r="LNG8" s="72"/>
      <c r="LNH8" s="72"/>
      <c r="LNI8" s="72"/>
      <c r="LNJ8" s="72"/>
      <c r="LNK8" s="72"/>
      <c r="LNL8" s="72"/>
      <c r="LNM8" s="72"/>
      <c r="LNN8" s="72"/>
      <c r="LNO8" s="72"/>
      <c r="LNP8" s="72"/>
      <c r="LNQ8" s="72"/>
      <c r="LNR8" s="72"/>
      <c r="LNS8" s="72"/>
      <c r="LNT8" s="72"/>
      <c r="LNU8" s="72"/>
      <c r="LNV8" s="72"/>
      <c r="LNW8" s="72"/>
      <c r="LNX8" s="72"/>
      <c r="LNY8" s="72"/>
      <c r="LNZ8" s="72"/>
      <c r="LOA8" s="72"/>
      <c r="LOB8" s="72"/>
      <c r="LOC8" s="72"/>
      <c r="LOD8" s="72"/>
      <c r="LOE8" s="72"/>
      <c r="LOF8" s="72"/>
      <c r="LOG8" s="72"/>
      <c r="LOH8" s="72"/>
      <c r="LOI8" s="72"/>
      <c r="LOJ8" s="72"/>
      <c r="LOK8" s="72"/>
      <c r="LOL8" s="72"/>
      <c r="LOM8" s="72"/>
      <c r="LON8" s="72"/>
      <c r="LOO8" s="72"/>
      <c r="LOP8" s="72"/>
      <c r="LOQ8" s="72"/>
      <c r="LOR8" s="72"/>
      <c r="LOS8" s="72"/>
      <c r="LOT8" s="72"/>
      <c r="LOU8" s="72"/>
      <c r="LOV8" s="72"/>
      <c r="LOW8" s="72"/>
      <c r="LOX8" s="72"/>
      <c r="LOY8" s="72"/>
      <c r="LOZ8" s="72"/>
      <c r="LPA8" s="72"/>
      <c r="LPB8" s="72"/>
      <c r="LPC8" s="72"/>
      <c r="LPD8" s="72"/>
      <c r="LPE8" s="72"/>
      <c r="LPF8" s="72"/>
      <c r="LPG8" s="72"/>
      <c r="LPH8" s="72"/>
      <c r="LPI8" s="72"/>
      <c r="LPJ8" s="72"/>
      <c r="LPK8" s="72"/>
      <c r="LPL8" s="72"/>
      <c r="LPM8" s="72"/>
      <c r="LPN8" s="72"/>
      <c r="LPO8" s="72"/>
      <c r="LPP8" s="72"/>
      <c r="LPQ8" s="72"/>
      <c r="LPR8" s="72"/>
      <c r="LPS8" s="72"/>
      <c r="LPT8" s="72"/>
      <c r="LPU8" s="72"/>
      <c r="LPV8" s="72"/>
      <c r="LPW8" s="72"/>
      <c r="LPX8" s="72"/>
      <c r="LPY8" s="72"/>
      <c r="LPZ8" s="72"/>
      <c r="LQA8" s="72"/>
      <c r="LQB8" s="72"/>
      <c r="LQC8" s="72"/>
      <c r="LQD8" s="72"/>
      <c r="LQE8" s="72"/>
      <c r="LQF8" s="72"/>
      <c r="LQG8" s="72"/>
      <c r="LQH8" s="72"/>
      <c r="LQI8" s="72"/>
      <c r="LQJ8" s="72"/>
      <c r="LQK8" s="72"/>
      <c r="LQL8" s="72"/>
      <c r="LQM8" s="72"/>
      <c r="LQN8" s="72"/>
      <c r="LQO8" s="72"/>
      <c r="LQP8" s="72"/>
      <c r="LQQ8" s="72"/>
      <c r="LQR8" s="72"/>
      <c r="LQS8" s="72"/>
      <c r="LQT8" s="72"/>
      <c r="LQU8" s="72"/>
      <c r="LQV8" s="72"/>
      <c r="LQW8" s="72"/>
      <c r="LQX8" s="72"/>
      <c r="LQY8" s="72"/>
      <c r="LQZ8" s="72"/>
      <c r="LRA8" s="72"/>
      <c r="LRB8" s="72"/>
      <c r="LRC8" s="72"/>
      <c r="LRD8" s="72"/>
      <c r="LRE8" s="72"/>
      <c r="LRF8" s="72"/>
      <c r="LRG8" s="72"/>
      <c r="LRH8" s="72"/>
      <c r="LRI8" s="72"/>
      <c r="LRJ8" s="72"/>
      <c r="LRK8" s="72"/>
      <c r="LRL8" s="72"/>
      <c r="LRM8" s="72"/>
      <c r="LRN8" s="72"/>
      <c r="LRO8" s="72"/>
      <c r="LRP8" s="72"/>
      <c r="LRQ8" s="72"/>
      <c r="LRR8" s="72"/>
      <c r="LRS8" s="72"/>
      <c r="LRT8" s="72"/>
      <c r="LRU8" s="72"/>
      <c r="LRV8" s="72"/>
      <c r="LRW8" s="72"/>
      <c r="LRX8" s="72"/>
      <c r="LRY8" s="72"/>
      <c r="LRZ8" s="72"/>
      <c r="LSA8" s="72"/>
      <c r="LSB8" s="72"/>
      <c r="LSC8" s="72"/>
      <c r="LSD8" s="72"/>
      <c r="LSE8" s="72"/>
      <c r="LSF8" s="72"/>
      <c r="LSG8" s="72"/>
      <c r="LSH8" s="72"/>
      <c r="LSI8" s="72"/>
      <c r="LSJ8" s="72"/>
      <c r="LSK8" s="72"/>
      <c r="LSL8" s="72"/>
      <c r="LSM8" s="72"/>
      <c r="LSN8" s="72"/>
      <c r="LSO8" s="72"/>
      <c r="LSP8" s="72"/>
      <c r="LSQ8" s="72"/>
      <c r="LSR8" s="72"/>
      <c r="LSS8" s="72"/>
      <c r="LST8" s="72"/>
      <c r="LSU8" s="72"/>
      <c r="LSV8" s="72"/>
      <c r="LSW8" s="72"/>
      <c r="LSX8" s="72"/>
      <c r="LSY8" s="72"/>
      <c r="LSZ8" s="72"/>
      <c r="LTA8" s="72"/>
      <c r="LTB8" s="72"/>
      <c r="LTC8" s="72"/>
      <c r="LTD8" s="72"/>
      <c r="LTE8" s="72"/>
      <c r="LTF8" s="72"/>
      <c r="LTG8" s="72"/>
      <c r="LTH8" s="72"/>
      <c r="LTI8" s="72"/>
      <c r="LTJ8" s="72"/>
      <c r="LTK8" s="72"/>
      <c r="LTL8" s="72"/>
      <c r="LTM8" s="72"/>
      <c r="LTN8" s="72"/>
      <c r="LTO8" s="72"/>
      <c r="LTP8" s="72"/>
      <c r="LTQ8" s="72"/>
      <c r="LTR8" s="72"/>
      <c r="LTS8" s="72"/>
      <c r="LTT8" s="72"/>
      <c r="LTU8" s="72"/>
      <c r="LTV8" s="72"/>
      <c r="LTW8" s="72"/>
      <c r="LTX8" s="72"/>
      <c r="LTY8" s="72"/>
      <c r="LTZ8" s="72"/>
      <c r="LUA8" s="72"/>
      <c r="LUB8" s="72"/>
      <c r="LUC8" s="72"/>
      <c r="LUD8" s="72"/>
      <c r="LUE8" s="72"/>
      <c r="LUF8" s="72"/>
      <c r="LUG8" s="72"/>
      <c r="LUH8" s="72"/>
      <c r="LUI8" s="72"/>
      <c r="LUJ8" s="72"/>
      <c r="LUK8" s="72"/>
      <c r="LUL8" s="72"/>
      <c r="LUM8" s="72"/>
      <c r="LUN8" s="72"/>
      <c r="LUO8" s="72"/>
      <c r="LUP8" s="72"/>
      <c r="LUQ8" s="72"/>
      <c r="LUR8" s="72"/>
      <c r="LUS8" s="72"/>
      <c r="LUT8" s="72"/>
      <c r="LUU8" s="72"/>
      <c r="LUV8" s="72"/>
      <c r="LUW8" s="72"/>
      <c r="LUX8" s="72"/>
      <c r="LUY8" s="72"/>
      <c r="LUZ8" s="72"/>
      <c r="LVA8" s="72"/>
      <c r="LVB8" s="72"/>
      <c r="LVC8" s="72"/>
      <c r="LVD8" s="72"/>
      <c r="LVE8" s="72"/>
      <c r="LVF8" s="72"/>
      <c r="LVG8" s="72"/>
      <c r="LVH8" s="72"/>
      <c r="LVI8" s="72"/>
      <c r="LVJ8" s="72"/>
      <c r="LVK8" s="72"/>
      <c r="LVL8" s="72"/>
      <c r="LVM8" s="72"/>
      <c r="LVN8" s="72"/>
      <c r="LVO8" s="72"/>
      <c r="LVP8" s="72"/>
      <c r="LVQ8" s="72"/>
      <c r="LVR8" s="72"/>
      <c r="LVS8" s="72"/>
      <c r="LVT8" s="72"/>
      <c r="LVU8" s="72"/>
      <c r="LVV8" s="72"/>
      <c r="LVW8" s="72"/>
      <c r="LVX8" s="72"/>
      <c r="LVY8" s="72"/>
      <c r="LVZ8" s="72"/>
      <c r="LWA8" s="72"/>
      <c r="LWB8" s="72"/>
      <c r="LWC8" s="72"/>
      <c r="LWD8" s="72"/>
      <c r="LWE8" s="72"/>
      <c r="LWF8" s="72"/>
      <c r="LWG8" s="72"/>
      <c r="LWH8" s="72"/>
      <c r="LWI8" s="72"/>
      <c r="LWJ8" s="72"/>
      <c r="LWK8" s="72"/>
      <c r="LWL8" s="72"/>
      <c r="LWM8" s="72"/>
      <c r="LWN8" s="72"/>
      <c r="LWO8" s="72"/>
      <c r="LWP8" s="72"/>
      <c r="LWQ8" s="72"/>
      <c r="LWR8" s="72"/>
      <c r="LWS8" s="72"/>
      <c r="LWT8" s="72"/>
      <c r="LWU8" s="72"/>
      <c r="LWV8" s="72"/>
      <c r="LWW8" s="72"/>
      <c r="LWX8" s="72"/>
      <c r="LWY8" s="72"/>
      <c r="LWZ8" s="72"/>
      <c r="LXA8" s="72"/>
      <c r="LXB8" s="72"/>
      <c r="LXC8" s="72"/>
      <c r="LXD8" s="72"/>
      <c r="LXE8" s="72"/>
      <c r="LXF8" s="72"/>
      <c r="LXG8" s="72"/>
      <c r="LXH8" s="72"/>
      <c r="LXI8" s="72"/>
      <c r="LXJ8" s="72"/>
      <c r="LXK8" s="72"/>
      <c r="LXL8" s="72"/>
      <c r="LXM8" s="72"/>
      <c r="LXN8" s="72"/>
      <c r="LXO8" s="72"/>
      <c r="LXP8" s="72"/>
      <c r="LXQ8" s="72"/>
      <c r="LXR8" s="72"/>
      <c r="LXS8" s="72"/>
      <c r="LXT8" s="72"/>
      <c r="LXU8" s="72"/>
      <c r="LXV8" s="72"/>
      <c r="LXW8" s="72"/>
      <c r="LXX8" s="72"/>
      <c r="LXY8" s="72"/>
      <c r="LXZ8" s="72"/>
      <c r="LYA8" s="72"/>
      <c r="LYB8" s="72"/>
      <c r="LYC8" s="72"/>
      <c r="LYD8" s="72"/>
      <c r="LYE8" s="72"/>
      <c r="LYF8" s="72"/>
      <c r="LYG8" s="72"/>
      <c r="LYH8" s="72"/>
      <c r="LYI8" s="72"/>
      <c r="LYJ8" s="72"/>
      <c r="LYK8" s="72"/>
      <c r="LYL8" s="72"/>
      <c r="LYM8" s="72"/>
      <c r="LYN8" s="72"/>
      <c r="LYO8" s="72"/>
      <c r="LYP8" s="72"/>
      <c r="LYQ8" s="72"/>
      <c r="LYR8" s="72"/>
      <c r="LYS8" s="72"/>
      <c r="LYT8" s="72"/>
      <c r="LYU8" s="72"/>
      <c r="LYV8" s="72"/>
      <c r="LYW8" s="72"/>
      <c r="LYX8" s="72"/>
      <c r="LYY8" s="72"/>
      <c r="LYZ8" s="72"/>
      <c r="LZA8" s="72"/>
      <c r="LZB8" s="72"/>
      <c r="LZC8" s="72"/>
      <c r="LZD8" s="72"/>
      <c r="LZE8" s="72"/>
      <c r="LZF8" s="72"/>
      <c r="LZG8" s="72"/>
      <c r="LZH8" s="72"/>
      <c r="LZI8" s="72"/>
      <c r="LZJ8" s="72"/>
      <c r="LZK8" s="72"/>
      <c r="LZL8" s="72"/>
      <c r="LZM8" s="72"/>
      <c r="LZN8" s="72"/>
      <c r="LZO8" s="72"/>
      <c r="LZP8" s="72"/>
      <c r="LZQ8" s="72"/>
      <c r="LZR8" s="72"/>
      <c r="LZS8" s="72"/>
      <c r="LZT8" s="72"/>
      <c r="LZU8" s="72"/>
      <c r="LZV8" s="72"/>
      <c r="LZW8" s="72"/>
      <c r="LZX8" s="72"/>
      <c r="LZY8" s="72"/>
      <c r="LZZ8" s="72"/>
      <c r="MAA8" s="72"/>
      <c r="MAB8" s="72"/>
      <c r="MAC8" s="72"/>
      <c r="MAD8" s="72"/>
      <c r="MAE8" s="72"/>
      <c r="MAF8" s="72"/>
      <c r="MAG8" s="72"/>
      <c r="MAH8" s="72"/>
      <c r="MAI8" s="72"/>
      <c r="MAJ8" s="72"/>
      <c r="MAK8" s="72"/>
      <c r="MAL8" s="72"/>
      <c r="MAM8" s="72"/>
      <c r="MAN8" s="72"/>
      <c r="MAO8" s="72"/>
      <c r="MAP8" s="72"/>
      <c r="MAQ8" s="72"/>
      <c r="MAR8" s="72"/>
      <c r="MAS8" s="72"/>
      <c r="MAT8" s="72"/>
      <c r="MAU8" s="72"/>
      <c r="MAV8" s="72"/>
      <c r="MAW8" s="72"/>
      <c r="MAX8" s="72"/>
      <c r="MAY8" s="72"/>
      <c r="MAZ8" s="72"/>
      <c r="MBA8" s="72"/>
      <c r="MBB8" s="72"/>
      <c r="MBC8" s="72"/>
      <c r="MBD8" s="72"/>
      <c r="MBE8" s="72"/>
      <c r="MBF8" s="72"/>
      <c r="MBG8" s="72"/>
      <c r="MBH8" s="72"/>
      <c r="MBI8" s="72"/>
      <c r="MBJ8" s="72"/>
      <c r="MBK8" s="72"/>
      <c r="MBL8" s="72"/>
      <c r="MBM8" s="72"/>
      <c r="MBN8" s="72"/>
      <c r="MBO8" s="72"/>
      <c r="MBP8" s="72"/>
      <c r="MBQ8" s="72"/>
      <c r="MBR8" s="72"/>
      <c r="MBS8" s="72"/>
      <c r="MBT8" s="72"/>
      <c r="MBU8" s="72"/>
      <c r="MBV8" s="72"/>
      <c r="MBW8" s="72"/>
      <c r="MBX8" s="72"/>
      <c r="MBY8" s="72"/>
      <c r="MBZ8" s="72"/>
      <c r="MCA8" s="72"/>
      <c r="MCB8" s="72"/>
      <c r="MCC8" s="72"/>
      <c r="MCD8" s="72"/>
      <c r="MCE8" s="72"/>
      <c r="MCF8" s="72"/>
      <c r="MCG8" s="72"/>
      <c r="MCH8" s="72"/>
      <c r="MCI8" s="72"/>
      <c r="MCJ8" s="72"/>
      <c r="MCK8" s="72"/>
      <c r="MCL8" s="72"/>
      <c r="MCM8" s="72"/>
      <c r="MCN8" s="72"/>
      <c r="MCO8" s="72"/>
      <c r="MCP8" s="72"/>
      <c r="MCQ8" s="72"/>
      <c r="MCR8" s="72"/>
      <c r="MCS8" s="72"/>
      <c r="MCT8" s="72"/>
      <c r="MCU8" s="72"/>
      <c r="MCV8" s="72"/>
      <c r="MCW8" s="72"/>
      <c r="MCX8" s="72"/>
      <c r="MCY8" s="72"/>
      <c r="MCZ8" s="72"/>
      <c r="MDA8" s="72"/>
      <c r="MDB8" s="72"/>
      <c r="MDC8" s="72"/>
      <c r="MDD8" s="72"/>
      <c r="MDE8" s="72"/>
      <c r="MDF8" s="72"/>
      <c r="MDG8" s="72"/>
      <c r="MDH8" s="72"/>
      <c r="MDI8" s="72"/>
      <c r="MDJ8" s="72"/>
      <c r="MDK8" s="72"/>
      <c r="MDL8" s="72"/>
      <c r="MDM8" s="72"/>
      <c r="MDN8" s="72"/>
      <c r="MDO8" s="72"/>
      <c r="MDP8" s="72"/>
      <c r="MDQ8" s="72"/>
      <c r="MDR8" s="72"/>
      <c r="MDS8" s="72"/>
      <c r="MDT8" s="72"/>
      <c r="MDU8" s="72"/>
      <c r="MDV8" s="72"/>
      <c r="MDW8" s="72"/>
      <c r="MDX8" s="72"/>
      <c r="MDY8" s="72"/>
      <c r="MDZ8" s="72"/>
      <c r="MEA8" s="72"/>
      <c r="MEB8" s="72"/>
      <c r="MEC8" s="72"/>
      <c r="MED8" s="72"/>
      <c r="MEE8" s="72"/>
      <c r="MEF8" s="72"/>
      <c r="MEG8" s="72"/>
      <c r="MEH8" s="72"/>
      <c r="MEI8" s="72"/>
      <c r="MEJ8" s="72"/>
      <c r="MEK8" s="72"/>
      <c r="MEL8" s="72"/>
      <c r="MEM8" s="72"/>
      <c r="MEN8" s="72"/>
      <c r="MEO8" s="72"/>
      <c r="MEP8" s="72"/>
      <c r="MEQ8" s="72"/>
      <c r="MER8" s="72"/>
      <c r="MES8" s="72"/>
      <c r="MET8" s="72"/>
      <c r="MEU8" s="72"/>
      <c r="MEV8" s="72"/>
      <c r="MEW8" s="72"/>
      <c r="MEX8" s="72"/>
      <c r="MEY8" s="72"/>
      <c r="MEZ8" s="72"/>
      <c r="MFA8" s="72"/>
      <c r="MFB8" s="72"/>
      <c r="MFC8" s="72"/>
      <c r="MFD8" s="72"/>
      <c r="MFE8" s="72"/>
      <c r="MFF8" s="72"/>
      <c r="MFG8" s="72"/>
      <c r="MFH8" s="72"/>
      <c r="MFI8" s="72"/>
      <c r="MFJ8" s="72"/>
      <c r="MFK8" s="72"/>
      <c r="MFL8" s="72"/>
      <c r="MFM8" s="72"/>
      <c r="MFN8" s="72"/>
      <c r="MFO8" s="72"/>
      <c r="MFP8" s="72"/>
      <c r="MFQ8" s="72"/>
      <c r="MFR8" s="72"/>
      <c r="MFS8" s="72"/>
      <c r="MFT8" s="72"/>
      <c r="MFU8" s="72"/>
      <c r="MFV8" s="72"/>
      <c r="MFW8" s="72"/>
      <c r="MFX8" s="72"/>
      <c r="MFY8" s="72"/>
      <c r="MFZ8" s="72"/>
      <c r="MGA8" s="72"/>
      <c r="MGB8" s="72"/>
      <c r="MGC8" s="72"/>
      <c r="MGD8" s="72"/>
      <c r="MGE8" s="72"/>
      <c r="MGF8" s="72"/>
      <c r="MGG8" s="72"/>
      <c r="MGH8" s="72"/>
      <c r="MGI8" s="72"/>
      <c r="MGJ8" s="72"/>
      <c r="MGK8" s="72"/>
      <c r="MGL8" s="72"/>
      <c r="MGM8" s="72"/>
      <c r="MGN8" s="72"/>
      <c r="MGO8" s="72"/>
      <c r="MGP8" s="72"/>
      <c r="MGQ8" s="72"/>
      <c r="MGR8" s="72"/>
      <c r="MGS8" s="72"/>
      <c r="MGT8" s="72"/>
      <c r="MGU8" s="72"/>
      <c r="MGV8" s="72"/>
      <c r="MGW8" s="72"/>
      <c r="MGX8" s="72"/>
      <c r="MGY8" s="72"/>
      <c r="MGZ8" s="72"/>
      <c r="MHA8" s="72"/>
      <c r="MHB8" s="72"/>
      <c r="MHC8" s="72"/>
      <c r="MHD8" s="72"/>
      <c r="MHE8" s="72"/>
      <c r="MHF8" s="72"/>
      <c r="MHG8" s="72"/>
      <c r="MHH8" s="72"/>
      <c r="MHI8" s="72"/>
      <c r="MHJ8" s="72"/>
      <c r="MHK8" s="72"/>
      <c r="MHL8" s="72"/>
      <c r="MHM8" s="72"/>
      <c r="MHN8" s="72"/>
      <c r="MHO8" s="72"/>
      <c r="MHP8" s="72"/>
      <c r="MHQ8" s="72"/>
      <c r="MHR8" s="72"/>
      <c r="MHS8" s="72"/>
      <c r="MHT8" s="72"/>
      <c r="MHU8" s="72"/>
      <c r="MHV8" s="72"/>
      <c r="MHW8" s="72"/>
      <c r="MHX8" s="72"/>
      <c r="MHY8" s="72"/>
      <c r="MHZ8" s="72"/>
      <c r="MIA8" s="72"/>
      <c r="MIB8" s="72"/>
      <c r="MIC8" s="72"/>
      <c r="MID8" s="72"/>
      <c r="MIE8" s="72"/>
      <c r="MIF8" s="72"/>
      <c r="MIG8" s="72"/>
      <c r="MIH8" s="72"/>
      <c r="MII8" s="72"/>
      <c r="MIJ8" s="72"/>
      <c r="MIK8" s="72"/>
      <c r="MIL8" s="72"/>
      <c r="MIM8" s="72"/>
      <c r="MIN8" s="72"/>
      <c r="MIO8" s="72"/>
      <c r="MIP8" s="72"/>
      <c r="MIQ8" s="72"/>
      <c r="MIR8" s="72"/>
      <c r="MIS8" s="72"/>
      <c r="MIT8" s="72"/>
      <c r="MIU8" s="72"/>
      <c r="MIV8" s="72"/>
      <c r="MIW8" s="72"/>
      <c r="MIX8" s="72"/>
      <c r="MIY8" s="72"/>
      <c r="MIZ8" s="72"/>
      <c r="MJA8" s="72"/>
      <c r="MJB8" s="72"/>
      <c r="MJC8" s="72"/>
      <c r="MJD8" s="72"/>
      <c r="MJE8" s="72"/>
      <c r="MJF8" s="72"/>
      <c r="MJG8" s="72"/>
      <c r="MJH8" s="72"/>
      <c r="MJI8" s="72"/>
      <c r="MJJ8" s="72"/>
      <c r="MJK8" s="72"/>
      <c r="MJL8" s="72"/>
      <c r="MJM8" s="72"/>
      <c r="MJN8" s="72"/>
      <c r="MJO8" s="72"/>
      <c r="MJP8" s="72"/>
      <c r="MJQ8" s="72"/>
      <c r="MJR8" s="72"/>
      <c r="MJS8" s="72"/>
      <c r="MJT8" s="72"/>
      <c r="MJU8" s="72"/>
      <c r="MJV8" s="72"/>
      <c r="MJW8" s="72"/>
      <c r="MJX8" s="72"/>
      <c r="MJY8" s="72"/>
      <c r="MJZ8" s="72"/>
      <c r="MKA8" s="72"/>
      <c r="MKB8" s="72"/>
      <c r="MKC8" s="72"/>
      <c r="MKD8" s="72"/>
      <c r="MKE8" s="72"/>
      <c r="MKF8" s="72"/>
      <c r="MKG8" s="72"/>
      <c r="MKH8" s="72"/>
      <c r="MKI8" s="72"/>
      <c r="MKJ8" s="72"/>
      <c r="MKK8" s="72"/>
      <c r="MKL8" s="72"/>
      <c r="MKM8" s="72"/>
      <c r="MKN8" s="72"/>
      <c r="MKO8" s="72"/>
      <c r="MKP8" s="72"/>
      <c r="MKQ8" s="72"/>
      <c r="MKR8" s="72"/>
      <c r="MKS8" s="72"/>
      <c r="MKT8" s="72"/>
      <c r="MKU8" s="72"/>
      <c r="MKV8" s="72"/>
      <c r="MKW8" s="72"/>
      <c r="MKX8" s="72"/>
      <c r="MKY8" s="72"/>
      <c r="MKZ8" s="72"/>
      <c r="MLA8" s="72"/>
      <c r="MLB8" s="72"/>
      <c r="MLC8" s="72"/>
      <c r="MLD8" s="72"/>
      <c r="MLE8" s="72"/>
      <c r="MLF8" s="72"/>
      <c r="MLG8" s="72"/>
      <c r="MLH8" s="72"/>
      <c r="MLI8" s="72"/>
      <c r="MLJ8" s="72"/>
      <c r="MLK8" s="72"/>
      <c r="MLL8" s="72"/>
      <c r="MLM8" s="72"/>
      <c r="MLN8" s="72"/>
      <c r="MLO8" s="72"/>
      <c r="MLP8" s="72"/>
      <c r="MLQ8" s="72"/>
      <c r="MLR8" s="72"/>
      <c r="MLS8" s="72"/>
      <c r="MLT8" s="72"/>
      <c r="MLU8" s="72"/>
      <c r="MLV8" s="72"/>
      <c r="MLW8" s="72"/>
      <c r="MLX8" s="72"/>
      <c r="MLY8" s="72"/>
      <c r="MLZ8" s="72"/>
      <c r="MMA8" s="72"/>
      <c r="MMB8" s="72"/>
      <c r="MMC8" s="72"/>
      <c r="MMD8" s="72"/>
      <c r="MME8" s="72"/>
      <c r="MMF8" s="72"/>
      <c r="MMG8" s="72"/>
      <c r="MMH8" s="72"/>
      <c r="MMI8" s="72"/>
      <c r="MMJ8" s="72"/>
      <c r="MMK8" s="72"/>
      <c r="MML8" s="72"/>
      <c r="MMM8" s="72"/>
      <c r="MMN8" s="72"/>
      <c r="MMO8" s="72"/>
      <c r="MMP8" s="72"/>
      <c r="MMQ8" s="72"/>
      <c r="MMR8" s="72"/>
      <c r="MMS8" s="72"/>
      <c r="MMT8" s="72"/>
      <c r="MMU8" s="72"/>
      <c r="MMV8" s="72"/>
      <c r="MMW8" s="72"/>
      <c r="MMX8" s="72"/>
      <c r="MMY8" s="72"/>
      <c r="MMZ8" s="72"/>
      <c r="MNA8" s="72"/>
      <c r="MNB8" s="72"/>
      <c r="MNC8" s="72"/>
      <c r="MND8" s="72"/>
      <c r="MNE8" s="72"/>
      <c r="MNF8" s="72"/>
      <c r="MNG8" s="72"/>
      <c r="MNH8" s="72"/>
      <c r="MNI8" s="72"/>
      <c r="MNJ8" s="72"/>
      <c r="MNK8" s="72"/>
      <c r="MNL8" s="72"/>
      <c r="MNM8" s="72"/>
      <c r="MNN8" s="72"/>
      <c r="MNO8" s="72"/>
      <c r="MNP8" s="72"/>
      <c r="MNQ8" s="72"/>
      <c r="MNR8" s="72"/>
      <c r="MNS8" s="72"/>
      <c r="MNT8" s="72"/>
      <c r="MNU8" s="72"/>
      <c r="MNV8" s="72"/>
      <c r="MNW8" s="72"/>
      <c r="MNX8" s="72"/>
      <c r="MNY8" s="72"/>
      <c r="MNZ8" s="72"/>
      <c r="MOA8" s="72"/>
      <c r="MOB8" s="72"/>
      <c r="MOC8" s="72"/>
      <c r="MOD8" s="72"/>
      <c r="MOE8" s="72"/>
      <c r="MOF8" s="72"/>
      <c r="MOG8" s="72"/>
      <c r="MOH8" s="72"/>
      <c r="MOI8" s="72"/>
      <c r="MOJ8" s="72"/>
      <c r="MOK8" s="72"/>
      <c r="MOL8" s="72"/>
      <c r="MOM8" s="72"/>
      <c r="MON8" s="72"/>
      <c r="MOO8" s="72"/>
      <c r="MOP8" s="72"/>
      <c r="MOQ8" s="72"/>
      <c r="MOR8" s="72"/>
      <c r="MOS8" s="72"/>
      <c r="MOT8" s="72"/>
      <c r="MOU8" s="72"/>
      <c r="MOV8" s="72"/>
      <c r="MOW8" s="72"/>
      <c r="MOX8" s="72"/>
      <c r="MOY8" s="72"/>
      <c r="MOZ8" s="72"/>
      <c r="MPA8" s="72"/>
      <c r="MPB8" s="72"/>
      <c r="MPC8" s="72"/>
      <c r="MPD8" s="72"/>
      <c r="MPE8" s="72"/>
      <c r="MPF8" s="72"/>
      <c r="MPG8" s="72"/>
      <c r="MPH8" s="72"/>
      <c r="MPI8" s="72"/>
      <c r="MPJ8" s="72"/>
      <c r="MPK8" s="72"/>
      <c r="MPL8" s="72"/>
      <c r="MPM8" s="72"/>
      <c r="MPN8" s="72"/>
      <c r="MPO8" s="72"/>
      <c r="MPP8" s="72"/>
      <c r="MPQ8" s="72"/>
      <c r="MPR8" s="72"/>
      <c r="MPS8" s="72"/>
      <c r="MPT8" s="72"/>
      <c r="MPU8" s="72"/>
      <c r="MPV8" s="72"/>
      <c r="MPW8" s="72"/>
      <c r="MPX8" s="72"/>
      <c r="MPY8" s="72"/>
      <c r="MPZ8" s="72"/>
      <c r="MQA8" s="72"/>
      <c r="MQB8" s="72"/>
      <c r="MQC8" s="72"/>
      <c r="MQD8" s="72"/>
      <c r="MQE8" s="72"/>
      <c r="MQF8" s="72"/>
      <c r="MQG8" s="72"/>
      <c r="MQH8" s="72"/>
      <c r="MQI8" s="72"/>
      <c r="MQJ8" s="72"/>
      <c r="MQK8" s="72"/>
      <c r="MQL8" s="72"/>
      <c r="MQM8" s="72"/>
      <c r="MQN8" s="72"/>
      <c r="MQO8" s="72"/>
      <c r="MQP8" s="72"/>
      <c r="MQQ8" s="72"/>
      <c r="MQR8" s="72"/>
      <c r="MQS8" s="72"/>
      <c r="MQT8" s="72"/>
      <c r="MQU8" s="72"/>
      <c r="MQV8" s="72"/>
      <c r="MQW8" s="72"/>
      <c r="MQX8" s="72"/>
      <c r="MQY8" s="72"/>
      <c r="MQZ8" s="72"/>
      <c r="MRA8" s="72"/>
      <c r="MRB8" s="72"/>
      <c r="MRC8" s="72"/>
      <c r="MRD8" s="72"/>
      <c r="MRE8" s="72"/>
      <c r="MRF8" s="72"/>
      <c r="MRG8" s="72"/>
      <c r="MRH8" s="72"/>
      <c r="MRI8" s="72"/>
      <c r="MRJ8" s="72"/>
      <c r="MRK8" s="72"/>
      <c r="MRL8" s="72"/>
      <c r="MRM8" s="72"/>
      <c r="MRN8" s="72"/>
      <c r="MRO8" s="72"/>
      <c r="MRP8" s="72"/>
      <c r="MRQ8" s="72"/>
      <c r="MRR8" s="72"/>
      <c r="MRS8" s="72"/>
      <c r="MRT8" s="72"/>
      <c r="MRU8" s="72"/>
      <c r="MRV8" s="72"/>
      <c r="MRW8" s="72"/>
      <c r="MRX8" s="72"/>
      <c r="MRY8" s="72"/>
      <c r="MRZ8" s="72"/>
      <c r="MSA8" s="72"/>
      <c r="MSB8" s="72"/>
      <c r="MSC8" s="72"/>
      <c r="MSD8" s="72"/>
      <c r="MSE8" s="72"/>
      <c r="MSF8" s="72"/>
      <c r="MSG8" s="72"/>
      <c r="MSH8" s="72"/>
      <c r="MSI8" s="72"/>
      <c r="MSJ8" s="72"/>
      <c r="MSK8" s="72"/>
      <c r="MSL8" s="72"/>
      <c r="MSM8" s="72"/>
      <c r="MSN8" s="72"/>
      <c r="MSO8" s="72"/>
      <c r="MSP8" s="72"/>
      <c r="MSQ8" s="72"/>
      <c r="MSR8" s="72"/>
      <c r="MSS8" s="72"/>
      <c r="MST8" s="72"/>
      <c r="MSU8" s="72"/>
      <c r="MSV8" s="72"/>
      <c r="MSW8" s="72"/>
      <c r="MSX8" s="72"/>
      <c r="MSY8" s="72"/>
      <c r="MSZ8" s="72"/>
      <c r="MTA8" s="72"/>
      <c r="MTB8" s="72"/>
      <c r="MTC8" s="72"/>
      <c r="MTD8" s="72"/>
      <c r="MTE8" s="72"/>
      <c r="MTF8" s="72"/>
      <c r="MTG8" s="72"/>
      <c r="MTH8" s="72"/>
      <c r="MTI8" s="72"/>
      <c r="MTJ8" s="72"/>
      <c r="MTK8" s="72"/>
      <c r="MTL8" s="72"/>
      <c r="MTM8" s="72"/>
      <c r="MTN8" s="72"/>
      <c r="MTO8" s="72"/>
      <c r="MTP8" s="72"/>
      <c r="MTQ8" s="72"/>
      <c r="MTR8" s="72"/>
      <c r="MTS8" s="72"/>
      <c r="MTT8" s="72"/>
      <c r="MTU8" s="72"/>
      <c r="MTV8" s="72"/>
      <c r="MTW8" s="72"/>
      <c r="MTX8" s="72"/>
      <c r="MTY8" s="72"/>
      <c r="MTZ8" s="72"/>
      <c r="MUA8" s="72"/>
      <c r="MUB8" s="72"/>
      <c r="MUC8" s="72"/>
      <c r="MUD8" s="72"/>
      <c r="MUE8" s="72"/>
      <c r="MUF8" s="72"/>
      <c r="MUG8" s="72"/>
      <c r="MUH8" s="72"/>
      <c r="MUI8" s="72"/>
      <c r="MUJ8" s="72"/>
      <c r="MUK8" s="72"/>
      <c r="MUL8" s="72"/>
      <c r="MUM8" s="72"/>
      <c r="MUN8" s="72"/>
      <c r="MUO8" s="72"/>
      <c r="MUP8" s="72"/>
      <c r="MUQ8" s="72"/>
      <c r="MUR8" s="72"/>
      <c r="MUS8" s="72"/>
      <c r="MUT8" s="72"/>
      <c r="MUU8" s="72"/>
      <c r="MUV8" s="72"/>
      <c r="MUW8" s="72"/>
      <c r="MUX8" s="72"/>
      <c r="MUY8" s="72"/>
      <c r="MUZ8" s="72"/>
      <c r="MVA8" s="72"/>
      <c r="MVB8" s="72"/>
      <c r="MVC8" s="72"/>
      <c r="MVD8" s="72"/>
      <c r="MVE8" s="72"/>
      <c r="MVF8" s="72"/>
      <c r="MVG8" s="72"/>
      <c r="MVH8" s="72"/>
      <c r="MVI8" s="72"/>
      <c r="MVJ8" s="72"/>
      <c r="MVK8" s="72"/>
      <c r="MVL8" s="72"/>
      <c r="MVM8" s="72"/>
      <c r="MVN8" s="72"/>
      <c r="MVO8" s="72"/>
      <c r="MVP8" s="72"/>
      <c r="MVQ8" s="72"/>
      <c r="MVR8" s="72"/>
      <c r="MVS8" s="72"/>
      <c r="MVT8" s="72"/>
      <c r="MVU8" s="72"/>
      <c r="MVV8" s="72"/>
      <c r="MVW8" s="72"/>
      <c r="MVX8" s="72"/>
      <c r="MVY8" s="72"/>
      <c r="MVZ8" s="72"/>
      <c r="MWA8" s="72"/>
      <c r="MWB8" s="72"/>
      <c r="MWC8" s="72"/>
      <c r="MWD8" s="72"/>
      <c r="MWE8" s="72"/>
      <c r="MWF8" s="72"/>
      <c r="MWG8" s="72"/>
      <c r="MWH8" s="72"/>
      <c r="MWI8" s="72"/>
      <c r="MWJ8" s="72"/>
      <c r="MWK8" s="72"/>
      <c r="MWL8" s="72"/>
      <c r="MWM8" s="72"/>
      <c r="MWN8" s="72"/>
      <c r="MWO8" s="72"/>
      <c r="MWP8" s="72"/>
      <c r="MWQ8" s="72"/>
      <c r="MWR8" s="72"/>
      <c r="MWS8" s="72"/>
      <c r="MWT8" s="72"/>
      <c r="MWU8" s="72"/>
      <c r="MWV8" s="72"/>
      <c r="MWW8" s="72"/>
      <c r="MWX8" s="72"/>
      <c r="MWY8" s="72"/>
      <c r="MWZ8" s="72"/>
      <c r="MXA8" s="72"/>
      <c r="MXB8" s="72"/>
      <c r="MXC8" s="72"/>
      <c r="MXD8" s="72"/>
      <c r="MXE8" s="72"/>
      <c r="MXF8" s="72"/>
      <c r="MXG8" s="72"/>
      <c r="MXH8" s="72"/>
      <c r="MXI8" s="72"/>
      <c r="MXJ8" s="72"/>
      <c r="MXK8" s="72"/>
      <c r="MXL8" s="72"/>
      <c r="MXM8" s="72"/>
      <c r="MXN8" s="72"/>
      <c r="MXO8" s="72"/>
      <c r="MXP8" s="72"/>
      <c r="MXQ8" s="72"/>
      <c r="MXR8" s="72"/>
      <c r="MXS8" s="72"/>
      <c r="MXT8" s="72"/>
      <c r="MXU8" s="72"/>
      <c r="MXV8" s="72"/>
      <c r="MXW8" s="72"/>
      <c r="MXX8" s="72"/>
      <c r="MXY8" s="72"/>
      <c r="MXZ8" s="72"/>
      <c r="MYA8" s="72"/>
      <c r="MYB8" s="72"/>
      <c r="MYC8" s="72"/>
      <c r="MYD8" s="72"/>
      <c r="MYE8" s="72"/>
      <c r="MYF8" s="72"/>
      <c r="MYG8" s="72"/>
      <c r="MYH8" s="72"/>
      <c r="MYI8" s="72"/>
      <c r="MYJ8" s="72"/>
      <c r="MYK8" s="72"/>
      <c r="MYL8" s="72"/>
      <c r="MYM8" s="72"/>
      <c r="MYN8" s="72"/>
      <c r="MYO8" s="72"/>
      <c r="MYP8" s="72"/>
      <c r="MYQ8" s="72"/>
      <c r="MYR8" s="72"/>
      <c r="MYS8" s="72"/>
      <c r="MYT8" s="72"/>
      <c r="MYU8" s="72"/>
      <c r="MYV8" s="72"/>
      <c r="MYW8" s="72"/>
      <c r="MYX8" s="72"/>
      <c r="MYY8" s="72"/>
      <c r="MYZ8" s="72"/>
      <c r="MZA8" s="72"/>
      <c r="MZB8" s="72"/>
      <c r="MZC8" s="72"/>
      <c r="MZD8" s="72"/>
      <c r="MZE8" s="72"/>
      <c r="MZF8" s="72"/>
      <c r="MZG8" s="72"/>
      <c r="MZH8" s="72"/>
      <c r="MZI8" s="72"/>
      <c r="MZJ8" s="72"/>
      <c r="MZK8" s="72"/>
      <c r="MZL8" s="72"/>
      <c r="MZM8" s="72"/>
      <c r="MZN8" s="72"/>
      <c r="MZO8" s="72"/>
      <c r="MZP8" s="72"/>
      <c r="MZQ8" s="72"/>
      <c r="MZR8" s="72"/>
      <c r="MZS8" s="72"/>
      <c r="MZT8" s="72"/>
      <c r="MZU8" s="72"/>
      <c r="MZV8" s="72"/>
      <c r="MZW8" s="72"/>
      <c r="MZX8" s="72"/>
      <c r="MZY8" s="72"/>
      <c r="MZZ8" s="72"/>
      <c r="NAA8" s="72"/>
      <c r="NAB8" s="72"/>
      <c r="NAC8" s="72"/>
      <c r="NAD8" s="72"/>
      <c r="NAE8" s="72"/>
      <c r="NAF8" s="72"/>
      <c r="NAG8" s="72"/>
      <c r="NAH8" s="72"/>
      <c r="NAI8" s="72"/>
      <c r="NAJ8" s="72"/>
      <c r="NAK8" s="72"/>
      <c r="NAL8" s="72"/>
      <c r="NAM8" s="72"/>
      <c r="NAN8" s="72"/>
      <c r="NAO8" s="72"/>
      <c r="NAP8" s="72"/>
      <c r="NAQ8" s="72"/>
      <c r="NAR8" s="72"/>
      <c r="NAS8" s="72"/>
      <c r="NAT8" s="72"/>
      <c r="NAU8" s="72"/>
      <c r="NAV8" s="72"/>
      <c r="NAW8" s="72"/>
      <c r="NAX8" s="72"/>
      <c r="NAY8" s="72"/>
      <c r="NAZ8" s="72"/>
      <c r="NBA8" s="72"/>
      <c r="NBB8" s="72"/>
      <c r="NBC8" s="72"/>
      <c r="NBD8" s="72"/>
      <c r="NBE8" s="72"/>
      <c r="NBF8" s="72"/>
      <c r="NBG8" s="72"/>
      <c r="NBH8" s="72"/>
      <c r="NBI8" s="72"/>
      <c r="NBJ8" s="72"/>
      <c r="NBK8" s="72"/>
      <c r="NBL8" s="72"/>
      <c r="NBM8" s="72"/>
      <c r="NBN8" s="72"/>
      <c r="NBO8" s="72"/>
      <c r="NBP8" s="72"/>
      <c r="NBQ8" s="72"/>
      <c r="NBR8" s="72"/>
      <c r="NBS8" s="72"/>
      <c r="NBT8" s="72"/>
      <c r="NBU8" s="72"/>
      <c r="NBV8" s="72"/>
      <c r="NBW8" s="72"/>
      <c r="NBX8" s="72"/>
      <c r="NBY8" s="72"/>
      <c r="NBZ8" s="72"/>
      <c r="NCA8" s="72"/>
      <c r="NCB8" s="72"/>
      <c r="NCC8" s="72"/>
      <c r="NCD8" s="72"/>
      <c r="NCE8" s="72"/>
      <c r="NCF8" s="72"/>
      <c r="NCG8" s="72"/>
      <c r="NCH8" s="72"/>
      <c r="NCI8" s="72"/>
      <c r="NCJ8" s="72"/>
      <c r="NCK8" s="72"/>
      <c r="NCL8" s="72"/>
      <c r="NCM8" s="72"/>
      <c r="NCN8" s="72"/>
      <c r="NCO8" s="72"/>
      <c r="NCP8" s="72"/>
      <c r="NCQ8" s="72"/>
      <c r="NCR8" s="72"/>
      <c r="NCS8" s="72"/>
      <c r="NCT8" s="72"/>
      <c r="NCU8" s="72"/>
      <c r="NCV8" s="72"/>
      <c r="NCW8" s="72"/>
      <c r="NCX8" s="72"/>
      <c r="NCY8" s="72"/>
      <c r="NCZ8" s="72"/>
      <c r="NDA8" s="72"/>
      <c r="NDB8" s="72"/>
      <c r="NDC8" s="72"/>
      <c r="NDD8" s="72"/>
      <c r="NDE8" s="72"/>
      <c r="NDF8" s="72"/>
      <c r="NDG8" s="72"/>
      <c r="NDH8" s="72"/>
      <c r="NDI8" s="72"/>
      <c r="NDJ8" s="72"/>
      <c r="NDK8" s="72"/>
      <c r="NDL8" s="72"/>
      <c r="NDM8" s="72"/>
      <c r="NDN8" s="72"/>
      <c r="NDO8" s="72"/>
      <c r="NDP8" s="72"/>
      <c r="NDQ8" s="72"/>
      <c r="NDR8" s="72"/>
      <c r="NDS8" s="72"/>
      <c r="NDT8" s="72"/>
      <c r="NDU8" s="72"/>
      <c r="NDV8" s="72"/>
      <c r="NDW8" s="72"/>
      <c r="NDX8" s="72"/>
      <c r="NDY8" s="72"/>
      <c r="NDZ8" s="72"/>
      <c r="NEA8" s="72"/>
      <c r="NEB8" s="72"/>
      <c r="NEC8" s="72"/>
      <c r="NED8" s="72"/>
      <c r="NEE8" s="72"/>
      <c r="NEF8" s="72"/>
      <c r="NEG8" s="72"/>
      <c r="NEH8" s="72"/>
      <c r="NEI8" s="72"/>
      <c r="NEJ8" s="72"/>
      <c r="NEK8" s="72"/>
      <c r="NEL8" s="72"/>
      <c r="NEM8" s="72"/>
      <c r="NEN8" s="72"/>
      <c r="NEO8" s="72"/>
      <c r="NEP8" s="72"/>
      <c r="NEQ8" s="72"/>
      <c r="NER8" s="72"/>
      <c r="NES8" s="72"/>
      <c r="NET8" s="72"/>
      <c r="NEU8" s="72"/>
      <c r="NEV8" s="72"/>
      <c r="NEW8" s="72"/>
      <c r="NEX8" s="72"/>
      <c r="NEY8" s="72"/>
      <c r="NEZ8" s="72"/>
      <c r="NFA8" s="72"/>
      <c r="NFB8" s="72"/>
      <c r="NFC8" s="72"/>
      <c r="NFD8" s="72"/>
      <c r="NFE8" s="72"/>
      <c r="NFF8" s="72"/>
      <c r="NFG8" s="72"/>
      <c r="NFH8" s="72"/>
      <c r="NFI8" s="72"/>
      <c r="NFJ8" s="72"/>
      <c r="NFK8" s="72"/>
      <c r="NFL8" s="72"/>
      <c r="NFM8" s="72"/>
      <c r="NFN8" s="72"/>
      <c r="NFO8" s="72"/>
      <c r="NFP8" s="72"/>
      <c r="NFQ8" s="72"/>
      <c r="NFR8" s="72"/>
      <c r="NFS8" s="72"/>
      <c r="NFT8" s="72"/>
      <c r="NFU8" s="72"/>
      <c r="NFV8" s="72"/>
      <c r="NFW8" s="72"/>
      <c r="NFX8" s="72"/>
      <c r="NFY8" s="72"/>
      <c r="NFZ8" s="72"/>
      <c r="NGA8" s="72"/>
      <c r="NGB8" s="72"/>
      <c r="NGC8" s="72"/>
      <c r="NGD8" s="72"/>
      <c r="NGE8" s="72"/>
      <c r="NGF8" s="72"/>
      <c r="NGG8" s="72"/>
      <c r="NGH8" s="72"/>
      <c r="NGI8" s="72"/>
      <c r="NGJ8" s="72"/>
      <c r="NGK8" s="72"/>
      <c r="NGL8" s="72"/>
      <c r="NGM8" s="72"/>
      <c r="NGN8" s="72"/>
      <c r="NGO8" s="72"/>
      <c r="NGP8" s="72"/>
      <c r="NGQ8" s="72"/>
      <c r="NGR8" s="72"/>
      <c r="NGS8" s="72"/>
      <c r="NGT8" s="72"/>
      <c r="NGU8" s="72"/>
      <c r="NGV8" s="72"/>
      <c r="NGW8" s="72"/>
      <c r="NGX8" s="72"/>
      <c r="NGY8" s="72"/>
      <c r="NGZ8" s="72"/>
      <c r="NHA8" s="72"/>
      <c r="NHB8" s="72"/>
      <c r="NHC8" s="72"/>
      <c r="NHD8" s="72"/>
      <c r="NHE8" s="72"/>
      <c r="NHF8" s="72"/>
      <c r="NHG8" s="72"/>
      <c r="NHH8" s="72"/>
      <c r="NHI8" s="72"/>
      <c r="NHJ8" s="72"/>
      <c r="NHK8" s="72"/>
      <c r="NHL8" s="72"/>
      <c r="NHM8" s="72"/>
      <c r="NHN8" s="72"/>
      <c r="NHO8" s="72"/>
      <c r="NHP8" s="72"/>
      <c r="NHQ8" s="72"/>
      <c r="NHR8" s="72"/>
      <c r="NHS8" s="72"/>
      <c r="NHT8" s="72"/>
      <c r="NHU8" s="72"/>
      <c r="NHV8" s="72"/>
      <c r="NHW8" s="72"/>
      <c r="NHX8" s="72"/>
      <c r="NHY8" s="72"/>
      <c r="NHZ8" s="72"/>
      <c r="NIA8" s="72"/>
      <c r="NIB8" s="72"/>
      <c r="NIC8" s="72"/>
      <c r="NID8" s="72"/>
      <c r="NIE8" s="72"/>
      <c r="NIF8" s="72"/>
      <c r="NIG8" s="72"/>
      <c r="NIH8" s="72"/>
      <c r="NII8" s="72"/>
      <c r="NIJ8" s="72"/>
      <c r="NIK8" s="72"/>
      <c r="NIL8" s="72"/>
      <c r="NIM8" s="72"/>
      <c r="NIN8" s="72"/>
      <c r="NIO8" s="72"/>
      <c r="NIP8" s="72"/>
      <c r="NIQ8" s="72"/>
      <c r="NIR8" s="72"/>
      <c r="NIS8" s="72"/>
      <c r="NIT8" s="72"/>
      <c r="NIU8" s="72"/>
      <c r="NIV8" s="72"/>
      <c r="NIW8" s="72"/>
      <c r="NIX8" s="72"/>
      <c r="NIY8" s="72"/>
      <c r="NIZ8" s="72"/>
      <c r="NJA8" s="72"/>
      <c r="NJB8" s="72"/>
      <c r="NJC8" s="72"/>
      <c r="NJD8" s="72"/>
      <c r="NJE8" s="72"/>
      <c r="NJF8" s="72"/>
      <c r="NJG8" s="72"/>
      <c r="NJH8" s="72"/>
      <c r="NJI8" s="72"/>
      <c r="NJJ8" s="72"/>
      <c r="NJK8" s="72"/>
      <c r="NJL8" s="72"/>
      <c r="NJM8" s="72"/>
      <c r="NJN8" s="72"/>
      <c r="NJO8" s="72"/>
      <c r="NJP8" s="72"/>
      <c r="NJQ8" s="72"/>
      <c r="NJR8" s="72"/>
      <c r="NJS8" s="72"/>
      <c r="NJT8" s="72"/>
      <c r="NJU8" s="72"/>
      <c r="NJV8" s="72"/>
      <c r="NJW8" s="72"/>
      <c r="NJX8" s="72"/>
      <c r="NJY8" s="72"/>
      <c r="NJZ8" s="72"/>
      <c r="NKA8" s="72"/>
      <c r="NKB8" s="72"/>
      <c r="NKC8" s="72"/>
      <c r="NKD8" s="72"/>
      <c r="NKE8" s="72"/>
      <c r="NKF8" s="72"/>
      <c r="NKG8" s="72"/>
      <c r="NKH8" s="72"/>
      <c r="NKI8" s="72"/>
      <c r="NKJ8" s="72"/>
      <c r="NKK8" s="72"/>
      <c r="NKL8" s="72"/>
      <c r="NKM8" s="72"/>
      <c r="NKN8" s="72"/>
      <c r="NKO8" s="72"/>
      <c r="NKP8" s="72"/>
      <c r="NKQ8" s="72"/>
      <c r="NKR8" s="72"/>
      <c r="NKS8" s="72"/>
      <c r="NKT8" s="72"/>
      <c r="NKU8" s="72"/>
      <c r="NKV8" s="72"/>
      <c r="NKW8" s="72"/>
      <c r="NKX8" s="72"/>
      <c r="NKY8" s="72"/>
      <c r="NKZ8" s="72"/>
      <c r="NLA8" s="72"/>
      <c r="NLB8" s="72"/>
      <c r="NLC8" s="72"/>
      <c r="NLD8" s="72"/>
      <c r="NLE8" s="72"/>
      <c r="NLF8" s="72"/>
      <c r="NLG8" s="72"/>
      <c r="NLH8" s="72"/>
      <c r="NLI8" s="72"/>
      <c r="NLJ8" s="72"/>
      <c r="NLK8" s="72"/>
      <c r="NLL8" s="72"/>
      <c r="NLM8" s="72"/>
      <c r="NLN8" s="72"/>
      <c r="NLO8" s="72"/>
      <c r="NLP8" s="72"/>
      <c r="NLQ8" s="72"/>
      <c r="NLR8" s="72"/>
      <c r="NLS8" s="72"/>
      <c r="NLT8" s="72"/>
      <c r="NLU8" s="72"/>
      <c r="NLV8" s="72"/>
      <c r="NLW8" s="72"/>
      <c r="NLX8" s="72"/>
      <c r="NLY8" s="72"/>
      <c r="NLZ8" s="72"/>
      <c r="NMA8" s="72"/>
      <c r="NMB8" s="72"/>
      <c r="NMC8" s="72"/>
      <c r="NMD8" s="72"/>
      <c r="NME8" s="72"/>
      <c r="NMF8" s="72"/>
      <c r="NMG8" s="72"/>
      <c r="NMH8" s="72"/>
      <c r="NMI8" s="72"/>
      <c r="NMJ8" s="72"/>
      <c r="NMK8" s="72"/>
      <c r="NML8" s="72"/>
      <c r="NMM8" s="72"/>
      <c r="NMN8" s="72"/>
      <c r="NMO8" s="72"/>
      <c r="NMP8" s="72"/>
      <c r="NMQ8" s="72"/>
      <c r="NMR8" s="72"/>
      <c r="NMS8" s="72"/>
      <c r="NMT8" s="72"/>
      <c r="NMU8" s="72"/>
      <c r="NMV8" s="72"/>
      <c r="NMW8" s="72"/>
      <c r="NMX8" s="72"/>
      <c r="NMY8" s="72"/>
      <c r="NMZ8" s="72"/>
      <c r="NNA8" s="72"/>
      <c r="NNB8" s="72"/>
      <c r="NNC8" s="72"/>
      <c r="NND8" s="72"/>
      <c r="NNE8" s="72"/>
      <c r="NNF8" s="72"/>
      <c r="NNG8" s="72"/>
      <c r="NNH8" s="72"/>
      <c r="NNI8" s="72"/>
      <c r="NNJ8" s="72"/>
      <c r="NNK8" s="72"/>
      <c r="NNL8" s="72"/>
      <c r="NNM8" s="72"/>
      <c r="NNN8" s="72"/>
      <c r="NNO8" s="72"/>
      <c r="NNP8" s="72"/>
      <c r="NNQ8" s="72"/>
      <c r="NNR8" s="72"/>
      <c r="NNS8" s="72"/>
      <c r="NNT8" s="72"/>
      <c r="NNU8" s="72"/>
      <c r="NNV8" s="72"/>
      <c r="NNW8" s="72"/>
      <c r="NNX8" s="72"/>
      <c r="NNY8" s="72"/>
      <c r="NNZ8" s="72"/>
      <c r="NOA8" s="72"/>
      <c r="NOB8" s="72"/>
      <c r="NOC8" s="72"/>
      <c r="NOD8" s="72"/>
      <c r="NOE8" s="72"/>
      <c r="NOF8" s="72"/>
      <c r="NOG8" s="72"/>
      <c r="NOH8" s="72"/>
      <c r="NOI8" s="72"/>
      <c r="NOJ8" s="72"/>
      <c r="NOK8" s="72"/>
      <c r="NOL8" s="72"/>
      <c r="NOM8" s="72"/>
      <c r="NON8" s="72"/>
      <c r="NOO8" s="72"/>
      <c r="NOP8" s="72"/>
      <c r="NOQ8" s="72"/>
      <c r="NOR8" s="72"/>
      <c r="NOS8" s="72"/>
      <c r="NOT8" s="72"/>
      <c r="NOU8" s="72"/>
      <c r="NOV8" s="72"/>
      <c r="NOW8" s="72"/>
      <c r="NOX8" s="72"/>
      <c r="NOY8" s="72"/>
      <c r="NOZ8" s="72"/>
      <c r="NPA8" s="72"/>
      <c r="NPB8" s="72"/>
      <c r="NPC8" s="72"/>
      <c r="NPD8" s="72"/>
      <c r="NPE8" s="72"/>
      <c r="NPF8" s="72"/>
      <c r="NPG8" s="72"/>
      <c r="NPH8" s="72"/>
      <c r="NPI8" s="72"/>
      <c r="NPJ8" s="72"/>
      <c r="NPK8" s="72"/>
      <c r="NPL8" s="72"/>
      <c r="NPM8" s="72"/>
      <c r="NPN8" s="72"/>
      <c r="NPO8" s="72"/>
      <c r="NPP8" s="72"/>
      <c r="NPQ8" s="72"/>
      <c r="NPR8" s="72"/>
      <c r="NPS8" s="72"/>
      <c r="NPT8" s="72"/>
      <c r="NPU8" s="72"/>
      <c r="NPV8" s="72"/>
      <c r="NPW8" s="72"/>
      <c r="NPX8" s="72"/>
      <c r="NPY8" s="72"/>
      <c r="NPZ8" s="72"/>
      <c r="NQA8" s="72"/>
      <c r="NQB8" s="72"/>
      <c r="NQC8" s="72"/>
      <c r="NQD8" s="72"/>
      <c r="NQE8" s="72"/>
      <c r="NQF8" s="72"/>
      <c r="NQG8" s="72"/>
      <c r="NQH8" s="72"/>
      <c r="NQI8" s="72"/>
      <c r="NQJ8" s="72"/>
      <c r="NQK8" s="72"/>
      <c r="NQL8" s="72"/>
      <c r="NQM8" s="72"/>
      <c r="NQN8" s="72"/>
      <c r="NQO8" s="72"/>
      <c r="NQP8" s="72"/>
      <c r="NQQ8" s="72"/>
      <c r="NQR8" s="72"/>
      <c r="NQS8" s="72"/>
      <c r="NQT8" s="72"/>
      <c r="NQU8" s="72"/>
      <c r="NQV8" s="72"/>
      <c r="NQW8" s="72"/>
      <c r="NQX8" s="72"/>
      <c r="NQY8" s="72"/>
      <c r="NQZ8" s="72"/>
      <c r="NRA8" s="72"/>
      <c r="NRB8" s="72"/>
      <c r="NRC8" s="72"/>
      <c r="NRD8" s="72"/>
      <c r="NRE8" s="72"/>
      <c r="NRF8" s="72"/>
      <c r="NRG8" s="72"/>
      <c r="NRH8" s="72"/>
      <c r="NRI8" s="72"/>
      <c r="NRJ8" s="72"/>
      <c r="NRK8" s="72"/>
      <c r="NRL8" s="72"/>
      <c r="NRM8" s="72"/>
      <c r="NRN8" s="72"/>
      <c r="NRO8" s="72"/>
      <c r="NRP8" s="72"/>
      <c r="NRQ8" s="72"/>
      <c r="NRR8" s="72"/>
      <c r="NRS8" s="72"/>
      <c r="NRT8" s="72"/>
      <c r="NRU8" s="72"/>
      <c r="NRV8" s="72"/>
      <c r="NRW8" s="72"/>
      <c r="NRX8" s="72"/>
      <c r="NRY8" s="72"/>
      <c r="NRZ8" s="72"/>
      <c r="NSA8" s="72"/>
      <c r="NSB8" s="72"/>
      <c r="NSC8" s="72"/>
      <c r="NSD8" s="72"/>
      <c r="NSE8" s="72"/>
      <c r="NSF8" s="72"/>
      <c r="NSG8" s="72"/>
      <c r="NSH8" s="72"/>
      <c r="NSI8" s="72"/>
      <c r="NSJ8" s="72"/>
      <c r="NSK8" s="72"/>
      <c r="NSL8" s="72"/>
      <c r="NSM8" s="72"/>
      <c r="NSN8" s="72"/>
      <c r="NSO8" s="72"/>
      <c r="NSP8" s="72"/>
      <c r="NSQ8" s="72"/>
      <c r="NSR8" s="72"/>
      <c r="NSS8" s="72"/>
      <c r="NST8" s="72"/>
      <c r="NSU8" s="72"/>
      <c r="NSV8" s="72"/>
      <c r="NSW8" s="72"/>
      <c r="NSX8" s="72"/>
      <c r="NSY8" s="72"/>
      <c r="NSZ8" s="72"/>
      <c r="NTA8" s="72"/>
      <c r="NTB8" s="72"/>
      <c r="NTC8" s="72"/>
      <c r="NTD8" s="72"/>
      <c r="NTE8" s="72"/>
      <c r="NTF8" s="72"/>
      <c r="NTG8" s="72"/>
      <c r="NTH8" s="72"/>
      <c r="NTI8" s="72"/>
      <c r="NTJ8" s="72"/>
      <c r="NTK8" s="72"/>
      <c r="NTL8" s="72"/>
      <c r="NTM8" s="72"/>
      <c r="NTN8" s="72"/>
      <c r="NTO8" s="72"/>
      <c r="NTP8" s="72"/>
      <c r="NTQ8" s="72"/>
      <c r="NTR8" s="72"/>
      <c r="NTS8" s="72"/>
      <c r="NTT8" s="72"/>
      <c r="NTU8" s="72"/>
      <c r="NTV8" s="72"/>
      <c r="NTW8" s="72"/>
      <c r="NTX8" s="72"/>
      <c r="NTY8" s="72"/>
      <c r="NTZ8" s="72"/>
      <c r="NUA8" s="72"/>
      <c r="NUB8" s="72"/>
      <c r="NUC8" s="72"/>
      <c r="NUD8" s="72"/>
      <c r="NUE8" s="72"/>
      <c r="NUF8" s="72"/>
      <c r="NUG8" s="72"/>
      <c r="NUH8" s="72"/>
      <c r="NUI8" s="72"/>
      <c r="NUJ8" s="72"/>
      <c r="NUK8" s="72"/>
      <c r="NUL8" s="72"/>
      <c r="NUM8" s="72"/>
      <c r="NUN8" s="72"/>
      <c r="NUO8" s="72"/>
      <c r="NUP8" s="72"/>
      <c r="NUQ8" s="72"/>
      <c r="NUR8" s="72"/>
      <c r="NUS8" s="72"/>
      <c r="NUT8" s="72"/>
      <c r="NUU8" s="72"/>
      <c r="NUV8" s="72"/>
      <c r="NUW8" s="72"/>
      <c r="NUX8" s="72"/>
      <c r="NUY8" s="72"/>
      <c r="NUZ8" s="72"/>
      <c r="NVA8" s="72"/>
      <c r="NVB8" s="72"/>
      <c r="NVC8" s="72"/>
      <c r="NVD8" s="72"/>
      <c r="NVE8" s="72"/>
      <c r="NVF8" s="72"/>
      <c r="NVG8" s="72"/>
      <c r="NVH8" s="72"/>
      <c r="NVI8" s="72"/>
      <c r="NVJ8" s="72"/>
      <c r="NVK8" s="72"/>
      <c r="NVL8" s="72"/>
      <c r="NVM8" s="72"/>
      <c r="NVN8" s="72"/>
      <c r="NVO8" s="72"/>
      <c r="NVP8" s="72"/>
      <c r="NVQ8" s="72"/>
      <c r="NVR8" s="72"/>
      <c r="NVS8" s="72"/>
      <c r="NVT8" s="72"/>
      <c r="NVU8" s="72"/>
      <c r="NVV8" s="72"/>
      <c r="NVW8" s="72"/>
      <c r="NVX8" s="72"/>
      <c r="NVY8" s="72"/>
      <c r="NVZ8" s="72"/>
      <c r="NWA8" s="72"/>
      <c r="NWB8" s="72"/>
      <c r="NWC8" s="72"/>
      <c r="NWD8" s="72"/>
      <c r="NWE8" s="72"/>
      <c r="NWF8" s="72"/>
      <c r="NWG8" s="72"/>
      <c r="NWH8" s="72"/>
      <c r="NWI8" s="72"/>
      <c r="NWJ8" s="72"/>
      <c r="NWK8" s="72"/>
      <c r="NWL8" s="72"/>
      <c r="NWM8" s="72"/>
      <c r="NWN8" s="72"/>
      <c r="NWO8" s="72"/>
      <c r="NWP8" s="72"/>
      <c r="NWQ8" s="72"/>
      <c r="NWR8" s="72"/>
      <c r="NWS8" s="72"/>
      <c r="NWT8" s="72"/>
      <c r="NWU8" s="72"/>
      <c r="NWV8" s="72"/>
      <c r="NWW8" s="72"/>
      <c r="NWX8" s="72"/>
      <c r="NWY8" s="72"/>
      <c r="NWZ8" s="72"/>
      <c r="NXA8" s="72"/>
      <c r="NXB8" s="72"/>
      <c r="NXC8" s="72"/>
      <c r="NXD8" s="72"/>
      <c r="NXE8" s="72"/>
      <c r="NXF8" s="72"/>
      <c r="NXG8" s="72"/>
      <c r="NXH8" s="72"/>
      <c r="NXI8" s="72"/>
      <c r="NXJ8" s="72"/>
      <c r="NXK8" s="72"/>
      <c r="NXL8" s="72"/>
      <c r="NXM8" s="72"/>
      <c r="NXN8" s="72"/>
      <c r="NXO8" s="72"/>
      <c r="NXP8" s="72"/>
      <c r="NXQ8" s="72"/>
      <c r="NXR8" s="72"/>
      <c r="NXS8" s="72"/>
      <c r="NXT8" s="72"/>
      <c r="NXU8" s="72"/>
      <c r="NXV8" s="72"/>
      <c r="NXW8" s="72"/>
      <c r="NXX8" s="72"/>
      <c r="NXY8" s="72"/>
      <c r="NXZ8" s="72"/>
      <c r="NYA8" s="72"/>
      <c r="NYB8" s="72"/>
      <c r="NYC8" s="72"/>
      <c r="NYD8" s="72"/>
      <c r="NYE8" s="72"/>
      <c r="NYF8" s="72"/>
      <c r="NYG8" s="72"/>
      <c r="NYH8" s="72"/>
      <c r="NYI8" s="72"/>
      <c r="NYJ8" s="72"/>
      <c r="NYK8" s="72"/>
      <c r="NYL8" s="72"/>
      <c r="NYM8" s="72"/>
      <c r="NYN8" s="72"/>
      <c r="NYO8" s="72"/>
      <c r="NYP8" s="72"/>
      <c r="NYQ8" s="72"/>
      <c r="NYR8" s="72"/>
      <c r="NYS8" s="72"/>
      <c r="NYT8" s="72"/>
      <c r="NYU8" s="72"/>
      <c r="NYV8" s="72"/>
      <c r="NYW8" s="72"/>
      <c r="NYX8" s="72"/>
      <c r="NYY8" s="72"/>
      <c r="NYZ8" s="72"/>
      <c r="NZA8" s="72"/>
      <c r="NZB8" s="72"/>
      <c r="NZC8" s="72"/>
      <c r="NZD8" s="72"/>
      <c r="NZE8" s="72"/>
      <c r="NZF8" s="72"/>
      <c r="NZG8" s="72"/>
      <c r="NZH8" s="72"/>
      <c r="NZI8" s="72"/>
      <c r="NZJ8" s="72"/>
      <c r="NZK8" s="72"/>
      <c r="NZL8" s="72"/>
      <c r="NZM8" s="72"/>
      <c r="NZN8" s="72"/>
      <c r="NZO8" s="72"/>
      <c r="NZP8" s="72"/>
      <c r="NZQ8" s="72"/>
      <c r="NZR8" s="72"/>
      <c r="NZS8" s="72"/>
      <c r="NZT8" s="72"/>
      <c r="NZU8" s="72"/>
      <c r="NZV8" s="72"/>
      <c r="NZW8" s="72"/>
      <c r="NZX8" s="72"/>
      <c r="NZY8" s="72"/>
      <c r="NZZ8" s="72"/>
      <c r="OAA8" s="72"/>
      <c r="OAB8" s="72"/>
      <c r="OAC8" s="72"/>
      <c r="OAD8" s="72"/>
      <c r="OAE8" s="72"/>
      <c r="OAF8" s="72"/>
      <c r="OAG8" s="72"/>
      <c r="OAH8" s="72"/>
      <c r="OAI8" s="72"/>
      <c r="OAJ8" s="72"/>
      <c r="OAK8" s="72"/>
      <c r="OAL8" s="72"/>
      <c r="OAM8" s="72"/>
      <c r="OAN8" s="72"/>
      <c r="OAO8" s="72"/>
      <c r="OAP8" s="72"/>
      <c r="OAQ8" s="72"/>
      <c r="OAR8" s="72"/>
      <c r="OAS8" s="72"/>
      <c r="OAT8" s="72"/>
      <c r="OAU8" s="72"/>
      <c r="OAV8" s="72"/>
      <c r="OAW8" s="72"/>
      <c r="OAX8" s="72"/>
      <c r="OAY8" s="72"/>
      <c r="OAZ8" s="72"/>
      <c r="OBA8" s="72"/>
      <c r="OBB8" s="72"/>
      <c r="OBC8" s="72"/>
      <c r="OBD8" s="72"/>
      <c r="OBE8" s="72"/>
      <c r="OBF8" s="72"/>
      <c r="OBG8" s="72"/>
      <c r="OBH8" s="72"/>
      <c r="OBI8" s="72"/>
      <c r="OBJ8" s="72"/>
      <c r="OBK8" s="72"/>
      <c r="OBL8" s="72"/>
      <c r="OBM8" s="72"/>
      <c r="OBN8" s="72"/>
      <c r="OBO8" s="72"/>
      <c r="OBP8" s="72"/>
      <c r="OBQ8" s="72"/>
      <c r="OBR8" s="72"/>
      <c r="OBS8" s="72"/>
      <c r="OBT8" s="72"/>
      <c r="OBU8" s="72"/>
      <c r="OBV8" s="72"/>
      <c r="OBW8" s="72"/>
      <c r="OBX8" s="72"/>
      <c r="OBY8" s="72"/>
      <c r="OBZ8" s="72"/>
      <c r="OCA8" s="72"/>
      <c r="OCB8" s="72"/>
      <c r="OCC8" s="72"/>
      <c r="OCD8" s="72"/>
      <c r="OCE8" s="72"/>
      <c r="OCF8" s="72"/>
      <c r="OCG8" s="72"/>
      <c r="OCH8" s="72"/>
      <c r="OCI8" s="72"/>
      <c r="OCJ8" s="72"/>
      <c r="OCK8" s="72"/>
      <c r="OCL8" s="72"/>
      <c r="OCM8" s="72"/>
      <c r="OCN8" s="72"/>
      <c r="OCO8" s="72"/>
      <c r="OCP8" s="72"/>
      <c r="OCQ8" s="72"/>
      <c r="OCR8" s="72"/>
      <c r="OCS8" s="72"/>
      <c r="OCT8" s="72"/>
      <c r="OCU8" s="72"/>
      <c r="OCV8" s="72"/>
      <c r="OCW8" s="72"/>
      <c r="OCX8" s="72"/>
      <c r="OCY8" s="72"/>
      <c r="OCZ8" s="72"/>
      <c r="ODA8" s="72"/>
      <c r="ODB8" s="72"/>
      <c r="ODC8" s="72"/>
      <c r="ODD8" s="72"/>
      <c r="ODE8" s="72"/>
      <c r="ODF8" s="72"/>
      <c r="ODG8" s="72"/>
      <c r="ODH8" s="72"/>
      <c r="ODI8" s="72"/>
      <c r="ODJ8" s="72"/>
      <c r="ODK8" s="72"/>
      <c r="ODL8" s="72"/>
      <c r="ODM8" s="72"/>
      <c r="ODN8" s="72"/>
      <c r="ODO8" s="72"/>
      <c r="ODP8" s="72"/>
      <c r="ODQ8" s="72"/>
      <c r="ODR8" s="72"/>
      <c r="ODS8" s="72"/>
      <c r="ODT8" s="72"/>
      <c r="ODU8" s="72"/>
      <c r="ODV8" s="72"/>
      <c r="ODW8" s="72"/>
      <c r="ODX8" s="72"/>
      <c r="ODY8" s="72"/>
      <c r="ODZ8" s="72"/>
      <c r="OEA8" s="72"/>
      <c r="OEB8" s="72"/>
      <c r="OEC8" s="72"/>
      <c r="OED8" s="72"/>
      <c r="OEE8" s="72"/>
      <c r="OEF8" s="72"/>
      <c r="OEG8" s="72"/>
      <c r="OEH8" s="72"/>
      <c r="OEI8" s="72"/>
      <c r="OEJ8" s="72"/>
      <c r="OEK8" s="72"/>
      <c r="OEL8" s="72"/>
      <c r="OEM8" s="72"/>
      <c r="OEN8" s="72"/>
      <c r="OEO8" s="72"/>
      <c r="OEP8" s="72"/>
      <c r="OEQ8" s="72"/>
      <c r="OER8" s="72"/>
      <c r="OES8" s="72"/>
      <c r="OET8" s="72"/>
      <c r="OEU8" s="72"/>
      <c r="OEV8" s="72"/>
      <c r="OEW8" s="72"/>
      <c r="OEX8" s="72"/>
      <c r="OEY8" s="72"/>
      <c r="OEZ8" s="72"/>
      <c r="OFA8" s="72"/>
      <c r="OFB8" s="72"/>
      <c r="OFC8" s="72"/>
      <c r="OFD8" s="72"/>
      <c r="OFE8" s="72"/>
      <c r="OFF8" s="72"/>
      <c r="OFG8" s="72"/>
      <c r="OFH8" s="72"/>
      <c r="OFI8" s="72"/>
      <c r="OFJ8" s="72"/>
      <c r="OFK8" s="72"/>
      <c r="OFL8" s="72"/>
      <c r="OFM8" s="72"/>
      <c r="OFN8" s="72"/>
      <c r="OFO8" s="72"/>
      <c r="OFP8" s="72"/>
      <c r="OFQ8" s="72"/>
      <c r="OFR8" s="72"/>
      <c r="OFS8" s="72"/>
      <c r="OFT8" s="72"/>
      <c r="OFU8" s="72"/>
      <c r="OFV8" s="72"/>
      <c r="OFW8" s="72"/>
      <c r="OFX8" s="72"/>
      <c r="OFY8" s="72"/>
      <c r="OFZ8" s="72"/>
      <c r="OGA8" s="72"/>
      <c r="OGB8" s="72"/>
      <c r="OGC8" s="72"/>
      <c r="OGD8" s="72"/>
      <c r="OGE8" s="72"/>
      <c r="OGF8" s="72"/>
      <c r="OGG8" s="72"/>
      <c r="OGH8" s="72"/>
      <c r="OGI8" s="72"/>
      <c r="OGJ8" s="72"/>
      <c r="OGK8" s="72"/>
      <c r="OGL8" s="72"/>
      <c r="OGM8" s="72"/>
      <c r="OGN8" s="72"/>
      <c r="OGO8" s="72"/>
      <c r="OGP8" s="72"/>
      <c r="OGQ8" s="72"/>
      <c r="OGR8" s="72"/>
      <c r="OGS8" s="72"/>
      <c r="OGT8" s="72"/>
      <c r="OGU8" s="72"/>
      <c r="OGV8" s="72"/>
      <c r="OGW8" s="72"/>
      <c r="OGX8" s="72"/>
      <c r="OGY8" s="72"/>
      <c r="OGZ8" s="72"/>
      <c r="OHA8" s="72"/>
      <c r="OHB8" s="72"/>
      <c r="OHC8" s="72"/>
      <c r="OHD8" s="72"/>
      <c r="OHE8" s="72"/>
      <c r="OHF8" s="72"/>
      <c r="OHG8" s="72"/>
      <c r="OHH8" s="72"/>
      <c r="OHI8" s="72"/>
      <c r="OHJ8" s="72"/>
      <c r="OHK8" s="72"/>
      <c r="OHL8" s="72"/>
      <c r="OHM8" s="72"/>
      <c r="OHN8" s="72"/>
      <c r="OHO8" s="72"/>
      <c r="OHP8" s="72"/>
      <c r="OHQ8" s="72"/>
      <c r="OHR8" s="72"/>
      <c r="OHS8" s="72"/>
      <c r="OHT8" s="72"/>
      <c r="OHU8" s="72"/>
      <c r="OHV8" s="72"/>
      <c r="OHW8" s="72"/>
      <c r="OHX8" s="72"/>
      <c r="OHY8" s="72"/>
      <c r="OHZ8" s="72"/>
      <c r="OIA8" s="72"/>
      <c r="OIB8" s="72"/>
      <c r="OIC8" s="72"/>
      <c r="OID8" s="72"/>
      <c r="OIE8" s="72"/>
      <c r="OIF8" s="72"/>
      <c r="OIG8" s="72"/>
      <c r="OIH8" s="72"/>
      <c r="OII8" s="72"/>
      <c r="OIJ8" s="72"/>
      <c r="OIK8" s="72"/>
      <c r="OIL8" s="72"/>
      <c r="OIM8" s="72"/>
      <c r="OIN8" s="72"/>
      <c r="OIO8" s="72"/>
      <c r="OIP8" s="72"/>
      <c r="OIQ8" s="72"/>
      <c r="OIR8" s="72"/>
      <c r="OIS8" s="72"/>
      <c r="OIT8" s="72"/>
      <c r="OIU8" s="72"/>
      <c r="OIV8" s="72"/>
      <c r="OIW8" s="72"/>
      <c r="OIX8" s="72"/>
      <c r="OIY8" s="72"/>
      <c r="OIZ8" s="72"/>
      <c r="OJA8" s="72"/>
      <c r="OJB8" s="72"/>
      <c r="OJC8" s="72"/>
      <c r="OJD8" s="72"/>
      <c r="OJE8" s="72"/>
      <c r="OJF8" s="72"/>
      <c r="OJG8" s="72"/>
      <c r="OJH8" s="72"/>
      <c r="OJI8" s="72"/>
      <c r="OJJ8" s="72"/>
      <c r="OJK8" s="72"/>
      <c r="OJL8" s="72"/>
      <c r="OJM8" s="72"/>
      <c r="OJN8" s="72"/>
      <c r="OJO8" s="72"/>
      <c r="OJP8" s="72"/>
      <c r="OJQ8" s="72"/>
      <c r="OJR8" s="72"/>
      <c r="OJS8" s="72"/>
      <c r="OJT8" s="72"/>
      <c r="OJU8" s="72"/>
      <c r="OJV8" s="72"/>
      <c r="OJW8" s="72"/>
      <c r="OJX8" s="72"/>
      <c r="OJY8" s="72"/>
      <c r="OJZ8" s="72"/>
      <c r="OKA8" s="72"/>
      <c r="OKB8" s="72"/>
      <c r="OKC8" s="72"/>
      <c r="OKD8" s="72"/>
      <c r="OKE8" s="72"/>
      <c r="OKF8" s="72"/>
      <c r="OKG8" s="72"/>
      <c r="OKH8" s="72"/>
      <c r="OKI8" s="72"/>
      <c r="OKJ8" s="72"/>
      <c r="OKK8" s="72"/>
      <c r="OKL8" s="72"/>
      <c r="OKM8" s="72"/>
      <c r="OKN8" s="72"/>
      <c r="OKO8" s="72"/>
      <c r="OKP8" s="72"/>
      <c r="OKQ8" s="72"/>
      <c r="OKR8" s="72"/>
      <c r="OKS8" s="72"/>
      <c r="OKT8" s="72"/>
      <c r="OKU8" s="72"/>
      <c r="OKV8" s="72"/>
      <c r="OKW8" s="72"/>
      <c r="OKX8" s="72"/>
      <c r="OKY8" s="72"/>
      <c r="OKZ8" s="72"/>
      <c r="OLA8" s="72"/>
      <c r="OLB8" s="72"/>
      <c r="OLC8" s="72"/>
      <c r="OLD8" s="72"/>
      <c r="OLE8" s="72"/>
      <c r="OLF8" s="72"/>
      <c r="OLG8" s="72"/>
      <c r="OLH8" s="72"/>
      <c r="OLI8" s="72"/>
      <c r="OLJ8" s="72"/>
      <c r="OLK8" s="72"/>
      <c r="OLL8" s="72"/>
      <c r="OLM8" s="72"/>
      <c r="OLN8" s="72"/>
      <c r="OLO8" s="72"/>
      <c r="OLP8" s="72"/>
      <c r="OLQ8" s="72"/>
      <c r="OLR8" s="72"/>
      <c r="OLS8" s="72"/>
      <c r="OLT8" s="72"/>
      <c r="OLU8" s="72"/>
      <c r="OLV8" s="72"/>
      <c r="OLW8" s="72"/>
      <c r="OLX8" s="72"/>
      <c r="OLY8" s="72"/>
      <c r="OLZ8" s="72"/>
      <c r="OMA8" s="72"/>
      <c r="OMB8" s="72"/>
      <c r="OMC8" s="72"/>
      <c r="OMD8" s="72"/>
      <c r="OME8" s="72"/>
      <c r="OMF8" s="72"/>
      <c r="OMG8" s="72"/>
      <c r="OMH8" s="72"/>
      <c r="OMI8" s="72"/>
      <c r="OMJ8" s="72"/>
      <c r="OMK8" s="72"/>
      <c r="OML8" s="72"/>
      <c r="OMM8" s="72"/>
      <c r="OMN8" s="72"/>
      <c r="OMO8" s="72"/>
      <c r="OMP8" s="72"/>
      <c r="OMQ8" s="72"/>
      <c r="OMR8" s="72"/>
      <c r="OMS8" s="72"/>
      <c r="OMT8" s="72"/>
      <c r="OMU8" s="72"/>
      <c r="OMV8" s="72"/>
      <c r="OMW8" s="72"/>
      <c r="OMX8" s="72"/>
      <c r="OMY8" s="72"/>
      <c r="OMZ8" s="72"/>
      <c r="ONA8" s="72"/>
      <c r="ONB8" s="72"/>
      <c r="ONC8" s="72"/>
      <c r="OND8" s="72"/>
      <c r="ONE8" s="72"/>
      <c r="ONF8" s="72"/>
      <c r="ONG8" s="72"/>
      <c r="ONH8" s="72"/>
      <c r="ONI8" s="72"/>
      <c r="ONJ8" s="72"/>
      <c r="ONK8" s="72"/>
      <c r="ONL8" s="72"/>
      <c r="ONM8" s="72"/>
      <c r="ONN8" s="72"/>
      <c r="ONO8" s="72"/>
      <c r="ONP8" s="72"/>
      <c r="ONQ8" s="72"/>
      <c r="ONR8" s="72"/>
      <c r="ONS8" s="72"/>
      <c r="ONT8" s="72"/>
      <c r="ONU8" s="72"/>
      <c r="ONV8" s="72"/>
      <c r="ONW8" s="72"/>
      <c r="ONX8" s="72"/>
      <c r="ONY8" s="72"/>
      <c r="ONZ8" s="72"/>
      <c r="OOA8" s="72"/>
      <c r="OOB8" s="72"/>
      <c r="OOC8" s="72"/>
      <c r="OOD8" s="72"/>
      <c r="OOE8" s="72"/>
      <c r="OOF8" s="72"/>
      <c r="OOG8" s="72"/>
      <c r="OOH8" s="72"/>
      <c r="OOI8" s="72"/>
      <c r="OOJ8" s="72"/>
      <c r="OOK8" s="72"/>
      <c r="OOL8" s="72"/>
      <c r="OOM8" s="72"/>
      <c r="OON8" s="72"/>
      <c r="OOO8" s="72"/>
      <c r="OOP8" s="72"/>
      <c r="OOQ8" s="72"/>
      <c r="OOR8" s="72"/>
      <c r="OOS8" s="72"/>
      <c r="OOT8" s="72"/>
      <c r="OOU8" s="72"/>
      <c r="OOV8" s="72"/>
      <c r="OOW8" s="72"/>
      <c r="OOX8" s="72"/>
      <c r="OOY8" s="72"/>
      <c r="OOZ8" s="72"/>
      <c r="OPA8" s="72"/>
      <c r="OPB8" s="72"/>
      <c r="OPC8" s="72"/>
      <c r="OPD8" s="72"/>
      <c r="OPE8" s="72"/>
      <c r="OPF8" s="72"/>
      <c r="OPG8" s="72"/>
      <c r="OPH8" s="72"/>
      <c r="OPI8" s="72"/>
      <c r="OPJ8" s="72"/>
      <c r="OPK8" s="72"/>
      <c r="OPL8" s="72"/>
      <c r="OPM8" s="72"/>
      <c r="OPN8" s="72"/>
      <c r="OPO8" s="72"/>
      <c r="OPP8" s="72"/>
      <c r="OPQ8" s="72"/>
      <c r="OPR8" s="72"/>
      <c r="OPS8" s="72"/>
      <c r="OPT8" s="72"/>
      <c r="OPU8" s="72"/>
      <c r="OPV8" s="72"/>
      <c r="OPW8" s="72"/>
      <c r="OPX8" s="72"/>
      <c r="OPY8" s="72"/>
      <c r="OPZ8" s="72"/>
      <c r="OQA8" s="72"/>
      <c r="OQB8" s="72"/>
      <c r="OQC8" s="72"/>
      <c r="OQD8" s="72"/>
      <c r="OQE8" s="72"/>
      <c r="OQF8" s="72"/>
      <c r="OQG8" s="72"/>
      <c r="OQH8" s="72"/>
      <c r="OQI8" s="72"/>
      <c r="OQJ8" s="72"/>
      <c r="OQK8" s="72"/>
      <c r="OQL8" s="72"/>
      <c r="OQM8" s="72"/>
      <c r="OQN8" s="72"/>
      <c r="OQO8" s="72"/>
      <c r="OQP8" s="72"/>
      <c r="OQQ8" s="72"/>
      <c r="OQR8" s="72"/>
      <c r="OQS8" s="72"/>
      <c r="OQT8" s="72"/>
      <c r="OQU8" s="72"/>
      <c r="OQV8" s="72"/>
      <c r="OQW8" s="72"/>
      <c r="OQX8" s="72"/>
      <c r="OQY8" s="72"/>
      <c r="OQZ8" s="72"/>
      <c r="ORA8" s="72"/>
      <c r="ORB8" s="72"/>
      <c r="ORC8" s="72"/>
      <c r="ORD8" s="72"/>
      <c r="ORE8" s="72"/>
      <c r="ORF8" s="72"/>
      <c r="ORG8" s="72"/>
      <c r="ORH8" s="72"/>
      <c r="ORI8" s="72"/>
      <c r="ORJ8" s="72"/>
      <c r="ORK8" s="72"/>
      <c r="ORL8" s="72"/>
      <c r="ORM8" s="72"/>
      <c r="ORN8" s="72"/>
      <c r="ORO8" s="72"/>
      <c r="ORP8" s="72"/>
      <c r="ORQ8" s="72"/>
      <c r="ORR8" s="72"/>
      <c r="ORS8" s="72"/>
      <c r="ORT8" s="72"/>
      <c r="ORU8" s="72"/>
      <c r="ORV8" s="72"/>
      <c r="ORW8" s="72"/>
      <c r="ORX8" s="72"/>
      <c r="ORY8" s="72"/>
      <c r="ORZ8" s="72"/>
      <c r="OSA8" s="72"/>
      <c r="OSB8" s="72"/>
      <c r="OSC8" s="72"/>
      <c r="OSD8" s="72"/>
      <c r="OSE8" s="72"/>
      <c r="OSF8" s="72"/>
      <c r="OSG8" s="72"/>
      <c r="OSH8" s="72"/>
      <c r="OSI8" s="72"/>
      <c r="OSJ8" s="72"/>
      <c r="OSK8" s="72"/>
      <c r="OSL8" s="72"/>
      <c r="OSM8" s="72"/>
      <c r="OSN8" s="72"/>
      <c r="OSO8" s="72"/>
      <c r="OSP8" s="72"/>
      <c r="OSQ8" s="72"/>
      <c r="OSR8" s="72"/>
      <c r="OSS8" s="72"/>
      <c r="OST8" s="72"/>
      <c r="OSU8" s="72"/>
      <c r="OSV8" s="72"/>
      <c r="OSW8" s="72"/>
      <c r="OSX8" s="72"/>
      <c r="OSY8" s="72"/>
      <c r="OSZ8" s="72"/>
      <c r="OTA8" s="72"/>
      <c r="OTB8" s="72"/>
      <c r="OTC8" s="72"/>
      <c r="OTD8" s="72"/>
      <c r="OTE8" s="72"/>
      <c r="OTF8" s="72"/>
      <c r="OTG8" s="72"/>
      <c r="OTH8" s="72"/>
      <c r="OTI8" s="72"/>
      <c r="OTJ8" s="72"/>
      <c r="OTK8" s="72"/>
      <c r="OTL8" s="72"/>
      <c r="OTM8" s="72"/>
      <c r="OTN8" s="72"/>
      <c r="OTO8" s="72"/>
      <c r="OTP8" s="72"/>
      <c r="OTQ8" s="72"/>
      <c r="OTR8" s="72"/>
      <c r="OTS8" s="72"/>
      <c r="OTT8" s="72"/>
      <c r="OTU8" s="72"/>
      <c r="OTV8" s="72"/>
      <c r="OTW8" s="72"/>
      <c r="OTX8" s="72"/>
      <c r="OTY8" s="72"/>
      <c r="OTZ8" s="72"/>
      <c r="OUA8" s="72"/>
      <c r="OUB8" s="72"/>
      <c r="OUC8" s="72"/>
      <c r="OUD8" s="72"/>
      <c r="OUE8" s="72"/>
      <c r="OUF8" s="72"/>
      <c r="OUG8" s="72"/>
      <c r="OUH8" s="72"/>
      <c r="OUI8" s="72"/>
      <c r="OUJ8" s="72"/>
      <c r="OUK8" s="72"/>
      <c r="OUL8" s="72"/>
      <c r="OUM8" s="72"/>
      <c r="OUN8" s="72"/>
      <c r="OUO8" s="72"/>
      <c r="OUP8" s="72"/>
      <c r="OUQ8" s="72"/>
      <c r="OUR8" s="72"/>
      <c r="OUS8" s="72"/>
      <c r="OUT8" s="72"/>
      <c r="OUU8" s="72"/>
      <c r="OUV8" s="72"/>
      <c r="OUW8" s="72"/>
      <c r="OUX8" s="72"/>
      <c r="OUY8" s="72"/>
      <c r="OUZ8" s="72"/>
      <c r="OVA8" s="72"/>
      <c r="OVB8" s="72"/>
      <c r="OVC8" s="72"/>
      <c r="OVD8" s="72"/>
      <c r="OVE8" s="72"/>
      <c r="OVF8" s="72"/>
      <c r="OVG8" s="72"/>
      <c r="OVH8" s="72"/>
      <c r="OVI8" s="72"/>
      <c r="OVJ8" s="72"/>
      <c r="OVK8" s="72"/>
      <c r="OVL8" s="72"/>
      <c r="OVM8" s="72"/>
      <c r="OVN8" s="72"/>
      <c r="OVO8" s="72"/>
      <c r="OVP8" s="72"/>
      <c r="OVQ8" s="72"/>
      <c r="OVR8" s="72"/>
      <c r="OVS8" s="72"/>
      <c r="OVT8" s="72"/>
      <c r="OVU8" s="72"/>
      <c r="OVV8" s="72"/>
      <c r="OVW8" s="72"/>
      <c r="OVX8" s="72"/>
      <c r="OVY8" s="72"/>
      <c r="OVZ8" s="72"/>
      <c r="OWA8" s="72"/>
      <c r="OWB8" s="72"/>
      <c r="OWC8" s="72"/>
      <c r="OWD8" s="72"/>
      <c r="OWE8" s="72"/>
      <c r="OWF8" s="72"/>
      <c r="OWG8" s="72"/>
      <c r="OWH8" s="72"/>
      <c r="OWI8" s="72"/>
      <c r="OWJ8" s="72"/>
      <c r="OWK8" s="72"/>
      <c r="OWL8" s="72"/>
      <c r="OWM8" s="72"/>
      <c r="OWN8" s="72"/>
      <c r="OWO8" s="72"/>
      <c r="OWP8" s="72"/>
      <c r="OWQ8" s="72"/>
      <c r="OWR8" s="72"/>
      <c r="OWS8" s="72"/>
      <c r="OWT8" s="72"/>
      <c r="OWU8" s="72"/>
      <c r="OWV8" s="72"/>
      <c r="OWW8" s="72"/>
      <c r="OWX8" s="72"/>
      <c r="OWY8" s="72"/>
      <c r="OWZ8" s="72"/>
      <c r="OXA8" s="72"/>
      <c r="OXB8" s="72"/>
      <c r="OXC8" s="72"/>
      <c r="OXD8" s="72"/>
      <c r="OXE8" s="72"/>
      <c r="OXF8" s="72"/>
      <c r="OXG8" s="72"/>
      <c r="OXH8" s="72"/>
      <c r="OXI8" s="72"/>
      <c r="OXJ8" s="72"/>
      <c r="OXK8" s="72"/>
      <c r="OXL8" s="72"/>
      <c r="OXM8" s="72"/>
      <c r="OXN8" s="72"/>
      <c r="OXO8" s="72"/>
      <c r="OXP8" s="72"/>
      <c r="OXQ8" s="72"/>
      <c r="OXR8" s="72"/>
      <c r="OXS8" s="72"/>
      <c r="OXT8" s="72"/>
      <c r="OXU8" s="72"/>
      <c r="OXV8" s="72"/>
      <c r="OXW8" s="72"/>
      <c r="OXX8" s="72"/>
      <c r="OXY8" s="72"/>
      <c r="OXZ8" s="72"/>
      <c r="OYA8" s="72"/>
      <c r="OYB8" s="72"/>
      <c r="OYC8" s="72"/>
      <c r="OYD8" s="72"/>
      <c r="OYE8" s="72"/>
      <c r="OYF8" s="72"/>
      <c r="OYG8" s="72"/>
      <c r="OYH8" s="72"/>
      <c r="OYI8" s="72"/>
      <c r="OYJ8" s="72"/>
      <c r="OYK8" s="72"/>
      <c r="OYL8" s="72"/>
      <c r="OYM8" s="72"/>
      <c r="OYN8" s="72"/>
      <c r="OYO8" s="72"/>
      <c r="OYP8" s="72"/>
      <c r="OYQ8" s="72"/>
      <c r="OYR8" s="72"/>
      <c r="OYS8" s="72"/>
      <c r="OYT8" s="72"/>
      <c r="OYU8" s="72"/>
      <c r="OYV8" s="72"/>
      <c r="OYW8" s="72"/>
      <c r="OYX8" s="72"/>
      <c r="OYY8" s="72"/>
      <c r="OYZ8" s="72"/>
      <c r="OZA8" s="72"/>
      <c r="OZB8" s="72"/>
      <c r="OZC8" s="72"/>
      <c r="OZD8" s="72"/>
      <c r="OZE8" s="72"/>
      <c r="OZF8" s="72"/>
      <c r="OZG8" s="72"/>
      <c r="OZH8" s="72"/>
      <c r="OZI8" s="72"/>
      <c r="OZJ8" s="72"/>
      <c r="OZK8" s="72"/>
      <c r="OZL8" s="72"/>
      <c r="OZM8" s="72"/>
      <c r="OZN8" s="72"/>
      <c r="OZO8" s="72"/>
      <c r="OZP8" s="72"/>
      <c r="OZQ8" s="72"/>
      <c r="OZR8" s="72"/>
      <c r="OZS8" s="72"/>
      <c r="OZT8" s="72"/>
      <c r="OZU8" s="72"/>
      <c r="OZV8" s="72"/>
      <c r="OZW8" s="72"/>
      <c r="OZX8" s="72"/>
      <c r="OZY8" s="72"/>
      <c r="OZZ8" s="72"/>
      <c r="PAA8" s="72"/>
      <c r="PAB8" s="72"/>
      <c r="PAC8" s="72"/>
      <c r="PAD8" s="72"/>
      <c r="PAE8" s="72"/>
      <c r="PAF8" s="72"/>
      <c r="PAG8" s="72"/>
      <c r="PAH8" s="72"/>
      <c r="PAI8" s="72"/>
      <c r="PAJ8" s="72"/>
      <c r="PAK8" s="72"/>
      <c r="PAL8" s="72"/>
      <c r="PAM8" s="72"/>
      <c r="PAN8" s="72"/>
      <c r="PAO8" s="72"/>
      <c r="PAP8" s="72"/>
      <c r="PAQ8" s="72"/>
      <c r="PAR8" s="72"/>
      <c r="PAS8" s="72"/>
      <c r="PAT8" s="72"/>
      <c r="PAU8" s="72"/>
      <c r="PAV8" s="72"/>
      <c r="PAW8" s="72"/>
      <c r="PAX8" s="72"/>
      <c r="PAY8" s="72"/>
      <c r="PAZ8" s="72"/>
      <c r="PBA8" s="72"/>
      <c r="PBB8" s="72"/>
      <c r="PBC8" s="72"/>
      <c r="PBD8" s="72"/>
      <c r="PBE8" s="72"/>
      <c r="PBF8" s="72"/>
      <c r="PBG8" s="72"/>
      <c r="PBH8" s="72"/>
      <c r="PBI8" s="72"/>
      <c r="PBJ8" s="72"/>
      <c r="PBK8" s="72"/>
      <c r="PBL8" s="72"/>
      <c r="PBM8" s="72"/>
      <c r="PBN8" s="72"/>
      <c r="PBO8" s="72"/>
      <c r="PBP8" s="72"/>
      <c r="PBQ8" s="72"/>
      <c r="PBR8" s="72"/>
      <c r="PBS8" s="72"/>
      <c r="PBT8" s="72"/>
      <c r="PBU8" s="72"/>
      <c r="PBV8" s="72"/>
      <c r="PBW8" s="72"/>
      <c r="PBX8" s="72"/>
      <c r="PBY8" s="72"/>
      <c r="PBZ8" s="72"/>
      <c r="PCA8" s="72"/>
      <c r="PCB8" s="72"/>
      <c r="PCC8" s="72"/>
      <c r="PCD8" s="72"/>
      <c r="PCE8" s="72"/>
      <c r="PCF8" s="72"/>
      <c r="PCG8" s="72"/>
      <c r="PCH8" s="72"/>
      <c r="PCI8" s="72"/>
      <c r="PCJ8" s="72"/>
      <c r="PCK8" s="72"/>
      <c r="PCL8" s="72"/>
      <c r="PCM8" s="72"/>
      <c r="PCN8" s="72"/>
      <c r="PCO8" s="72"/>
      <c r="PCP8" s="72"/>
      <c r="PCQ8" s="72"/>
      <c r="PCR8" s="72"/>
      <c r="PCS8" s="72"/>
      <c r="PCT8" s="72"/>
      <c r="PCU8" s="72"/>
      <c r="PCV8" s="72"/>
      <c r="PCW8" s="72"/>
      <c r="PCX8" s="72"/>
      <c r="PCY8" s="72"/>
      <c r="PCZ8" s="72"/>
      <c r="PDA8" s="72"/>
      <c r="PDB8" s="72"/>
      <c r="PDC8" s="72"/>
      <c r="PDD8" s="72"/>
      <c r="PDE8" s="72"/>
      <c r="PDF8" s="72"/>
      <c r="PDG8" s="72"/>
      <c r="PDH8" s="72"/>
      <c r="PDI8" s="72"/>
      <c r="PDJ8" s="72"/>
      <c r="PDK8" s="72"/>
      <c r="PDL8" s="72"/>
      <c r="PDM8" s="72"/>
      <c r="PDN8" s="72"/>
      <c r="PDO8" s="72"/>
      <c r="PDP8" s="72"/>
      <c r="PDQ8" s="72"/>
      <c r="PDR8" s="72"/>
      <c r="PDS8" s="72"/>
      <c r="PDT8" s="72"/>
      <c r="PDU8" s="72"/>
      <c r="PDV8" s="72"/>
      <c r="PDW8" s="72"/>
      <c r="PDX8" s="72"/>
      <c r="PDY8" s="72"/>
      <c r="PDZ8" s="72"/>
      <c r="PEA8" s="72"/>
      <c r="PEB8" s="72"/>
      <c r="PEC8" s="72"/>
      <c r="PED8" s="72"/>
      <c r="PEE8" s="72"/>
      <c r="PEF8" s="72"/>
      <c r="PEG8" s="72"/>
      <c r="PEH8" s="72"/>
      <c r="PEI8" s="72"/>
      <c r="PEJ8" s="72"/>
      <c r="PEK8" s="72"/>
      <c r="PEL8" s="72"/>
      <c r="PEM8" s="72"/>
      <c r="PEN8" s="72"/>
      <c r="PEO8" s="72"/>
      <c r="PEP8" s="72"/>
      <c r="PEQ8" s="72"/>
      <c r="PER8" s="72"/>
      <c r="PES8" s="72"/>
      <c r="PET8" s="72"/>
      <c r="PEU8" s="72"/>
      <c r="PEV8" s="72"/>
      <c r="PEW8" s="72"/>
      <c r="PEX8" s="72"/>
      <c r="PEY8" s="72"/>
      <c r="PEZ8" s="72"/>
      <c r="PFA8" s="72"/>
      <c r="PFB8" s="72"/>
      <c r="PFC8" s="72"/>
      <c r="PFD8" s="72"/>
      <c r="PFE8" s="72"/>
      <c r="PFF8" s="72"/>
      <c r="PFG8" s="72"/>
      <c r="PFH8" s="72"/>
      <c r="PFI8" s="72"/>
      <c r="PFJ8" s="72"/>
      <c r="PFK8" s="72"/>
      <c r="PFL8" s="72"/>
      <c r="PFM8" s="72"/>
      <c r="PFN8" s="72"/>
      <c r="PFO8" s="72"/>
      <c r="PFP8" s="72"/>
      <c r="PFQ8" s="72"/>
      <c r="PFR8" s="72"/>
      <c r="PFS8" s="72"/>
      <c r="PFT8" s="72"/>
      <c r="PFU8" s="72"/>
      <c r="PFV8" s="72"/>
      <c r="PFW8" s="72"/>
      <c r="PFX8" s="72"/>
      <c r="PFY8" s="72"/>
      <c r="PFZ8" s="72"/>
      <c r="PGA8" s="72"/>
      <c r="PGB8" s="72"/>
      <c r="PGC8" s="72"/>
      <c r="PGD8" s="72"/>
      <c r="PGE8" s="72"/>
      <c r="PGF8" s="72"/>
      <c r="PGG8" s="72"/>
      <c r="PGH8" s="72"/>
      <c r="PGI8" s="72"/>
      <c r="PGJ8" s="72"/>
      <c r="PGK8" s="72"/>
      <c r="PGL8" s="72"/>
      <c r="PGM8" s="72"/>
      <c r="PGN8" s="72"/>
      <c r="PGO8" s="72"/>
      <c r="PGP8" s="72"/>
      <c r="PGQ8" s="72"/>
      <c r="PGR8" s="72"/>
      <c r="PGS8" s="72"/>
      <c r="PGT8" s="72"/>
      <c r="PGU8" s="72"/>
      <c r="PGV8" s="72"/>
      <c r="PGW8" s="72"/>
      <c r="PGX8" s="72"/>
      <c r="PGY8" s="72"/>
      <c r="PGZ8" s="72"/>
      <c r="PHA8" s="72"/>
      <c r="PHB8" s="72"/>
      <c r="PHC8" s="72"/>
      <c r="PHD8" s="72"/>
      <c r="PHE8" s="72"/>
      <c r="PHF8" s="72"/>
      <c r="PHG8" s="72"/>
      <c r="PHH8" s="72"/>
      <c r="PHI8" s="72"/>
      <c r="PHJ8" s="72"/>
      <c r="PHK8" s="72"/>
      <c r="PHL8" s="72"/>
      <c r="PHM8" s="72"/>
      <c r="PHN8" s="72"/>
      <c r="PHO8" s="72"/>
      <c r="PHP8" s="72"/>
      <c r="PHQ8" s="72"/>
      <c r="PHR8" s="72"/>
      <c r="PHS8" s="72"/>
      <c r="PHT8" s="72"/>
      <c r="PHU8" s="72"/>
      <c r="PHV8" s="72"/>
      <c r="PHW8" s="72"/>
      <c r="PHX8" s="72"/>
      <c r="PHY8" s="72"/>
      <c r="PHZ8" s="72"/>
      <c r="PIA8" s="72"/>
      <c r="PIB8" s="72"/>
      <c r="PIC8" s="72"/>
      <c r="PID8" s="72"/>
      <c r="PIE8" s="72"/>
      <c r="PIF8" s="72"/>
      <c r="PIG8" s="72"/>
      <c r="PIH8" s="72"/>
      <c r="PII8" s="72"/>
      <c r="PIJ8" s="72"/>
      <c r="PIK8" s="72"/>
      <c r="PIL8" s="72"/>
      <c r="PIM8" s="72"/>
      <c r="PIN8" s="72"/>
      <c r="PIO8" s="72"/>
      <c r="PIP8" s="72"/>
      <c r="PIQ8" s="72"/>
      <c r="PIR8" s="72"/>
      <c r="PIS8" s="72"/>
      <c r="PIT8" s="72"/>
      <c r="PIU8" s="72"/>
      <c r="PIV8" s="72"/>
      <c r="PIW8" s="72"/>
      <c r="PIX8" s="72"/>
      <c r="PIY8" s="72"/>
      <c r="PIZ8" s="72"/>
      <c r="PJA8" s="72"/>
      <c r="PJB8" s="72"/>
      <c r="PJC8" s="72"/>
      <c r="PJD8" s="72"/>
      <c r="PJE8" s="72"/>
      <c r="PJF8" s="72"/>
      <c r="PJG8" s="72"/>
      <c r="PJH8" s="72"/>
      <c r="PJI8" s="72"/>
      <c r="PJJ8" s="72"/>
      <c r="PJK8" s="72"/>
      <c r="PJL8" s="72"/>
      <c r="PJM8" s="72"/>
      <c r="PJN8" s="72"/>
      <c r="PJO8" s="72"/>
      <c r="PJP8" s="72"/>
      <c r="PJQ8" s="72"/>
      <c r="PJR8" s="72"/>
      <c r="PJS8" s="72"/>
      <c r="PJT8" s="72"/>
      <c r="PJU8" s="72"/>
      <c r="PJV8" s="72"/>
      <c r="PJW8" s="72"/>
      <c r="PJX8" s="72"/>
      <c r="PJY8" s="72"/>
      <c r="PJZ8" s="72"/>
      <c r="PKA8" s="72"/>
      <c r="PKB8" s="72"/>
      <c r="PKC8" s="72"/>
      <c r="PKD8" s="72"/>
      <c r="PKE8" s="72"/>
      <c r="PKF8" s="72"/>
      <c r="PKG8" s="72"/>
      <c r="PKH8" s="72"/>
      <c r="PKI8" s="72"/>
      <c r="PKJ8" s="72"/>
      <c r="PKK8" s="72"/>
      <c r="PKL8" s="72"/>
      <c r="PKM8" s="72"/>
      <c r="PKN8" s="72"/>
      <c r="PKO8" s="72"/>
      <c r="PKP8" s="72"/>
      <c r="PKQ8" s="72"/>
      <c r="PKR8" s="72"/>
      <c r="PKS8" s="72"/>
      <c r="PKT8" s="72"/>
      <c r="PKU8" s="72"/>
      <c r="PKV8" s="72"/>
      <c r="PKW8" s="72"/>
      <c r="PKX8" s="72"/>
      <c r="PKY8" s="72"/>
      <c r="PKZ8" s="72"/>
      <c r="PLA8" s="72"/>
      <c r="PLB8" s="72"/>
      <c r="PLC8" s="72"/>
      <c r="PLD8" s="72"/>
      <c r="PLE8" s="72"/>
      <c r="PLF8" s="72"/>
      <c r="PLG8" s="72"/>
      <c r="PLH8" s="72"/>
      <c r="PLI8" s="72"/>
      <c r="PLJ8" s="72"/>
      <c r="PLK8" s="72"/>
      <c r="PLL8" s="72"/>
      <c r="PLM8" s="72"/>
      <c r="PLN8" s="72"/>
      <c r="PLO8" s="72"/>
      <c r="PLP8" s="72"/>
      <c r="PLQ8" s="72"/>
      <c r="PLR8" s="72"/>
      <c r="PLS8" s="72"/>
      <c r="PLT8" s="72"/>
      <c r="PLU8" s="72"/>
      <c r="PLV8" s="72"/>
      <c r="PLW8" s="72"/>
      <c r="PLX8" s="72"/>
      <c r="PLY8" s="72"/>
      <c r="PLZ8" s="72"/>
      <c r="PMA8" s="72"/>
      <c r="PMB8" s="72"/>
      <c r="PMC8" s="72"/>
      <c r="PMD8" s="72"/>
      <c r="PME8" s="72"/>
      <c r="PMF8" s="72"/>
      <c r="PMG8" s="72"/>
      <c r="PMH8" s="72"/>
      <c r="PMI8" s="72"/>
      <c r="PMJ8" s="72"/>
      <c r="PMK8" s="72"/>
      <c r="PML8" s="72"/>
      <c r="PMM8" s="72"/>
      <c r="PMN8" s="72"/>
      <c r="PMO8" s="72"/>
      <c r="PMP8" s="72"/>
      <c r="PMQ8" s="72"/>
      <c r="PMR8" s="72"/>
      <c r="PMS8" s="72"/>
      <c r="PMT8" s="72"/>
      <c r="PMU8" s="72"/>
      <c r="PMV8" s="72"/>
      <c r="PMW8" s="72"/>
      <c r="PMX8" s="72"/>
      <c r="PMY8" s="72"/>
      <c r="PMZ8" s="72"/>
      <c r="PNA8" s="72"/>
      <c r="PNB8" s="72"/>
      <c r="PNC8" s="72"/>
      <c r="PND8" s="72"/>
      <c r="PNE8" s="72"/>
      <c r="PNF8" s="72"/>
      <c r="PNG8" s="72"/>
      <c r="PNH8" s="72"/>
      <c r="PNI8" s="72"/>
      <c r="PNJ8" s="72"/>
      <c r="PNK8" s="72"/>
      <c r="PNL8" s="72"/>
      <c r="PNM8" s="72"/>
      <c r="PNN8" s="72"/>
      <c r="PNO8" s="72"/>
      <c r="PNP8" s="72"/>
      <c r="PNQ8" s="72"/>
      <c r="PNR8" s="72"/>
      <c r="PNS8" s="72"/>
      <c r="PNT8" s="72"/>
      <c r="PNU8" s="72"/>
      <c r="PNV8" s="72"/>
      <c r="PNW8" s="72"/>
      <c r="PNX8" s="72"/>
      <c r="PNY8" s="72"/>
      <c r="PNZ8" s="72"/>
      <c r="POA8" s="72"/>
      <c r="POB8" s="72"/>
      <c r="POC8" s="72"/>
      <c r="POD8" s="72"/>
      <c r="POE8" s="72"/>
      <c r="POF8" s="72"/>
      <c r="POG8" s="72"/>
      <c r="POH8" s="72"/>
      <c r="POI8" s="72"/>
      <c r="POJ8" s="72"/>
      <c r="POK8" s="72"/>
      <c r="POL8" s="72"/>
      <c r="POM8" s="72"/>
      <c r="PON8" s="72"/>
      <c r="POO8" s="72"/>
      <c r="POP8" s="72"/>
      <c r="POQ8" s="72"/>
      <c r="POR8" s="72"/>
      <c r="POS8" s="72"/>
      <c r="POT8" s="72"/>
      <c r="POU8" s="72"/>
      <c r="POV8" s="72"/>
      <c r="POW8" s="72"/>
      <c r="POX8" s="72"/>
      <c r="POY8" s="72"/>
      <c r="POZ8" s="72"/>
      <c r="PPA8" s="72"/>
      <c r="PPB8" s="72"/>
      <c r="PPC8" s="72"/>
      <c r="PPD8" s="72"/>
      <c r="PPE8" s="72"/>
      <c r="PPF8" s="72"/>
      <c r="PPG8" s="72"/>
      <c r="PPH8" s="72"/>
      <c r="PPI8" s="72"/>
      <c r="PPJ8" s="72"/>
      <c r="PPK8" s="72"/>
      <c r="PPL8" s="72"/>
      <c r="PPM8" s="72"/>
      <c r="PPN8" s="72"/>
      <c r="PPO8" s="72"/>
      <c r="PPP8" s="72"/>
      <c r="PPQ8" s="72"/>
      <c r="PPR8" s="72"/>
      <c r="PPS8" s="72"/>
      <c r="PPT8" s="72"/>
      <c r="PPU8" s="72"/>
      <c r="PPV8" s="72"/>
      <c r="PPW8" s="72"/>
      <c r="PPX8" s="72"/>
      <c r="PPY8" s="72"/>
      <c r="PPZ8" s="72"/>
      <c r="PQA8" s="72"/>
      <c r="PQB8" s="72"/>
      <c r="PQC8" s="72"/>
      <c r="PQD8" s="72"/>
      <c r="PQE8" s="72"/>
      <c r="PQF8" s="72"/>
      <c r="PQG8" s="72"/>
      <c r="PQH8" s="72"/>
      <c r="PQI8" s="72"/>
      <c r="PQJ8" s="72"/>
      <c r="PQK8" s="72"/>
      <c r="PQL8" s="72"/>
      <c r="PQM8" s="72"/>
      <c r="PQN8" s="72"/>
      <c r="PQO8" s="72"/>
      <c r="PQP8" s="72"/>
      <c r="PQQ8" s="72"/>
      <c r="PQR8" s="72"/>
      <c r="PQS8" s="72"/>
      <c r="PQT8" s="72"/>
      <c r="PQU8" s="72"/>
      <c r="PQV8" s="72"/>
      <c r="PQW8" s="72"/>
      <c r="PQX8" s="72"/>
      <c r="PQY8" s="72"/>
      <c r="PQZ8" s="72"/>
      <c r="PRA8" s="72"/>
      <c r="PRB8" s="72"/>
      <c r="PRC8" s="72"/>
      <c r="PRD8" s="72"/>
      <c r="PRE8" s="72"/>
      <c r="PRF8" s="72"/>
      <c r="PRG8" s="72"/>
      <c r="PRH8" s="72"/>
      <c r="PRI8" s="72"/>
      <c r="PRJ8" s="72"/>
      <c r="PRK8" s="72"/>
      <c r="PRL8" s="72"/>
      <c r="PRM8" s="72"/>
      <c r="PRN8" s="72"/>
      <c r="PRO8" s="72"/>
      <c r="PRP8" s="72"/>
      <c r="PRQ8" s="72"/>
      <c r="PRR8" s="72"/>
      <c r="PRS8" s="72"/>
      <c r="PRT8" s="72"/>
      <c r="PRU8" s="72"/>
      <c r="PRV8" s="72"/>
      <c r="PRW8" s="72"/>
      <c r="PRX8" s="72"/>
      <c r="PRY8" s="72"/>
      <c r="PRZ8" s="72"/>
      <c r="PSA8" s="72"/>
      <c r="PSB8" s="72"/>
      <c r="PSC8" s="72"/>
      <c r="PSD8" s="72"/>
      <c r="PSE8" s="72"/>
      <c r="PSF8" s="72"/>
      <c r="PSG8" s="72"/>
      <c r="PSH8" s="72"/>
      <c r="PSI8" s="72"/>
      <c r="PSJ8" s="72"/>
      <c r="PSK8" s="72"/>
      <c r="PSL8" s="72"/>
      <c r="PSM8" s="72"/>
      <c r="PSN8" s="72"/>
      <c r="PSO8" s="72"/>
      <c r="PSP8" s="72"/>
      <c r="PSQ8" s="72"/>
      <c r="PSR8" s="72"/>
      <c r="PSS8" s="72"/>
      <c r="PST8" s="72"/>
      <c r="PSU8" s="72"/>
      <c r="PSV8" s="72"/>
      <c r="PSW8" s="72"/>
      <c r="PSX8" s="72"/>
      <c r="PSY8" s="72"/>
      <c r="PSZ8" s="72"/>
      <c r="PTA8" s="72"/>
      <c r="PTB8" s="72"/>
      <c r="PTC8" s="72"/>
      <c r="PTD8" s="72"/>
      <c r="PTE8" s="72"/>
      <c r="PTF8" s="72"/>
      <c r="PTG8" s="72"/>
      <c r="PTH8" s="72"/>
      <c r="PTI8" s="72"/>
      <c r="PTJ8" s="72"/>
      <c r="PTK8" s="72"/>
      <c r="PTL8" s="72"/>
      <c r="PTM8" s="72"/>
      <c r="PTN8" s="72"/>
      <c r="PTO8" s="72"/>
      <c r="PTP8" s="72"/>
      <c r="PTQ8" s="72"/>
      <c r="PTR8" s="72"/>
      <c r="PTS8" s="72"/>
      <c r="PTT8" s="72"/>
      <c r="PTU8" s="72"/>
      <c r="PTV8" s="72"/>
      <c r="PTW8" s="72"/>
      <c r="PTX8" s="72"/>
      <c r="PTY8" s="72"/>
      <c r="PTZ8" s="72"/>
      <c r="PUA8" s="72"/>
      <c r="PUB8" s="72"/>
      <c r="PUC8" s="72"/>
      <c r="PUD8" s="72"/>
      <c r="PUE8" s="72"/>
      <c r="PUF8" s="72"/>
      <c r="PUG8" s="72"/>
      <c r="PUH8" s="72"/>
      <c r="PUI8" s="72"/>
      <c r="PUJ8" s="72"/>
      <c r="PUK8" s="72"/>
      <c r="PUL8" s="72"/>
      <c r="PUM8" s="72"/>
      <c r="PUN8" s="72"/>
      <c r="PUO8" s="72"/>
      <c r="PUP8" s="72"/>
      <c r="PUQ8" s="72"/>
      <c r="PUR8" s="72"/>
      <c r="PUS8" s="72"/>
      <c r="PUT8" s="72"/>
      <c r="PUU8" s="72"/>
      <c r="PUV8" s="72"/>
      <c r="PUW8" s="72"/>
      <c r="PUX8" s="72"/>
      <c r="PUY8" s="72"/>
      <c r="PUZ8" s="72"/>
      <c r="PVA8" s="72"/>
      <c r="PVB8" s="72"/>
      <c r="PVC8" s="72"/>
      <c r="PVD8" s="72"/>
      <c r="PVE8" s="72"/>
      <c r="PVF8" s="72"/>
      <c r="PVG8" s="72"/>
      <c r="PVH8" s="72"/>
      <c r="PVI8" s="72"/>
      <c r="PVJ8" s="72"/>
      <c r="PVK8" s="72"/>
      <c r="PVL8" s="72"/>
      <c r="PVM8" s="72"/>
      <c r="PVN8" s="72"/>
      <c r="PVO8" s="72"/>
      <c r="PVP8" s="72"/>
      <c r="PVQ8" s="72"/>
      <c r="PVR8" s="72"/>
      <c r="PVS8" s="72"/>
      <c r="PVT8" s="72"/>
      <c r="PVU8" s="72"/>
      <c r="PVV8" s="72"/>
      <c r="PVW8" s="72"/>
      <c r="PVX8" s="72"/>
      <c r="PVY8" s="72"/>
      <c r="PVZ8" s="72"/>
      <c r="PWA8" s="72"/>
      <c r="PWB8" s="72"/>
      <c r="PWC8" s="72"/>
      <c r="PWD8" s="72"/>
      <c r="PWE8" s="72"/>
      <c r="PWF8" s="72"/>
      <c r="PWG8" s="72"/>
      <c r="PWH8" s="72"/>
      <c r="PWI8" s="72"/>
      <c r="PWJ8" s="72"/>
      <c r="PWK8" s="72"/>
      <c r="PWL8" s="72"/>
      <c r="PWM8" s="72"/>
      <c r="PWN8" s="72"/>
      <c r="PWO8" s="72"/>
      <c r="PWP8" s="72"/>
      <c r="PWQ8" s="72"/>
      <c r="PWR8" s="72"/>
      <c r="PWS8" s="72"/>
      <c r="PWT8" s="72"/>
      <c r="PWU8" s="72"/>
      <c r="PWV8" s="72"/>
      <c r="PWW8" s="72"/>
      <c r="PWX8" s="72"/>
      <c r="PWY8" s="72"/>
      <c r="PWZ8" s="72"/>
      <c r="PXA8" s="72"/>
      <c r="PXB8" s="72"/>
      <c r="PXC8" s="72"/>
      <c r="PXD8" s="72"/>
      <c r="PXE8" s="72"/>
      <c r="PXF8" s="72"/>
      <c r="PXG8" s="72"/>
      <c r="PXH8" s="72"/>
      <c r="PXI8" s="72"/>
      <c r="PXJ8" s="72"/>
      <c r="PXK8" s="72"/>
      <c r="PXL8" s="72"/>
      <c r="PXM8" s="72"/>
      <c r="PXN8" s="72"/>
      <c r="PXO8" s="72"/>
      <c r="PXP8" s="72"/>
      <c r="PXQ8" s="72"/>
      <c r="PXR8" s="72"/>
      <c r="PXS8" s="72"/>
      <c r="PXT8" s="72"/>
      <c r="PXU8" s="72"/>
      <c r="PXV8" s="72"/>
      <c r="PXW8" s="72"/>
      <c r="PXX8" s="72"/>
      <c r="PXY8" s="72"/>
      <c r="PXZ8" s="72"/>
      <c r="PYA8" s="72"/>
      <c r="PYB8" s="72"/>
      <c r="PYC8" s="72"/>
      <c r="PYD8" s="72"/>
      <c r="PYE8" s="72"/>
      <c r="PYF8" s="72"/>
      <c r="PYG8" s="72"/>
      <c r="PYH8" s="72"/>
      <c r="PYI8" s="72"/>
      <c r="PYJ8" s="72"/>
      <c r="PYK8" s="72"/>
      <c r="PYL8" s="72"/>
      <c r="PYM8" s="72"/>
      <c r="PYN8" s="72"/>
      <c r="PYO8" s="72"/>
      <c r="PYP8" s="72"/>
      <c r="PYQ8" s="72"/>
      <c r="PYR8" s="72"/>
      <c r="PYS8" s="72"/>
      <c r="PYT8" s="72"/>
      <c r="PYU8" s="72"/>
      <c r="PYV8" s="72"/>
      <c r="PYW8" s="72"/>
      <c r="PYX8" s="72"/>
      <c r="PYY8" s="72"/>
      <c r="PYZ8" s="72"/>
      <c r="PZA8" s="72"/>
      <c r="PZB8" s="72"/>
      <c r="PZC8" s="72"/>
      <c r="PZD8" s="72"/>
      <c r="PZE8" s="72"/>
      <c r="PZF8" s="72"/>
      <c r="PZG8" s="72"/>
      <c r="PZH8" s="72"/>
      <c r="PZI8" s="72"/>
      <c r="PZJ8" s="72"/>
      <c r="PZK8" s="72"/>
      <c r="PZL8" s="72"/>
      <c r="PZM8" s="72"/>
      <c r="PZN8" s="72"/>
      <c r="PZO8" s="72"/>
      <c r="PZP8" s="72"/>
      <c r="PZQ8" s="72"/>
      <c r="PZR8" s="72"/>
      <c r="PZS8" s="72"/>
      <c r="PZT8" s="72"/>
      <c r="PZU8" s="72"/>
      <c r="PZV8" s="72"/>
      <c r="PZW8" s="72"/>
      <c r="PZX8" s="72"/>
      <c r="PZY8" s="72"/>
      <c r="PZZ8" s="72"/>
      <c r="QAA8" s="72"/>
      <c r="QAB8" s="72"/>
      <c r="QAC8" s="72"/>
      <c r="QAD8" s="72"/>
      <c r="QAE8" s="72"/>
      <c r="QAF8" s="72"/>
      <c r="QAG8" s="72"/>
      <c r="QAH8" s="72"/>
      <c r="QAI8" s="72"/>
      <c r="QAJ8" s="72"/>
      <c r="QAK8" s="72"/>
      <c r="QAL8" s="72"/>
      <c r="QAM8" s="72"/>
      <c r="QAN8" s="72"/>
      <c r="QAO8" s="72"/>
      <c r="QAP8" s="72"/>
      <c r="QAQ8" s="72"/>
      <c r="QAR8" s="72"/>
      <c r="QAS8" s="72"/>
      <c r="QAT8" s="72"/>
      <c r="QAU8" s="72"/>
      <c r="QAV8" s="72"/>
      <c r="QAW8" s="72"/>
      <c r="QAX8" s="72"/>
      <c r="QAY8" s="72"/>
      <c r="QAZ8" s="72"/>
      <c r="QBA8" s="72"/>
      <c r="QBB8" s="72"/>
      <c r="QBC8" s="72"/>
      <c r="QBD8" s="72"/>
      <c r="QBE8" s="72"/>
      <c r="QBF8" s="72"/>
      <c r="QBG8" s="72"/>
      <c r="QBH8" s="72"/>
      <c r="QBI8" s="72"/>
      <c r="QBJ8" s="72"/>
      <c r="QBK8" s="72"/>
      <c r="QBL8" s="72"/>
      <c r="QBM8" s="72"/>
      <c r="QBN8" s="72"/>
      <c r="QBO8" s="72"/>
      <c r="QBP8" s="72"/>
      <c r="QBQ8" s="72"/>
      <c r="QBR8" s="72"/>
      <c r="QBS8" s="72"/>
      <c r="QBT8" s="72"/>
      <c r="QBU8" s="72"/>
      <c r="QBV8" s="72"/>
      <c r="QBW8" s="72"/>
      <c r="QBX8" s="72"/>
      <c r="QBY8" s="72"/>
      <c r="QBZ8" s="72"/>
      <c r="QCA8" s="72"/>
      <c r="QCB8" s="72"/>
      <c r="QCC8" s="72"/>
      <c r="QCD8" s="72"/>
      <c r="QCE8" s="72"/>
      <c r="QCF8" s="72"/>
      <c r="QCG8" s="72"/>
      <c r="QCH8" s="72"/>
      <c r="QCI8" s="72"/>
      <c r="QCJ8" s="72"/>
      <c r="QCK8" s="72"/>
      <c r="QCL8" s="72"/>
      <c r="QCM8" s="72"/>
      <c r="QCN8" s="72"/>
      <c r="QCO8" s="72"/>
      <c r="QCP8" s="72"/>
      <c r="QCQ8" s="72"/>
      <c r="QCR8" s="72"/>
      <c r="QCS8" s="72"/>
      <c r="QCT8" s="72"/>
      <c r="QCU8" s="72"/>
      <c r="QCV8" s="72"/>
      <c r="QCW8" s="72"/>
      <c r="QCX8" s="72"/>
      <c r="QCY8" s="72"/>
      <c r="QCZ8" s="72"/>
      <c r="QDA8" s="72"/>
      <c r="QDB8" s="72"/>
      <c r="QDC8" s="72"/>
      <c r="QDD8" s="72"/>
      <c r="QDE8" s="72"/>
      <c r="QDF8" s="72"/>
      <c r="QDG8" s="72"/>
      <c r="QDH8" s="72"/>
      <c r="QDI8" s="72"/>
      <c r="QDJ8" s="72"/>
      <c r="QDK8" s="72"/>
      <c r="QDL8" s="72"/>
      <c r="QDM8" s="72"/>
      <c r="QDN8" s="72"/>
      <c r="QDO8" s="72"/>
      <c r="QDP8" s="72"/>
      <c r="QDQ8" s="72"/>
      <c r="QDR8" s="72"/>
      <c r="QDS8" s="72"/>
      <c r="QDT8" s="72"/>
      <c r="QDU8" s="72"/>
      <c r="QDV8" s="72"/>
      <c r="QDW8" s="72"/>
      <c r="QDX8" s="72"/>
      <c r="QDY8" s="72"/>
      <c r="QDZ8" s="72"/>
      <c r="QEA8" s="72"/>
      <c r="QEB8" s="72"/>
      <c r="QEC8" s="72"/>
      <c r="QED8" s="72"/>
      <c r="QEE8" s="72"/>
      <c r="QEF8" s="72"/>
      <c r="QEG8" s="72"/>
      <c r="QEH8" s="72"/>
      <c r="QEI8" s="72"/>
      <c r="QEJ8" s="72"/>
      <c r="QEK8" s="72"/>
      <c r="QEL8" s="72"/>
      <c r="QEM8" s="72"/>
      <c r="QEN8" s="72"/>
      <c r="QEO8" s="72"/>
      <c r="QEP8" s="72"/>
      <c r="QEQ8" s="72"/>
      <c r="QER8" s="72"/>
      <c r="QES8" s="72"/>
      <c r="QET8" s="72"/>
      <c r="QEU8" s="72"/>
      <c r="QEV8" s="72"/>
      <c r="QEW8" s="72"/>
      <c r="QEX8" s="72"/>
      <c r="QEY8" s="72"/>
      <c r="QEZ8" s="72"/>
      <c r="QFA8" s="72"/>
      <c r="QFB8" s="72"/>
      <c r="QFC8" s="72"/>
      <c r="QFD8" s="72"/>
      <c r="QFE8" s="72"/>
      <c r="QFF8" s="72"/>
      <c r="QFG8" s="72"/>
      <c r="QFH8" s="72"/>
      <c r="QFI8" s="72"/>
      <c r="QFJ8" s="72"/>
      <c r="QFK8" s="72"/>
      <c r="QFL8" s="72"/>
      <c r="QFM8" s="72"/>
      <c r="QFN8" s="72"/>
      <c r="QFO8" s="72"/>
      <c r="QFP8" s="72"/>
      <c r="QFQ8" s="72"/>
      <c r="QFR8" s="72"/>
      <c r="QFS8" s="72"/>
      <c r="QFT8" s="72"/>
      <c r="QFU8" s="72"/>
      <c r="QFV8" s="72"/>
      <c r="QFW8" s="72"/>
      <c r="QFX8" s="72"/>
      <c r="QFY8" s="72"/>
      <c r="QFZ8" s="72"/>
      <c r="QGA8" s="72"/>
      <c r="QGB8" s="72"/>
      <c r="QGC8" s="72"/>
      <c r="QGD8" s="72"/>
      <c r="QGE8" s="72"/>
      <c r="QGF8" s="72"/>
      <c r="QGG8" s="72"/>
      <c r="QGH8" s="72"/>
      <c r="QGI8" s="72"/>
      <c r="QGJ8" s="72"/>
      <c r="QGK8" s="72"/>
      <c r="QGL8" s="72"/>
      <c r="QGM8" s="72"/>
      <c r="QGN8" s="72"/>
      <c r="QGO8" s="72"/>
      <c r="QGP8" s="72"/>
      <c r="QGQ8" s="72"/>
      <c r="QGR8" s="72"/>
      <c r="QGS8" s="72"/>
      <c r="QGT8" s="72"/>
      <c r="QGU8" s="72"/>
      <c r="QGV8" s="72"/>
      <c r="QGW8" s="72"/>
      <c r="QGX8" s="72"/>
      <c r="QGY8" s="72"/>
      <c r="QGZ8" s="72"/>
      <c r="QHA8" s="72"/>
      <c r="QHB8" s="72"/>
      <c r="QHC8" s="72"/>
      <c r="QHD8" s="72"/>
      <c r="QHE8" s="72"/>
      <c r="QHF8" s="72"/>
      <c r="QHG8" s="72"/>
      <c r="QHH8" s="72"/>
      <c r="QHI8" s="72"/>
      <c r="QHJ8" s="72"/>
      <c r="QHK8" s="72"/>
      <c r="QHL8" s="72"/>
      <c r="QHM8" s="72"/>
      <c r="QHN8" s="72"/>
      <c r="QHO8" s="72"/>
      <c r="QHP8" s="72"/>
      <c r="QHQ8" s="72"/>
      <c r="QHR8" s="72"/>
      <c r="QHS8" s="72"/>
      <c r="QHT8" s="72"/>
      <c r="QHU8" s="72"/>
      <c r="QHV8" s="72"/>
      <c r="QHW8" s="72"/>
      <c r="QHX8" s="72"/>
      <c r="QHY8" s="72"/>
      <c r="QHZ8" s="72"/>
      <c r="QIA8" s="72"/>
      <c r="QIB8" s="72"/>
      <c r="QIC8" s="72"/>
      <c r="QID8" s="72"/>
      <c r="QIE8" s="72"/>
      <c r="QIF8" s="72"/>
      <c r="QIG8" s="72"/>
      <c r="QIH8" s="72"/>
      <c r="QII8" s="72"/>
      <c r="QIJ8" s="72"/>
      <c r="QIK8" s="72"/>
      <c r="QIL8" s="72"/>
      <c r="QIM8" s="72"/>
      <c r="QIN8" s="72"/>
      <c r="QIO8" s="72"/>
      <c r="QIP8" s="72"/>
      <c r="QIQ8" s="72"/>
      <c r="QIR8" s="72"/>
      <c r="QIS8" s="72"/>
      <c r="QIT8" s="72"/>
      <c r="QIU8" s="72"/>
      <c r="QIV8" s="72"/>
      <c r="QIW8" s="72"/>
      <c r="QIX8" s="72"/>
      <c r="QIY8" s="72"/>
      <c r="QIZ8" s="72"/>
      <c r="QJA8" s="72"/>
      <c r="QJB8" s="72"/>
      <c r="QJC8" s="72"/>
      <c r="QJD8" s="72"/>
      <c r="QJE8" s="72"/>
      <c r="QJF8" s="72"/>
      <c r="QJG8" s="72"/>
      <c r="QJH8" s="72"/>
      <c r="QJI8" s="72"/>
      <c r="QJJ8" s="72"/>
      <c r="QJK8" s="72"/>
      <c r="QJL8" s="72"/>
      <c r="QJM8" s="72"/>
      <c r="QJN8" s="72"/>
      <c r="QJO8" s="72"/>
      <c r="QJP8" s="72"/>
      <c r="QJQ8" s="72"/>
      <c r="QJR8" s="72"/>
      <c r="QJS8" s="72"/>
      <c r="QJT8" s="72"/>
      <c r="QJU8" s="72"/>
      <c r="QJV8" s="72"/>
      <c r="QJW8" s="72"/>
      <c r="QJX8" s="72"/>
      <c r="QJY8" s="72"/>
      <c r="QJZ8" s="72"/>
      <c r="QKA8" s="72"/>
      <c r="QKB8" s="72"/>
      <c r="QKC8" s="72"/>
      <c r="QKD8" s="72"/>
      <c r="QKE8" s="72"/>
      <c r="QKF8" s="72"/>
      <c r="QKG8" s="72"/>
      <c r="QKH8" s="72"/>
      <c r="QKI8" s="72"/>
      <c r="QKJ8" s="72"/>
      <c r="QKK8" s="72"/>
      <c r="QKL8" s="72"/>
      <c r="QKM8" s="72"/>
      <c r="QKN8" s="72"/>
      <c r="QKO8" s="72"/>
      <c r="QKP8" s="72"/>
      <c r="QKQ8" s="72"/>
      <c r="QKR8" s="72"/>
      <c r="QKS8" s="72"/>
      <c r="QKT8" s="72"/>
      <c r="QKU8" s="72"/>
      <c r="QKV8" s="72"/>
      <c r="QKW8" s="72"/>
      <c r="QKX8" s="72"/>
      <c r="QKY8" s="72"/>
      <c r="QKZ8" s="72"/>
      <c r="QLA8" s="72"/>
      <c r="QLB8" s="72"/>
      <c r="QLC8" s="72"/>
      <c r="QLD8" s="72"/>
      <c r="QLE8" s="72"/>
      <c r="QLF8" s="72"/>
      <c r="QLG8" s="72"/>
      <c r="QLH8" s="72"/>
      <c r="QLI8" s="72"/>
      <c r="QLJ8" s="72"/>
      <c r="QLK8" s="72"/>
      <c r="QLL8" s="72"/>
      <c r="QLM8" s="72"/>
      <c r="QLN8" s="72"/>
      <c r="QLO8" s="72"/>
      <c r="QLP8" s="72"/>
      <c r="QLQ8" s="72"/>
      <c r="QLR8" s="72"/>
      <c r="QLS8" s="72"/>
      <c r="QLT8" s="72"/>
      <c r="QLU8" s="72"/>
      <c r="QLV8" s="72"/>
      <c r="QLW8" s="72"/>
      <c r="QLX8" s="72"/>
      <c r="QLY8" s="72"/>
      <c r="QLZ8" s="72"/>
      <c r="QMA8" s="72"/>
      <c r="QMB8" s="72"/>
      <c r="QMC8" s="72"/>
      <c r="QMD8" s="72"/>
      <c r="QME8" s="72"/>
      <c r="QMF8" s="72"/>
      <c r="QMG8" s="72"/>
      <c r="QMH8" s="72"/>
      <c r="QMI8" s="72"/>
      <c r="QMJ8" s="72"/>
      <c r="QMK8" s="72"/>
      <c r="QML8" s="72"/>
      <c r="QMM8" s="72"/>
      <c r="QMN8" s="72"/>
      <c r="QMO8" s="72"/>
      <c r="QMP8" s="72"/>
      <c r="QMQ8" s="72"/>
      <c r="QMR8" s="72"/>
      <c r="QMS8" s="72"/>
      <c r="QMT8" s="72"/>
      <c r="QMU8" s="72"/>
      <c r="QMV8" s="72"/>
      <c r="QMW8" s="72"/>
      <c r="QMX8" s="72"/>
      <c r="QMY8" s="72"/>
      <c r="QMZ8" s="72"/>
      <c r="QNA8" s="72"/>
      <c r="QNB8" s="72"/>
      <c r="QNC8" s="72"/>
      <c r="QND8" s="72"/>
      <c r="QNE8" s="72"/>
      <c r="QNF8" s="72"/>
      <c r="QNG8" s="72"/>
      <c r="QNH8" s="72"/>
      <c r="QNI8" s="72"/>
      <c r="QNJ8" s="72"/>
      <c r="QNK8" s="72"/>
      <c r="QNL8" s="72"/>
      <c r="QNM8" s="72"/>
      <c r="QNN8" s="72"/>
      <c r="QNO8" s="72"/>
      <c r="QNP8" s="72"/>
      <c r="QNQ8" s="72"/>
      <c r="QNR8" s="72"/>
      <c r="QNS8" s="72"/>
      <c r="QNT8" s="72"/>
      <c r="QNU8" s="72"/>
      <c r="QNV8" s="72"/>
      <c r="QNW8" s="72"/>
      <c r="QNX8" s="72"/>
      <c r="QNY8" s="72"/>
      <c r="QNZ8" s="72"/>
      <c r="QOA8" s="72"/>
      <c r="QOB8" s="72"/>
      <c r="QOC8" s="72"/>
      <c r="QOD8" s="72"/>
      <c r="QOE8" s="72"/>
      <c r="QOF8" s="72"/>
      <c r="QOG8" s="72"/>
      <c r="QOH8" s="72"/>
      <c r="QOI8" s="72"/>
      <c r="QOJ8" s="72"/>
      <c r="QOK8" s="72"/>
      <c r="QOL8" s="72"/>
      <c r="QOM8" s="72"/>
      <c r="QON8" s="72"/>
      <c r="QOO8" s="72"/>
      <c r="QOP8" s="72"/>
      <c r="QOQ8" s="72"/>
      <c r="QOR8" s="72"/>
      <c r="QOS8" s="72"/>
      <c r="QOT8" s="72"/>
      <c r="QOU8" s="72"/>
      <c r="QOV8" s="72"/>
      <c r="QOW8" s="72"/>
      <c r="QOX8" s="72"/>
      <c r="QOY8" s="72"/>
      <c r="QOZ8" s="72"/>
      <c r="QPA8" s="72"/>
      <c r="QPB8" s="72"/>
      <c r="QPC8" s="72"/>
      <c r="QPD8" s="72"/>
      <c r="QPE8" s="72"/>
      <c r="QPF8" s="72"/>
      <c r="QPG8" s="72"/>
      <c r="QPH8" s="72"/>
      <c r="QPI8" s="72"/>
      <c r="QPJ8" s="72"/>
      <c r="QPK8" s="72"/>
      <c r="QPL8" s="72"/>
      <c r="QPM8" s="72"/>
      <c r="QPN8" s="72"/>
      <c r="QPO8" s="72"/>
      <c r="QPP8" s="72"/>
      <c r="QPQ8" s="72"/>
      <c r="QPR8" s="72"/>
      <c r="QPS8" s="72"/>
      <c r="QPT8" s="72"/>
      <c r="QPU8" s="72"/>
      <c r="QPV8" s="72"/>
      <c r="QPW8" s="72"/>
      <c r="QPX8" s="72"/>
      <c r="QPY8" s="72"/>
      <c r="QPZ8" s="72"/>
      <c r="QQA8" s="72"/>
      <c r="QQB8" s="72"/>
      <c r="QQC8" s="72"/>
      <c r="QQD8" s="72"/>
      <c r="QQE8" s="72"/>
      <c r="QQF8" s="72"/>
      <c r="QQG8" s="72"/>
      <c r="QQH8" s="72"/>
      <c r="QQI8" s="72"/>
      <c r="QQJ8" s="72"/>
      <c r="QQK8" s="72"/>
      <c r="QQL8" s="72"/>
      <c r="QQM8" s="72"/>
      <c r="QQN8" s="72"/>
      <c r="QQO8" s="72"/>
      <c r="QQP8" s="72"/>
      <c r="QQQ8" s="72"/>
      <c r="QQR8" s="72"/>
      <c r="QQS8" s="72"/>
      <c r="QQT8" s="72"/>
      <c r="QQU8" s="72"/>
      <c r="QQV8" s="72"/>
      <c r="QQW8" s="72"/>
      <c r="QQX8" s="72"/>
      <c r="QQY8" s="72"/>
      <c r="QQZ8" s="72"/>
      <c r="QRA8" s="72"/>
      <c r="QRB8" s="72"/>
      <c r="QRC8" s="72"/>
      <c r="QRD8" s="72"/>
      <c r="QRE8" s="72"/>
      <c r="QRF8" s="72"/>
      <c r="QRG8" s="72"/>
      <c r="QRH8" s="72"/>
      <c r="QRI8" s="72"/>
      <c r="QRJ8" s="72"/>
      <c r="QRK8" s="72"/>
      <c r="QRL8" s="72"/>
      <c r="QRM8" s="72"/>
      <c r="QRN8" s="72"/>
      <c r="QRO8" s="72"/>
      <c r="QRP8" s="72"/>
      <c r="QRQ8" s="72"/>
      <c r="QRR8" s="72"/>
      <c r="QRS8" s="72"/>
      <c r="QRT8" s="72"/>
      <c r="QRU8" s="72"/>
      <c r="QRV8" s="72"/>
      <c r="QRW8" s="72"/>
      <c r="QRX8" s="72"/>
      <c r="QRY8" s="72"/>
      <c r="QRZ8" s="72"/>
      <c r="QSA8" s="72"/>
      <c r="QSB8" s="72"/>
      <c r="QSC8" s="72"/>
      <c r="QSD8" s="72"/>
      <c r="QSE8" s="72"/>
      <c r="QSF8" s="72"/>
      <c r="QSG8" s="72"/>
      <c r="QSH8" s="72"/>
      <c r="QSI8" s="72"/>
      <c r="QSJ8" s="72"/>
      <c r="QSK8" s="72"/>
      <c r="QSL8" s="72"/>
      <c r="QSM8" s="72"/>
      <c r="QSN8" s="72"/>
      <c r="QSO8" s="72"/>
      <c r="QSP8" s="72"/>
      <c r="QSQ8" s="72"/>
      <c r="QSR8" s="72"/>
      <c r="QSS8" s="72"/>
      <c r="QST8" s="72"/>
      <c r="QSU8" s="72"/>
      <c r="QSV8" s="72"/>
      <c r="QSW8" s="72"/>
      <c r="QSX8" s="72"/>
      <c r="QSY8" s="72"/>
      <c r="QSZ8" s="72"/>
      <c r="QTA8" s="72"/>
      <c r="QTB8" s="72"/>
      <c r="QTC8" s="72"/>
      <c r="QTD8" s="72"/>
      <c r="QTE8" s="72"/>
      <c r="QTF8" s="72"/>
      <c r="QTG8" s="72"/>
      <c r="QTH8" s="72"/>
      <c r="QTI8" s="72"/>
      <c r="QTJ8" s="72"/>
      <c r="QTK8" s="72"/>
      <c r="QTL8" s="72"/>
      <c r="QTM8" s="72"/>
      <c r="QTN8" s="72"/>
      <c r="QTO8" s="72"/>
      <c r="QTP8" s="72"/>
      <c r="QTQ8" s="72"/>
      <c r="QTR8" s="72"/>
      <c r="QTS8" s="72"/>
      <c r="QTT8" s="72"/>
      <c r="QTU8" s="72"/>
      <c r="QTV8" s="72"/>
      <c r="QTW8" s="72"/>
      <c r="QTX8" s="72"/>
      <c r="QTY8" s="72"/>
      <c r="QTZ8" s="72"/>
      <c r="QUA8" s="72"/>
      <c r="QUB8" s="72"/>
      <c r="QUC8" s="72"/>
      <c r="QUD8" s="72"/>
      <c r="QUE8" s="72"/>
      <c r="QUF8" s="72"/>
      <c r="QUG8" s="72"/>
      <c r="QUH8" s="72"/>
      <c r="QUI8" s="72"/>
      <c r="QUJ8" s="72"/>
      <c r="QUK8" s="72"/>
      <c r="QUL8" s="72"/>
      <c r="QUM8" s="72"/>
      <c r="QUN8" s="72"/>
      <c r="QUO8" s="72"/>
      <c r="QUP8" s="72"/>
      <c r="QUQ8" s="72"/>
      <c r="QUR8" s="72"/>
      <c r="QUS8" s="72"/>
      <c r="QUT8" s="72"/>
      <c r="QUU8" s="72"/>
      <c r="QUV8" s="72"/>
      <c r="QUW8" s="72"/>
      <c r="QUX8" s="72"/>
      <c r="QUY8" s="72"/>
      <c r="QUZ8" s="72"/>
      <c r="QVA8" s="72"/>
      <c r="QVB8" s="72"/>
      <c r="QVC8" s="72"/>
      <c r="QVD8" s="72"/>
      <c r="QVE8" s="72"/>
      <c r="QVF8" s="72"/>
      <c r="QVG8" s="72"/>
      <c r="QVH8" s="72"/>
      <c r="QVI8" s="72"/>
      <c r="QVJ8" s="72"/>
      <c r="QVK8" s="72"/>
      <c r="QVL8" s="72"/>
      <c r="QVM8" s="72"/>
      <c r="QVN8" s="72"/>
      <c r="QVO8" s="72"/>
      <c r="QVP8" s="72"/>
      <c r="QVQ8" s="72"/>
      <c r="QVR8" s="72"/>
      <c r="QVS8" s="72"/>
      <c r="QVT8" s="72"/>
      <c r="QVU8" s="72"/>
      <c r="QVV8" s="72"/>
      <c r="QVW8" s="72"/>
      <c r="QVX8" s="72"/>
      <c r="QVY8" s="72"/>
      <c r="QVZ8" s="72"/>
      <c r="QWA8" s="72"/>
      <c r="QWB8" s="72"/>
      <c r="QWC8" s="72"/>
      <c r="QWD8" s="72"/>
      <c r="QWE8" s="72"/>
      <c r="QWF8" s="72"/>
      <c r="QWG8" s="72"/>
      <c r="QWH8" s="72"/>
      <c r="QWI8" s="72"/>
      <c r="QWJ8" s="72"/>
      <c r="QWK8" s="72"/>
      <c r="QWL8" s="72"/>
      <c r="QWM8" s="72"/>
      <c r="QWN8" s="72"/>
      <c r="QWO8" s="72"/>
      <c r="QWP8" s="72"/>
      <c r="QWQ8" s="72"/>
      <c r="QWR8" s="72"/>
      <c r="QWS8" s="72"/>
      <c r="QWT8" s="72"/>
      <c r="QWU8" s="72"/>
      <c r="QWV8" s="72"/>
      <c r="QWW8" s="72"/>
      <c r="QWX8" s="72"/>
      <c r="QWY8" s="72"/>
      <c r="QWZ8" s="72"/>
      <c r="QXA8" s="72"/>
      <c r="QXB8" s="72"/>
      <c r="QXC8" s="72"/>
      <c r="QXD8" s="72"/>
      <c r="QXE8" s="72"/>
      <c r="QXF8" s="72"/>
      <c r="QXG8" s="72"/>
      <c r="QXH8" s="72"/>
      <c r="QXI8" s="72"/>
      <c r="QXJ8" s="72"/>
      <c r="QXK8" s="72"/>
      <c r="QXL8" s="72"/>
      <c r="QXM8" s="72"/>
      <c r="QXN8" s="72"/>
      <c r="QXO8" s="72"/>
      <c r="QXP8" s="72"/>
      <c r="QXQ8" s="72"/>
      <c r="QXR8" s="72"/>
      <c r="QXS8" s="72"/>
      <c r="QXT8" s="72"/>
      <c r="QXU8" s="72"/>
      <c r="QXV8" s="72"/>
      <c r="QXW8" s="72"/>
      <c r="QXX8" s="72"/>
      <c r="QXY8" s="72"/>
      <c r="QXZ8" s="72"/>
      <c r="QYA8" s="72"/>
      <c r="QYB8" s="72"/>
      <c r="QYC8" s="72"/>
      <c r="QYD8" s="72"/>
      <c r="QYE8" s="72"/>
      <c r="QYF8" s="72"/>
      <c r="QYG8" s="72"/>
      <c r="QYH8" s="72"/>
      <c r="QYI8" s="72"/>
      <c r="QYJ8" s="72"/>
      <c r="QYK8" s="72"/>
      <c r="QYL8" s="72"/>
      <c r="QYM8" s="72"/>
      <c r="QYN8" s="72"/>
      <c r="QYO8" s="72"/>
      <c r="QYP8" s="72"/>
      <c r="QYQ8" s="72"/>
      <c r="QYR8" s="72"/>
      <c r="QYS8" s="72"/>
      <c r="QYT8" s="72"/>
      <c r="QYU8" s="72"/>
      <c r="QYV8" s="72"/>
      <c r="QYW8" s="72"/>
      <c r="QYX8" s="72"/>
      <c r="QYY8" s="72"/>
      <c r="QYZ8" s="72"/>
      <c r="QZA8" s="72"/>
      <c r="QZB8" s="72"/>
      <c r="QZC8" s="72"/>
      <c r="QZD8" s="72"/>
      <c r="QZE8" s="72"/>
      <c r="QZF8" s="72"/>
      <c r="QZG8" s="72"/>
      <c r="QZH8" s="72"/>
      <c r="QZI8" s="72"/>
      <c r="QZJ8" s="72"/>
      <c r="QZK8" s="72"/>
      <c r="QZL8" s="72"/>
      <c r="QZM8" s="72"/>
      <c r="QZN8" s="72"/>
      <c r="QZO8" s="72"/>
      <c r="QZP8" s="72"/>
      <c r="QZQ8" s="72"/>
      <c r="QZR8" s="72"/>
      <c r="QZS8" s="72"/>
      <c r="QZT8" s="72"/>
      <c r="QZU8" s="72"/>
      <c r="QZV8" s="72"/>
      <c r="QZW8" s="72"/>
      <c r="QZX8" s="72"/>
      <c r="QZY8" s="72"/>
      <c r="QZZ8" s="72"/>
      <c r="RAA8" s="72"/>
      <c r="RAB8" s="72"/>
      <c r="RAC8" s="72"/>
      <c r="RAD8" s="72"/>
      <c r="RAE8" s="72"/>
      <c r="RAF8" s="72"/>
      <c r="RAG8" s="72"/>
      <c r="RAH8" s="72"/>
      <c r="RAI8" s="72"/>
      <c r="RAJ8" s="72"/>
      <c r="RAK8" s="72"/>
      <c r="RAL8" s="72"/>
      <c r="RAM8" s="72"/>
      <c r="RAN8" s="72"/>
      <c r="RAO8" s="72"/>
      <c r="RAP8" s="72"/>
      <c r="RAQ8" s="72"/>
      <c r="RAR8" s="72"/>
      <c r="RAS8" s="72"/>
      <c r="RAT8" s="72"/>
      <c r="RAU8" s="72"/>
      <c r="RAV8" s="72"/>
      <c r="RAW8" s="72"/>
      <c r="RAX8" s="72"/>
      <c r="RAY8" s="72"/>
      <c r="RAZ8" s="72"/>
      <c r="RBA8" s="72"/>
      <c r="RBB8" s="72"/>
      <c r="RBC8" s="72"/>
      <c r="RBD8" s="72"/>
      <c r="RBE8" s="72"/>
      <c r="RBF8" s="72"/>
      <c r="RBG8" s="72"/>
      <c r="RBH8" s="72"/>
      <c r="RBI8" s="72"/>
      <c r="RBJ8" s="72"/>
      <c r="RBK8" s="72"/>
      <c r="RBL8" s="72"/>
      <c r="RBM8" s="72"/>
      <c r="RBN8" s="72"/>
      <c r="RBO8" s="72"/>
      <c r="RBP8" s="72"/>
      <c r="RBQ8" s="72"/>
      <c r="RBR8" s="72"/>
      <c r="RBS8" s="72"/>
      <c r="RBT8" s="72"/>
      <c r="RBU8" s="72"/>
      <c r="RBV8" s="72"/>
      <c r="RBW8" s="72"/>
      <c r="RBX8" s="72"/>
      <c r="RBY8" s="72"/>
      <c r="RBZ8" s="72"/>
      <c r="RCA8" s="72"/>
      <c r="RCB8" s="72"/>
      <c r="RCC8" s="72"/>
      <c r="RCD8" s="72"/>
      <c r="RCE8" s="72"/>
      <c r="RCF8" s="72"/>
      <c r="RCG8" s="72"/>
      <c r="RCH8" s="72"/>
      <c r="RCI8" s="72"/>
      <c r="RCJ8" s="72"/>
      <c r="RCK8" s="72"/>
      <c r="RCL8" s="72"/>
      <c r="RCM8" s="72"/>
      <c r="RCN8" s="72"/>
      <c r="RCO8" s="72"/>
      <c r="RCP8" s="72"/>
      <c r="RCQ8" s="72"/>
      <c r="RCR8" s="72"/>
      <c r="RCS8" s="72"/>
      <c r="RCT8" s="72"/>
      <c r="RCU8" s="72"/>
      <c r="RCV8" s="72"/>
      <c r="RCW8" s="72"/>
      <c r="RCX8" s="72"/>
      <c r="RCY8" s="72"/>
      <c r="RCZ8" s="72"/>
      <c r="RDA8" s="72"/>
      <c r="RDB8" s="72"/>
      <c r="RDC8" s="72"/>
      <c r="RDD8" s="72"/>
      <c r="RDE8" s="72"/>
      <c r="RDF8" s="72"/>
      <c r="RDG8" s="72"/>
      <c r="RDH8" s="72"/>
      <c r="RDI8" s="72"/>
      <c r="RDJ8" s="72"/>
      <c r="RDK8" s="72"/>
      <c r="RDL8" s="72"/>
      <c r="RDM8" s="72"/>
      <c r="RDN8" s="72"/>
      <c r="RDO8" s="72"/>
      <c r="RDP8" s="72"/>
      <c r="RDQ8" s="72"/>
      <c r="RDR8" s="72"/>
      <c r="RDS8" s="72"/>
      <c r="RDT8" s="72"/>
      <c r="RDU8" s="72"/>
      <c r="RDV8" s="72"/>
      <c r="RDW8" s="72"/>
      <c r="RDX8" s="72"/>
      <c r="RDY8" s="72"/>
      <c r="RDZ8" s="72"/>
      <c r="REA8" s="72"/>
      <c r="REB8" s="72"/>
      <c r="REC8" s="72"/>
      <c r="RED8" s="72"/>
      <c r="REE8" s="72"/>
      <c r="REF8" s="72"/>
      <c r="REG8" s="72"/>
      <c r="REH8" s="72"/>
      <c r="REI8" s="72"/>
      <c r="REJ8" s="72"/>
      <c r="REK8" s="72"/>
      <c r="REL8" s="72"/>
      <c r="REM8" s="72"/>
      <c r="REN8" s="72"/>
      <c r="REO8" s="72"/>
      <c r="REP8" s="72"/>
      <c r="REQ8" s="72"/>
      <c r="RER8" s="72"/>
      <c r="RES8" s="72"/>
      <c r="RET8" s="72"/>
      <c r="REU8" s="72"/>
      <c r="REV8" s="72"/>
      <c r="REW8" s="72"/>
      <c r="REX8" s="72"/>
      <c r="REY8" s="72"/>
      <c r="REZ8" s="72"/>
      <c r="RFA8" s="72"/>
      <c r="RFB8" s="72"/>
      <c r="RFC8" s="72"/>
      <c r="RFD8" s="72"/>
      <c r="RFE8" s="72"/>
      <c r="RFF8" s="72"/>
      <c r="RFG8" s="72"/>
      <c r="RFH8" s="72"/>
      <c r="RFI8" s="72"/>
      <c r="RFJ8" s="72"/>
      <c r="RFK8" s="72"/>
      <c r="RFL8" s="72"/>
      <c r="RFM8" s="72"/>
      <c r="RFN8" s="72"/>
      <c r="RFO8" s="72"/>
      <c r="RFP8" s="72"/>
      <c r="RFQ8" s="72"/>
      <c r="RFR8" s="72"/>
      <c r="RFS8" s="72"/>
      <c r="RFT8" s="72"/>
      <c r="RFU8" s="72"/>
      <c r="RFV8" s="72"/>
      <c r="RFW8" s="72"/>
      <c r="RFX8" s="72"/>
      <c r="RFY8" s="72"/>
      <c r="RFZ8" s="72"/>
      <c r="RGA8" s="72"/>
      <c r="RGB8" s="72"/>
      <c r="RGC8" s="72"/>
      <c r="RGD8" s="72"/>
      <c r="RGE8" s="72"/>
      <c r="RGF8" s="72"/>
      <c r="RGG8" s="72"/>
      <c r="RGH8" s="72"/>
      <c r="RGI8" s="72"/>
      <c r="RGJ8" s="72"/>
      <c r="RGK8" s="72"/>
      <c r="RGL8" s="72"/>
      <c r="RGM8" s="72"/>
      <c r="RGN8" s="72"/>
      <c r="RGO8" s="72"/>
      <c r="RGP8" s="72"/>
      <c r="RGQ8" s="72"/>
      <c r="RGR8" s="72"/>
      <c r="RGS8" s="72"/>
      <c r="RGT8" s="72"/>
      <c r="RGU8" s="72"/>
      <c r="RGV8" s="72"/>
      <c r="RGW8" s="72"/>
      <c r="RGX8" s="72"/>
      <c r="RGY8" s="72"/>
      <c r="RGZ8" s="72"/>
      <c r="RHA8" s="72"/>
      <c r="RHB8" s="72"/>
      <c r="RHC8" s="72"/>
      <c r="RHD8" s="72"/>
      <c r="RHE8" s="72"/>
      <c r="RHF8" s="72"/>
      <c r="RHG8" s="72"/>
      <c r="RHH8" s="72"/>
      <c r="RHI8" s="72"/>
      <c r="RHJ8" s="72"/>
      <c r="RHK8" s="72"/>
      <c r="RHL8" s="72"/>
      <c r="RHM8" s="72"/>
      <c r="RHN8" s="72"/>
      <c r="RHO8" s="72"/>
      <c r="RHP8" s="72"/>
      <c r="RHQ8" s="72"/>
      <c r="RHR8" s="72"/>
      <c r="RHS8" s="72"/>
      <c r="RHT8" s="72"/>
      <c r="RHU8" s="72"/>
      <c r="RHV8" s="72"/>
      <c r="RHW8" s="72"/>
      <c r="RHX8" s="72"/>
      <c r="RHY8" s="72"/>
      <c r="RHZ8" s="72"/>
      <c r="RIA8" s="72"/>
      <c r="RIB8" s="72"/>
      <c r="RIC8" s="72"/>
      <c r="RID8" s="72"/>
      <c r="RIE8" s="72"/>
      <c r="RIF8" s="72"/>
      <c r="RIG8" s="72"/>
      <c r="RIH8" s="72"/>
      <c r="RII8" s="72"/>
      <c r="RIJ8" s="72"/>
      <c r="RIK8" s="72"/>
      <c r="RIL8" s="72"/>
      <c r="RIM8" s="72"/>
      <c r="RIN8" s="72"/>
      <c r="RIO8" s="72"/>
      <c r="RIP8" s="72"/>
      <c r="RIQ8" s="72"/>
      <c r="RIR8" s="72"/>
      <c r="RIS8" s="72"/>
      <c r="RIT8" s="72"/>
      <c r="RIU8" s="72"/>
      <c r="RIV8" s="72"/>
      <c r="RIW8" s="72"/>
      <c r="RIX8" s="72"/>
      <c r="RIY8" s="72"/>
      <c r="RIZ8" s="72"/>
      <c r="RJA8" s="72"/>
      <c r="RJB8" s="72"/>
      <c r="RJC8" s="72"/>
      <c r="RJD8" s="72"/>
      <c r="RJE8" s="72"/>
      <c r="RJF8" s="72"/>
      <c r="RJG8" s="72"/>
      <c r="RJH8" s="72"/>
      <c r="RJI8" s="72"/>
      <c r="RJJ8" s="72"/>
      <c r="RJK8" s="72"/>
      <c r="RJL8" s="72"/>
      <c r="RJM8" s="72"/>
      <c r="RJN8" s="72"/>
      <c r="RJO8" s="72"/>
      <c r="RJP8" s="72"/>
      <c r="RJQ8" s="72"/>
      <c r="RJR8" s="72"/>
      <c r="RJS8" s="72"/>
      <c r="RJT8" s="72"/>
      <c r="RJU8" s="72"/>
      <c r="RJV8" s="72"/>
      <c r="RJW8" s="72"/>
      <c r="RJX8" s="72"/>
      <c r="RJY8" s="72"/>
      <c r="RJZ8" s="72"/>
      <c r="RKA8" s="72"/>
      <c r="RKB8" s="72"/>
      <c r="RKC8" s="72"/>
      <c r="RKD8" s="72"/>
      <c r="RKE8" s="72"/>
      <c r="RKF8" s="72"/>
      <c r="RKG8" s="72"/>
      <c r="RKH8" s="72"/>
      <c r="RKI8" s="72"/>
      <c r="RKJ8" s="72"/>
      <c r="RKK8" s="72"/>
      <c r="RKL8" s="72"/>
      <c r="RKM8" s="72"/>
      <c r="RKN8" s="72"/>
      <c r="RKO8" s="72"/>
      <c r="RKP8" s="72"/>
      <c r="RKQ8" s="72"/>
      <c r="RKR8" s="72"/>
      <c r="RKS8" s="72"/>
      <c r="RKT8" s="72"/>
      <c r="RKU8" s="72"/>
      <c r="RKV8" s="72"/>
      <c r="RKW8" s="72"/>
      <c r="RKX8" s="72"/>
      <c r="RKY8" s="72"/>
      <c r="RKZ8" s="72"/>
      <c r="RLA8" s="72"/>
      <c r="RLB8" s="72"/>
      <c r="RLC8" s="72"/>
      <c r="RLD8" s="72"/>
      <c r="RLE8" s="72"/>
      <c r="RLF8" s="72"/>
      <c r="RLG8" s="72"/>
      <c r="RLH8" s="72"/>
      <c r="RLI8" s="72"/>
      <c r="RLJ8" s="72"/>
      <c r="RLK8" s="72"/>
      <c r="RLL8" s="72"/>
      <c r="RLM8" s="72"/>
      <c r="RLN8" s="72"/>
      <c r="RLO8" s="72"/>
      <c r="RLP8" s="72"/>
      <c r="RLQ8" s="72"/>
      <c r="RLR8" s="72"/>
      <c r="RLS8" s="72"/>
      <c r="RLT8" s="72"/>
      <c r="RLU8" s="72"/>
      <c r="RLV8" s="72"/>
      <c r="RLW8" s="72"/>
      <c r="RLX8" s="72"/>
      <c r="RLY8" s="72"/>
      <c r="RLZ8" s="72"/>
      <c r="RMA8" s="72"/>
      <c r="RMB8" s="72"/>
      <c r="RMC8" s="72"/>
      <c r="RMD8" s="72"/>
      <c r="RME8" s="72"/>
      <c r="RMF8" s="72"/>
      <c r="RMG8" s="72"/>
      <c r="RMH8" s="72"/>
      <c r="RMI8" s="72"/>
      <c r="RMJ8" s="72"/>
      <c r="RMK8" s="72"/>
      <c r="RML8" s="72"/>
      <c r="RMM8" s="72"/>
      <c r="RMN8" s="72"/>
      <c r="RMO8" s="72"/>
      <c r="RMP8" s="72"/>
      <c r="RMQ8" s="72"/>
      <c r="RMR8" s="72"/>
      <c r="RMS8" s="72"/>
      <c r="RMT8" s="72"/>
      <c r="RMU8" s="72"/>
      <c r="RMV8" s="72"/>
      <c r="RMW8" s="72"/>
      <c r="RMX8" s="72"/>
      <c r="RMY8" s="72"/>
      <c r="RMZ8" s="72"/>
      <c r="RNA8" s="72"/>
      <c r="RNB8" s="72"/>
      <c r="RNC8" s="72"/>
      <c r="RND8" s="72"/>
      <c r="RNE8" s="72"/>
      <c r="RNF8" s="72"/>
      <c r="RNG8" s="72"/>
      <c r="RNH8" s="72"/>
      <c r="RNI8" s="72"/>
      <c r="RNJ8" s="72"/>
      <c r="RNK8" s="72"/>
      <c r="RNL8" s="72"/>
      <c r="RNM8" s="72"/>
      <c r="RNN8" s="72"/>
      <c r="RNO8" s="72"/>
      <c r="RNP8" s="72"/>
      <c r="RNQ8" s="72"/>
      <c r="RNR8" s="72"/>
      <c r="RNS8" s="72"/>
      <c r="RNT8" s="72"/>
      <c r="RNU8" s="72"/>
      <c r="RNV8" s="72"/>
      <c r="RNW8" s="72"/>
      <c r="RNX8" s="72"/>
      <c r="RNY8" s="72"/>
      <c r="RNZ8" s="72"/>
      <c r="ROA8" s="72"/>
      <c r="ROB8" s="72"/>
      <c r="ROC8" s="72"/>
      <c r="ROD8" s="72"/>
      <c r="ROE8" s="72"/>
      <c r="ROF8" s="72"/>
      <c r="ROG8" s="72"/>
      <c r="ROH8" s="72"/>
      <c r="ROI8" s="72"/>
      <c r="ROJ8" s="72"/>
      <c r="ROK8" s="72"/>
      <c r="ROL8" s="72"/>
      <c r="ROM8" s="72"/>
      <c r="RON8" s="72"/>
      <c r="ROO8" s="72"/>
      <c r="ROP8" s="72"/>
      <c r="ROQ8" s="72"/>
      <c r="ROR8" s="72"/>
      <c r="ROS8" s="72"/>
      <c r="ROT8" s="72"/>
      <c r="ROU8" s="72"/>
      <c r="ROV8" s="72"/>
      <c r="ROW8" s="72"/>
      <c r="ROX8" s="72"/>
      <c r="ROY8" s="72"/>
      <c r="ROZ8" s="72"/>
      <c r="RPA8" s="72"/>
      <c r="RPB8" s="72"/>
      <c r="RPC8" s="72"/>
      <c r="RPD8" s="72"/>
      <c r="RPE8" s="72"/>
      <c r="RPF8" s="72"/>
      <c r="RPG8" s="72"/>
      <c r="RPH8" s="72"/>
      <c r="RPI8" s="72"/>
      <c r="RPJ8" s="72"/>
      <c r="RPK8" s="72"/>
      <c r="RPL8" s="72"/>
      <c r="RPM8" s="72"/>
      <c r="RPN8" s="72"/>
      <c r="RPO8" s="72"/>
      <c r="RPP8" s="72"/>
      <c r="RPQ8" s="72"/>
      <c r="RPR8" s="72"/>
      <c r="RPS8" s="72"/>
      <c r="RPT8" s="72"/>
      <c r="RPU8" s="72"/>
      <c r="RPV8" s="72"/>
      <c r="RPW8" s="72"/>
      <c r="RPX8" s="72"/>
      <c r="RPY8" s="72"/>
      <c r="RPZ8" s="72"/>
      <c r="RQA8" s="72"/>
      <c r="RQB8" s="72"/>
      <c r="RQC8" s="72"/>
      <c r="RQD8" s="72"/>
      <c r="RQE8" s="72"/>
      <c r="RQF8" s="72"/>
      <c r="RQG8" s="72"/>
      <c r="RQH8" s="72"/>
      <c r="RQI8" s="72"/>
      <c r="RQJ8" s="72"/>
      <c r="RQK8" s="72"/>
      <c r="RQL8" s="72"/>
      <c r="RQM8" s="72"/>
      <c r="RQN8" s="72"/>
      <c r="RQO8" s="72"/>
      <c r="RQP8" s="72"/>
      <c r="RQQ8" s="72"/>
      <c r="RQR8" s="72"/>
      <c r="RQS8" s="72"/>
      <c r="RQT8" s="72"/>
      <c r="RQU8" s="72"/>
      <c r="RQV8" s="72"/>
      <c r="RQW8" s="72"/>
      <c r="RQX8" s="72"/>
      <c r="RQY8" s="72"/>
      <c r="RQZ8" s="72"/>
      <c r="RRA8" s="72"/>
      <c r="RRB8" s="72"/>
      <c r="RRC8" s="72"/>
      <c r="RRD8" s="72"/>
      <c r="RRE8" s="72"/>
      <c r="RRF8" s="72"/>
      <c r="RRG8" s="72"/>
      <c r="RRH8" s="72"/>
      <c r="RRI8" s="72"/>
      <c r="RRJ8" s="72"/>
      <c r="RRK8" s="72"/>
      <c r="RRL8" s="72"/>
      <c r="RRM8" s="72"/>
      <c r="RRN8" s="72"/>
      <c r="RRO8" s="72"/>
      <c r="RRP8" s="72"/>
      <c r="RRQ8" s="72"/>
      <c r="RRR8" s="72"/>
      <c r="RRS8" s="72"/>
      <c r="RRT8" s="72"/>
      <c r="RRU8" s="72"/>
      <c r="RRV8" s="72"/>
      <c r="RRW8" s="72"/>
      <c r="RRX8" s="72"/>
      <c r="RRY8" s="72"/>
      <c r="RRZ8" s="72"/>
      <c r="RSA8" s="72"/>
      <c r="RSB8" s="72"/>
      <c r="RSC8" s="72"/>
      <c r="RSD8" s="72"/>
      <c r="RSE8" s="72"/>
      <c r="RSF8" s="72"/>
      <c r="RSG8" s="72"/>
      <c r="RSH8" s="72"/>
      <c r="RSI8" s="72"/>
      <c r="RSJ8" s="72"/>
      <c r="RSK8" s="72"/>
      <c r="RSL8" s="72"/>
      <c r="RSM8" s="72"/>
      <c r="RSN8" s="72"/>
      <c r="RSO8" s="72"/>
      <c r="RSP8" s="72"/>
      <c r="RSQ8" s="72"/>
      <c r="RSR8" s="72"/>
      <c r="RSS8" s="72"/>
      <c r="RST8" s="72"/>
      <c r="RSU8" s="72"/>
      <c r="RSV8" s="72"/>
      <c r="RSW8" s="72"/>
      <c r="RSX8" s="72"/>
      <c r="RSY8" s="72"/>
      <c r="RSZ8" s="72"/>
      <c r="RTA8" s="72"/>
      <c r="RTB8" s="72"/>
      <c r="RTC8" s="72"/>
      <c r="RTD8" s="72"/>
      <c r="RTE8" s="72"/>
      <c r="RTF8" s="72"/>
      <c r="RTG8" s="72"/>
      <c r="RTH8" s="72"/>
      <c r="RTI8" s="72"/>
      <c r="RTJ8" s="72"/>
      <c r="RTK8" s="72"/>
      <c r="RTL8" s="72"/>
      <c r="RTM8" s="72"/>
      <c r="RTN8" s="72"/>
      <c r="RTO8" s="72"/>
      <c r="RTP8" s="72"/>
      <c r="RTQ8" s="72"/>
      <c r="RTR8" s="72"/>
      <c r="RTS8" s="72"/>
      <c r="RTT8" s="72"/>
      <c r="RTU8" s="72"/>
      <c r="RTV8" s="72"/>
      <c r="RTW8" s="72"/>
      <c r="RTX8" s="72"/>
      <c r="RTY8" s="72"/>
      <c r="RTZ8" s="72"/>
      <c r="RUA8" s="72"/>
      <c r="RUB8" s="72"/>
      <c r="RUC8" s="72"/>
      <c r="RUD8" s="72"/>
      <c r="RUE8" s="72"/>
      <c r="RUF8" s="72"/>
      <c r="RUG8" s="72"/>
      <c r="RUH8" s="72"/>
      <c r="RUI8" s="72"/>
      <c r="RUJ8" s="72"/>
      <c r="RUK8" s="72"/>
      <c r="RUL8" s="72"/>
      <c r="RUM8" s="72"/>
      <c r="RUN8" s="72"/>
      <c r="RUO8" s="72"/>
      <c r="RUP8" s="72"/>
      <c r="RUQ8" s="72"/>
      <c r="RUR8" s="72"/>
      <c r="RUS8" s="72"/>
      <c r="RUT8" s="72"/>
      <c r="RUU8" s="72"/>
      <c r="RUV8" s="72"/>
      <c r="RUW8" s="72"/>
      <c r="RUX8" s="72"/>
      <c r="RUY8" s="72"/>
      <c r="RUZ8" s="72"/>
      <c r="RVA8" s="72"/>
      <c r="RVB8" s="72"/>
      <c r="RVC8" s="72"/>
      <c r="RVD8" s="72"/>
      <c r="RVE8" s="72"/>
      <c r="RVF8" s="72"/>
      <c r="RVG8" s="72"/>
      <c r="RVH8" s="72"/>
      <c r="RVI8" s="72"/>
      <c r="RVJ8" s="72"/>
      <c r="RVK8" s="72"/>
      <c r="RVL8" s="72"/>
      <c r="RVM8" s="72"/>
      <c r="RVN8" s="72"/>
      <c r="RVO8" s="72"/>
      <c r="RVP8" s="72"/>
      <c r="RVQ8" s="72"/>
      <c r="RVR8" s="72"/>
      <c r="RVS8" s="72"/>
      <c r="RVT8" s="72"/>
      <c r="RVU8" s="72"/>
      <c r="RVV8" s="72"/>
      <c r="RVW8" s="72"/>
      <c r="RVX8" s="72"/>
      <c r="RVY8" s="72"/>
      <c r="RVZ8" s="72"/>
      <c r="RWA8" s="72"/>
      <c r="RWB8" s="72"/>
      <c r="RWC8" s="72"/>
      <c r="RWD8" s="72"/>
      <c r="RWE8" s="72"/>
      <c r="RWF8" s="72"/>
      <c r="RWG8" s="72"/>
      <c r="RWH8" s="72"/>
      <c r="RWI8" s="72"/>
      <c r="RWJ8" s="72"/>
      <c r="RWK8" s="72"/>
      <c r="RWL8" s="72"/>
      <c r="RWM8" s="72"/>
      <c r="RWN8" s="72"/>
      <c r="RWO8" s="72"/>
      <c r="RWP8" s="72"/>
      <c r="RWQ8" s="72"/>
      <c r="RWR8" s="72"/>
      <c r="RWS8" s="72"/>
      <c r="RWT8" s="72"/>
      <c r="RWU8" s="72"/>
      <c r="RWV8" s="72"/>
      <c r="RWW8" s="72"/>
      <c r="RWX8" s="72"/>
      <c r="RWY8" s="72"/>
      <c r="RWZ8" s="72"/>
      <c r="RXA8" s="72"/>
      <c r="RXB8" s="72"/>
      <c r="RXC8" s="72"/>
      <c r="RXD8" s="72"/>
      <c r="RXE8" s="72"/>
      <c r="RXF8" s="72"/>
      <c r="RXG8" s="72"/>
      <c r="RXH8" s="72"/>
      <c r="RXI8" s="72"/>
      <c r="RXJ8" s="72"/>
      <c r="RXK8" s="72"/>
      <c r="RXL8" s="72"/>
      <c r="RXM8" s="72"/>
      <c r="RXN8" s="72"/>
      <c r="RXO8" s="72"/>
      <c r="RXP8" s="72"/>
      <c r="RXQ8" s="72"/>
      <c r="RXR8" s="72"/>
      <c r="RXS8" s="72"/>
      <c r="RXT8" s="72"/>
      <c r="RXU8" s="72"/>
      <c r="RXV8" s="72"/>
      <c r="RXW8" s="72"/>
      <c r="RXX8" s="72"/>
      <c r="RXY8" s="72"/>
      <c r="RXZ8" s="72"/>
      <c r="RYA8" s="72"/>
      <c r="RYB8" s="72"/>
      <c r="RYC8" s="72"/>
      <c r="RYD8" s="72"/>
      <c r="RYE8" s="72"/>
      <c r="RYF8" s="72"/>
      <c r="RYG8" s="72"/>
      <c r="RYH8" s="72"/>
      <c r="RYI8" s="72"/>
      <c r="RYJ8" s="72"/>
      <c r="RYK8" s="72"/>
      <c r="RYL8" s="72"/>
      <c r="RYM8" s="72"/>
      <c r="RYN8" s="72"/>
      <c r="RYO8" s="72"/>
      <c r="RYP8" s="72"/>
      <c r="RYQ8" s="72"/>
      <c r="RYR8" s="72"/>
      <c r="RYS8" s="72"/>
      <c r="RYT8" s="72"/>
      <c r="RYU8" s="72"/>
      <c r="RYV8" s="72"/>
      <c r="RYW8" s="72"/>
      <c r="RYX8" s="72"/>
      <c r="RYY8" s="72"/>
      <c r="RYZ8" s="72"/>
      <c r="RZA8" s="72"/>
      <c r="RZB8" s="72"/>
      <c r="RZC8" s="72"/>
      <c r="RZD8" s="72"/>
      <c r="RZE8" s="72"/>
      <c r="RZF8" s="72"/>
      <c r="RZG8" s="72"/>
      <c r="RZH8" s="72"/>
      <c r="RZI8" s="72"/>
      <c r="RZJ8" s="72"/>
      <c r="RZK8" s="72"/>
      <c r="RZL8" s="72"/>
      <c r="RZM8" s="72"/>
      <c r="RZN8" s="72"/>
      <c r="RZO8" s="72"/>
      <c r="RZP8" s="72"/>
      <c r="RZQ8" s="72"/>
      <c r="RZR8" s="72"/>
      <c r="RZS8" s="72"/>
      <c r="RZT8" s="72"/>
      <c r="RZU8" s="72"/>
      <c r="RZV8" s="72"/>
      <c r="RZW8" s="72"/>
      <c r="RZX8" s="72"/>
      <c r="RZY8" s="72"/>
      <c r="RZZ8" s="72"/>
      <c r="SAA8" s="72"/>
      <c r="SAB8" s="72"/>
      <c r="SAC8" s="72"/>
      <c r="SAD8" s="72"/>
      <c r="SAE8" s="72"/>
      <c r="SAF8" s="72"/>
      <c r="SAG8" s="72"/>
      <c r="SAH8" s="72"/>
      <c r="SAI8" s="72"/>
      <c r="SAJ8" s="72"/>
      <c r="SAK8" s="72"/>
      <c r="SAL8" s="72"/>
      <c r="SAM8" s="72"/>
      <c r="SAN8" s="72"/>
      <c r="SAO8" s="72"/>
      <c r="SAP8" s="72"/>
      <c r="SAQ8" s="72"/>
      <c r="SAR8" s="72"/>
      <c r="SAS8" s="72"/>
      <c r="SAT8" s="72"/>
      <c r="SAU8" s="72"/>
      <c r="SAV8" s="72"/>
      <c r="SAW8" s="72"/>
      <c r="SAX8" s="72"/>
      <c r="SAY8" s="72"/>
      <c r="SAZ8" s="72"/>
      <c r="SBA8" s="72"/>
      <c r="SBB8" s="72"/>
      <c r="SBC8" s="72"/>
      <c r="SBD8" s="72"/>
      <c r="SBE8" s="72"/>
      <c r="SBF8" s="72"/>
      <c r="SBG8" s="72"/>
      <c r="SBH8" s="72"/>
      <c r="SBI8" s="72"/>
      <c r="SBJ8" s="72"/>
      <c r="SBK8" s="72"/>
      <c r="SBL8" s="72"/>
      <c r="SBM8" s="72"/>
      <c r="SBN8" s="72"/>
      <c r="SBO8" s="72"/>
      <c r="SBP8" s="72"/>
      <c r="SBQ8" s="72"/>
      <c r="SBR8" s="72"/>
      <c r="SBS8" s="72"/>
      <c r="SBT8" s="72"/>
      <c r="SBU8" s="72"/>
      <c r="SBV8" s="72"/>
      <c r="SBW8" s="72"/>
      <c r="SBX8" s="72"/>
      <c r="SBY8" s="72"/>
      <c r="SBZ8" s="72"/>
      <c r="SCA8" s="72"/>
      <c r="SCB8" s="72"/>
      <c r="SCC8" s="72"/>
      <c r="SCD8" s="72"/>
      <c r="SCE8" s="72"/>
      <c r="SCF8" s="72"/>
      <c r="SCG8" s="72"/>
      <c r="SCH8" s="72"/>
      <c r="SCI8" s="72"/>
      <c r="SCJ8" s="72"/>
      <c r="SCK8" s="72"/>
      <c r="SCL8" s="72"/>
      <c r="SCM8" s="72"/>
      <c r="SCN8" s="72"/>
      <c r="SCO8" s="72"/>
      <c r="SCP8" s="72"/>
      <c r="SCQ8" s="72"/>
      <c r="SCR8" s="72"/>
      <c r="SCS8" s="72"/>
      <c r="SCT8" s="72"/>
      <c r="SCU8" s="72"/>
      <c r="SCV8" s="72"/>
      <c r="SCW8" s="72"/>
      <c r="SCX8" s="72"/>
      <c r="SCY8" s="72"/>
      <c r="SCZ8" s="72"/>
      <c r="SDA8" s="72"/>
      <c r="SDB8" s="72"/>
      <c r="SDC8" s="72"/>
      <c r="SDD8" s="72"/>
      <c r="SDE8" s="72"/>
      <c r="SDF8" s="72"/>
      <c r="SDG8" s="72"/>
      <c r="SDH8" s="72"/>
      <c r="SDI8" s="72"/>
      <c r="SDJ8" s="72"/>
      <c r="SDK8" s="72"/>
      <c r="SDL8" s="72"/>
      <c r="SDM8" s="72"/>
      <c r="SDN8" s="72"/>
      <c r="SDO8" s="72"/>
      <c r="SDP8" s="72"/>
      <c r="SDQ8" s="72"/>
      <c r="SDR8" s="72"/>
      <c r="SDS8" s="72"/>
      <c r="SDT8" s="72"/>
      <c r="SDU8" s="72"/>
      <c r="SDV8" s="72"/>
      <c r="SDW8" s="72"/>
      <c r="SDX8" s="72"/>
      <c r="SDY8" s="72"/>
      <c r="SDZ8" s="72"/>
      <c r="SEA8" s="72"/>
      <c r="SEB8" s="72"/>
      <c r="SEC8" s="72"/>
      <c r="SED8" s="72"/>
      <c r="SEE8" s="72"/>
      <c r="SEF8" s="72"/>
      <c r="SEG8" s="72"/>
      <c r="SEH8" s="72"/>
      <c r="SEI8" s="72"/>
      <c r="SEJ8" s="72"/>
      <c r="SEK8" s="72"/>
      <c r="SEL8" s="72"/>
      <c r="SEM8" s="72"/>
      <c r="SEN8" s="72"/>
      <c r="SEO8" s="72"/>
      <c r="SEP8" s="72"/>
      <c r="SEQ8" s="72"/>
      <c r="SER8" s="72"/>
      <c r="SES8" s="72"/>
      <c r="SET8" s="72"/>
      <c r="SEU8" s="72"/>
      <c r="SEV8" s="72"/>
      <c r="SEW8" s="72"/>
      <c r="SEX8" s="72"/>
      <c r="SEY8" s="72"/>
      <c r="SEZ8" s="72"/>
      <c r="SFA8" s="72"/>
      <c r="SFB8" s="72"/>
      <c r="SFC8" s="72"/>
      <c r="SFD8" s="72"/>
      <c r="SFE8" s="72"/>
      <c r="SFF8" s="72"/>
      <c r="SFG8" s="72"/>
      <c r="SFH8" s="72"/>
      <c r="SFI8" s="72"/>
      <c r="SFJ8" s="72"/>
      <c r="SFK8" s="72"/>
      <c r="SFL8" s="72"/>
      <c r="SFM8" s="72"/>
      <c r="SFN8" s="72"/>
      <c r="SFO8" s="72"/>
      <c r="SFP8" s="72"/>
      <c r="SFQ8" s="72"/>
      <c r="SFR8" s="72"/>
      <c r="SFS8" s="72"/>
      <c r="SFT8" s="72"/>
      <c r="SFU8" s="72"/>
      <c r="SFV8" s="72"/>
      <c r="SFW8" s="72"/>
      <c r="SFX8" s="72"/>
      <c r="SFY8" s="72"/>
      <c r="SFZ8" s="72"/>
      <c r="SGA8" s="72"/>
      <c r="SGB8" s="72"/>
      <c r="SGC8" s="72"/>
      <c r="SGD8" s="72"/>
      <c r="SGE8" s="72"/>
      <c r="SGF8" s="72"/>
      <c r="SGG8" s="72"/>
      <c r="SGH8" s="72"/>
      <c r="SGI8" s="72"/>
      <c r="SGJ8" s="72"/>
      <c r="SGK8" s="72"/>
      <c r="SGL8" s="72"/>
      <c r="SGM8" s="72"/>
      <c r="SGN8" s="72"/>
      <c r="SGO8" s="72"/>
      <c r="SGP8" s="72"/>
      <c r="SGQ8" s="72"/>
      <c r="SGR8" s="72"/>
      <c r="SGS8" s="72"/>
      <c r="SGT8" s="72"/>
      <c r="SGU8" s="72"/>
      <c r="SGV8" s="72"/>
      <c r="SGW8" s="72"/>
      <c r="SGX8" s="72"/>
      <c r="SGY8" s="72"/>
      <c r="SGZ8" s="72"/>
      <c r="SHA8" s="72"/>
      <c r="SHB8" s="72"/>
      <c r="SHC8" s="72"/>
      <c r="SHD8" s="72"/>
      <c r="SHE8" s="72"/>
      <c r="SHF8" s="72"/>
      <c r="SHG8" s="72"/>
      <c r="SHH8" s="72"/>
      <c r="SHI8" s="72"/>
      <c r="SHJ8" s="72"/>
      <c r="SHK8" s="72"/>
      <c r="SHL8" s="72"/>
      <c r="SHM8" s="72"/>
      <c r="SHN8" s="72"/>
      <c r="SHO8" s="72"/>
      <c r="SHP8" s="72"/>
      <c r="SHQ8" s="72"/>
      <c r="SHR8" s="72"/>
      <c r="SHS8" s="72"/>
      <c r="SHT8" s="72"/>
      <c r="SHU8" s="72"/>
      <c r="SHV8" s="72"/>
      <c r="SHW8" s="72"/>
      <c r="SHX8" s="72"/>
      <c r="SHY8" s="72"/>
      <c r="SHZ8" s="72"/>
      <c r="SIA8" s="72"/>
      <c r="SIB8" s="72"/>
      <c r="SIC8" s="72"/>
      <c r="SID8" s="72"/>
      <c r="SIE8" s="72"/>
      <c r="SIF8" s="72"/>
      <c r="SIG8" s="72"/>
      <c r="SIH8" s="72"/>
      <c r="SII8" s="72"/>
      <c r="SIJ8" s="72"/>
      <c r="SIK8" s="72"/>
      <c r="SIL8" s="72"/>
      <c r="SIM8" s="72"/>
      <c r="SIN8" s="72"/>
      <c r="SIO8" s="72"/>
      <c r="SIP8" s="72"/>
      <c r="SIQ8" s="72"/>
      <c r="SIR8" s="72"/>
      <c r="SIS8" s="72"/>
      <c r="SIT8" s="72"/>
      <c r="SIU8" s="72"/>
      <c r="SIV8" s="72"/>
      <c r="SIW8" s="72"/>
      <c r="SIX8" s="72"/>
      <c r="SIY8" s="72"/>
      <c r="SIZ8" s="72"/>
      <c r="SJA8" s="72"/>
      <c r="SJB8" s="72"/>
      <c r="SJC8" s="72"/>
      <c r="SJD8" s="72"/>
      <c r="SJE8" s="72"/>
      <c r="SJF8" s="72"/>
      <c r="SJG8" s="72"/>
      <c r="SJH8" s="72"/>
      <c r="SJI8" s="72"/>
      <c r="SJJ8" s="72"/>
      <c r="SJK8" s="72"/>
      <c r="SJL8" s="72"/>
      <c r="SJM8" s="72"/>
      <c r="SJN8" s="72"/>
      <c r="SJO8" s="72"/>
      <c r="SJP8" s="72"/>
      <c r="SJQ8" s="72"/>
      <c r="SJR8" s="72"/>
      <c r="SJS8" s="72"/>
      <c r="SJT8" s="72"/>
      <c r="SJU8" s="72"/>
      <c r="SJV8" s="72"/>
      <c r="SJW8" s="72"/>
      <c r="SJX8" s="72"/>
      <c r="SJY8" s="72"/>
      <c r="SJZ8" s="72"/>
      <c r="SKA8" s="72"/>
      <c r="SKB8" s="72"/>
      <c r="SKC8" s="72"/>
      <c r="SKD8" s="72"/>
      <c r="SKE8" s="72"/>
      <c r="SKF8" s="72"/>
      <c r="SKG8" s="72"/>
      <c r="SKH8" s="72"/>
      <c r="SKI8" s="72"/>
      <c r="SKJ8" s="72"/>
      <c r="SKK8" s="72"/>
      <c r="SKL8" s="72"/>
      <c r="SKM8" s="72"/>
      <c r="SKN8" s="72"/>
      <c r="SKO8" s="72"/>
      <c r="SKP8" s="72"/>
      <c r="SKQ8" s="72"/>
      <c r="SKR8" s="72"/>
      <c r="SKS8" s="72"/>
      <c r="SKT8" s="72"/>
      <c r="SKU8" s="72"/>
      <c r="SKV8" s="72"/>
      <c r="SKW8" s="72"/>
      <c r="SKX8" s="72"/>
      <c r="SKY8" s="72"/>
      <c r="SKZ8" s="72"/>
      <c r="SLA8" s="72"/>
      <c r="SLB8" s="72"/>
      <c r="SLC8" s="72"/>
      <c r="SLD8" s="72"/>
      <c r="SLE8" s="72"/>
      <c r="SLF8" s="72"/>
      <c r="SLG8" s="72"/>
      <c r="SLH8" s="72"/>
      <c r="SLI8" s="72"/>
      <c r="SLJ8" s="72"/>
      <c r="SLK8" s="72"/>
      <c r="SLL8" s="72"/>
      <c r="SLM8" s="72"/>
      <c r="SLN8" s="72"/>
      <c r="SLO8" s="72"/>
      <c r="SLP8" s="72"/>
      <c r="SLQ8" s="72"/>
      <c r="SLR8" s="72"/>
      <c r="SLS8" s="72"/>
      <c r="SLT8" s="72"/>
      <c r="SLU8" s="72"/>
      <c r="SLV8" s="72"/>
      <c r="SLW8" s="72"/>
      <c r="SLX8" s="72"/>
      <c r="SLY8" s="72"/>
      <c r="SLZ8" s="72"/>
      <c r="SMA8" s="72"/>
      <c r="SMB8" s="72"/>
      <c r="SMC8" s="72"/>
      <c r="SMD8" s="72"/>
      <c r="SME8" s="72"/>
      <c r="SMF8" s="72"/>
      <c r="SMG8" s="72"/>
      <c r="SMH8" s="72"/>
      <c r="SMI8" s="72"/>
      <c r="SMJ8" s="72"/>
      <c r="SMK8" s="72"/>
      <c r="SML8" s="72"/>
      <c r="SMM8" s="72"/>
      <c r="SMN8" s="72"/>
      <c r="SMO8" s="72"/>
      <c r="SMP8" s="72"/>
      <c r="SMQ8" s="72"/>
      <c r="SMR8" s="72"/>
      <c r="SMS8" s="72"/>
      <c r="SMT8" s="72"/>
      <c r="SMU8" s="72"/>
      <c r="SMV8" s="72"/>
      <c r="SMW8" s="72"/>
      <c r="SMX8" s="72"/>
      <c r="SMY8" s="72"/>
      <c r="SMZ8" s="72"/>
      <c r="SNA8" s="72"/>
      <c r="SNB8" s="72"/>
      <c r="SNC8" s="72"/>
      <c r="SND8" s="72"/>
      <c r="SNE8" s="72"/>
      <c r="SNF8" s="72"/>
      <c r="SNG8" s="72"/>
      <c r="SNH8" s="72"/>
      <c r="SNI8" s="72"/>
      <c r="SNJ8" s="72"/>
      <c r="SNK8" s="72"/>
      <c r="SNL8" s="72"/>
      <c r="SNM8" s="72"/>
      <c r="SNN8" s="72"/>
      <c r="SNO8" s="72"/>
      <c r="SNP8" s="72"/>
      <c r="SNQ8" s="72"/>
      <c r="SNR8" s="72"/>
      <c r="SNS8" s="72"/>
      <c r="SNT8" s="72"/>
      <c r="SNU8" s="72"/>
      <c r="SNV8" s="72"/>
      <c r="SNW8" s="72"/>
      <c r="SNX8" s="72"/>
      <c r="SNY8" s="72"/>
      <c r="SNZ8" s="72"/>
      <c r="SOA8" s="72"/>
      <c r="SOB8" s="72"/>
      <c r="SOC8" s="72"/>
      <c r="SOD8" s="72"/>
      <c r="SOE8" s="72"/>
      <c r="SOF8" s="72"/>
      <c r="SOG8" s="72"/>
      <c r="SOH8" s="72"/>
      <c r="SOI8" s="72"/>
      <c r="SOJ8" s="72"/>
      <c r="SOK8" s="72"/>
      <c r="SOL8" s="72"/>
      <c r="SOM8" s="72"/>
      <c r="SON8" s="72"/>
      <c r="SOO8" s="72"/>
      <c r="SOP8" s="72"/>
      <c r="SOQ8" s="72"/>
      <c r="SOR8" s="72"/>
      <c r="SOS8" s="72"/>
      <c r="SOT8" s="72"/>
      <c r="SOU8" s="72"/>
      <c r="SOV8" s="72"/>
      <c r="SOW8" s="72"/>
      <c r="SOX8" s="72"/>
      <c r="SOY8" s="72"/>
      <c r="SOZ8" s="72"/>
      <c r="SPA8" s="72"/>
      <c r="SPB8" s="72"/>
      <c r="SPC8" s="72"/>
      <c r="SPD8" s="72"/>
      <c r="SPE8" s="72"/>
      <c r="SPF8" s="72"/>
      <c r="SPG8" s="72"/>
      <c r="SPH8" s="72"/>
      <c r="SPI8" s="72"/>
      <c r="SPJ8" s="72"/>
      <c r="SPK8" s="72"/>
      <c r="SPL8" s="72"/>
      <c r="SPM8" s="72"/>
      <c r="SPN8" s="72"/>
      <c r="SPO8" s="72"/>
      <c r="SPP8" s="72"/>
      <c r="SPQ8" s="72"/>
      <c r="SPR8" s="72"/>
      <c r="SPS8" s="72"/>
      <c r="SPT8" s="72"/>
      <c r="SPU8" s="72"/>
      <c r="SPV8" s="72"/>
      <c r="SPW8" s="72"/>
      <c r="SPX8" s="72"/>
      <c r="SPY8" s="72"/>
      <c r="SPZ8" s="72"/>
      <c r="SQA8" s="72"/>
      <c r="SQB8" s="72"/>
      <c r="SQC8" s="72"/>
      <c r="SQD8" s="72"/>
      <c r="SQE8" s="72"/>
      <c r="SQF8" s="72"/>
      <c r="SQG8" s="72"/>
      <c r="SQH8" s="72"/>
      <c r="SQI8" s="72"/>
      <c r="SQJ8" s="72"/>
      <c r="SQK8" s="72"/>
      <c r="SQL8" s="72"/>
      <c r="SQM8" s="72"/>
      <c r="SQN8" s="72"/>
      <c r="SQO8" s="72"/>
      <c r="SQP8" s="72"/>
      <c r="SQQ8" s="72"/>
      <c r="SQR8" s="72"/>
      <c r="SQS8" s="72"/>
      <c r="SQT8" s="72"/>
      <c r="SQU8" s="72"/>
      <c r="SQV8" s="72"/>
      <c r="SQW8" s="72"/>
      <c r="SQX8" s="72"/>
      <c r="SQY8" s="72"/>
      <c r="SQZ8" s="72"/>
      <c r="SRA8" s="72"/>
      <c r="SRB8" s="72"/>
      <c r="SRC8" s="72"/>
      <c r="SRD8" s="72"/>
      <c r="SRE8" s="72"/>
      <c r="SRF8" s="72"/>
      <c r="SRG8" s="72"/>
      <c r="SRH8" s="72"/>
      <c r="SRI8" s="72"/>
      <c r="SRJ8" s="72"/>
      <c r="SRK8" s="72"/>
      <c r="SRL8" s="72"/>
      <c r="SRM8" s="72"/>
      <c r="SRN8" s="72"/>
      <c r="SRO8" s="72"/>
      <c r="SRP8" s="72"/>
      <c r="SRQ8" s="72"/>
      <c r="SRR8" s="72"/>
      <c r="SRS8" s="72"/>
      <c r="SRT8" s="72"/>
      <c r="SRU8" s="72"/>
      <c r="SRV8" s="72"/>
      <c r="SRW8" s="72"/>
      <c r="SRX8" s="72"/>
      <c r="SRY8" s="72"/>
      <c r="SRZ8" s="72"/>
      <c r="SSA8" s="72"/>
      <c r="SSB8" s="72"/>
      <c r="SSC8" s="72"/>
      <c r="SSD8" s="72"/>
      <c r="SSE8" s="72"/>
      <c r="SSF8" s="72"/>
      <c r="SSG8" s="72"/>
      <c r="SSH8" s="72"/>
      <c r="SSI8" s="72"/>
      <c r="SSJ8" s="72"/>
      <c r="SSK8" s="72"/>
      <c r="SSL8" s="72"/>
      <c r="SSM8" s="72"/>
      <c r="SSN8" s="72"/>
      <c r="SSO8" s="72"/>
      <c r="SSP8" s="72"/>
      <c r="SSQ8" s="72"/>
      <c r="SSR8" s="72"/>
      <c r="SSS8" s="72"/>
      <c r="SST8" s="72"/>
      <c r="SSU8" s="72"/>
      <c r="SSV8" s="72"/>
      <c r="SSW8" s="72"/>
      <c r="SSX8" s="72"/>
      <c r="SSY8" s="72"/>
      <c r="SSZ8" s="72"/>
      <c r="STA8" s="72"/>
      <c r="STB8" s="72"/>
      <c r="STC8" s="72"/>
      <c r="STD8" s="72"/>
      <c r="STE8" s="72"/>
      <c r="STF8" s="72"/>
      <c r="STG8" s="72"/>
      <c r="STH8" s="72"/>
      <c r="STI8" s="72"/>
      <c r="STJ8" s="72"/>
      <c r="STK8" s="72"/>
      <c r="STL8" s="72"/>
      <c r="STM8" s="72"/>
      <c r="STN8" s="72"/>
      <c r="STO8" s="72"/>
      <c r="STP8" s="72"/>
      <c r="STQ8" s="72"/>
      <c r="STR8" s="72"/>
      <c r="STS8" s="72"/>
      <c r="STT8" s="72"/>
      <c r="STU8" s="72"/>
      <c r="STV8" s="72"/>
      <c r="STW8" s="72"/>
      <c r="STX8" s="72"/>
      <c r="STY8" s="72"/>
      <c r="STZ8" s="72"/>
      <c r="SUA8" s="72"/>
      <c r="SUB8" s="72"/>
      <c r="SUC8" s="72"/>
      <c r="SUD8" s="72"/>
      <c r="SUE8" s="72"/>
      <c r="SUF8" s="72"/>
      <c r="SUG8" s="72"/>
      <c r="SUH8" s="72"/>
      <c r="SUI8" s="72"/>
      <c r="SUJ8" s="72"/>
      <c r="SUK8" s="72"/>
      <c r="SUL8" s="72"/>
      <c r="SUM8" s="72"/>
      <c r="SUN8" s="72"/>
      <c r="SUO8" s="72"/>
      <c r="SUP8" s="72"/>
      <c r="SUQ8" s="72"/>
      <c r="SUR8" s="72"/>
      <c r="SUS8" s="72"/>
      <c r="SUT8" s="72"/>
      <c r="SUU8" s="72"/>
      <c r="SUV8" s="72"/>
      <c r="SUW8" s="72"/>
      <c r="SUX8" s="72"/>
      <c r="SUY8" s="72"/>
      <c r="SUZ8" s="72"/>
      <c r="SVA8" s="72"/>
      <c r="SVB8" s="72"/>
      <c r="SVC8" s="72"/>
      <c r="SVD8" s="72"/>
      <c r="SVE8" s="72"/>
      <c r="SVF8" s="72"/>
      <c r="SVG8" s="72"/>
      <c r="SVH8" s="72"/>
      <c r="SVI8" s="72"/>
      <c r="SVJ8" s="72"/>
      <c r="SVK8" s="72"/>
      <c r="SVL8" s="72"/>
      <c r="SVM8" s="72"/>
      <c r="SVN8" s="72"/>
      <c r="SVO8" s="72"/>
      <c r="SVP8" s="72"/>
      <c r="SVQ8" s="72"/>
      <c r="SVR8" s="72"/>
      <c r="SVS8" s="72"/>
      <c r="SVT8" s="72"/>
      <c r="SVU8" s="72"/>
      <c r="SVV8" s="72"/>
      <c r="SVW8" s="72"/>
      <c r="SVX8" s="72"/>
      <c r="SVY8" s="72"/>
      <c r="SVZ8" s="72"/>
      <c r="SWA8" s="72"/>
      <c r="SWB8" s="72"/>
      <c r="SWC8" s="72"/>
      <c r="SWD8" s="72"/>
      <c r="SWE8" s="72"/>
      <c r="SWF8" s="72"/>
      <c r="SWG8" s="72"/>
      <c r="SWH8" s="72"/>
      <c r="SWI8" s="72"/>
      <c r="SWJ8" s="72"/>
      <c r="SWK8" s="72"/>
      <c r="SWL8" s="72"/>
      <c r="SWM8" s="72"/>
      <c r="SWN8" s="72"/>
      <c r="SWO8" s="72"/>
      <c r="SWP8" s="72"/>
      <c r="SWQ8" s="72"/>
      <c r="SWR8" s="72"/>
      <c r="SWS8" s="72"/>
      <c r="SWT8" s="72"/>
      <c r="SWU8" s="72"/>
      <c r="SWV8" s="72"/>
      <c r="SWW8" s="72"/>
      <c r="SWX8" s="72"/>
      <c r="SWY8" s="72"/>
      <c r="SWZ8" s="72"/>
      <c r="SXA8" s="72"/>
      <c r="SXB8" s="72"/>
      <c r="SXC8" s="72"/>
      <c r="SXD8" s="72"/>
      <c r="SXE8" s="72"/>
      <c r="SXF8" s="72"/>
      <c r="SXG8" s="72"/>
      <c r="SXH8" s="72"/>
      <c r="SXI8" s="72"/>
      <c r="SXJ8" s="72"/>
      <c r="SXK8" s="72"/>
      <c r="SXL8" s="72"/>
      <c r="SXM8" s="72"/>
      <c r="SXN8" s="72"/>
      <c r="SXO8" s="72"/>
      <c r="SXP8" s="72"/>
      <c r="SXQ8" s="72"/>
      <c r="SXR8" s="72"/>
      <c r="SXS8" s="72"/>
      <c r="SXT8" s="72"/>
      <c r="SXU8" s="72"/>
      <c r="SXV8" s="72"/>
      <c r="SXW8" s="72"/>
      <c r="SXX8" s="72"/>
      <c r="SXY8" s="72"/>
      <c r="SXZ8" s="72"/>
      <c r="SYA8" s="72"/>
      <c r="SYB8" s="72"/>
      <c r="SYC8" s="72"/>
      <c r="SYD8" s="72"/>
      <c r="SYE8" s="72"/>
      <c r="SYF8" s="72"/>
      <c r="SYG8" s="72"/>
      <c r="SYH8" s="72"/>
      <c r="SYI8" s="72"/>
      <c r="SYJ8" s="72"/>
      <c r="SYK8" s="72"/>
      <c r="SYL8" s="72"/>
      <c r="SYM8" s="72"/>
      <c r="SYN8" s="72"/>
      <c r="SYO8" s="72"/>
      <c r="SYP8" s="72"/>
      <c r="SYQ8" s="72"/>
      <c r="SYR8" s="72"/>
      <c r="SYS8" s="72"/>
      <c r="SYT8" s="72"/>
      <c r="SYU8" s="72"/>
      <c r="SYV8" s="72"/>
      <c r="SYW8" s="72"/>
      <c r="SYX8" s="72"/>
      <c r="SYY8" s="72"/>
      <c r="SYZ8" s="72"/>
      <c r="SZA8" s="72"/>
      <c r="SZB8" s="72"/>
      <c r="SZC8" s="72"/>
      <c r="SZD8" s="72"/>
      <c r="SZE8" s="72"/>
      <c r="SZF8" s="72"/>
      <c r="SZG8" s="72"/>
      <c r="SZH8" s="72"/>
      <c r="SZI8" s="72"/>
      <c r="SZJ8" s="72"/>
      <c r="SZK8" s="72"/>
      <c r="SZL8" s="72"/>
      <c r="SZM8" s="72"/>
      <c r="SZN8" s="72"/>
      <c r="SZO8" s="72"/>
      <c r="SZP8" s="72"/>
      <c r="SZQ8" s="72"/>
      <c r="SZR8" s="72"/>
      <c r="SZS8" s="72"/>
      <c r="SZT8" s="72"/>
      <c r="SZU8" s="72"/>
      <c r="SZV8" s="72"/>
      <c r="SZW8" s="72"/>
      <c r="SZX8" s="72"/>
      <c r="SZY8" s="72"/>
      <c r="SZZ8" s="72"/>
      <c r="TAA8" s="72"/>
      <c r="TAB8" s="72"/>
      <c r="TAC8" s="72"/>
      <c r="TAD8" s="72"/>
      <c r="TAE8" s="72"/>
      <c r="TAF8" s="72"/>
      <c r="TAG8" s="72"/>
      <c r="TAH8" s="72"/>
      <c r="TAI8" s="72"/>
      <c r="TAJ8" s="72"/>
      <c r="TAK8" s="72"/>
      <c r="TAL8" s="72"/>
      <c r="TAM8" s="72"/>
      <c r="TAN8" s="72"/>
      <c r="TAO8" s="72"/>
      <c r="TAP8" s="72"/>
      <c r="TAQ8" s="72"/>
      <c r="TAR8" s="72"/>
      <c r="TAS8" s="72"/>
      <c r="TAT8" s="72"/>
      <c r="TAU8" s="72"/>
      <c r="TAV8" s="72"/>
      <c r="TAW8" s="72"/>
      <c r="TAX8" s="72"/>
      <c r="TAY8" s="72"/>
      <c r="TAZ8" s="72"/>
      <c r="TBA8" s="72"/>
      <c r="TBB8" s="72"/>
      <c r="TBC8" s="72"/>
      <c r="TBD8" s="72"/>
      <c r="TBE8" s="72"/>
      <c r="TBF8" s="72"/>
      <c r="TBG8" s="72"/>
      <c r="TBH8" s="72"/>
      <c r="TBI8" s="72"/>
      <c r="TBJ8" s="72"/>
      <c r="TBK8" s="72"/>
      <c r="TBL8" s="72"/>
      <c r="TBM8" s="72"/>
      <c r="TBN8" s="72"/>
      <c r="TBO8" s="72"/>
      <c r="TBP8" s="72"/>
      <c r="TBQ8" s="72"/>
      <c r="TBR8" s="72"/>
      <c r="TBS8" s="72"/>
      <c r="TBT8" s="72"/>
      <c r="TBU8" s="72"/>
      <c r="TBV8" s="72"/>
      <c r="TBW8" s="72"/>
      <c r="TBX8" s="72"/>
      <c r="TBY8" s="72"/>
      <c r="TBZ8" s="72"/>
      <c r="TCA8" s="72"/>
      <c r="TCB8" s="72"/>
      <c r="TCC8" s="72"/>
      <c r="TCD8" s="72"/>
      <c r="TCE8" s="72"/>
      <c r="TCF8" s="72"/>
      <c r="TCG8" s="72"/>
      <c r="TCH8" s="72"/>
      <c r="TCI8" s="72"/>
      <c r="TCJ8" s="72"/>
      <c r="TCK8" s="72"/>
      <c r="TCL8" s="72"/>
      <c r="TCM8" s="72"/>
      <c r="TCN8" s="72"/>
      <c r="TCO8" s="72"/>
      <c r="TCP8" s="72"/>
      <c r="TCQ8" s="72"/>
      <c r="TCR8" s="72"/>
      <c r="TCS8" s="72"/>
      <c r="TCT8" s="72"/>
      <c r="TCU8" s="72"/>
      <c r="TCV8" s="72"/>
      <c r="TCW8" s="72"/>
      <c r="TCX8" s="72"/>
      <c r="TCY8" s="72"/>
      <c r="TCZ8" s="72"/>
      <c r="TDA8" s="72"/>
      <c r="TDB8" s="72"/>
      <c r="TDC8" s="72"/>
      <c r="TDD8" s="72"/>
      <c r="TDE8" s="72"/>
      <c r="TDF8" s="72"/>
      <c r="TDG8" s="72"/>
      <c r="TDH8" s="72"/>
      <c r="TDI8" s="72"/>
      <c r="TDJ8" s="72"/>
      <c r="TDK8" s="72"/>
      <c r="TDL8" s="72"/>
      <c r="TDM8" s="72"/>
      <c r="TDN8" s="72"/>
      <c r="TDO8" s="72"/>
      <c r="TDP8" s="72"/>
      <c r="TDQ8" s="72"/>
      <c r="TDR8" s="72"/>
      <c r="TDS8" s="72"/>
      <c r="TDT8" s="72"/>
      <c r="TDU8" s="72"/>
      <c r="TDV8" s="72"/>
      <c r="TDW8" s="72"/>
      <c r="TDX8" s="72"/>
      <c r="TDY8" s="72"/>
      <c r="TDZ8" s="72"/>
      <c r="TEA8" s="72"/>
      <c r="TEB8" s="72"/>
      <c r="TEC8" s="72"/>
      <c r="TED8" s="72"/>
      <c r="TEE8" s="72"/>
      <c r="TEF8" s="72"/>
      <c r="TEG8" s="72"/>
      <c r="TEH8" s="72"/>
      <c r="TEI8" s="72"/>
      <c r="TEJ8" s="72"/>
      <c r="TEK8" s="72"/>
      <c r="TEL8" s="72"/>
      <c r="TEM8" s="72"/>
      <c r="TEN8" s="72"/>
      <c r="TEO8" s="72"/>
      <c r="TEP8" s="72"/>
      <c r="TEQ8" s="72"/>
      <c r="TER8" s="72"/>
      <c r="TES8" s="72"/>
      <c r="TET8" s="72"/>
      <c r="TEU8" s="72"/>
      <c r="TEV8" s="72"/>
      <c r="TEW8" s="72"/>
      <c r="TEX8" s="72"/>
      <c r="TEY8" s="72"/>
      <c r="TEZ8" s="72"/>
      <c r="TFA8" s="72"/>
      <c r="TFB8" s="72"/>
      <c r="TFC8" s="72"/>
      <c r="TFD8" s="72"/>
      <c r="TFE8" s="72"/>
      <c r="TFF8" s="72"/>
      <c r="TFG8" s="72"/>
      <c r="TFH8" s="72"/>
      <c r="TFI8" s="72"/>
      <c r="TFJ8" s="72"/>
      <c r="TFK8" s="72"/>
      <c r="TFL8" s="72"/>
      <c r="TFM8" s="72"/>
      <c r="TFN8" s="72"/>
      <c r="TFO8" s="72"/>
      <c r="TFP8" s="72"/>
      <c r="TFQ8" s="72"/>
      <c r="TFR8" s="72"/>
      <c r="TFS8" s="72"/>
      <c r="TFT8" s="72"/>
      <c r="TFU8" s="72"/>
      <c r="TFV8" s="72"/>
      <c r="TFW8" s="72"/>
      <c r="TFX8" s="72"/>
      <c r="TFY8" s="72"/>
      <c r="TFZ8" s="72"/>
      <c r="TGA8" s="72"/>
      <c r="TGB8" s="72"/>
      <c r="TGC8" s="72"/>
      <c r="TGD8" s="72"/>
      <c r="TGE8" s="72"/>
      <c r="TGF8" s="72"/>
      <c r="TGG8" s="72"/>
      <c r="TGH8" s="72"/>
      <c r="TGI8" s="72"/>
      <c r="TGJ8" s="72"/>
      <c r="TGK8" s="72"/>
      <c r="TGL8" s="72"/>
      <c r="TGM8" s="72"/>
      <c r="TGN8" s="72"/>
      <c r="TGO8" s="72"/>
      <c r="TGP8" s="72"/>
      <c r="TGQ8" s="72"/>
      <c r="TGR8" s="72"/>
      <c r="TGS8" s="72"/>
      <c r="TGT8" s="72"/>
      <c r="TGU8" s="72"/>
      <c r="TGV8" s="72"/>
      <c r="TGW8" s="72"/>
      <c r="TGX8" s="72"/>
      <c r="TGY8" s="72"/>
      <c r="TGZ8" s="72"/>
      <c r="THA8" s="72"/>
      <c r="THB8" s="72"/>
      <c r="THC8" s="72"/>
      <c r="THD8" s="72"/>
      <c r="THE8" s="72"/>
      <c r="THF8" s="72"/>
      <c r="THG8" s="72"/>
      <c r="THH8" s="72"/>
      <c r="THI8" s="72"/>
      <c r="THJ8" s="72"/>
      <c r="THK8" s="72"/>
      <c r="THL8" s="72"/>
      <c r="THM8" s="72"/>
      <c r="THN8" s="72"/>
      <c r="THO8" s="72"/>
      <c r="THP8" s="72"/>
      <c r="THQ8" s="72"/>
      <c r="THR8" s="72"/>
      <c r="THS8" s="72"/>
      <c r="THT8" s="72"/>
      <c r="THU8" s="72"/>
      <c r="THV8" s="72"/>
      <c r="THW8" s="72"/>
      <c r="THX8" s="72"/>
      <c r="THY8" s="72"/>
      <c r="THZ8" s="72"/>
      <c r="TIA8" s="72"/>
      <c r="TIB8" s="72"/>
      <c r="TIC8" s="72"/>
      <c r="TID8" s="72"/>
      <c r="TIE8" s="72"/>
      <c r="TIF8" s="72"/>
      <c r="TIG8" s="72"/>
      <c r="TIH8" s="72"/>
      <c r="TII8" s="72"/>
      <c r="TIJ8" s="72"/>
      <c r="TIK8" s="72"/>
      <c r="TIL8" s="72"/>
      <c r="TIM8" s="72"/>
      <c r="TIN8" s="72"/>
      <c r="TIO8" s="72"/>
      <c r="TIP8" s="72"/>
      <c r="TIQ8" s="72"/>
      <c r="TIR8" s="72"/>
      <c r="TIS8" s="72"/>
      <c r="TIT8" s="72"/>
      <c r="TIU8" s="72"/>
      <c r="TIV8" s="72"/>
      <c r="TIW8" s="72"/>
      <c r="TIX8" s="72"/>
      <c r="TIY8" s="72"/>
      <c r="TIZ8" s="72"/>
      <c r="TJA8" s="72"/>
      <c r="TJB8" s="72"/>
      <c r="TJC8" s="72"/>
      <c r="TJD8" s="72"/>
      <c r="TJE8" s="72"/>
      <c r="TJF8" s="72"/>
      <c r="TJG8" s="72"/>
      <c r="TJH8" s="72"/>
      <c r="TJI8" s="72"/>
      <c r="TJJ8" s="72"/>
      <c r="TJK8" s="72"/>
      <c r="TJL8" s="72"/>
      <c r="TJM8" s="72"/>
      <c r="TJN8" s="72"/>
      <c r="TJO8" s="72"/>
      <c r="TJP8" s="72"/>
      <c r="TJQ8" s="72"/>
      <c r="TJR8" s="72"/>
      <c r="TJS8" s="72"/>
      <c r="TJT8" s="72"/>
      <c r="TJU8" s="72"/>
      <c r="TJV8" s="72"/>
      <c r="TJW8" s="72"/>
      <c r="TJX8" s="72"/>
      <c r="TJY8" s="72"/>
      <c r="TJZ8" s="72"/>
      <c r="TKA8" s="72"/>
      <c r="TKB8" s="72"/>
      <c r="TKC8" s="72"/>
      <c r="TKD8" s="72"/>
      <c r="TKE8" s="72"/>
      <c r="TKF8" s="72"/>
      <c r="TKG8" s="72"/>
      <c r="TKH8" s="72"/>
      <c r="TKI8" s="72"/>
      <c r="TKJ8" s="72"/>
      <c r="TKK8" s="72"/>
      <c r="TKL8" s="72"/>
      <c r="TKM8" s="72"/>
      <c r="TKN8" s="72"/>
      <c r="TKO8" s="72"/>
      <c r="TKP8" s="72"/>
      <c r="TKQ8" s="72"/>
      <c r="TKR8" s="72"/>
      <c r="TKS8" s="72"/>
      <c r="TKT8" s="72"/>
      <c r="TKU8" s="72"/>
      <c r="TKV8" s="72"/>
      <c r="TKW8" s="72"/>
      <c r="TKX8" s="72"/>
      <c r="TKY8" s="72"/>
      <c r="TKZ8" s="72"/>
      <c r="TLA8" s="72"/>
      <c r="TLB8" s="72"/>
      <c r="TLC8" s="72"/>
      <c r="TLD8" s="72"/>
      <c r="TLE8" s="72"/>
      <c r="TLF8" s="72"/>
      <c r="TLG8" s="72"/>
      <c r="TLH8" s="72"/>
      <c r="TLI8" s="72"/>
      <c r="TLJ8" s="72"/>
      <c r="TLK8" s="72"/>
      <c r="TLL8" s="72"/>
      <c r="TLM8" s="72"/>
      <c r="TLN8" s="72"/>
      <c r="TLO8" s="72"/>
      <c r="TLP8" s="72"/>
      <c r="TLQ8" s="72"/>
      <c r="TLR8" s="72"/>
      <c r="TLS8" s="72"/>
      <c r="TLT8" s="72"/>
      <c r="TLU8" s="72"/>
      <c r="TLV8" s="72"/>
      <c r="TLW8" s="72"/>
      <c r="TLX8" s="72"/>
      <c r="TLY8" s="72"/>
      <c r="TLZ8" s="72"/>
      <c r="TMA8" s="72"/>
      <c r="TMB8" s="72"/>
      <c r="TMC8" s="72"/>
      <c r="TMD8" s="72"/>
      <c r="TME8" s="72"/>
      <c r="TMF8" s="72"/>
      <c r="TMG8" s="72"/>
      <c r="TMH8" s="72"/>
      <c r="TMI8" s="72"/>
      <c r="TMJ8" s="72"/>
      <c r="TMK8" s="72"/>
      <c r="TML8" s="72"/>
      <c r="TMM8" s="72"/>
      <c r="TMN8" s="72"/>
      <c r="TMO8" s="72"/>
      <c r="TMP8" s="72"/>
      <c r="TMQ8" s="72"/>
      <c r="TMR8" s="72"/>
      <c r="TMS8" s="72"/>
      <c r="TMT8" s="72"/>
      <c r="TMU8" s="72"/>
      <c r="TMV8" s="72"/>
      <c r="TMW8" s="72"/>
      <c r="TMX8" s="72"/>
      <c r="TMY8" s="72"/>
      <c r="TMZ8" s="72"/>
      <c r="TNA8" s="72"/>
      <c r="TNB8" s="72"/>
      <c r="TNC8" s="72"/>
      <c r="TND8" s="72"/>
      <c r="TNE8" s="72"/>
      <c r="TNF8" s="72"/>
      <c r="TNG8" s="72"/>
      <c r="TNH8" s="72"/>
      <c r="TNI8" s="72"/>
      <c r="TNJ8" s="72"/>
      <c r="TNK8" s="72"/>
      <c r="TNL8" s="72"/>
      <c r="TNM8" s="72"/>
      <c r="TNN8" s="72"/>
      <c r="TNO8" s="72"/>
      <c r="TNP8" s="72"/>
      <c r="TNQ8" s="72"/>
      <c r="TNR8" s="72"/>
      <c r="TNS8" s="72"/>
      <c r="TNT8" s="72"/>
      <c r="TNU8" s="72"/>
      <c r="TNV8" s="72"/>
      <c r="TNW8" s="72"/>
      <c r="TNX8" s="72"/>
      <c r="TNY8" s="72"/>
      <c r="TNZ8" s="72"/>
      <c r="TOA8" s="72"/>
      <c r="TOB8" s="72"/>
      <c r="TOC8" s="72"/>
      <c r="TOD8" s="72"/>
      <c r="TOE8" s="72"/>
      <c r="TOF8" s="72"/>
      <c r="TOG8" s="72"/>
      <c r="TOH8" s="72"/>
      <c r="TOI8" s="72"/>
      <c r="TOJ8" s="72"/>
      <c r="TOK8" s="72"/>
      <c r="TOL8" s="72"/>
      <c r="TOM8" s="72"/>
      <c r="TON8" s="72"/>
      <c r="TOO8" s="72"/>
      <c r="TOP8" s="72"/>
      <c r="TOQ8" s="72"/>
      <c r="TOR8" s="72"/>
      <c r="TOS8" s="72"/>
      <c r="TOT8" s="72"/>
      <c r="TOU8" s="72"/>
      <c r="TOV8" s="72"/>
      <c r="TOW8" s="72"/>
      <c r="TOX8" s="72"/>
      <c r="TOY8" s="72"/>
      <c r="TOZ8" s="72"/>
      <c r="TPA8" s="72"/>
      <c r="TPB8" s="72"/>
      <c r="TPC8" s="72"/>
      <c r="TPD8" s="72"/>
      <c r="TPE8" s="72"/>
      <c r="TPF8" s="72"/>
      <c r="TPG8" s="72"/>
      <c r="TPH8" s="72"/>
      <c r="TPI8" s="72"/>
      <c r="TPJ8" s="72"/>
      <c r="TPK8" s="72"/>
      <c r="TPL8" s="72"/>
      <c r="TPM8" s="72"/>
      <c r="TPN8" s="72"/>
      <c r="TPO8" s="72"/>
      <c r="TPP8" s="72"/>
      <c r="TPQ8" s="72"/>
      <c r="TPR8" s="72"/>
      <c r="TPS8" s="72"/>
      <c r="TPT8" s="72"/>
      <c r="TPU8" s="72"/>
      <c r="TPV8" s="72"/>
      <c r="TPW8" s="72"/>
      <c r="TPX8" s="72"/>
      <c r="TPY8" s="72"/>
      <c r="TPZ8" s="72"/>
      <c r="TQA8" s="72"/>
      <c r="TQB8" s="72"/>
      <c r="TQC8" s="72"/>
      <c r="TQD8" s="72"/>
      <c r="TQE8" s="72"/>
      <c r="TQF8" s="72"/>
      <c r="TQG8" s="72"/>
      <c r="TQH8" s="72"/>
      <c r="TQI8" s="72"/>
      <c r="TQJ8" s="72"/>
      <c r="TQK8" s="72"/>
      <c r="TQL8" s="72"/>
      <c r="TQM8" s="72"/>
      <c r="TQN8" s="72"/>
      <c r="TQO8" s="72"/>
      <c r="TQP8" s="72"/>
      <c r="TQQ8" s="72"/>
      <c r="TQR8" s="72"/>
      <c r="TQS8" s="72"/>
      <c r="TQT8" s="72"/>
      <c r="TQU8" s="72"/>
      <c r="TQV8" s="72"/>
      <c r="TQW8" s="72"/>
      <c r="TQX8" s="72"/>
      <c r="TQY8" s="72"/>
      <c r="TQZ8" s="72"/>
      <c r="TRA8" s="72"/>
      <c r="TRB8" s="72"/>
      <c r="TRC8" s="72"/>
      <c r="TRD8" s="72"/>
      <c r="TRE8" s="72"/>
      <c r="TRF8" s="72"/>
      <c r="TRG8" s="72"/>
      <c r="TRH8" s="72"/>
      <c r="TRI8" s="72"/>
      <c r="TRJ8" s="72"/>
      <c r="TRK8" s="72"/>
      <c r="TRL8" s="72"/>
      <c r="TRM8" s="72"/>
      <c r="TRN8" s="72"/>
      <c r="TRO8" s="72"/>
      <c r="TRP8" s="72"/>
      <c r="TRQ8" s="72"/>
      <c r="TRR8" s="72"/>
      <c r="TRS8" s="72"/>
      <c r="TRT8" s="72"/>
      <c r="TRU8" s="72"/>
      <c r="TRV8" s="72"/>
      <c r="TRW8" s="72"/>
      <c r="TRX8" s="72"/>
      <c r="TRY8" s="72"/>
      <c r="TRZ8" s="72"/>
      <c r="TSA8" s="72"/>
      <c r="TSB8" s="72"/>
      <c r="TSC8" s="72"/>
      <c r="TSD8" s="72"/>
      <c r="TSE8" s="72"/>
      <c r="TSF8" s="72"/>
      <c r="TSG8" s="72"/>
      <c r="TSH8" s="72"/>
      <c r="TSI8" s="72"/>
      <c r="TSJ8" s="72"/>
      <c r="TSK8" s="72"/>
      <c r="TSL8" s="72"/>
      <c r="TSM8" s="72"/>
      <c r="TSN8" s="72"/>
      <c r="TSO8" s="72"/>
      <c r="TSP8" s="72"/>
      <c r="TSQ8" s="72"/>
      <c r="TSR8" s="72"/>
      <c r="TSS8" s="72"/>
      <c r="TST8" s="72"/>
      <c r="TSU8" s="72"/>
      <c r="TSV8" s="72"/>
      <c r="TSW8" s="72"/>
      <c r="TSX8" s="72"/>
      <c r="TSY8" s="72"/>
      <c r="TSZ8" s="72"/>
      <c r="TTA8" s="72"/>
      <c r="TTB8" s="72"/>
      <c r="TTC8" s="72"/>
      <c r="TTD8" s="72"/>
      <c r="TTE8" s="72"/>
      <c r="TTF8" s="72"/>
      <c r="TTG8" s="72"/>
      <c r="TTH8" s="72"/>
      <c r="TTI8" s="72"/>
      <c r="TTJ8" s="72"/>
      <c r="TTK8" s="72"/>
      <c r="TTL8" s="72"/>
      <c r="TTM8" s="72"/>
      <c r="TTN8" s="72"/>
      <c r="TTO8" s="72"/>
      <c r="TTP8" s="72"/>
      <c r="TTQ8" s="72"/>
      <c r="TTR8" s="72"/>
      <c r="TTS8" s="72"/>
      <c r="TTT8" s="72"/>
      <c r="TTU8" s="72"/>
      <c r="TTV8" s="72"/>
      <c r="TTW8" s="72"/>
      <c r="TTX8" s="72"/>
      <c r="TTY8" s="72"/>
      <c r="TTZ8" s="72"/>
      <c r="TUA8" s="72"/>
      <c r="TUB8" s="72"/>
      <c r="TUC8" s="72"/>
      <c r="TUD8" s="72"/>
      <c r="TUE8" s="72"/>
      <c r="TUF8" s="72"/>
      <c r="TUG8" s="72"/>
      <c r="TUH8" s="72"/>
      <c r="TUI8" s="72"/>
      <c r="TUJ8" s="72"/>
      <c r="TUK8" s="72"/>
      <c r="TUL8" s="72"/>
      <c r="TUM8" s="72"/>
      <c r="TUN8" s="72"/>
      <c r="TUO8" s="72"/>
      <c r="TUP8" s="72"/>
      <c r="TUQ8" s="72"/>
      <c r="TUR8" s="72"/>
      <c r="TUS8" s="72"/>
      <c r="TUT8" s="72"/>
      <c r="TUU8" s="72"/>
      <c r="TUV8" s="72"/>
      <c r="TUW8" s="72"/>
      <c r="TUX8" s="72"/>
      <c r="TUY8" s="72"/>
      <c r="TUZ8" s="72"/>
      <c r="TVA8" s="72"/>
      <c r="TVB8" s="72"/>
      <c r="TVC8" s="72"/>
      <c r="TVD8" s="72"/>
      <c r="TVE8" s="72"/>
      <c r="TVF8" s="72"/>
      <c r="TVG8" s="72"/>
      <c r="TVH8" s="72"/>
      <c r="TVI8" s="72"/>
      <c r="TVJ8" s="72"/>
      <c r="TVK8" s="72"/>
      <c r="TVL8" s="72"/>
      <c r="TVM8" s="72"/>
      <c r="TVN8" s="72"/>
      <c r="TVO8" s="72"/>
      <c r="TVP8" s="72"/>
      <c r="TVQ8" s="72"/>
      <c r="TVR8" s="72"/>
      <c r="TVS8" s="72"/>
      <c r="TVT8" s="72"/>
      <c r="TVU8" s="72"/>
      <c r="TVV8" s="72"/>
      <c r="TVW8" s="72"/>
      <c r="TVX8" s="72"/>
      <c r="TVY8" s="72"/>
      <c r="TVZ8" s="72"/>
      <c r="TWA8" s="72"/>
      <c r="TWB8" s="72"/>
      <c r="TWC8" s="72"/>
      <c r="TWD8" s="72"/>
      <c r="TWE8" s="72"/>
      <c r="TWF8" s="72"/>
      <c r="TWG8" s="72"/>
      <c r="TWH8" s="72"/>
      <c r="TWI8" s="72"/>
      <c r="TWJ8" s="72"/>
      <c r="TWK8" s="72"/>
      <c r="TWL8" s="72"/>
      <c r="TWM8" s="72"/>
      <c r="TWN8" s="72"/>
      <c r="TWO8" s="72"/>
      <c r="TWP8" s="72"/>
      <c r="TWQ8" s="72"/>
      <c r="TWR8" s="72"/>
      <c r="TWS8" s="72"/>
      <c r="TWT8" s="72"/>
      <c r="TWU8" s="72"/>
      <c r="TWV8" s="72"/>
      <c r="TWW8" s="72"/>
      <c r="TWX8" s="72"/>
      <c r="TWY8" s="72"/>
      <c r="TWZ8" s="72"/>
      <c r="TXA8" s="72"/>
      <c r="TXB8" s="72"/>
      <c r="TXC8" s="72"/>
      <c r="TXD8" s="72"/>
      <c r="TXE8" s="72"/>
      <c r="TXF8" s="72"/>
      <c r="TXG8" s="72"/>
      <c r="TXH8" s="72"/>
      <c r="TXI8" s="72"/>
      <c r="TXJ8" s="72"/>
      <c r="TXK8" s="72"/>
      <c r="TXL8" s="72"/>
      <c r="TXM8" s="72"/>
      <c r="TXN8" s="72"/>
      <c r="TXO8" s="72"/>
      <c r="TXP8" s="72"/>
      <c r="TXQ8" s="72"/>
      <c r="TXR8" s="72"/>
      <c r="TXS8" s="72"/>
      <c r="TXT8" s="72"/>
      <c r="TXU8" s="72"/>
      <c r="TXV8" s="72"/>
      <c r="TXW8" s="72"/>
      <c r="TXX8" s="72"/>
      <c r="TXY8" s="72"/>
      <c r="TXZ8" s="72"/>
      <c r="TYA8" s="72"/>
      <c r="TYB8" s="72"/>
      <c r="TYC8" s="72"/>
      <c r="TYD8" s="72"/>
      <c r="TYE8" s="72"/>
      <c r="TYF8" s="72"/>
      <c r="TYG8" s="72"/>
      <c r="TYH8" s="72"/>
      <c r="TYI8" s="72"/>
      <c r="TYJ8" s="72"/>
      <c r="TYK8" s="72"/>
      <c r="TYL8" s="72"/>
      <c r="TYM8" s="72"/>
      <c r="TYN8" s="72"/>
      <c r="TYO8" s="72"/>
      <c r="TYP8" s="72"/>
      <c r="TYQ8" s="72"/>
      <c r="TYR8" s="72"/>
      <c r="TYS8" s="72"/>
      <c r="TYT8" s="72"/>
      <c r="TYU8" s="72"/>
      <c r="TYV8" s="72"/>
      <c r="TYW8" s="72"/>
      <c r="TYX8" s="72"/>
      <c r="TYY8" s="72"/>
      <c r="TYZ8" s="72"/>
      <c r="TZA8" s="72"/>
      <c r="TZB8" s="72"/>
      <c r="TZC8" s="72"/>
      <c r="TZD8" s="72"/>
      <c r="TZE8" s="72"/>
      <c r="TZF8" s="72"/>
      <c r="TZG8" s="72"/>
      <c r="TZH8" s="72"/>
      <c r="TZI8" s="72"/>
      <c r="TZJ8" s="72"/>
      <c r="TZK8" s="72"/>
      <c r="TZL8" s="72"/>
      <c r="TZM8" s="72"/>
      <c r="TZN8" s="72"/>
      <c r="TZO8" s="72"/>
      <c r="TZP8" s="72"/>
      <c r="TZQ8" s="72"/>
      <c r="TZR8" s="72"/>
      <c r="TZS8" s="72"/>
      <c r="TZT8" s="72"/>
      <c r="TZU8" s="72"/>
      <c r="TZV8" s="72"/>
      <c r="TZW8" s="72"/>
      <c r="TZX8" s="72"/>
      <c r="TZY8" s="72"/>
      <c r="TZZ8" s="72"/>
      <c r="UAA8" s="72"/>
      <c r="UAB8" s="72"/>
      <c r="UAC8" s="72"/>
      <c r="UAD8" s="72"/>
      <c r="UAE8" s="72"/>
      <c r="UAF8" s="72"/>
      <c r="UAG8" s="72"/>
      <c r="UAH8" s="72"/>
      <c r="UAI8" s="72"/>
      <c r="UAJ8" s="72"/>
      <c r="UAK8" s="72"/>
      <c r="UAL8" s="72"/>
      <c r="UAM8" s="72"/>
      <c r="UAN8" s="72"/>
      <c r="UAO8" s="72"/>
      <c r="UAP8" s="72"/>
      <c r="UAQ8" s="72"/>
      <c r="UAR8" s="72"/>
      <c r="UAS8" s="72"/>
      <c r="UAT8" s="72"/>
      <c r="UAU8" s="72"/>
      <c r="UAV8" s="72"/>
      <c r="UAW8" s="72"/>
      <c r="UAX8" s="72"/>
      <c r="UAY8" s="72"/>
      <c r="UAZ8" s="72"/>
      <c r="UBA8" s="72"/>
      <c r="UBB8" s="72"/>
      <c r="UBC8" s="72"/>
      <c r="UBD8" s="72"/>
      <c r="UBE8" s="72"/>
      <c r="UBF8" s="72"/>
      <c r="UBG8" s="72"/>
      <c r="UBH8" s="72"/>
      <c r="UBI8" s="72"/>
      <c r="UBJ8" s="72"/>
      <c r="UBK8" s="72"/>
      <c r="UBL8" s="72"/>
      <c r="UBM8" s="72"/>
      <c r="UBN8" s="72"/>
      <c r="UBO8" s="72"/>
      <c r="UBP8" s="72"/>
      <c r="UBQ8" s="72"/>
      <c r="UBR8" s="72"/>
      <c r="UBS8" s="72"/>
      <c r="UBT8" s="72"/>
      <c r="UBU8" s="72"/>
      <c r="UBV8" s="72"/>
      <c r="UBW8" s="72"/>
      <c r="UBX8" s="72"/>
      <c r="UBY8" s="72"/>
      <c r="UBZ8" s="72"/>
      <c r="UCA8" s="72"/>
      <c r="UCB8" s="72"/>
      <c r="UCC8" s="72"/>
      <c r="UCD8" s="72"/>
      <c r="UCE8" s="72"/>
      <c r="UCF8" s="72"/>
      <c r="UCG8" s="72"/>
      <c r="UCH8" s="72"/>
      <c r="UCI8" s="72"/>
      <c r="UCJ8" s="72"/>
      <c r="UCK8" s="72"/>
      <c r="UCL8" s="72"/>
      <c r="UCM8" s="72"/>
      <c r="UCN8" s="72"/>
      <c r="UCO8" s="72"/>
      <c r="UCP8" s="72"/>
      <c r="UCQ8" s="72"/>
      <c r="UCR8" s="72"/>
      <c r="UCS8" s="72"/>
      <c r="UCT8" s="72"/>
      <c r="UCU8" s="72"/>
      <c r="UCV8" s="72"/>
      <c r="UCW8" s="72"/>
      <c r="UCX8" s="72"/>
      <c r="UCY8" s="72"/>
      <c r="UCZ8" s="72"/>
      <c r="UDA8" s="72"/>
      <c r="UDB8" s="72"/>
      <c r="UDC8" s="72"/>
      <c r="UDD8" s="72"/>
      <c r="UDE8" s="72"/>
      <c r="UDF8" s="72"/>
      <c r="UDG8" s="72"/>
      <c r="UDH8" s="72"/>
      <c r="UDI8" s="72"/>
      <c r="UDJ8" s="72"/>
      <c r="UDK8" s="72"/>
      <c r="UDL8" s="72"/>
      <c r="UDM8" s="72"/>
      <c r="UDN8" s="72"/>
      <c r="UDO8" s="72"/>
      <c r="UDP8" s="72"/>
      <c r="UDQ8" s="72"/>
      <c r="UDR8" s="72"/>
      <c r="UDS8" s="72"/>
      <c r="UDT8" s="72"/>
      <c r="UDU8" s="72"/>
      <c r="UDV8" s="72"/>
      <c r="UDW8" s="72"/>
      <c r="UDX8" s="72"/>
      <c r="UDY8" s="72"/>
      <c r="UDZ8" s="72"/>
      <c r="UEA8" s="72"/>
      <c r="UEB8" s="72"/>
      <c r="UEC8" s="72"/>
      <c r="UED8" s="72"/>
      <c r="UEE8" s="72"/>
      <c r="UEF8" s="72"/>
      <c r="UEG8" s="72"/>
      <c r="UEH8" s="72"/>
      <c r="UEI8" s="72"/>
      <c r="UEJ8" s="72"/>
      <c r="UEK8" s="72"/>
      <c r="UEL8" s="72"/>
      <c r="UEM8" s="72"/>
      <c r="UEN8" s="72"/>
      <c r="UEO8" s="72"/>
      <c r="UEP8" s="72"/>
      <c r="UEQ8" s="72"/>
      <c r="UER8" s="72"/>
      <c r="UES8" s="72"/>
      <c r="UET8" s="72"/>
      <c r="UEU8" s="72"/>
      <c r="UEV8" s="72"/>
      <c r="UEW8" s="72"/>
      <c r="UEX8" s="72"/>
      <c r="UEY8" s="72"/>
      <c r="UEZ8" s="72"/>
      <c r="UFA8" s="72"/>
      <c r="UFB8" s="72"/>
      <c r="UFC8" s="72"/>
      <c r="UFD8" s="72"/>
      <c r="UFE8" s="72"/>
      <c r="UFF8" s="72"/>
      <c r="UFG8" s="72"/>
      <c r="UFH8" s="72"/>
      <c r="UFI8" s="72"/>
      <c r="UFJ8" s="72"/>
      <c r="UFK8" s="72"/>
      <c r="UFL8" s="72"/>
      <c r="UFM8" s="72"/>
      <c r="UFN8" s="72"/>
      <c r="UFO8" s="72"/>
      <c r="UFP8" s="72"/>
      <c r="UFQ8" s="72"/>
      <c r="UFR8" s="72"/>
      <c r="UFS8" s="72"/>
      <c r="UFT8" s="72"/>
      <c r="UFU8" s="72"/>
      <c r="UFV8" s="72"/>
      <c r="UFW8" s="72"/>
      <c r="UFX8" s="72"/>
      <c r="UFY8" s="72"/>
      <c r="UFZ8" s="72"/>
      <c r="UGA8" s="72"/>
      <c r="UGB8" s="72"/>
      <c r="UGC8" s="72"/>
      <c r="UGD8" s="72"/>
      <c r="UGE8" s="72"/>
      <c r="UGF8" s="72"/>
      <c r="UGG8" s="72"/>
      <c r="UGH8" s="72"/>
      <c r="UGI8" s="72"/>
      <c r="UGJ8" s="72"/>
      <c r="UGK8" s="72"/>
      <c r="UGL8" s="72"/>
      <c r="UGM8" s="72"/>
      <c r="UGN8" s="72"/>
      <c r="UGO8" s="72"/>
      <c r="UGP8" s="72"/>
      <c r="UGQ8" s="72"/>
      <c r="UGR8" s="72"/>
      <c r="UGS8" s="72"/>
      <c r="UGT8" s="72"/>
      <c r="UGU8" s="72"/>
      <c r="UGV8" s="72"/>
      <c r="UGW8" s="72"/>
      <c r="UGX8" s="72"/>
      <c r="UGY8" s="72"/>
      <c r="UGZ8" s="72"/>
      <c r="UHA8" s="72"/>
      <c r="UHB8" s="72"/>
      <c r="UHC8" s="72"/>
      <c r="UHD8" s="72"/>
      <c r="UHE8" s="72"/>
      <c r="UHF8" s="72"/>
      <c r="UHG8" s="72"/>
      <c r="UHH8" s="72"/>
      <c r="UHI8" s="72"/>
      <c r="UHJ8" s="72"/>
      <c r="UHK8" s="72"/>
      <c r="UHL8" s="72"/>
      <c r="UHM8" s="72"/>
      <c r="UHN8" s="72"/>
      <c r="UHO8" s="72"/>
      <c r="UHP8" s="72"/>
      <c r="UHQ8" s="72"/>
      <c r="UHR8" s="72"/>
      <c r="UHS8" s="72"/>
      <c r="UHT8" s="72"/>
      <c r="UHU8" s="72"/>
      <c r="UHV8" s="72"/>
      <c r="UHW8" s="72"/>
      <c r="UHX8" s="72"/>
      <c r="UHY8" s="72"/>
      <c r="UHZ8" s="72"/>
      <c r="UIA8" s="72"/>
      <c r="UIB8" s="72"/>
      <c r="UIC8" s="72"/>
      <c r="UID8" s="72"/>
      <c r="UIE8" s="72"/>
      <c r="UIF8" s="72"/>
      <c r="UIG8" s="72"/>
      <c r="UIH8" s="72"/>
      <c r="UII8" s="72"/>
      <c r="UIJ8" s="72"/>
      <c r="UIK8" s="72"/>
      <c r="UIL8" s="72"/>
      <c r="UIM8" s="72"/>
      <c r="UIN8" s="72"/>
      <c r="UIO8" s="72"/>
      <c r="UIP8" s="72"/>
      <c r="UIQ8" s="72"/>
      <c r="UIR8" s="72"/>
      <c r="UIS8" s="72"/>
      <c r="UIT8" s="72"/>
      <c r="UIU8" s="72"/>
      <c r="UIV8" s="72"/>
      <c r="UIW8" s="72"/>
      <c r="UIX8" s="72"/>
      <c r="UIY8" s="72"/>
      <c r="UIZ8" s="72"/>
      <c r="UJA8" s="72"/>
      <c r="UJB8" s="72"/>
      <c r="UJC8" s="72"/>
      <c r="UJD8" s="72"/>
      <c r="UJE8" s="72"/>
      <c r="UJF8" s="72"/>
      <c r="UJG8" s="72"/>
      <c r="UJH8" s="72"/>
      <c r="UJI8" s="72"/>
      <c r="UJJ8" s="72"/>
      <c r="UJK8" s="72"/>
      <c r="UJL8" s="72"/>
      <c r="UJM8" s="72"/>
      <c r="UJN8" s="72"/>
      <c r="UJO8" s="72"/>
      <c r="UJP8" s="72"/>
      <c r="UJQ8" s="72"/>
      <c r="UJR8" s="72"/>
      <c r="UJS8" s="72"/>
      <c r="UJT8" s="72"/>
      <c r="UJU8" s="72"/>
      <c r="UJV8" s="72"/>
      <c r="UJW8" s="72"/>
      <c r="UJX8" s="72"/>
      <c r="UJY8" s="72"/>
      <c r="UJZ8" s="72"/>
      <c r="UKA8" s="72"/>
      <c r="UKB8" s="72"/>
      <c r="UKC8" s="72"/>
      <c r="UKD8" s="72"/>
      <c r="UKE8" s="72"/>
      <c r="UKF8" s="72"/>
      <c r="UKG8" s="72"/>
      <c r="UKH8" s="72"/>
      <c r="UKI8" s="72"/>
      <c r="UKJ8" s="72"/>
      <c r="UKK8" s="72"/>
      <c r="UKL8" s="72"/>
      <c r="UKM8" s="72"/>
      <c r="UKN8" s="72"/>
      <c r="UKO8" s="72"/>
      <c r="UKP8" s="72"/>
      <c r="UKQ8" s="72"/>
      <c r="UKR8" s="72"/>
      <c r="UKS8" s="72"/>
      <c r="UKT8" s="72"/>
      <c r="UKU8" s="72"/>
      <c r="UKV8" s="72"/>
      <c r="UKW8" s="72"/>
      <c r="UKX8" s="72"/>
      <c r="UKY8" s="72"/>
      <c r="UKZ8" s="72"/>
      <c r="ULA8" s="72"/>
      <c r="ULB8" s="72"/>
      <c r="ULC8" s="72"/>
      <c r="ULD8" s="72"/>
      <c r="ULE8" s="72"/>
      <c r="ULF8" s="72"/>
      <c r="ULG8" s="72"/>
      <c r="ULH8" s="72"/>
      <c r="ULI8" s="72"/>
      <c r="ULJ8" s="72"/>
      <c r="ULK8" s="72"/>
      <c r="ULL8" s="72"/>
      <c r="ULM8" s="72"/>
      <c r="ULN8" s="72"/>
      <c r="ULO8" s="72"/>
      <c r="ULP8" s="72"/>
      <c r="ULQ8" s="72"/>
      <c r="ULR8" s="72"/>
      <c r="ULS8" s="72"/>
      <c r="ULT8" s="72"/>
      <c r="ULU8" s="72"/>
      <c r="ULV8" s="72"/>
      <c r="ULW8" s="72"/>
      <c r="ULX8" s="72"/>
      <c r="ULY8" s="72"/>
      <c r="ULZ8" s="72"/>
      <c r="UMA8" s="72"/>
      <c r="UMB8" s="72"/>
      <c r="UMC8" s="72"/>
      <c r="UMD8" s="72"/>
      <c r="UME8" s="72"/>
      <c r="UMF8" s="72"/>
      <c r="UMG8" s="72"/>
      <c r="UMH8" s="72"/>
      <c r="UMI8" s="72"/>
      <c r="UMJ8" s="72"/>
      <c r="UMK8" s="72"/>
      <c r="UML8" s="72"/>
      <c r="UMM8" s="72"/>
      <c r="UMN8" s="72"/>
      <c r="UMO8" s="72"/>
      <c r="UMP8" s="72"/>
      <c r="UMQ8" s="72"/>
      <c r="UMR8" s="72"/>
      <c r="UMS8" s="72"/>
      <c r="UMT8" s="72"/>
      <c r="UMU8" s="72"/>
      <c r="UMV8" s="72"/>
      <c r="UMW8" s="72"/>
      <c r="UMX8" s="72"/>
      <c r="UMY8" s="72"/>
      <c r="UMZ8" s="72"/>
      <c r="UNA8" s="72"/>
      <c r="UNB8" s="72"/>
      <c r="UNC8" s="72"/>
      <c r="UND8" s="72"/>
      <c r="UNE8" s="72"/>
      <c r="UNF8" s="72"/>
      <c r="UNG8" s="72"/>
      <c r="UNH8" s="72"/>
      <c r="UNI8" s="72"/>
      <c r="UNJ8" s="72"/>
      <c r="UNK8" s="72"/>
      <c r="UNL8" s="72"/>
      <c r="UNM8" s="72"/>
      <c r="UNN8" s="72"/>
      <c r="UNO8" s="72"/>
      <c r="UNP8" s="72"/>
      <c r="UNQ8" s="72"/>
      <c r="UNR8" s="72"/>
      <c r="UNS8" s="72"/>
      <c r="UNT8" s="72"/>
      <c r="UNU8" s="72"/>
      <c r="UNV8" s="72"/>
      <c r="UNW8" s="72"/>
      <c r="UNX8" s="72"/>
      <c r="UNY8" s="72"/>
      <c r="UNZ8" s="72"/>
      <c r="UOA8" s="72"/>
      <c r="UOB8" s="72"/>
      <c r="UOC8" s="72"/>
      <c r="UOD8" s="72"/>
      <c r="UOE8" s="72"/>
      <c r="UOF8" s="72"/>
      <c r="UOG8" s="72"/>
      <c r="UOH8" s="72"/>
      <c r="UOI8" s="72"/>
      <c r="UOJ8" s="72"/>
      <c r="UOK8" s="72"/>
      <c r="UOL8" s="72"/>
      <c r="UOM8" s="72"/>
      <c r="UON8" s="72"/>
      <c r="UOO8" s="72"/>
      <c r="UOP8" s="72"/>
      <c r="UOQ8" s="72"/>
      <c r="UOR8" s="72"/>
      <c r="UOS8" s="72"/>
      <c r="UOT8" s="72"/>
      <c r="UOU8" s="72"/>
      <c r="UOV8" s="72"/>
      <c r="UOW8" s="72"/>
      <c r="UOX8" s="72"/>
      <c r="UOY8" s="72"/>
      <c r="UOZ8" s="72"/>
      <c r="UPA8" s="72"/>
      <c r="UPB8" s="72"/>
      <c r="UPC8" s="72"/>
      <c r="UPD8" s="72"/>
      <c r="UPE8" s="72"/>
      <c r="UPF8" s="72"/>
      <c r="UPG8" s="72"/>
      <c r="UPH8" s="72"/>
      <c r="UPI8" s="72"/>
      <c r="UPJ8" s="72"/>
      <c r="UPK8" s="72"/>
      <c r="UPL8" s="72"/>
      <c r="UPM8" s="72"/>
      <c r="UPN8" s="72"/>
      <c r="UPO8" s="72"/>
      <c r="UPP8" s="72"/>
      <c r="UPQ8" s="72"/>
      <c r="UPR8" s="72"/>
      <c r="UPS8" s="72"/>
      <c r="UPT8" s="72"/>
      <c r="UPU8" s="72"/>
      <c r="UPV8" s="72"/>
      <c r="UPW8" s="72"/>
      <c r="UPX8" s="72"/>
      <c r="UPY8" s="72"/>
      <c r="UPZ8" s="72"/>
      <c r="UQA8" s="72"/>
      <c r="UQB8" s="72"/>
      <c r="UQC8" s="72"/>
      <c r="UQD8" s="72"/>
      <c r="UQE8" s="72"/>
      <c r="UQF8" s="72"/>
      <c r="UQG8" s="72"/>
      <c r="UQH8" s="72"/>
      <c r="UQI8" s="72"/>
      <c r="UQJ8" s="72"/>
      <c r="UQK8" s="72"/>
      <c r="UQL8" s="72"/>
      <c r="UQM8" s="72"/>
      <c r="UQN8" s="72"/>
      <c r="UQO8" s="72"/>
      <c r="UQP8" s="72"/>
      <c r="UQQ8" s="72"/>
      <c r="UQR8" s="72"/>
      <c r="UQS8" s="72"/>
      <c r="UQT8" s="72"/>
      <c r="UQU8" s="72"/>
      <c r="UQV8" s="72"/>
      <c r="UQW8" s="72"/>
      <c r="UQX8" s="72"/>
      <c r="UQY8" s="72"/>
      <c r="UQZ8" s="72"/>
      <c r="URA8" s="72"/>
      <c r="URB8" s="72"/>
      <c r="URC8" s="72"/>
      <c r="URD8" s="72"/>
      <c r="URE8" s="72"/>
      <c r="URF8" s="72"/>
      <c r="URG8" s="72"/>
      <c r="URH8" s="72"/>
      <c r="URI8" s="72"/>
      <c r="URJ8" s="72"/>
      <c r="URK8" s="72"/>
      <c r="URL8" s="72"/>
      <c r="URM8" s="72"/>
      <c r="URN8" s="72"/>
      <c r="URO8" s="72"/>
      <c r="URP8" s="72"/>
      <c r="URQ8" s="72"/>
      <c r="URR8" s="72"/>
      <c r="URS8" s="72"/>
      <c r="URT8" s="72"/>
      <c r="URU8" s="72"/>
      <c r="URV8" s="72"/>
      <c r="URW8" s="72"/>
      <c r="URX8" s="72"/>
      <c r="URY8" s="72"/>
      <c r="URZ8" s="72"/>
      <c r="USA8" s="72"/>
      <c r="USB8" s="72"/>
      <c r="USC8" s="72"/>
      <c r="USD8" s="72"/>
      <c r="USE8" s="72"/>
      <c r="USF8" s="72"/>
      <c r="USG8" s="72"/>
      <c r="USH8" s="72"/>
      <c r="USI8" s="72"/>
      <c r="USJ8" s="72"/>
      <c r="USK8" s="72"/>
      <c r="USL8" s="72"/>
      <c r="USM8" s="72"/>
      <c r="USN8" s="72"/>
      <c r="USO8" s="72"/>
      <c r="USP8" s="72"/>
      <c r="USQ8" s="72"/>
      <c r="USR8" s="72"/>
      <c r="USS8" s="72"/>
      <c r="UST8" s="72"/>
      <c r="USU8" s="72"/>
      <c r="USV8" s="72"/>
      <c r="USW8" s="72"/>
      <c r="USX8" s="72"/>
      <c r="USY8" s="72"/>
      <c r="USZ8" s="72"/>
      <c r="UTA8" s="72"/>
      <c r="UTB8" s="72"/>
      <c r="UTC8" s="72"/>
      <c r="UTD8" s="72"/>
      <c r="UTE8" s="72"/>
      <c r="UTF8" s="72"/>
      <c r="UTG8" s="72"/>
      <c r="UTH8" s="72"/>
      <c r="UTI8" s="72"/>
      <c r="UTJ8" s="72"/>
      <c r="UTK8" s="72"/>
      <c r="UTL8" s="72"/>
      <c r="UTM8" s="72"/>
      <c r="UTN8" s="72"/>
      <c r="UTO8" s="72"/>
      <c r="UTP8" s="72"/>
      <c r="UTQ8" s="72"/>
      <c r="UTR8" s="72"/>
      <c r="UTS8" s="72"/>
      <c r="UTT8" s="72"/>
      <c r="UTU8" s="72"/>
      <c r="UTV8" s="72"/>
      <c r="UTW8" s="72"/>
      <c r="UTX8" s="72"/>
      <c r="UTY8" s="72"/>
      <c r="UTZ8" s="72"/>
      <c r="UUA8" s="72"/>
      <c r="UUB8" s="72"/>
      <c r="UUC8" s="72"/>
      <c r="UUD8" s="72"/>
      <c r="UUE8" s="72"/>
      <c r="UUF8" s="72"/>
      <c r="UUG8" s="72"/>
      <c r="UUH8" s="72"/>
      <c r="UUI8" s="72"/>
      <c r="UUJ8" s="72"/>
      <c r="UUK8" s="72"/>
      <c r="UUL8" s="72"/>
      <c r="UUM8" s="72"/>
      <c r="UUN8" s="72"/>
      <c r="UUO8" s="72"/>
      <c r="UUP8" s="72"/>
      <c r="UUQ8" s="72"/>
      <c r="UUR8" s="72"/>
      <c r="UUS8" s="72"/>
      <c r="UUT8" s="72"/>
      <c r="UUU8" s="72"/>
      <c r="UUV8" s="72"/>
      <c r="UUW8" s="72"/>
      <c r="UUX8" s="72"/>
      <c r="UUY8" s="72"/>
      <c r="UUZ8" s="72"/>
      <c r="UVA8" s="72"/>
      <c r="UVB8" s="72"/>
      <c r="UVC8" s="72"/>
      <c r="UVD8" s="72"/>
      <c r="UVE8" s="72"/>
      <c r="UVF8" s="72"/>
      <c r="UVG8" s="72"/>
      <c r="UVH8" s="72"/>
      <c r="UVI8" s="72"/>
      <c r="UVJ8" s="72"/>
      <c r="UVK8" s="72"/>
      <c r="UVL8" s="72"/>
      <c r="UVM8" s="72"/>
      <c r="UVN8" s="72"/>
      <c r="UVO8" s="72"/>
      <c r="UVP8" s="72"/>
      <c r="UVQ8" s="72"/>
      <c r="UVR8" s="72"/>
      <c r="UVS8" s="72"/>
      <c r="UVT8" s="72"/>
      <c r="UVU8" s="72"/>
      <c r="UVV8" s="72"/>
      <c r="UVW8" s="72"/>
      <c r="UVX8" s="72"/>
      <c r="UVY8" s="72"/>
      <c r="UVZ8" s="72"/>
      <c r="UWA8" s="72"/>
      <c r="UWB8" s="72"/>
      <c r="UWC8" s="72"/>
      <c r="UWD8" s="72"/>
      <c r="UWE8" s="72"/>
      <c r="UWF8" s="72"/>
      <c r="UWG8" s="72"/>
      <c r="UWH8" s="72"/>
      <c r="UWI8" s="72"/>
      <c r="UWJ8" s="72"/>
      <c r="UWK8" s="72"/>
      <c r="UWL8" s="72"/>
      <c r="UWM8" s="72"/>
      <c r="UWN8" s="72"/>
      <c r="UWO8" s="72"/>
      <c r="UWP8" s="72"/>
      <c r="UWQ8" s="72"/>
      <c r="UWR8" s="72"/>
      <c r="UWS8" s="72"/>
      <c r="UWT8" s="72"/>
      <c r="UWU8" s="72"/>
      <c r="UWV8" s="72"/>
      <c r="UWW8" s="72"/>
      <c r="UWX8" s="72"/>
      <c r="UWY8" s="72"/>
      <c r="UWZ8" s="72"/>
      <c r="UXA8" s="72"/>
      <c r="UXB8" s="72"/>
      <c r="UXC8" s="72"/>
      <c r="UXD8" s="72"/>
      <c r="UXE8" s="72"/>
      <c r="UXF8" s="72"/>
      <c r="UXG8" s="72"/>
      <c r="UXH8" s="72"/>
      <c r="UXI8" s="72"/>
      <c r="UXJ8" s="72"/>
      <c r="UXK8" s="72"/>
      <c r="UXL8" s="72"/>
      <c r="UXM8" s="72"/>
      <c r="UXN8" s="72"/>
      <c r="UXO8" s="72"/>
      <c r="UXP8" s="72"/>
      <c r="UXQ8" s="72"/>
      <c r="UXR8" s="72"/>
      <c r="UXS8" s="72"/>
      <c r="UXT8" s="72"/>
      <c r="UXU8" s="72"/>
      <c r="UXV8" s="72"/>
      <c r="UXW8" s="72"/>
      <c r="UXX8" s="72"/>
      <c r="UXY8" s="72"/>
      <c r="UXZ8" s="72"/>
      <c r="UYA8" s="72"/>
      <c r="UYB8" s="72"/>
      <c r="UYC8" s="72"/>
      <c r="UYD8" s="72"/>
      <c r="UYE8" s="72"/>
      <c r="UYF8" s="72"/>
      <c r="UYG8" s="72"/>
      <c r="UYH8" s="72"/>
      <c r="UYI8" s="72"/>
      <c r="UYJ8" s="72"/>
      <c r="UYK8" s="72"/>
      <c r="UYL8" s="72"/>
      <c r="UYM8" s="72"/>
      <c r="UYN8" s="72"/>
      <c r="UYO8" s="72"/>
      <c r="UYP8" s="72"/>
      <c r="UYQ8" s="72"/>
      <c r="UYR8" s="72"/>
      <c r="UYS8" s="72"/>
      <c r="UYT8" s="72"/>
      <c r="UYU8" s="72"/>
      <c r="UYV8" s="72"/>
      <c r="UYW8" s="72"/>
      <c r="UYX8" s="72"/>
      <c r="UYY8" s="72"/>
      <c r="UYZ8" s="72"/>
      <c r="UZA8" s="72"/>
      <c r="UZB8" s="72"/>
      <c r="UZC8" s="72"/>
      <c r="UZD8" s="72"/>
      <c r="UZE8" s="72"/>
      <c r="UZF8" s="72"/>
      <c r="UZG8" s="72"/>
      <c r="UZH8" s="72"/>
      <c r="UZI8" s="72"/>
      <c r="UZJ8" s="72"/>
      <c r="UZK8" s="72"/>
      <c r="UZL8" s="72"/>
      <c r="UZM8" s="72"/>
      <c r="UZN8" s="72"/>
      <c r="UZO8" s="72"/>
      <c r="UZP8" s="72"/>
      <c r="UZQ8" s="72"/>
      <c r="UZR8" s="72"/>
      <c r="UZS8" s="72"/>
      <c r="UZT8" s="72"/>
      <c r="UZU8" s="72"/>
      <c r="UZV8" s="72"/>
      <c r="UZW8" s="72"/>
      <c r="UZX8" s="72"/>
      <c r="UZY8" s="72"/>
      <c r="UZZ8" s="72"/>
      <c r="VAA8" s="72"/>
      <c r="VAB8" s="72"/>
      <c r="VAC8" s="72"/>
      <c r="VAD8" s="72"/>
      <c r="VAE8" s="72"/>
      <c r="VAF8" s="72"/>
      <c r="VAG8" s="72"/>
      <c r="VAH8" s="72"/>
      <c r="VAI8" s="72"/>
      <c r="VAJ8" s="72"/>
      <c r="VAK8" s="72"/>
      <c r="VAL8" s="72"/>
      <c r="VAM8" s="72"/>
      <c r="VAN8" s="72"/>
      <c r="VAO8" s="72"/>
      <c r="VAP8" s="72"/>
      <c r="VAQ8" s="72"/>
      <c r="VAR8" s="72"/>
      <c r="VAS8" s="72"/>
      <c r="VAT8" s="72"/>
      <c r="VAU8" s="72"/>
      <c r="VAV8" s="72"/>
      <c r="VAW8" s="72"/>
      <c r="VAX8" s="72"/>
      <c r="VAY8" s="72"/>
      <c r="VAZ8" s="72"/>
      <c r="VBA8" s="72"/>
      <c r="VBB8" s="72"/>
      <c r="VBC8" s="72"/>
      <c r="VBD8" s="72"/>
      <c r="VBE8" s="72"/>
      <c r="VBF8" s="72"/>
      <c r="VBG8" s="72"/>
      <c r="VBH8" s="72"/>
      <c r="VBI8" s="72"/>
      <c r="VBJ8" s="72"/>
      <c r="VBK8" s="72"/>
      <c r="VBL8" s="72"/>
      <c r="VBM8" s="72"/>
      <c r="VBN8" s="72"/>
      <c r="VBO8" s="72"/>
      <c r="VBP8" s="72"/>
      <c r="VBQ8" s="72"/>
      <c r="VBR8" s="72"/>
      <c r="VBS8" s="72"/>
      <c r="VBT8" s="72"/>
      <c r="VBU8" s="72"/>
      <c r="VBV8" s="72"/>
      <c r="VBW8" s="72"/>
      <c r="VBX8" s="72"/>
      <c r="VBY8" s="72"/>
      <c r="VBZ8" s="72"/>
      <c r="VCA8" s="72"/>
      <c r="VCB8" s="72"/>
      <c r="VCC8" s="72"/>
      <c r="VCD8" s="72"/>
      <c r="VCE8" s="72"/>
      <c r="VCF8" s="72"/>
      <c r="VCG8" s="72"/>
      <c r="VCH8" s="72"/>
      <c r="VCI8" s="72"/>
      <c r="VCJ8" s="72"/>
      <c r="VCK8" s="72"/>
      <c r="VCL8" s="72"/>
      <c r="VCM8" s="72"/>
      <c r="VCN8" s="72"/>
      <c r="VCO8" s="72"/>
      <c r="VCP8" s="72"/>
      <c r="VCQ8" s="72"/>
      <c r="VCR8" s="72"/>
      <c r="VCS8" s="72"/>
      <c r="VCT8" s="72"/>
      <c r="VCU8" s="72"/>
      <c r="VCV8" s="72"/>
      <c r="VCW8" s="72"/>
      <c r="VCX8" s="72"/>
      <c r="VCY8" s="72"/>
      <c r="VCZ8" s="72"/>
      <c r="VDA8" s="72"/>
      <c r="VDB8" s="72"/>
      <c r="VDC8" s="72"/>
      <c r="VDD8" s="72"/>
      <c r="VDE8" s="72"/>
      <c r="VDF8" s="72"/>
      <c r="VDG8" s="72"/>
      <c r="VDH8" s="72"/>
      <c r="VDI8" s="72"/>
      <c r="VDJ8" s="72"/>
      <c r="VDK8" s="72"/>
      <c r="VDL8" s="72"/>
      <c r="VDM8" s="72"/>
      <c r="VDN8" s="72"/>
      <c r="VDO8" s="72"/>
      <c r="VDP8" s="72"/>
      <c r="VDQ8" s="72"/>
      <c r="VDR8" s="72"/>
      <c r="VDS8" s="72"/>
      <c r="VDT8" s="72"/>
      <c r="VDU8" s="72"/>
      <c r="VDV8" s="72"/>
      <c r="VDW8" s="72"/>
      <c r="VDX8" s="72"/>
      <c r="VDY8" s="72"/>
      <c r="VDZ8" s="72"/>
      <c r="VEA8" s="72"/>
      <c r="VEB8" s="72"/>
      <c r="VEC8" s="72"/>
      <c r="VED8" s="72"/>
      <c r="VEE8" s="72"/>
      <c r="VEF8" s="72"/>
      <c r="VEG8" s="72"/>
      <c r="VEH8" s="72"/>
      <c r="VEI8" s="72"/>
      <c r="VEJ8" s="72"/>
      <c r="VEK8" s="72"/>
      <c r="VEL8" s="72"/>
      <c r="VEM8" s="72"/>
      <c r="VEN8" s="72"/>
      <c r="VEO8" s="72"/>
      <c r="VEP8" s="72"/>
      <c r="VEQ8" s="72"/>
      <c r="VER8" s="72"/>
      <c r="VES8" s="72"/>
      <c r="VET8" s="72"/>
      <c r="VEU8" s="72"/>
      <c r="VEV8" s="72"/>
      <c r="VEW8" s="72"/>
      <c r="VEX8" s="72"/>
      <c r="VEY8" s="72"/>
      <c r="VEZ8" s="72"/>
      <c r="VFA8" s="72"/>
      <c r="VFB8" s="72"/>
      <c r="VFC8" s="72"/>
      <c r="VFD8" s="72"/>
      <c r="VFE8" s="72"/>
      <c r="VFF8" s="72"/>
      <c r="VFG8" s="72"/>
      <c r="VFH8" s="72"/>
      <c r="VFI8" s="72"/>
      <c r="VFJ8" s="72"/>
      <c r="VFK8" s="72"/>
      <c r="VFL8" s="72"/>
      <c r="VFM8" s="72"/>
      <c r="VFN8" s="72"/>
      <c r="VFO8" s="72"/>
      <c r="VFP8" s="72"/>
      <c r="VFQ8" s="72"/>
      <c r="VFR8" s="72"/>
      <c r="VFS8" s="72"/>
      <c r="VFT8" s="72"/>
      <c r="VFU8" s="72"/>
      <c r="VFV8" s="72"/>
      <c r="VFW8" s="72"/>
      <c r="VFX8" s="72"/>
      <c r="VFY8" s="72"/>
      <c r="VFZ8" s="72"/>
      <c r="VGA8" s="72"/>
      <c r="VGB8" s="72"/>
      <c r="VGC8" s="72"/>
      <c r="VGD8" s="72"/>
      <c r="VGE8" s="72"/>
      <c r="VGF8" s="72"/>
      <c r="VGG8" s="72"/>
      <c r="VGH8" s="72"/>
      <c r="VGI8" s="72"/>
      <c r="VGJ8" s="72"/>
      <c r="VGK8" s="72"/>
      <c r="VGL8" s="72"/>
      <c r="VGM8" s="72"/>
      <c r="VGN8" s="72"/>
      <c r="VGO8" s="72"/>
      <c r="VGP8" s="72"/>
      <c r="VGQ8" s="72"/>
      <c r="VGR8" s="72"/>
      <c r="VGS8" s="72"/>
      <c r="VGT8" s="72"/>
      <c r="VGU8" s="72"/>
      <c r="VGV8" s="72"/>
      <c r="VGW8" s="72"/>
      <c r="VGX8" s="72"/>
      <c r="VGY8" s="72"/>
      <c r="VGZ8" s="72"/>
      <c r="VHA8" s="72"/>
      <c r="VHB8" s="72"/>
      <c r="VHC8" s="72"/>
      <c r="VHD8" s="72"/>
      <c r="VHE8" s="72"/>
      <c r="VHF8" s="72"/>
      <c r="VHG8" s="72"/>
      <c r="VHH8" s="72"/>
      <c r="VHI8" s="72"/>
      <c r="VHJ8" s="72"/>
      <c r="VHK8" s="72"/>
      <c r="VHL8" s="72"/>
      <c r="VHM8" s="72"/>
      <c r="VHN8" s="72"/>
      <c r="VHO8" s="72"/>
      <c r="VHP8" s="72"/>
      <c r="VHQ8" s="72"/>
      <c r="VHR8" s="72"/>
      <c r="VHS8" s="72"/>
      <c r="VHT8" s="72"/>
      <c r="VHU8" s="72"/>
      <c r="VHV8" s="72"/>
      <c r="VHW8" s="72"/>
      <c r="VHX8" s="72"/>
      <c r="VHY8" s="72"/>
      <c r="VHZ8" s="72"/>
      <c r="VIA8" s="72"/>
      <c r="VIB8" s="72"/>
      <c r="VIC8" s="72"/>
      <c r="VID8" s="72"/>
      <c r="VIE8" s="72"/>
      <c r="VIF8" s="72"/>
      <c r="VIG8" s="72"/>
      <c r="VIH8" s="72"/>
      <c r="VII8" s="72"/>
      <c r="VIJ8" s="72"/>
      <c r="VIK8" s="72"/>
      <c r="VIL8" s="72"/>
      <c r="VIM8" s="72"/>
      <c r="VIN8" s="72"/>
      <c r="VIO8" s="72"/>
      <c r="VIP8" s="72"/>
      <c r="VIQ8" s="72"/>
      <c r="VIR8" s="72"/>
      <c r="VIS8" s="72"/>
      <c r="VIT8" s="72"/>
      <c r="VIU8" s="72"/>
      <c r="VIV8" s="72"/>
      <c r="VIW8" s="72"/>
      <c r="VIX8" s="72"/>
      <c r="VIY8" s="72"/>
      <c r="VIZ8" s="72"/>
      <c r="VJA8" s="72"/>
      <c r="VJB8" s="72"/>
      <c r="VJC8" s="72"/>
      <c r="VJD8" s="72"/>
      <c r="VJE8" s="72"/>
      <c r="VJF8" s="72"/>
      <c r="VJG8" s="72"/>
      <c r="VJH8" s="72"/>
      <c r="VJI8" s="72"/>
      <c r="VJJ8" s="72"/>
      <c r="VJK8" s="72"/>
      <c r="VJL8" s="72"/>
      <c r="VJM8" s="72"/>
      <c r="VJN8" s="72"/>
      <c r="VJO8" s="72"/>
      <c r="VJP8" s="72"/>
      <c r="VJQ8" s="72"/>
      <c r="VJR8" s="72"/>
      <c r="VJS8" s="72"/>
      <c r="VJT8" s="72"/>
      <c r="VJU8" s="72"/>
      <c r="VJV8" s="72"/>
      <c r="VJW8" s="72"/>
      <c r="VJX8" s="72"/>
      <c r="VJY8" s="72"/>
      <c r="VJZ8" s="72"/>
      <c r="VKA8" s="72"/>
      <c r="VKB8" s="72"/>
      <c r="VKC8" s="72"/>
      <c r="VKD8" s="72"/>
      <c r="VKE8" s="72"/>
      <c r="VKF8" s="72"/>
      <c r="VKG8" s="72"/>
      <c r="VKH8" s="72"/>
      <c r="VKI8" s="72"/>
      <c r="VKJ8" s="72"/>
      <c r="VKK8" s="72"/>
      <c r="VKL8" s="72"/>
      <c r="VKM8" s="72"/>
      <c r="VKN8" s="72"/>
      <c r="VKO8" s="72"/>
      <c r="VKP8" s="72"/>
      <c r="VKQ8" s="72"/>
      <c r="VKR8" s="72"/>
      <c r="VKS8" s="72"/>
      <c r="VKT8" s="72"/>
      <c r="VKU8" s="72"/>
      <c r="VKV8" s="72"/>
      <c r="VKW8" s="72"/>
      <c r="VKX8" s="72"/>
      <c r="VKY8" s="72"/>
      <c r="VKZ8" s="72"/>
      <c r="VLA8" s="72"/>
      <c r="VLB8" s="72"/>
      <c r="VLC8" s="72"/>
      <c r="VLD8" s="72"/>
      <c r="VLE8" s="72"/>
      <c r="VLF8" s="72"/>
      <c r="VLG8" s="72"/>
      <c r="VLH8" s="72"/>
      <c r="VLI8" s="72"/>
      <c r="VLJ8" s="72"/>
      <c r="VLK8" s="72"/>
      <c r="VLL8" s="72"/>
      <c r="VLM8" s="72"/>
      <c r="VLN8" s="72"/>
      <c r="VLO8" s="72"/>
      <c r="VLP8" s="72"/>
      <c r="VLQ8" s="72"/>
      <c r="VLR8" s="72"/>
      <c r="VLS8" s="72"/>
      <c r="VLT8" s="72"/>
      <c r="VLU8" s="72"/>
      <c r="VLV8" s="72"/>
      <c r="VLW8" s="72"/>
      <c r="VLX8" s="72"/>
      <c r="VLY8" s="72"/>
      <c r="VLZ8" s="72"/>
      <c r="VMA8" s="72"/>
      <c r="VMB8" s="72"/>
      <c r="VMC8" s="72"/>
      <c r="VMD8" s="72"/>
      <c r="VME8" s="72"/>
      <c r="VMF8" s="72"/>
      <c r="VMG8" s="72"/>
      <c r="VMH8" s="72"/>
      <c r="VMI8" s="72"/>
      <c r="VMJ8" s="72"/>
      <c r="VMK8" s="72"/>
      <c r="VML8" s="72"/>
      <c r="VMM8" s="72"/>
      <c r="VMN8" s="72"/>
      <c r="VMO8" s="72"/>
      <c r="VMP8" s="72"/>
      <c r="VMQ8" s="72"/>
      <c r="VMR8" s="72"/>
      <c r="VMS8" s="72"/>
      <c r="VMT8" s="72"/>
      <c r="VMU8" s="72"/>
      <c r="VMV8" s="72"/>
      <c r="VMW8" s="72"/>
      <c r="VMX8" s="72"/>
      <c r="VMY8" s="72"/>
      <c r="VMZ8" s="72"/>
      <c r="VNA8" s="72"/>
      <c r="VNB8" s="72"/>
      <c r="VNC8" s="72"/>
      <c r="VND8" s="72"/>
      <c r="VNE8" s="72"/>
      <c r="VNF8" s="72"/>
      <c r="VNG8" s="72"/>
      <c r="VNH8" s="72"/>
      <c r="VNI8" s="72"/>
      <c r="VNJ8" s="72"/>
      <c r="VNK8" s="72"/>
      <c r="VNL8" s="72"/>
      <c r="VNM8" s="72"/>
      <c r="VNN8" s="72"/>
      <c r="VNO8" s="72"/>
      <c r="VNP8" s="72"/>
      <c r="VNQ8" s="72"/>
      <c r="VNR8" s="72"/>
      <c r="VNS8" s="72"/>
      <c r="VNT8" s="72"/>
      <c r="VNU8" s="72"/>
      <c r="VNV8" s="72"/>
      <c r="VNW8" s="72"/>
      <c r="VNX8" s="72"/>
      <c r="VNY8" s="72"/>
      <c r="VNZ8" s="72"/>
      <c r="VOA8" s="72"/>
      <c r="VOB8" s="72"/>
      <c r="VOC8" s="72"/>
      <c r="VOD8" s="72"/>
      <c r="VOE8" s="72"/>
      <c r="VOF8" s="72"/>
      <c r="VOG8" s="72"/>
      <c r="VOH8" s="72"/>
      <c r="VOI8" s="72"/>
      <c r="VOJ8" s="72"/>
      <c r="VOK8" s="72"/>
      <c r="VOL8" s="72"/>
      <c r="VOM8" s="72"/>
      <c r="VON8" s="72"/>
      <c r="VOO8" s="72"/>
      <c r="VOP8" s="72"/>
      <c r="VOQ8" s="72"/>
      <c r="VOR8" s="72"/>
      <c r="VOS8" s="72"/>
      <c r="VOT8" s="72"/>
      <c r="VOU8" s="72"/>
      <c r="VOV8" s="72"/>
      <c r="VOW8" s="72"/>
      <c r="VOX8" s="72"/>
      <c r="VOY8" s="72"/>
      <c r="VOZ8" s="72"/>
      <c r="VPA8" s="72"/>
      <c r="VPB8" s="72"/>
      <c r="VPC8" s="72"/>
      <c r="VPD8" s="72"/>
      <c r="VPE8" s="72"/>
      <c r="VPF8" s="72"/>
      <c r="VPG8" s="72"/>
      <c r="VPH8" s="72"/>
      <c r="VPI8" s="72"/>
      <c r="VPJ8" s="72"/>
      <c r="VPK8" s="72"/>
      <c r="VPL8" s="72"/>
      <c r="VPM8" s="72"/>
      <c r="VPN8" s="72"/>
      <c r="VPO8" s="72"/>
      <c r="VPP8" s="72"/>
      <c r="VPQ8" s="72"/>
      <c r="VPR8" s="72"/>
      <c r="VPS8" s="72"/>
      <c r="VPT8" s="72"/>
      <c r="VPU8" s="72"/>
      <c r="VPV8" s="72"/>
      <c r="VPW8" s="72"/>
      <c r="VPX8" s="72"/>
      <c r="VPY8" s="72"/>
      <c r="VPZ8" s="72"/>
      <c r="VQA8" s="72"/>
      <c r="VQB8" s="72"/>
      <c r="VQC8" s="72"/>
      <c r="VQD8" s="72"/>
      <c r="VQE8" s="72"/>
      <c r="VQF8" s="72"/>
      <c r="VQG8" s="72"/>
      <c r="VQH8" s="72"/>
      <c r="VQI8" s="72"/>
      <c r="VQJ8" s="72"/>
      <c r="VQK8" s="72"/>
      <c r="VQL8" s="72"/>
      <c r="VQM8" s="72"/>
      <c r="VQN8" s="72"/>
      <c r="VQO8" s="72"/>
      <c r="VQP8" s="72"/>
      <c r="VQQ8" s="72"/>
      <c r="VQR8" s="72"/>
      <c r="VQS8" s="72"/>
      <c r="VQT8" s="72"/>
      <c r="VQU8" s="72"/>
      <c r="VQV8" s="72"/>
      <c r="VQW8" s="72"/>
      <c r="VQX8" s="72"/>
      <c r="VQY8" s="72"/>
      <c r="VQZ8" s="72"/>
      <c r="VRA8" s="72"/>
      <c r="VRB8" s="72"/>
      <c r="VRC8" s="72"/>
      <c r="VRD8" s="72"/>
      <c r="VRE8" s="72"/>
      <c r="VRF8" s="72"/>
      <c r="VRG8" s="72"/>
      <c r="VRH8" s="72"/>
      <c r="VRI8" s="72"/>
      <c r="VRJ8" s="72"/>
      <c r="VRK8" s="72"/>
      <c r="VRL8" s="72"/>
      <c r="VRM8" s="72"/>
      <c r="VRN8" s="72"/>
      <c r="VRO8" s="72"/>
      <c r="VRP8" s="72"/>
      <c r="VRQ8" s="72"/>
      <c r="VRR8" s="72"/>
      <c r="VRS8" s="72"/>
      <c r="VRT8" s="72"/>
      <c r="VRU8" s="72"/>
      <c r="VRV8" s="72"/>
      <c r="VRW8" s="72"/>
      <c r="VRX8" s="72"/>
      <c r="VRY8" s="72"/>
      <c r="VRZ8" s="72"/>
      <c r="VSA8" s="72"/>
      <c r="VSB8" s="72"/>
      <c r="VSC8" s="72"/>
      <c r="VSD8" s="72"/>
      <c r="VSE8" s="72"/>
      <c r="VSF8" s="72"/>
      <c r="VSG8" s="72"/>
      <c r="VSH8" s="72"/>
      <c r="VSI8" s="72"/>
      <c r="VSJ8" s="72"/>
      <c r="VSK8" s="72"/>
      <c r="VSL8" s="72"/>
      <c r="VSM8" s="72"/>
      <c r="VSN8" s="72"/>
      <c r="VSO8" s="72"/>
      <c r="VSP8" s="72"/>
      <c r="VSQ8" s="72"/>
      <c r="VSR8" s="72"/>
      <c r="VSS8" s="72"/>
      <c r="VST8" s="72"/>
      <c r="VSU8" s="72"/>
      <c r="VSV8" s="72"/>
      <c r="VSW8" s="72"/>
      <c r="VSX8" s="72"/>
      <c r="VSY8" s="72"/>
      <c r="VSZ8" s="72"/>
      <c r="VTA8" s="72"/>
      <c r="VTB8" s="72"/>
      <c r="VTC8" s="72"/>
      <c r="VTD8" s="72"/>
      <c r="VTE8" s="72"/>
      <c r="VTF8" s="72"/>
      <c r="VTG8" s="72"/>
      <c r="VTH8" s="72"/>
      <c r="VTI8" s="72"/>
      <c r="VTJ8" s="72"/>
      <c r="VTK8" s="72"/>
      <c r="VTL8" s="72"/>
      <c r="VTM8" s="72"/>
      <c r="VTN8" s="72"/>
      <c r="VTO8" s="72"/>
      <c r="VTP8" s="72"/>
      <c r="VTQ8" s="72"/>
      <c r="VTR8" s="72"/>
      <c r="VTS8" s="72"/>
      <c r="VTT8" s="72"/>
      <c r="VTU8" s="72"/>
      <c r="VTV8" s="72"/>
      <c r="VTW8" s="72"/>
      <c r="VTX8" s="72"/>
      <c r="VTY8" s="72"/>
      <c r="VTZ8" s="72"/>
      <c r="VUA8" s="72"/>
      <c r="VUB8" s="72"/>
      <c r="VUC8" s="72"/>
      <c r="VUD8" s="72"/>
      <c r="VUE8" s="72"/>
      <c r="VUF8" s="72"/>
      <c r="VUG8" s="72"/>
      <c r="VUH8" s="72"/>
      <c r="VUI8" s="72"/>
      <c r="VUJ8" s="72"/>
      <c r="VUK8" s="72"/>
      <c r="VUL8" s="72"/>
      <c r="VUM8" s="72"/>
      <c r="VUN8" s="72"/>
      <c r="VUO8" s="72"/>
      <c r="VUP8" s="72"/>
      <c r="VUQ8" s="72"/>
      <c r="VUR8" s="72"/>
      <c r="VUS8" s="72"/>
      <c r="VUT8" s="72"/>
      <c r="VUU8" s="72"/>
      <c r="VUV8" s="72"/>
      <c r="VUW8" s="72"/>
      <c r="VUX8" s="72"/>
      <c r="VUY8" s="72"/>
      <c r="VUZ8" s="72"/>
      <c r="VVA8" s="72"/>
      <c r="VVB8" s="72"/>
      <c r="VVC8" s="72"/>
      <c r="VVD8" s="72"/>
      <c r="VVE8" s="72"/>
      <c r="VVF8" s="72"/>
      <c r="VVG8" s="72"/>
      <c r="VVH8" s="72"/>
      <c r="VVI8" s="72"/>
      <c r="VVJ8" s="72"/>
      <c r="VVK8" s="72"/>
      <c r="VVL8" s="72"/>
      <c r="VVM8" s="72"/>
      <c r="VVN8" s="72"/>
      <c r="VVO8" s="72"/>
      <c r="VVP8" s="72"/>
      <c r="VVQ8" s="72"/>
      <c r="VVR8" s="72"/>
      <c r="VVS8" s="72"/>
      <c r="VVT8" s="72"/>
      <c r="VVU8" s="72"/>
      <c r="VVV8" s="72"/>
      <c r="VVW8" s="72"/>
      <c r="VVX8" s="72"/>
      <c r="VVY8" s="72"/>
      <c r="VVZ8" s="72"/>
      <c r="VWA8" s="72"/>
      <c r="VWB8" s="72"/>
      <c r="VWC8" s="72"/>
      <c r="VWD8" s="72"/>
      <c r="VWE8" s="72"/>
      <c r="VWF8" s="72"/>
      <c r="VWG8" s="72"/>
      <c r="VWH8" s="72"/>
      <c r="VWI8" s="72"/>
      <c r="VWJ8" s="72"/>
      <c r="VWK8" s="72"/>
      <c r="VWL8" s="72"/>
      <c r="VWM8" s="72"/>
      <c r="VWN8" s="72"/>
      <c r="VWO8" s="72"/>
      <c r="VWP8" s="72"/>
      <c r="VWQ8" s="72"/>
      <c r="VWR8" s="72"/>
      <c r="VWS8" s="72"/>
      <c r="VWT8" s="72"/>
      <c r="VWU8" s="72"/>
      <c r="VWV8" s="72"/>
      <c r="VWW8" s="72"/>
      <c r="VWX8" s="72"/>
      <c r="VWY8" s="72"/>
      <c r="VWZ8" s="72"/>
      <c r="VXA8" s="72"/>
      <c r="VXB8" s="72"/>
      <c r="VXC8" s="72"/>
      <c r="VXD8" s="72"/>
      <c r="VXE8" s="72"/>
      <c r="VXF8" s="72"/>
      <c r="VXG8" s="72"/>
      <c r="VXH8" s="72"/>
      <c r="VXI8" s="72"/>
      <c r="VXJ8" s="72"/>
      <c r="VXK8" s="72"/>
      <c r="VXL8" s="72"/>
      <c r="VXM8" s="72"/>
      <c r="VXN8" s="72"/>
      <c r="VXO8" s="72"/>
      <c r="VXP8" s="72"/>
      <c r="VXQ8" s="72"/>
      <c r="VXR8" s="72"/>
      <c r="VXS8" s="72"/>
      <c r="VXT8" s="72"/>
      <c r="VXU8" s="72"/>
      <c r="VXV8" s="72"/>
      <c r="VXW8" s="72"/>
      <c r="VXX8" s="72"/>
      <c r="VXY8" s="72"/>
      <c r="VXZ8" s="72"/>
      <c r="VYA8" s="72"/>
      <c r="VYB8" s="72"/>
      <c r="VYC8" s="72"/>
      <c r="VYD8" s="72"/>
      <c r="VYE8" s="72"/>
      <c r="VYF8" s="72"/>
      <c r="VYG8" s="72"/>
      <c r="VYH8" s="72"/>
      <c r="VYI8" s="72"/>
      <c r="VYJ8" s="72"/>
      <c r="VYK8" s="72"/>
      <c r="VYL8" s="72"/>
      <c r="VYM8" s="72"/>
      <c r="VYN8" s="72"/>
      <c r="VYO8" s="72"/>
      <c r="VYP8" s="72"/>
      <c r="VYQ8" s="72"/>
      <c r="VYR8" s="72"/>
      <c r="VYS8" s="72"/>
      <c r="VYT8" s="72"/>
      <c r="VYU8" s="72"/>
      <c r="VYV8" s="72"/>
      <c r="VYW8" s="72"/>
      <c r="VYX8" s="72"/>
      <c r="VYY8" s="72"/>
      <c r="VYZ8" s="72"/>
      <c r="VZA8" s="72"/>
      <c r="VZB8" s="72"/>
      <c r="VZC8" s="72"/>
      <c r="VZD8" s="72"/>
      <c r="VZE8" s="72"/>
      <c r="VZF8" s="72"/>
      <c r="VZG8" s="72"/>
      <c r="VZH8" s="72"/>
      <c r="VZI8" s="72"/>
      <c r="VZJ8" s="72"/>
      <c r="VZK8" s="72"/>
      <c r="VZL8" s="72"/>
      <c r="VZM8" s="72"/>
      <c r="VZN8" s="72"/>
      <c r="VZO8" s="72"/>
      <c r="VZP8" s="72"/>
      <c r="VZQ8" s="72"/>
      <c r="VZR8" s="72"/>
      <c r="VZS8" s="72"/>
      <c r="VZT8" s="72"/>
      <c r="VZU8" s="72"/>
      <c r="VZV8" s="72"/>
      <c r="VZW8" s="72"/>
      <c r="VZX8" s="72"/>
      <c r="VZY8" s="72"/>
      <c r="VZZ8" s="72"/>
      <c r="WAA8" s="72"/>
      <c r="WAB8" s="72"/>
      <c r="WAC8" s="72"/>
      <c r="WAD8" s="72"/>
      <c r="WAE8" s="72"/>
      <c r="WAF8" s="72"/>
      <c r="WAG8" s="72"/>
      <c r="WAH8" s="72"/>
      <c r="WAI8" s="72"/>
      <c r="WAJ8" s="72"/>
      <c r="WAK8" s="72"/>
      <c r="WAL8" s="72"/>
      <c r="WAM8" s="72"/>
      <c r="WAN8" s="72"/>
      <c r="WAO8" s="72"/>
      <c r="WAP8" s="72"/>
      <c r="WAQ8" s="72"/>
      <c r="WAR8" s="72"/>
      <c r="WAS8" s="72"/>
      <c r="WAT8" s="72"/>
      <c r="WAU8" s="72"/>
      <c r="WAV8" s="72"/>
      <c r="WAW8" s="72"/>
      <c r="WAX8" s="72"/>
      <c r="WAY8" s="72"/>
      <c r="WAZ8" s="72"/>
      <c r="WBA8" s="72"/>
      <c r="WBB8" s="72"/>
      <c r="WBC8" s="72"/>
      <c r="WBD8" s="72"/>
      <c r="WBE8" s="72"/>
      <c r="WBF8" s="72"/>
      <c r="WBG8" s="72"/>
      <c r="WBH8" s="72"/>
      <c r="WBI8" s="72"/>
      <c r="WBJ8" s="72"/>
      <c r="WBK8" s="72"/>
      <c r="WBL8" s="72"/>
      <c r="WBM8" s="72"/>
      <c r="WBN8" s="72"/>
      <c r="WBO8" s="72"/>
      <c r="WBP8" s="72"/>
      <c r="WBQ8" s="72"/>
      <c r="WBR8" s="72"/>
      <c r="WBS8" s="72"/>
      <c r="WBT8" s="72"/>
      <c r="WBU8" s="72"/>
      <c r="WBV8" s="72"/>
      <c r="WBW8" s="72"/>
      <c r="WBX8" s="72"/>
      <c r="WBY8" s="72"/>
      <c r="WBZ8" s="72"/>
      <c r="WCA8" s="72"/>
      <c r="WCB8" s="72"/>
      <c r="WCC8" s="72"/>
      <c r="WCD8" s="72"/>
      <c r="WCE8" s="72"/>
      <c r="WCF8" s="72"/>
      <c r="WCG8" s="72"/>
      <c r="WCH8" s="72"/>
      <c r="WCI8" s="72"/>
      <c r="WCJ8" s="72"/>
      <c r="WCK8" s="72"/>
      <c r="WCL8" s="72"/>
      <c r="WCM8" s="72"/>
      <c r="WCN8" s="72"/>
      <c r="WCO8" s="72"/>
      <c r="WCP8" s="72"/>
      <c r="WCQ8" s="72"/>
      <c r="WCR8" s="72"/>
      <c r="WCS8" s="72"/>
      <c r="WCT8" s="72"/>
      <c r="WCU8" s="72"/>
      <c r="WCV8" s="72"/>
      <c r="WCW8" s="72"/>
      <c r="WCX8" s="72"/>
      <c r="WCY8" s="72"/>
      <c r="WCZ8" s="72"/>
      <c r="WDA8" s="72"/>
      <c r="WDB8" s="72"/>
      <c r="WDC8" s="72"/>
      <c r="WDD8" s="72"/>
      <c r="WDE8" s="72"/>
      <c r="WDF8" s="72"/>
      <c r="WDG8" s="72"/>
      <c r="WDH8" s="72"/>
      <c r="WDI8" s="72"/>
      <c r="WDJ8" s="72"/>
      <c r="WDK8" s="72"/>
      <c r="WDL8" s="72"/>
      <c r="WDM8" s="72"/>
      <c r="WDN8" s="72"/>
      <c r="WDO8" s="72"/>
      <c r="WDP8" s="72"/>
      <c r="WDQ8" s="72"/>
      <c r="WDR8" s="72"/>
      <c r="WDS8" s="72"/>
      <c r="WDT8" s="72"/>
      <c r="WDU8" s="72"/>
      <c r="WDV8" s="72"/>
      <c r="WDW8" s="72"/>
      <c r="WDX8" s="72"/>
      <c r="WDY8" s="72"/>
      <c r="WDZ8" s="72"/>
      <c r="WEA8" s="72"/>
      <c r="WEB8" s="72"/>
      <c r="WEC8" s="72"/>
      <c r="WED8" s="72"/>
      <c r="WEE8" s="72"/>
      <c r="WEF8" s="72"/>
      <c r="WEG8" s="72"/>
      <c r="WEH8" s="72"/>
      <c r="WEI8" s="72"/>
      <c r="WEJ8" s="72"/>
      <c r="WEK8" s="72"/>
      <c r="WEL8" s="72"/>
      <c r="WEM8" s="72"/>
      <c r="WEN8" s="72"/>
      <c r="WEO8" s="72"/>
      <c r="WEP8" s="72"/>
      <c r="WEQ8" s="72"/>
      <c r="WER8" s="72"/>
      <c r="WES8" s="72"/>
      <c r="WET8" s="72"/>
      <c r="WEU8" s="72"/>
      <c r="WEV8" s="72"/>
      <c r="WEW8" s="72"/>
      <c r="WEX8" s="72"/>
      <c r="WEY8" s="72"/>
      <c r="WEZ8" s="72"/>
      <c r="WFA8" s="72"/>
      <c r="WFB8" s="72"/>
      <c r="WFC8" s="72"/>
      <c r="WFD8" s="72"/>
      <c r="WFE8" s="72"/>
      <c r="WFF8" s="72"/>
      <c r="WFG8" s="72"/>
      <c r="WFH8" s="72"/>
      <c r="WFI8" s="72"/>
      <c r="WFJ8" s="72"/>
      <c r="WFK8" s="72"/>
      <c r="WFL8" s="72"/>
      <c r="WFM8" s="72"/>
      <c r="WFN8" s="72"/>
      <c r="WFO8" s="72"/>
      <c r="WFP8" s="72"/>
      <c r="WFQ8" s="72"/>
      <c r="WFR8" s="72"/>
      <c r="WFS8" s="72"/>
      <c r="WFT8" s="72"/>
      <c r="WFU8" s="72"/>
      <c r="WFV8" s="72"/>
      <c r="WFW8" s="72"/>
      <c r="WFX8" s="72"/>
      <c r="WFY8" s="72"/>
      <c r="WFZ8" s="72"/>
      <c r="WGA8" s="72"/>
      <c r="WGB8" s="72"/>
      <c r="WGC8" s="72"/>
      <c r="WGD8" s="72"/>
      <c r="WGE8" s="72"/>
      <c r="WGF8" s="72"/>
      <c r="WGG8" s="72"/>
      <c r="WGH8" s="72"/>
      <c r="WGI8" s="72"/>
      <c r="WGJ8" s="72"/>
      <c r="WGK8" s="72"/>
      <c r="WGL8" s="72"/>
      <c r="WGM8" s="72"/>
      <c r="WGN8" s="72"/>
      <c r="WGO8" s="72"/>
      <c r="WGP8" s="72"/>
      <c r="WGQ8" s="72"/>
      <c r="WGR8" s="72"/>
      <c r="WGS8" s="72"/>
      <c r="WGT8" s="72"/>
      <c r="WGU8" s="72"/>
      <c r="WGV8" s="72"/>
      <c r="WGW8" s="72"/>
      <c r="WGX8" s="72"/>
      <c r="WGY8" s="72"/>
      <c r="WGZ8" s="72"/>
      <c r="WHA8" s="72"/>
      <c r="WHB8" s="72"/>
      <c r="WHC8" s="72"/>
      <c r="WHD8" s="72"/>
      <c r="WHE8" s="72"/>
      <c r="WHF8" s="72"/>
      <c r="WHG8" s="72"/>
      <c r="WHH8" s="72"/>
      <c r="WHI8" s="72"/>
      <c r="WHJ8" s="72"/>
      <c r="WHK8" s="72"/>
      <c r="WHL8" s="72"/>
      <c r="WHM8" s="72"/>
      <c r="WHN8" s="72"/>
      <c r="WHO8" s="72"/>
      <c r="WHP8" s="72"/>
      <c r="WHQ8" s="72"/>
      <c r="WHR8" s="72"/>
      <c r="WHS8" s="72"/>
      <c r="WHT8" s="72"/>
      <c r="WHU8" s="72"/>
      <c r="WHV8" s="72"/>
      <c r="WHW8" s="72"/>
      <c r="WHX8" s="72"/>
      <c r="WHY8" s="72"/>
      <c r="WHZ8" s="72"/>
      <c r="WIA8" s="72"/>
      <c r="WIB8" s="72"/>
      <c r="WIC8" s="72"/>
      <c r="WID8" s="72"/>
      <c r="WIE8" s="72"/>
      <c r="WIF8" s="72"/>
      <c r="WIG8" s="72"/>
      <c r="WIH8" s="72"/>
      <c r="WII8" s="72"/>
      <c r="WIJ8" s="72"/>
      <c r="WIK8" s="72"/>
      <c r="WIL8" s="72"/>
      <c r="WIM8" s="72"/>
      <c r="WIN8" s="72"/>
      <c r="WIO8" s="72"/>
      <c r="WIP8" s="72"/>
      <c r="WIQ8" s="72"/>
      <c r="WIR8" s="72"/>
      <c r="WIS8" s="72"/>
      <c r="WIT8" s="72"/>
      <c r="WIU8" s="72"/>
      <c r="WIV8" s="72"/>
      <c r="WIW8" s="72"/>
      <c r="WIX8" s="72"/>
      <c r="WIY8" s="72"/>
      <c r="WIZ8" s="72"/>
      <c r="WJA8" s="72"/>
      <c r="WJB8" s="72"/>
      <c r="WJC8" s="72"/>
      <c r="WJD8" s="72"/>
      <c r="WJE8" s="72"/>
      <c r="WJF8" s="72"/>
      <c r="WJG8" s="72"/>
      <c r="WJH8" s="72"/>
      <c r="WJI8" s="72"/>
      <c r="WJJ8" s="72"/>
      <c r="WJK8" s="72"/>
      <c r="WJL8" s="72"/>
      <c r="WJM8" s="72"/>
      <c r="WJN8" s="72"/>
      <c r="WJO8" s="72"/>
      <c r="WJP8" s="72"/>
      <c r="WJQ8" s="72"/>
      <c r="WJR8" s="72"/>
      <c r="WJS8" s="72"/>
      <c r="WJT8" s="72"/>
      <c r="WJU8" s="72"/>
      <c r="WJV8" s="72"/>
      <c r="WJW8" s="72"/>
      <c r="WJX8" s="72"/>
      <c r="WJY8" s="72"/>
      <c r="WJZ8" s="72"/>
      <c r="WKA8" s="72"/>
      <c r="WKB8" s="72"/>
      <c r="WKC8" s="72"/>
      <c r="WKD8" s="72"/>
      <c r="WKE8" s="72"/>
      <c r="WKF8" s="72"/>
      <c r="WKG8" s="72"/>
      <c r="WKH8" s="72"/>
      <c r="WKI8" s="72"/>
      <c r="WKJ8" s="72"/>
      <c r="WKK8" s="72"/>
      <c r="WKL8" s="72"/>
      <c r="WKM8" s="72"/>
      <c r="WKN8" s="72"/>
      <c r="WKO8" s="72"/>
      <c r="WKP8" s="72"/>
      <c r="WKQ8" s="72"/>
      <c r="WKR8" s="72"/>
      <c r="WKS8" s="72"/>
      <c r="WKT8" s="72"/>
      <c r="WKU8" s="72"/>
      <c r="WKV8" s="72"/>
      <c r="WKW8" s="72"/>
      <c r="WKX8" s="72"/>
      <c r="WKY8" s="72"/>
      <c r="WKZ8" s="72"/>
      <c r="WLA8" s="72"/>
      <c r="WLB8" s="72"/>
      <c r="WLC8" s="72"/>
      <c r="WLD8" s="72"/>
      <c r="WLE8" s="72"/>
      <c r="WLF8" s="72"/>
      <c r="WLG8" s="72"/>
      <c r="WLH8" s="72"/>
      <c r="WLI8" s="72"/>
      <c r="WLJ8" s="72"/>
      <c r="WLK8" s="72"/>
      <c r="WLL8" s="72"/>
      <c r="WLM8" s="72"/>
      <c r="WLN8" s="72"/>
      <c r="WLO8" s="72"/>
      <c r="WLP8" s="72"/>
      <c r="WLQ8" s="72"/>
      <c r="WLR8" s="72"/>
      <c r="WLS8" s="72"/>
      <c r="WLT8" s="72"/>
      <c r="WLU8" s="72"/>
      <c r="WLV8" s="72"/>
      <c r="WLW8" s="72"/>
      <c r="WLX8" s="72"/>
      <c r="WLY8" s="72"/>
      <c r="WLZ8" s="72"/>
      <c r="WMA8" s="72"/>
      <c r="WMB8" s="72"/>
      <c r="WMC8" s="72"/>
      <c r="WMD8" s="72"/>
      <c r="WME8" s="72"/>
      <c r="WMF8" s="72"/>
      <c r="WMG8" s="72"/>
      <c r="WMH8" s="72"/>
      <c r="WMI8" s="72"/>
      <c r="WMJ8" s="72"/>
      <c r="WMK8" s="72"/>
      <c r="WML8" s="72"/>
      <c r="WMM8" s="72"/>
      <c r="WMN8" s="72"/>
      <c r="WMO8" s="72"/>
      <c r="WMP8" s="72"/>
      <c r="WMQ8" s="72"/>
      <c r="WMR8" s="72"/>
      <c r="WMS8" s="72"/>
      <c r="WMT8" s="72"/>
      <c r="WMU8" s="72"/>
      <c r="WMV8" s="72"/>
      <c r="WMW8" s="72"/>
      <c r="WMX8" s="72"/>
      <c r="WMY8" s="72"/>
      <c r="WMZ8" s="72"/>
      <c r="WNA8" s="72"/>
      <c r="WNB8" s="72"/>
      <c r="WNC8" s="72"/>
      <c r="WND8" s="72"/>
      <c r="WNE8" s="72"/>
      <c r="WNF8" s="72"/>
      <c r="WNG8" s="72"/>
      <c r="WNH8" s="72"/>
      <c r="WNI8" s="72"/>
      <c r="WNJ8" s="72"/>
      <c r="WNK8" s="72"/>
      <c r="WNL8" s="72"/>
      <c r="WNM8" s="72"/>
      <c r="WNN8" s="72"/>
      <c r="WNO8" s="72"/>
      <c r="WNP8" s="72"/>
      <c r="WNQ8" s="72"/>
      <c r="WNR8" s="72"/>
      <c r="WNS8" s="72"/>
      <c r="WNT8" s="72"/>
      <c r="WNU8" s="72"/>
      <c r="WNV8" s="72"/>
      <c r="WNW8" s="72"/>
      <c r="WNX8" s="72"/>
      <c r="WNY8" s="72"/>
      <c r="WNZ8" s="72"/>
      <c r="WOA8" s="72"/>
      <c r="WOB8" s="72"/>
      <c r="WOC8" s="72"/>
      <c r="WOD8" s="72"/>
      <c r="WOE8" s="72"/>
      <c r="WOF8" s="72"/>
      <c r="WOG8" s="72"/>
      <c r="WOH8" s="72"/>
      <c r="WOI8" s="72"/>
      <c r="WOJ8" s="72"/>
      <c r="WOK8" s="72"/>
      <c r="WOL8" s="72"/>
      <c r="WOM8" s="72"/>
      <c r="WON8" s="72"/>
      <c r="WOO8" s="72"/>
      <c r="WOP8" s="72"/>
      <c r="WOQ8" s="72"/>
      <c r="WOR8" s="72"/>
      <c r="WOS8" s="72"/>
      <c r="WOT8" s="72"/>
      <c r="WOU8" s="72"/>
      <c r="WOV8" s="72"/>
      <c r="WOW8" s="72"/>
      <c r="WOX8" s="72"/>
      <c r="WOY8" s="72"/>
      <c r="WOZ8" s="72"/>
      <c r="WPA8" s="72"/>
      <c r="WPB8" s="72"/>
      <c r="WPC8" s="72"/>
      <c r="WPD8" s="72"/>
      <c r="WPE8" s="72"/>
      <c r="WPF8" s="72"/>
      <c r="WPG8" s="72"/>
      <c r="WPH8" s="72"/>
      <c r="WPI8" s="72"/>
      <c r="WPJ8" s="72"/>
      <c r="WPK8" s="72"/>
      <c r="WPL8" s="72"/>
      <c r="WPM8" s="72"/>
      <c r="WPN8" s="72"/>
      <c r="WPO8" s="72"/>
      <c r="WPP8" s="72"/>
      <c r="WPQ8" s="72"/>
      <c r="WPR8" s="72"/>
      <c r="WPS8" s="72"/>
      <c r="WPT8" s="72"/>
      <c r="WPU8" s="72"/>
      <c r="WPV8" s="72"/>
      <c r="WPW8" s="72"/>
      <c r="WPX8" s="72"/>
      <c r="WPY8" s="72"/>
      <c r="WPZ8" s="72"/>
      <c r="WQA8" s="72"/>
      <c r="WQB8" s="72"/>
      <c r="WQC8" s="72"/>
      <c r="WQD8" s="72"/>
      <c r="WQE8" s="72"/>
      <c r="WQF8" s="72"/>
      <c r="WQG8" s="72"/>
      <c r="WQH8" s="72"/>
      <c r="WQI8" s="72"/>
      <c r="WQJ8" s="72"/>
      <c r="WQK8" s="72"/>
      <c r="WQL8" s="72"/>
      <c r="WQM8" s="72"/>
      <c r="WQN8" s="72"/>
      <c r="WQO8" s="72"/>
      <c r="WQP8" s="72"/>
      <c r="WQQ8" s="72"/>
      <c r="WQR8" s="72"/>
      <c r="WQS8" s="72"/>
      <c r="WQT8" s="72"/>
      <c r="WQU8" s="72"/>
      <c r="WQV8" s="72"/>
      <c r="WQW8" s="72"/>
      <c r="WQX8" s="72"/>
      <c r="WQY8" s="72"/>
      <c r="WQZ8" s="72"/>
      <c r="WRA8" s="72"/>
      <c r="WRB8" s="72"/>
      <c r="WRC8" s="72"/>
      <c r="WRD8" s="72"/>
      <c r="WRE8" s="72"/>
      <c r="WRF8" s="72"/>
      <c r="WRG8" s="72"/>
      <c r="WRH8" s="72"/>
      <c r="WRI8" s="72"/>
      <c r="WRJ8" s="72"/>
      <c r="WRK8" s="72"/>
      <c r="WRL8" s="72"/>
      <c r="WRM8" s="72"/>
      <c r="WRN8" s="72"/>
      <c r="WRO8" s="72"/>
      <c r="WRP8" s="72"/>
      <c r="WRQ8" s="72"/>
      <c r="WRR8" s="72"/>
      <c r="WRS8" s="72"/>
      <c r="WRT8" s="72"/>
      <c r="WRU8" s="72"/>
      <c r="WRV8" s="72"/>
      <c r="WRW8" s="72"/>
      <c r="WRX8" s="72"/>
      <c r="WRY8" s="72"/>
      <c r="WRZ8" s="72"/>
      <c r="WSA8" s="72"/>
      <c r="WSB8" s="72"/>
      <c r="WSC8" s="72"/>
      <c r="WSD8" s="72"/>
      <c r="WSE8" s="72"/>
      <c r="WSF8" s="72"/>
      <c r="WSG8" s="72"/>
      <c r="WSH8" s="72"/>
      <c r="WSI8" s="72"/>
      <c r="WSJ8" s="72"/>
      <c r="WSK8" s="72"/>
      <c r="WSL8" s="72"/>
      <c r="WSM8" s="72"/>
      <c r="WSN8" s="72"/>
      <c r="WSO8" s="72"/>
      <c r="WSP8" s="72"/>
      <c r="WSQ8" s="72"/>
      <c r="WSR8" s="72"/>
      <c r="WSS8" s="72"/>
      <c r="WST8" s="72"/>
      <c r="WSU8" s="72"/>
      <c r="WSV8" s="72"/>
      <c r="WSW8" s="72"/>
      <c r="WSX8" s="72"/>
      <c r="WSY8" s="72"/>
      <c r="WSZ8" s="72"/>
      <c r="WTA8" s="72"/>
      <c r="WTB8" s="72"/>
      <c r="WTC8" s="72"/>
      <c r="WTD8" s="72"/>
      <c r="WTE8" s="72"/>
      <c r="WTF8" s="72"/>
      <c r="WTG8" s="72"/>
      <c r="WTH8" s="72"/>
      <c r="WTI8" s="72"/>
      <c r="WTJ8" s="72"/>
      <c r="WTK8" s="72"/>
      <c r="WTL8" s="72"/>
      <c r="WTM8" s="72"/>
      <c r="WTN8" s="72"/>
      <c r="WTO8" s="72"/>
      <c r="WTP8" s="72"/>
      <c r="WTQ8" s="72"/>
      <c r="WTR8" s="72"/>
      <c r="WTS8" s="72"/>
      <c r="WTT8" s="72"/>
      <c r="WTU8" s="72"/>
      <c r="WTV8" s="72"/>
      <c r="WTW8" s="72"/>
      <c r="WTX8" s="72"/>
      <c r="WTY8" s="72"/>
      <c r="WTZ8" s="72"/>
      <c r="WUA8" s="72"/>
      <c r="WUB8" s="72"/>
      <c r="WUC8" s="72"/>
      <c r="WUD8" s="72"/>
      <c r="WUE8" s="72"/>
      <c r="WUF8" s="72"/>
      <c r="WUG8" s="72"/>
      <c r="WUH8" s="72"/>
      <c r="WUI8" s="72"/>
      <c r="WUJ8" s="72"/>
      <c r="WUK8" s="72"/>
      <c r="WUL8" s="72"/>
      <c r="WUM8" s="72"/>
      <c r="WUN8" s="72"/>
      <c r="WUO8" s="72"/>
      <c r="WUP8" s="72"/>
      <c r="WUQ8" s="72"/>
      <c r="WUR8" s="72"/>
      <c r="WUS8" s="72"/>
      <c r="WUT8" s="72"/>
      <c r="WUU8" s="72"/>
      <c r="WUV8" s="72"/>
      <c r="WUW8" s="72"/>
      <c r="WUX8" s="72"/>
      <c r="WUY8" s="72"/>
      <c r="WUZ8" s="72"/>
      <c r="WVA8" s="72"/>
      <c r="WVB8" s="72"/>
      <c r="WVC8" s="72"/>
      <c r="WVD8" s="72"/>
      <c r="WVE8" s="72"/>
      <c r="WVF8" s="72"/>
      <c r="WVG8" s="72"/>
      <c r="WVH8" s="72"/>
      <c r="WVI8" s="72"/>
      <c r="WVJ8" s="72"/>
      <c r="WVK8" s="72"/>
      <c r="WVL8" s="72"/>
      <c r="WVM8" s="72"/>
      <c r="WVN8" s="72"/>
      <c r="WVO8" s="72"/>
      <c r="WVP8" s="72"/>
      <c r="WVQ8" s="72"/>
      <c r="WVR8" s="72"/>
      <c r="WVS8" s="72"/>
      <c r="WVT8" s="72"/>
      <c r="WVU8" s="72"/>
      <c r="WVV8" s="72"/>
      <c r="WVW8" s="72"/>
      <c r="WVX8" s="72"/>
      <c r="WVY8" s="72"/>
      <c r="WVZ8" s="72"/>
      <c r="WWA8" s="72"/>
      <c r="WWB8" s="72"/>
      <c r="WWC8" s="72"/>
      <c r="WWD8" s="72"/>
      <c r="WWE8" s="72"/>
      <c r="WWF8" s="72"/>
      <c r="WWG8" s="72"/>
      <c r="WWH8" s="72"/>
      <c r="WWI8" s="72"/>
      <c r="WWJ8" s="72"/>
      <c r="WWK8" s="72"/>
      <c r="WWL8" s="72"/>
      <c r="WWM8" s="72"/>
      <c r="WWN8" s="72"/>
      <c r="WWO8" s="72"/>
      <c r="WWP8" s="72"/>
      <c r="WWQ8" s="72"/>
      <c r="WWR8" s="72"/>
      <c r="WWS8" s="72"/>
      <c r="WWT8" s="72"/>
      <c r="WWU8" s="72"/>
      <c r="WWV8" s="72"/>
      <c r="WWW8" s="72"/>
      <c r="WWX8" s="72"/>
      <c r="WWY8" s="72"/>
      <c r="WWZ8" s="72"/>
      <c r="WXA8" s="72"/>
      <c r="WXB8" s="72"/>
      <c r="WXC8" s="72"/>
      <c r="WXD8" s="72"/>
      <c r="WXE8" s="72"/>
      <c r="WXF8" s="72"/>
      <c r="WXG8" s="72"/>
      <c r="WXH8" s="72"/>
      <c r="WXI8" s="72"/>
      <c r="WXJ8" s="72"/>
      <c r="WXK8" s="72"/>
      <c r="WXL8" s="72"/>
      <c r="WXM8" s="72"/>
      <c r="WXN8" s="72"/>
      <c r="WXO8" s="72"/>
      <c r="WXP8" s="72"/>
      <c r="WXQ8" s="72"/>
      <c r="WXR8" s="72"/>
      <c r="WXS8" s="72"/>
      <c r="WXT8" s="72"/>
      <c r="WXU8" s="72"/>
      <c r="WXV8" s="72"/>
      <c r="WXW8" s="72"/>
      <c r="WXX8" s="72"/>
      <c r="WXY8" s="72"/>
      <c r="WXZ8" s="72"/>
      <c r="WYA8" s="72"/>
      <c r="WYB8" s="72"/>
      <c r="WYC8" s="72"/>
      <c r="WYD8" s="72"/>
      <c r="WYE8" s="72"/>
      <c r="WYF8" s="72"/>
      <c r="WYG8" s="72"/>
      <c r="WYH8" s="72"/>
      <c r="WYI8" s="72"/>
      <c r="WYJ8" s="72"/>
      <c r="WYK8" s="72"/>
      <c r="WYL8" s="72"/>
      <c r="WYM8" s="72"/>
      <c r="WYN8" s="72"/>
      <c r="WYO8" s="72"/>
      <c r="WYP8" s="72"/>
      <c r="WYQ8" s="72"/>
      <c r="WYR8" s="72"/>
      <c r="WYS8" s="72"/>
      <c r="WYT8" s="72"/>
      <c r="WYU8" s="72"/>
      <c r="WYV8" s="72"/>
      <c r="WYW8" s="72"/>
      <c r="WYX8" s="72"/>
      <c r="WYY8" s="72"/>
      <c r="WYZ8" s="72"/>
      <c r="WZA8" s="72"/>
      <c r="WZB8" s="72"/>
      <c r="WZC8" s="72"/>
      <c r="WZD8" s="72"/>
      <c r="WZE8" s="72"/>
      <c r="WZF8" s="72"/>
      <c r="WZG8" s="72"/>
      <c r="WZH8" s="72"/>
      <c r="WZI8" s="72"/>
      <c r="WZJ8" s="72"/>
      <c r="WZK8" s="72"/>
      <c r="WZL8" s="72"/>
      <c r="WZM8" s="72"/>
      <c r="WZN8" s="72"/>
      <c r="WZO8" s="72"/>
      <c r="WZP8" s="72"/>
      <c r="WZQ8" s="72"/>
      <c r="WZR8" s="72"/>
      <c r="WZS8" s="72"/>
      <c r="WZT8" s="72"/>
      <c r="WZU8" s="72"/>
      <c r="WZV8" s="72"/>
      <c r="WZW8" s="72"/>
      <c r="WZX8" s="72"/>
      <c r="WZY8" s="72"/>
      <c r="WZZ8" s="72"/>
      <c r="XAA8" s="72"/>
      <c r="XAB8" s="72"/>
      <c r="XAC8" s="72"/>
      <c r="XAD8" s="72"/>
      <c r="XAE8" s="72"/>
      <c r="XAF8" s="72"/>
      <c r="XAG8" s="72"/>
      <c r="XAH8" s="72"/>
      <c r="XAI8" s="72"/>
      <c r="XAJ8" s="72"/>
      <c r="XAK8" s="72"/>
      <c r="XAL8" s="72"/>
      <c r="XAM8" s="72"/>
      <c r="XAN8" s="72"/>
      <c r="XAO8" s="72"/>
      <c r="XAP8" s="72"/>
      <c r="XAQ8" s="72"/>
      <c r="XAR8" s="72"/>
      <c r="XAS8" s="72"/>
      <c r="XAT8" s="72"/>
      <c r="XAU8" s="72"/>
      <c r="XAV8" s="72"/>
      <c r="XAW8" s="72"/>
      <c r="XAX8" s="72"/>
      <c r="XAY8" s="72"/>
      <c r="XAZ8" s="72"/>
      <c r="XBA8" s="72"/>
      <c r="XBB8" s="72"/>
      <c r="XBC8" s="72"/>
      <c r="XBD8" s="72"/>
      <c r="XBE8" s="72"/>
      <c r="XBF8" s="72"/>
      <c r="XBG8" s="72"/>
      <c r="XBH8" s="72"/>
      <c r="XBI8" s="72"/>
      <c r="XBJ8" s="72"/>
      <c r="XBK8" s="72"/>
      <c r="XBL8" s="72"/>
      <c r="XBM8" s="72"/>
      <c r="XBN8" s="72"/>
      <c r="XBO8" s="72"/>
      <c r="XBP8" s="72"/>
      <c r="XBQ8" s="72"/>
      <c r="XBR8" s="72"/>
      <c r="XBS8" s="72"/>
      <c r="XBT8" s="72"/>
      <c r="XBU8" s="72"/>
      <c r="XBV8" s="72"/>
      <c r="XBW8" s="72"/>
      <c r="XBX8" s="72"/>
      <c r="XBY8" s="72"/>
      <c r="XBZ8" s="72"/>
      <c r="XCA8" s="72"/>
      <c r="XCB8" s="72"/>
      <c r="XCC8" s="72"/>
      <c r="XCD8" s="72"/>
      <c r="XCE8" s="72"/>
      <c r="XCF8" s="72"/>
      <c r="XCG8" s="72"/>
      <c r="XCH8" s="72"/>
      <c r="XCI8" s="72"/>
      <c r="XCJ8" s="72"/>
      <c r="XCK8" s="72"/>
      <c r="XCL8" s="72"/>
      <c r="XCM8" s="72"/>
      <c r="XCN8" s="72"/>
      <c r="XCO8" s="72"/>
      <c r="XCP8" s="72"/>
      <c r="XCQ8" s="72"/>
      <c r="XCR8" s="72"/>
      <c r="XCS8" s="72"/>
      <c r="XCT8" s="72"/>
      <c r="XCU8" s="72"/>
      <c r="XCV8" s="72"/>
      <c r="XCW8" s="72"/>
      <c r="XCX8" s="72"/>
      <c r="XCY8" s="72"/>
      <c r="XCZ8" s="72"/>
      <c r="XDA8" s="72"/>
      <c r="XDB8" s="72"/>
      <c r="XDC8" s="72"/>
      <c r="XDD8" s="72"/>
      <c r="XDE8" s="72"/>
      <c r="XDF8" s="72"/>
      <c r="XDG8" s="72"/>
      <c r="XDH8" s="72"/>
      <c r="XDI8" s="72"/>
      <c r="XDJ8" s="72"/>
      <c r="XDK8" s="72"/>
      <c r="XDL8" s="72"/>
      <c r="XDM8" s="72"/>
      <c r="XDN8" s="72"/>
      <c r="XDO8" s="72"/>
      <c r="XDP8" s="72"/>
      <c r="XDQ8" s="72"/>
      <c r="XDR8" s="72"/>
      <c r="XDS8" s="72"/>
      <c r="XDT8" s="72"/>
      <c r="XDU8" s="72"/>
      <c r="XDV8" s="72"/>
      <c r="XDW8" s="72"/>
      <c r="XDX8" s="72"/>
      <c r="XDY8" s="72"/>
      <c r="XDZ8" s="72"/>
      <c r="XEA8" s="72"/>
      <c r="XEB8" s="72"/>
      <c r="XEC8" s="72"/>
      <c r="XED8" s="72"/>
      <c r="XEE8" s="72"/>
      <c r="XEF8" s="72"/>
      <c r="XEG8" s="72"/>
      <c r="XEH8" s="72"/>
      <c r="XEI8" s="72"/>
      <c r="XEJ8" s="72"/>
      <c r="XEK8" s="72"/>
      <c r="XEL8" s="72"/>
      <c r="XEM8" s="72"/>
      <c r="XEN8" s="72"/>
      <c r="XEO8" s="72"/>
      <c r="XEP8" s="72"/>
      <c r="XEQ8" s="72"/>
      <c r="XER8" s="72"/>
      <c r="XES8" s="72"/>
      <c r="XET8" s="72"/>
      <c r="XEU8" s="72"/>
      <c r="XEV8" s="72"/>
      <c r="XEW8" s="72"/>
      <c r="XEX8" s="72"/>
      <c r="XEY8" s="72"/>
      <c r="XEZ8" s="72"/>
      <c r="XFA8" s="72"/>
      <c r="XFB8" s="72"/>
      <c r="XFC8" s="72"/>
      <c r="XFD8" s="72"/>
    </row>
    <row r="9" s="31" customFormat="1" ht="132" spans="1:1024 1025:16384">
      <c r="A9" s="40"/>
      <c r="B9" s="40"/>
      <c r="C9" s="55"/>
      <c r="D9" s="73" t="s">
        <v>495</v>
      </c>
      <c r="E9" s="74" t="s">
        <v>496</v>
      </c>
      <c r="F9" s="75"/>
      <c r="G9" s="76" t="s">
        <v>497</v>
      </c>
      <c r="H9" s="76" t="s">
        <v>498</v>
      </c>
      <c r="I9" s="46" t="s">
        <v>499</v>
      </c>
      <c r="J9" s="47" t="s">
        <v>500</v>
      </c>
      <c r="K9" s="77"/>
      <c r="L9" s="49" t="s">
        <v>36</v>
      </c>
      <c r="M9" s="48"/>
      <c r="N9" s="49" t="s">
        <v>36</v>
      </c>
      <c r="O9" s="48"/>
      <c r="P9" s="48"/>
      <c r="Q9" s="49" t="s">
        <v>36</v>
      </c>
      <c r="R9" s="48"/>
      <c r="S9" s="49" t="s">
        <v>36</v>
      </c>
      <c r="T9" s="49" t="s">
        <v>475</v>
      </c>
      <c r="U9" s="47"/>
      <c r="V9" s="46" t="s">
        <v>501</v>
      </c>
      <c r="W9" s="46" t="s">
        <v>794</v>
      </c>
      <c r="X9" s="49" t="s">
        <v>503</v>
      </c>
      <c r="Y9" s="49" t="s">
        <v>466</v>
      </c>
      <c r="Z9" s="49"/>
      <c r="AA9" s="49" t="s">
        <v>467</v>
      </c>
      <c r="AB9" s="49" t="s">
        <v>466</v>
      </c>
      <c r="AC9" s="49"/>
      <c r="AD9" s="47"/>
      <c r="AE9" s="49"/>
      <c r="AF9" s="49"/>
      <c r="AG9" s="49"/>
      <c r="AH9" s="49" t="s">
        <v>469</v>
      </c>
      <c r="AI9" s="49" t="s">
        <v>469</v>
      </c>
      <c r="AJ9" s="47" t="s">
        <v>504</v>
      </c>
      <c r="AK9" s="52" t="s">
        <v>471</v>
      </c>
      <c r="AL9" s="53" t="s">
        <v>752</v>
      </c>
      <c r="AM9" s="54" t="s">
        <v>759</v>
      </c>
      <c r="AN9" s="31" t="b">
        <f>A9=[1]数字化与研发投入!A8</f>
        <v>1</v>
      </c>
      <c r="AO9" s="31" t="b">
        <f>B9=[1]数字化与研发投入!B8</f>
        <v>1</v>
      </c>
      <c r="AP9" s="31" t="b">
        <f>C9=[1]数字化与研发投入!C8</f>
        <v>1</v>
      </c>
      <c r="AQ9" s="31" t="b">
        <f>D9=[1]数字化与研发投入!D8</f>
        <v>1</v>
      </c>
      <c r="AR9" s="31" t="b">
        <f>E9=[1]数字化与研发投入!E8</f>
        <v>1</v>
      </c>
      <c r="AS9" s="31" t="b">
        <f>F9=[1]数字化与研发投入!F8</f>
        <v>1</v>
      </c>
      <c r="AT9" s="31" t="b">
        <f>G9=[1]数字化与研发投入!G8</f>
        <v>1</v>
      </c>
      <c r="AU9" s="31" t="b">
        <f>H9=[1]数字化与研发投入!H8</f>
        <v>1</v>
      </c>
      <c r="AV9" s="31" t="b">
        <f>I9=[1]数字化与研发投入!I8</f>
        <v>1</v>
      </c>
      <c r="AW9" s="31" t="b">
        <f>J9=[1]数字化与研发投入!J8</f>
        <v>1</v>
      </c>
      <c r="AX9" s="31" t="b">
        <f>K9=[1]数字化与研发投入!K8</f>
        <v>1</v>
      </c>
      <c r="AY9" s="31" t="b">
        <f>L9=[1]数字化与研发投入!L8</f>
        <v>1</v>
      </c>
      <c r="AZ9" s="31" t="b">
        <f>M9=[1]数字化与研发投入!M8</f>
        <v>1</v>
      </c>
      <c r="BA9" s="31" t="b">
        <f>N9=[1]数字化与研发投入!N8</f>
        <v>1</v>
      </c>
      <c r="BB9" s="31" t="b">
        <f>O9=[1]数字化与研发投入!O8</f>
        <v>1</v>
      </c>
      <c r="BC9" s="31" t="b">
        <f>P9=[1]数字化与研发投入!P8</f>
        <v>1</v>
      </c>
      <c r="BD9" s="31" t="b">
        <f>Q9=[1]数字化与研发投入!Q8</f>
        <v>1</v>
      </c>
      <c r="BE9" s="31" t="b">
        <f>R9=[1]数字化与研发投入!R8</f>
        <v>1</v>
      </c>
      <c r="BF9" s="31" t="b">
        <f>S9=[1]数字化与研发投入!S8</f>
        <v>1</v>
      </c>
      <c r="BG9" s="31" t="b">
        <f>T9=[1]数字化与研发投入!T8</f>
        <v>1</v>
      </c>
      <c r="BH9" s="31" t="b">
        <f>U9=[1]数字化与研发投入!U8</f>
        <v>1</v>
      </c>
      <c r="BI9" s="31" t="b">
        <f>V9=[1]数字化与研发投入!V8</f>
        <v>1</v>
      </c>
      <c r="BJ9" s="31" t="b">
        <f>W9=[1]数字化与研发投入!W8</f>
        <v>1</v>
      </c>
      <c r="BK9" s="31" t="b">
        <f>X9=[1]数字化与研发投入!X8</f>
        <v>1</v>
      </c>
      <c r="BL9" s="31" t="b">
        <f>Y9=[1]数字化与研发投入!Y8</f>
        <v>1</v>
      </c>
      <c r="BM9" s="31" t="b">
        <f>Z9=[1]数字化与研发投入!Z8</f>
        <v>1</v>
      </c>
      <c r="BN9" s="31" t="b">
        <f>AA9=[1]数字化与研发投入!AA8</f>
        <v>1</v>
      </c>
      <c r="BO9" s="31" t="b">
        <f>AB9=[1]数字化与研发投入!AB8</f>
        <v>1</v>
      </c>
      <c r="BP9" s="31" t="b">
        <f>AC9=[1]数字化与研发投入!AC8</f>
        <v>1</v>
      </c>
      <c r="BQ9" s="31" t="b">
        <f>AD9=[1]数字化与研发投入!AD8</f>
        <v>1</v>
      </c>
      <c r="BR9" s="31" t="b">
        <f>AE9=[1]数字化与研发投入!AE8</f>
        <v>1</v>
      </c>
      <c r="BS9" s="31" t="b">
        <f>AF9=[1]数字化与研发投入!AF8</f>
        <v>1</v>
      </c>
      <c r="BT9" s="31" t="b">
        <f>AG9=[1]数字化与研发投入!AG8</f>
        <v>1</v>
      </c>
      <c r="BU9" s="31" t="b">
        <f>AH9=[1]数字化与研发投入!AH8</f>
        <v>1</v>
      </c>
      <c r="BV9" s="31" t="b">
        <f>AI9=[1]数字化与研发投入!AI8</f>
        <v>1</v>
      </c>
      <c r="BW9" s="31" t="b">
        <f>AJ9=[1]数字化与研发投入!AJ8</f>
        <v>0</v>
      </c>
      <c r="BX9" s="31" t="b">
        <f>AK9=[1]数字化与研发投入!AK8</f>
        <v>1</v>
      </c>
    </row>
    <row r="10" s="31" customFormat="1" ht="184.8" spans="1:1024 1025:16384">
      <c r="A10" s="40"/>
      <c r="B10" s="40"/>
      <c r="C10" s="55"/>
      <c r="D10" s="78"/>
      <c r="E10" s="79"/>
      <c r="F10" s="80"/>
      <c r="G10" s="81"/>
      <c r="H10" s="81"/>
      <c r="I10" s="46" t="s">
        <v>506</v>
      </c>
      <c r="J10" s="47" t="s">
        <v>507</v>
      </c>
      <c r="K10" s="49"/>
      <c r="L10" s="48"/>
      <c r="M10" s="48"/>
      <c r="N10" s="49" t="s">
        <v>36</v>
      </c>
      <c r="O10" s="48"/>
      <c r="P10" s="48"/>
      <c r="Q10" s="49" t="s">
        <v>36</v>
      </c>
      <c r="R10" s="48"/>
      <c r="S10" s="49" t="s">
        <v>36</v>
      </c>
      <c r="T10" s="49" t="s">
        <v>475</v>
      </c>
      <c r="U10" s="47"/>
      <c r="V10" s="46" t="s">
        <v>508</v>
      </c>
      <c r="W10" s="46" t="s">
        <v>795</v>
      </c>
      <c r="X10" s="49" t="s">
        <v>503</v>
      </c>
      <c r="Y10" s="49" t="s">
        <v>466</v>
      </c>
      <c r="Z10" s="49"/>
      <c r="AA10" s="49" t="s">
        <v>467</v>
      </c>
      <c r="AB10" s="49" t="s">
        <v>466</v>
      </c>
      <c r="AC10" s="49"/>
      <c r="AD10" s="47"/>
      <c r="AE10" s="49"/>
      <c r="AF10" s="49"/>
      <c r="AG10" s="49"/>
      <c r="AH10" s="49" t="s">
        <v>469</v>
      </c>
      <c r="AI10" s="49" t="s">
        <v>469</v>
      </c>
      <c r="AJ10" s="47" t="s">
        <v>510</v>
      </c>
      <c r="AK10" s="52" t="s">
        <v>471</v>
      </c>
      <c r="AL10" s="53" t="s">
        <v>752</v>
      </c>
      <c r="AM10" s="54" t="s">
        <v>759</v>
      </c>
      <c r="AN10" s="31" t="b">
        <f>A10=[1]数字化与研发投入!A9</f>
        <v>1</v>
      </c>
      <c r="AO10" s="31" t="b">
        <f>B10=[1]数字化与研发投入!B9</f>
        <v>1</v>
      </c>
      <c r="AP10" s="31" t="b">
        <f>C10=[1]数字化与研发投入!C9</f>
        <v>1</v>
      </c>
      <c r="AQ10" s="31" t="b">
        <f>D10=[1]数字化与研发投入!D9</f>
        <v>1</v>
      </c>
      <c r="AR10" s="31" t="b">
        <f>E10=[1]数字化与研发投入!E9</f>
        <v>1</v>
      </c>
      <c r="AS10" s="31" t="b">
        <f>F10=[1]数字化与研发投入!F9</f>
        <v>1</v>
      </c>
      <c r="AT10" s="31" t="b">
        <f>G10=[1]数字化与研发投入!G9</f>
        <v>1</v>
      </c>
      <c r="AU10" s="31" t="b">
        <f>H10=[1]数字化与研发投入!H9</f>
        <v>1</v>
      </c>
      <c r="AV10" s="31" t="b">
        <f>I10=[1]数字化与研发投入!I9</f>
        <v>1</v>
      </c>
      <c r="AW10" s="31" t="b">
        <f>J10=[1]数字化与研发投入!J9</f>
        <v>1</v>
      </c>
      <c r="AX10" s="31" t="b">
        <f>K10=[1]数字化与研发投入!K9</f>
        <v>1</v>
      </c>
      <c r="AY10" s="31" t="b">
        <f>L10=[1]数字化与研发投入!L9</f>
        <v>1</v>
      </c>
      <c r="AZ10" s="31" t="b">
        <f>M10=[1]数字化与研发投入!M9</f>
        <v>1</v>
      </c>
      <c r="BA10" s="31" t="b">
        <f>N10=[1]数字化与研发投入!N9</f>
        <v>1</v>
      </c>
      <c r="BB10" s="31" t="b">
        <f>O10=[1]数字化与研发投入!O9</f>
        <v>1</v>
      </c>
      <c r="BC10" s="31" t="b">
        <f>P10=[1]数字化与研发投入!P9</f>
        <v>1</v>
      </c>
      <c r="BD10" s="31" t="b">
        <f>Q10=[1]数字化与研发投入!Q9</f>
        <v>1</v>
      </c>
      <c r="BE10" s="31" t="b">
        <f>R10=[1]数字化与研发投入!R9</f>
        <v>1</v>
      </c>
      <c r="BF10" s="31" t="b">
        <f>S10=[1]数字化与研发投入!S9</f>
        <v>1</v>
      </c>
      <c r="BG10" s="31" t="b">
        <f>T10=[1]数字化与研发投入!T9</f>
        <v>1</v>
      </c>
      <c r="BH10" s="31" t="b">
        <f>U10=[1]数字化与研发投入!U9</f>
        <v>1</v>
      </c>
      <c r="BI10" s="31" t="b">
        <f>V10=[1]数字化与研发投入!V9</f>
        <v>1</v>
      </c>
      <c r="BJ10" s="31" t="b">
        <f>W10=[1]数字化与研发投入!W9</f>
        <v>1</v>
      </c>
      <c r="BK10" s="31" t="b">
        <f>X10=[1]数字化与研发投入!X9</f>
        <v>1</v>
      </c>
      <c r="BL10" s="31" t="b">
        <f>Y10=[1]数字化与研发投入!Y9</f>
        <v>1</v>
      </c>
      <c r="BM10" s="31" t="b">
        <f>Z10=[1]数字化与研发投入!Z9</f>
        <v>1</v>
      </c>
      <c r="BN10" s="31" t="b">
        <f>AA10=[1]数字化与研发投入!AA9</f>
        <v>1</v>
      </c>
      <c r="BO10" s="31" t="b">
        <f>AB10=[1]数字化与研发投入!AB9</f>
        <v>1</v>
      </c>
      <c r="BP10" s="31" t="b">
        <f>AC10=[1]数字化与研发投入!AC9</f>
        <v>1</v>
      </c>
      <c r="BQ10" s="31" t="b">
        <f>AD10=[1]数字化与研发投入!AD9</f>
        <v>1</v>
      </c>
      <c r="BR10" s="31" t="b">
        <f>AE10=[1]数字化与研发投入!AE9</f>
        <v>1</v>
      </c>
      <c r="BS10" s="31" t="b">
        <f>AF10=[1]数字化与研发投入!AF9</f>
        <v>1</v>
      </c>
      <c r="BT10" s="31" t="b">
        <f>AG10=[1]数字化与研发投入!AG9</f>
        <v>1</v>
      </c>
      <c r="BU10" s="31" t="b">
        <f>AH10=[1]数字化与研发投入!AH9</f>
        <v>1</v>
      </c>
      <c r="BV10" s="31" t="b">
        <f>AI10=[1]数字化与研发投入!AI9</f>
        <v>1</v>
      </c>
      <c r="BW10" s="31" t="b">
        <f>AJ10=[1]数字化与研发投入!AJ9</f>
        <v>0</v>
      </c>
      <c r="BX10" s="31" t="b">
        <f>AK10=[1]数字化与研发投入!AK9</f>
        <v>1</v>
      </c>
    </row>
    <row r="11" s="31" customFormat="1" ht="184.8" spans="1:1024 1025:16384">
      <c r="A11" s="40"/>
      <c r="B11" s="40"/>
      <c r="C11" s="58"/>
      <c r="D11" s="82"/>
      <c r="E11" s="83"/>
      <c r="F11" s="84"/>
      <c r="G11" s="85"/>
      <c r="H11" s="85"/>
      <c r="I11" s="46" t="s">
        <v>511</v>
      </c>
      <c r="J11" s="47" t="s">
        <v>512</v>
      </c>
      <c r="K11" s="49"/>
      <c r="L11" s="48"/>
      <c r="M11" s="48"/>
      <c r="N11" s="49" t="s">
        <v>36</v>
      </c>
      <c r="O11" s="48"/>
      <c r="P11" s="48"/>
      <c r="Q11" s="49" t="s">
        <v>36</v>
      </c>
      <c r="R11" s="48"/>
      <c r="S11" s="49" t="s">
        <v>36</v>
      </c>
      <c r="T11" s="49" t="s">
        <v>475</v>
      </c>
      <c r="U11" s="50"/>
      <c r="V11" s="46" t="s">
        <v>513</v>
      </c>
      <c r="W11" s="46" t="s">
        <v>795</v>
      </c>
      <c r="X11" s="49" t="s">
        <v>503</v>
      </c>
      <c r="Y11" s="49" t="s">
        <v>466</v>
      </c>
      <c r="Z11" s="49"/>
      <c r="AA11" s="49" t="s">
        <v>467</v>
      </c>
      <c r="AB11" s="49" t="s">
        <v>466</v>
      </c>
      <c r="AC11" s="49"/>
      <c r="AD11" s="47"/>
      <c r="AE11" s="49"/>
      <c r="AF11" s="49"/>
      <c r="AG11" s="49"/>
      <c r="AH11" s="49" t="s">
        <v>469</v>
      </c>
      <c r="AI11" s="49" t="s">
        <v>469</v>
      </c>
      <c r="AJ11" s="47" t="s">
        <v>515</v>
      </c>
      <c r="AK11" s="52" t="s">
        <v>471</v>
      </c>
      <c r="AL11" s="53" t="s">
        <v>752</v>
      </c>
      <c r="AM11" s="54" t="s">
        <v>759</v>
      </c>
      <c r="AN11" s="31" t="b">
        <f>A11=[1]数字化与研发投入!A10</f>
        <v>1</v>
      </c>
      <c r="AO11" s="31" t="b">
        <f>B11=[1]数字化与研发投入!B10</f>
        <v>1</v>
      </c>
      <c r="AP11" s="31" t="b">
        <f>C11=[1]数字化与研发投入!C10</f>
        <v>1</v>
      </c>
      <c r="AQ11" s="31" t="b">
        <f>D11=[1]数字化与研发投入!D10</f>
        <v>1</v>
      </c>
      <c r="AR11" s="31" t="b">
        <f>E11=[1]数字化与研发投入!E10</f>
        <v>1</v>
      </c>
      <c r="AS11" s="31" t="b">
        <f>F11=[1]数字化与研发投入!F10</f>
        <v>1</v>
      </c>
      <c r="AT11" s="31" t="b">
        <f>G11=[1]数字化与研发投入!G10</f>
        <v>1</v>
      </c>
      <c r="AU11" s="31" t="b">
        <f>H11=[1]数字化与研发投入!H10</f>
        <v>1</v>
      </c>
      <c r="AV11" s="31" t="b">
        <f>I11=[1]数字化与研发投入!I10</f>
        <v>1</v>
      </c>
      <c r="AW11" s="31" t="b">
        <f>J11=[1]数字化与研发投入!J10</f>
        <v>1</v>
      </c>
      <c r="AX11" s="31" t="b">
        <f>K11=[1]数字化与研发投入!K10</f>
        <v>1</v>
      </c>
      <c r="AY11" s="31" t="b">
        <f>L11=[1]数字化与研发投入!L10</f>
        <v>1</v>
      </c>
      <c r="AZ11" s="31" t="b">
        <f>M11=[1]数字化与研发投入!M10</f>
        <v>1</v>
      </c>
      <c r="BA11" s="31" t="b">
        <f>N11=[1]数字化与研发投入!N10</f>
        <v>1</v>
      </c>
      <c r="BB11" s="31" t="b">
        <f>O11=[1]数字化与研发投入!O10</f>
        <v>1</v>
      </c>
      <c r="BC11" s="31" t="b">
        <f>P11=[1]数字化与研发投入!P10</f>
        <v>1</v>
      </c>
      <c r="BD11" s="31" t="b">
        <f>Q11=[1]数字化与研发投入!Q10</f>
        <v>1</v>
      </c>
      <c r="BE11" s="31" t="b">
        <f>R11=[1]数字化与研发投入!R10</f>
        <v>1</v>
      </c>
      <c r="BF11" s="31" t="b">
        <f>S11=[1]数字化与研发投入!S10</f>
        <v>1</v>
      </c>
      <c r="BG11" s="31" t="b">
        <f>T11=[1]数字化与研发投入!T10</f>
        <v>1</v>
      </c>
      <c r="BH11" s="31" t="b">
        <f>U11=[1]数字化与研发投入!U10</f>
        <v>1</v>
      </c>
      <c r="BI11" s="31" t="b">
        <f>V11=[1]数字化与研发投入!V10</f>
        <v>1</v>
      </c>
      <c r="BJ11" s="31" t="b">
        <f>W11=[1]数字化与研发投入!W10</f>
        <v>1</v>
      </c>
      <c r="BK11" s="31" t="b">
        <f>X11=[1]数字化与研发投入!X10</f>
        <v>1</v>
      </c>
      <c r="BL11" s="31" t="b">
        <f>Y11=[1]数字化与研发投入!Y10</f>
        <v>1</v>
      </c>
      <c r="BM11" s="31" t="b">
        <f>Z11=[1]数字化与研发投入!Z10</f>
        <v>1</v>
      </c>
      <c r="BN11" s="31" t="b">
        <f>AA11=[1]数字化与研发投入!AA10</f>
        <v>1</v>
      </c>
      <c r="BO11" s="31" t="b">
        <f>AB11=[1]数字化与研发投入!AB10</f>
        <v>1</v>
      </c>
      <c r="BP11" s="31" t="b">
        <f>AC11=[1]数字化与研发投入!AC10</f>
        <v>1</v>
      </c>
      <c r="BQ11" s="31" t="b">
        <f>AD11=[1]数字化与研发投入!AD10</f>
        <v>1</v>
      </c>
      <c r="BR11" s="31" t="b">
        <f>AE11=[1]数字化与研发投入!AE10</f>
        <v>1</v>
      </c>
      <c r="BS11" s="31" t="b">
        <f>AF11=[1]数字化与研发投入!AF10</f>
        <v>1</v>
      </c>
      <c r="BT11" s="31" t="b">
        <f>AG11=[1]数字化与研发投入!AG10</f>
        <v>1</v>
      </c>
      <c r="BU11" s="31" t="b">
        <f>AH11=[1]数字化与研发投入!AH10</f>
        <v>1</v>
      </c>
      <c r="BV11" s="31" t="b">
        <f>AI11=[1]数字化与研发投入!AI10</f>
        <v>1</v>
      </c>
      <c r="BW11" s="31" t="b">
        <f>AJ11=[1]数字化与研发投入!AJ10</f>
        <v>0</v>
      </c>
      <c r="BX11" s="31" t="b">
        <f>AK11=[1]数字化与研发投入!AK10</f>
        <v>1</v>
      </c>
    </row>
    <row r="12" s="31" customFormat="1" ht="118.8" spans="1:1024 1025:16384">
      <c r="A12" s="40" t="s">
        <v>452</v>
      </c>
      <c r="B12" s="75" t="s">
        <v>516</v>
      </c>
      <c r="C12" s="73" t="s">
        <v>517</v>
      </c>
      <c r="D12" s="73" t="s">
        <v>518</v>
      </c>
      <c r="E12" s="74" t="s">
        <v>519</v>
      </c>
      <c r="F12" s="86" t="s">
        <v>520</v>
      </c>
      <c r="G12" s="76" t="s">
        <v>521</v>
      </c>
      <c r="H12" s="76" t="s">
        <v>522</v>
      </c>
      <c r="I12" s="46" t="s">
        <v>523</v>
      </c>
      <c r="J12" s="47" t="s">
        <v>524</v>
      </c>
      <c r="K12" s="48"/>
      <c r="L12" s="49" t="s">
        <v>36</v>
      </c>
      <c r="M12" s="49" t="s">
        <v>36</v>
      </c>
      <c r="N12" s="48"/>
      <c r="O12" s="49" t="s">
        <v>36</v>
      </c>
      <c r="P12" s="48"/>
      <c r="Q12" s="48"/>
      <c r="R12" s="48"/>
      <c r="S12" s="48"/>
      <c r="T12" s="49" t="s">
        <v>475</v>
      </c>
      <c r="U12" s="47"/>
      <c r="V12" s="46" t="s">
        <v>525</v>
      </c>
      <c r="W12" s="46" t="s">
        <v>526</v>
      </c>
      <c r="X12" s="49" t="s">
        <v>527</v>
      </c>
      <c r="Y12" s="49" t="s">
        <v>466</v>
      </c>
      <c r="Z12" s="49"/>
      <c r="AA12" s="49" t="s">
        <v>467</v>
      </c>
      <c r="AB12" s="49" t="s">
        <v>466</v>
      </c>
      <c r="AC12" s="49"/>
      <c r="AD12" s="47"/>
      <c r="AE12" s="49"/>
      <c r="AF12" s="49"/>
      <c r="AG12" s="49"/>
      <c r="AH12" s="49" t="s">
        <v>469</v>
      </c>
      <c r="AI12" s="49" t="s">
        <v>469</v>
      </c>
      <c r="AJ12" s="47" t="s">
        <v>528</v>
      </c>
      <c r="AK12" s="52" t="s">
        <v>471</v>
      </c>
      <c r="AL12" s="53" t="s">
        <v>796</v>
      </c>
      <c r="AM12" s="54" t="s">
        <v>759</v>
      </c>
      <c r="AN12" s="31" t="b">
        <f>A12=[1]数字化与研发投入!A11</f>
        <v>1</v>
      </c>
      <c r="AO12" s="31" t="b">
        <f>B12=[1]数字化与研发投入!B11</f>
        <v>1</v>
      </c>
      <c r="AP12" s="31" t="b">
        <f>C12=[1]数字化与研发投入!C11</f>
        <v>1</v>
      </c>
      <c r="AQ12" s="31" t="b">
        <f>D12=[1]数字化与研发投入!D11</f>
        <v>1</v>
      </c>
      <c r="AR12" s="31" t="b">
        <f>E12=[1]数字化与研发投入!E11</f>
        <v>1</v>
      </c>
      <c r="AS12" s="31" t="b">
        <f>F12=[1]数字化与研发投入!F11</f>
        <v>1</v>
      </c>
      <c r="AT12" s="31" t="b">
        <f>G12=[1]数字化与研发投入!G11</f>
        <v>1</v>
      </c>
      <c r="AU12" s="31" t="b">
        <f>H12=[1]数字化与研发投入!H11</f>
        <v>1</v>
      </c>
      <c r="AV12" s="31" t="b">
        <f>I12=[1]数字化与研发投入!I11</f>
        <v>1</v>
      </c>
      <c r="AW12" s="31" t="b">
        <f>J12=[1]数字化与研发投入!J11</f>
        <v>1</v>
      </c>
      <c r="AX12" s="31" t="b">
        <f>K12=[1]数字化与研发投入!K11</f>
        <v>1</v>
      </c>
      <c r="AY12" s="31" t="b">
        <f>L12=[1]数字化与研发投入!L11</f>
        <v>1</v>
      </c>
      <c r="AZ12" s="31" t="b">
        <f>M12=[1]数字化与研发投入!M11</f>
        <v>1</v>
      </c>
      <c r="BA12" s="31" t="b">
        <f>N12=[1]数字化与研发投入!N11</f>
        <v>1</v>
      </c>
      <c r="BB12" s="31" t="b">
        <f>O12=[1]数字化与研发投入!O11</f>
        <v>1</v>
      </c>
      <c r="BC12" s="31" t="b">
        <f>P12=[1]数字化与研发投入!P11</f>
        <v>1</v>
      </c>
      <c r="BD12" s="31" t="b">
        <f>Q12=[1]数字化与研发投入!Q11</f>
        <v>1</v>
      </c>
      <c r="BE12" s="31" t="b">
        <f>R12=[1]数字化与研发投入!R11</f>
        <v>1</v>
      </c>
      <c r="BF12" s="31" t="b">
        <f>S12=[1]数字化与研发投入!S11</f>
        <v>1</v>
      </c>
      <c r="BG12" s="31" t="b">
        <f>T12=[1]数字化与研发投入!T11</f>
        <v>1</v>
      </c>
      <c r="BH12" s="31" t="b">
        <f>U12=[1]数字化与研发投入!U11</f>
        <v>1</v>
      </c>
      <c r="BI12" s="31" t="b">
        <f>V12=[1]数字化与研发投入!V11</f>
        <v>1</v>
      </c>
      <c r="BJ12" s="31" t="b">
        <f>W12=[1]数字化与研发投入!W11</f>
        <v>1</v>
      </c>
      <c r="BK12" s="31" t="b">
        <f>X12=[1]数字化与研发投入!X11</f>
        <v>1</v>
      </c>
      <c r="BL12" s="31" t="b">
        <f>Y12=[1]数字化与研发投入!Y11</f>
        <v>1</v>
      </c>
      <c r="BM12" s="31" t="b">
        <f>Z12=[1]数字化与研发投入!Z11</f>
        <v>1</v>
      </c>
      <c r="BN12" s="31" t="b">
        <f>AA12=[1]数字化与研发投入!AA11</f>
        <v>1</v>
      </c>
      <c r="BO12" s="31" t="b">
        <f>AB12=[1]数字化与研发投入!AB11</f>
        <v>1</v>
      </c>
      <c r="BP12" s="31" t="b">
        <f>AC12=[1]数字化与研发投入!AC11</f>
        <v>1</v>
      </c>
      <c r="BQ12" s="31" t="b">
        <f>AD12=[1]数字化与研发投入!AD11</f>
        <v>1</v>
      </c>
      <c r="BR12" s="31" t="b">
        <f>AE12=[1]数字化与研发投入!AE11</f>
        <v>1</v>
      </c>
      <c r="BS12" s="31" t="b">
        <f>AF12=[1]数字化与研发投入!AF11</f>
        <v>1</v>
      </c>
      <c r="BT12" s="31" t="b">
        <f>AG12=[1]数字化与研发投入!AG11</f>
        <v>1</v>
      </c>
      <c r="BU12" s="31" t="b">
        <f>AH12=[1]数字化与研发投入!AH11</f>
        <v>1</v>
      </c>
      <c r="BV12" s="31" t="b">
        <f>AI12=[1]数字化与研发投入!AI11</f>
        <v>1</v>
      </c>
      <c r="BW12" s="31" t="b">
        <f>AJ12=[1]数字化与研发投入!AJ11</f>
        <v>0</v>
      </c>
      <c r="BX12" s="31" t="b">
        <f>AK12=[1]数字化与研发投入!AK11</f>
        <v>1</v>
      </c>
    </row>
    <row r="13" s="31" customFormat="1" ht="105.6" spans="1:1024 1025:16384">
      <c r="A13" s="40"/>
      <c r="B13" s="80"/>
      <c r="C13" s="78"/>
      <c r="D13" s="78"/>
      <c r="E13" s="79"/>
      <c r="F13" s="87"/>
      <c r="G13" s="81"/>
      <c r="H13" s="81"/>
      <c r="I13" s="46" t="s">
        <v>529</v>
      </c>
      <c r="J13" s="47" t="s">
        <v>530</v>
      </c>
      <c r="K13" s="77"/>
      <c r="L13" s="48"/>
      <c r="M13" s="48"/>
      <c r="N13" s="48"/>
      <c r="O13" s="49" t="s">
        <v>36</v>
      </c>
      <c r="P13" s="48"/>
      <c r="Q13" s="48"/>
      <c r="R13" s="48"/>
      <c r="S13" s="48"/>
      <c r="T13" s="49" t="s">
        <v>475</v>
      </c>
      <c r="U13" s="47"/>
      <c r="V13" s="46" t="s">
        <v>531</v>
      </c>
      <c r="W13" s="46" t="s">
        <v>618</v>
      </c>
      <c r="X13" s="49" t="s">
        <v>527</v>
      </c>
      <c r="Y13" s="49" t="s">
        <v>466</v>
      </c>
      <c r="Z13" s="49"/>
      <c r="AA13" s="49" t="s">
        <v>467</v>
      </c>
      <c r="AB13" s="49" t="s">
        <v>466</v>
      </c>
      <c r="AC13" s="49"/>
      <c r="AD13" s="47"/>
      <c r="AE13" s="49"/>
      <c r="AF13" s="49"/>
      <c r="AG13" s="49"/>
      <c r="AH13" s="49" t="s">
        <v>469</v>
      </c>
      <c r="AI13" s="49" t="s">
        <v>469</v>
      </c>
      <c r="AJ13" s="47" t="s">
        <v>528</v>
      </c>
      <c r="AK13" s="52" t="s">
        <v>471</v>
      </c>
      <c r="AL13" s="53" t="s">
        <v>797</v>
      </c>
      <c r="AM13" s="54" t="s">
        <v>759</v>
      </c>
      <c r="AN13" s="31" t="b">
        <f>A13=[1]数字化与研发投入!A12</f>
        <v>1</v>
      </c>
      <c r="AO13" s="31" t="b">
        <f>B13=[1]数字化与研发投入!B12</f>
        <v>1</v>
      </c>
      <c r="AP13" s="31" t="b">
        <f>C13=[1]数字化与研发投入!C12</f>
        <v>1</v>
      </c>
      <c r="AQ13" s="31" t="b">
        <f>D13=[1]数字化与研发投入!D12</f>
        <v>1</v>
      </c>
      <c r="AR13" s="31" t="b">
        <f>E13=[1]数字化与研发投入!E12</f>
        <v>1</v>
      </c>
      <c r="AS13" s="31" t="b">
        <f>F13=[1]数字化与研发投入!F12</f>
        <v>1</v>
      </c>
      <c r="AT13" s="31" t="b">
        <f>G13=[1]数字化与研发投入!G12</f>
        <v>1</v>
      </c>
      <c r="AU13" s="31" t="b">
        <f>H13=[1]数字化与研发投入!H12</f>
        <v>1</v>
      </c>
      <c r="AV13" s="31" t="b">
        <f>I13=[1]数字化与研发投入!I12</f>
        <v>1</v>
      </c>
      <c r="AW13" s="31" t="b">
        <f>J13=[1]数字化与研发投入!J12</f>
        <v>1</v>
      </c>
      <c r="AX13" s="31" t="b">
        <f>K13=[1]数字化与研发投入!K12</f>
        <v>1</v>
      </c>
      <c r="AY13" s="31" t="b">
        <f>L13=[1]数字化与研发投入!L12</f>
        <v>1</v>
      </c>
      <c r="AZ13" s="31" t="b">
        <f>M13=[1]数字化与研发投入!M12</f>
        <v>1</v>
      </c>
      <c r="BA13" s="31" t="b">
        <f>N13=[1]数字化与研发投入!N12</f>
        <v>1</v>
      </c>
      <c r="BB13" s="31" t="b">
        <f>O13=[1]数字化与研发投入!O12</f>
        <v>1</v>
      </c>
      <c r="BC13" s="31" t="b">
        <f>P13=[1]数字化与研发投入!P12</f>
        <v>1</v>
      </c>
      <c r="BD13" s="31" t="b">
        <f>Q13=[1]数字化与研发投入!Q12</f>
        <v>1</v>
      </c>
      <c r="BE13" s="31" t="b">
        <f>R13=[1]数字化与研发投入!R12</f>
        <v>1</v>
      </c>
      <c r="BF13" s="31" t="b">
        <f>S13=[1]数字化与研发投入!S12</f>
        <v>1</v>
      </c>
      <c r="BG13" s="31" t="b">
        <f>T13=[1]数字化与研发投入!T12</f>
        <v>1</v>
      </c>
      <c r="BH13" s="31" t="b">
        <f>U13=[1]数字化与研发投入!U12</f>
        <v>1</v>
      </c>
      <c r="BI13" s="31" t="b">
        <f>V13=[1]数字化与研发投入!V12</f>
        <v>1</v>
      </c>
      <c r="BJ13" s="31" t="b">
        <f>W13=[1]数字化与研发投入!W12</f>
        <v>1</v>
      </c>
      <c r="BK13" s="31" t="b">
        <f>X13=[1]数字化与研发投入!X12</f>
        <v>1</v>
      </c>
      <c r="BL13" s="31" t="b">
        <f>Y13=[1]数字化与研发投入!Y12</f>
        <v>1</v>
      </c>
      <c r="BM13" s="31" t="b">
        <f>Z13=[1]数字化与研发投入!Z12</f>
        <v>1</v>
      </c>
      <c r="BN13" s="31" t="b">
        <f>AA13=[1]数字化与研发投入!AA12</f>
        <v>1</v>
      </c>
      <c r="BO13" s="31" t="b">
        <f>AB13=[1]数字化与研发投入!AB12</f>
        <v>1</v>
      </c>
      <c r="BP13" s="31" t="b">
        <f>AC13=[1]数字化与研发投入!AC12</f>
        <v>1</v>
      </c>
      <c r="BQ13" s="31" t="b">
        <f>AD13=[1]数字化与研发投入!AD12</f>
        <v>1</v>
      </c>
      <c r="BR13" s="31" t="b">
        <f>AE13=[1]数字化与研发投入!AE12</f>
        <v>1</v>
      </c>
      <c r="BS13" s="31" t="b">
        <f>AF13=[1]数字化与研发投入!AF12</f>
        <v>1</v>
      </c>
      <c r="BT13" s="31" t="b">
        <f>AG13=[1]数字化与研发投入!AG12</f>
        <v>1</v>
      </c>
      <c r="BU13" s="31" t="b">
        <f>AH13=[1]数字化与研发投入!AH12</f>
        <v>1</v>
      </c>
      <c r="BV13" s="31" t="b">
        <f>AI13=[1]数字化与研发投入!AI12</f>
        <v>1</v>
      </c>
      <c r="BW13" s="31" t="b">
        <f>AJ13=[1]数字化与研发投入!AJ12</f>
        <v>0</v>
      </c>
      <c r="BX13" s="31" t="b">
        <f>AK13=[1]数字化与研发投入!AK12</f>
        <v>1</v>
      </c>
    </row>
    <row r="14" s="31" customFormat="1" ht="105.6" spans="1:1024 1025:16384">
      <c r="A14" s="40"/>
      <c r="B14" s="84"/>
      <c r="C14" s="82"/>
      <c r="D14" s="82"/>
      <c r="E14" s="83"/>
      <c r="F14" s="88"/>
      <c r="G14" s="85"/>
      <c r="H14" s="85"/>
      <c r="I14" s="46" t="s">
        <v>533</v>
      </c>
      <c r="J14" s="47" t="s">
        <v>534</v>
      </c>
      <c r="K14" s="48"/>
      <c r="L14" s="48"/>
      <c r="M14" s="48"/>
      <c r="N14" s="49" t="s">
        <v>36</v>
      </c>
      <c r="O14" s="49" t="s">
        <v>36</v>
      </c>
      <c r="P14" s="49" t="s">
        <v>36</v>
      </c>
      <c r="Q14" s="49" t="s">
        <v>36</v>
      </c>
      <c r="R14" s="48"/>
      <c r="S14" s="48"/>
      <c r="T14" s="49" t="s">
        <v>535</v>
      </c>
      <c r="U14" s="47" t="s">
        <v>536</v>
      </c>
      <c r="V14" s="46" t="s">
        <v>537</v>
      </c>
      <c r="W14" s="46" t="s">
        <v>538</v>
      </c>
      <c r="X14" s="49" t="s">
        <v>527</v>
      </c>
      <c r="Y14" s="49" t="s">
        <v>466</v>
      </c>
      <c r="Z14" s="49"/>
      <c r="AA14" s="49" t="s">
        <v>467</v>
      </c>
      <c r="AB14" s="49" t="s">
        <v>466</v>
      </c>
      <c r="AC14" s="49"/>
      <c r="AD14" s="47" t="s">
        <v>539</v>
      </c>
      <c r="AE14" s="49" t="s">
        <v>503</v>
      </c>
      <c r="AF14" s="49" t="s">
        <v>540</v>
      </c>
      <c r="AG14" s="49"/>
      <c r="AH14" s="49" t="s">
        <v>469</v>
      </c>
      <c r="AI14" s="49" t="s">
        <v>469</v>
      </c>
      <c r="AJ14" s="47" t="s">
        <v>541</v>
      </c>
      <c r="AK14" s="52" t="s">
        <v>471</v>
      </c>
      <c r="AL14" s="53" t="s">
        <v>798</v>
      </c>
      <c r="AM14" s="54"/>
      <c r="AN14" s="31" t="b">
        <f>A14=[1]数字化与研发投入!A13</f>
        <v>1</v>
      </c>
      <c r="AO14" s="31" t="b">
        <f>B14=[1]数字化与研发投入!B13</f>
        <v>1</v>
      </c>
      <c r="AP14" s="31" t="b">
        <f>C14=[1]数字化与研发投入!C13</f>
        <v>1</v>
      </c>
      <c r="AQ14" s="31" t="b">
        <f>D14=[1]数字化与研发投入!D13</f>
        <v>1</v>
      </c>
      <c r="AR14" s="31" t="b">
        <f>E14=[1]数字化与研发投入!E13</f>
        <v>1</v>
      </c>
      <c r="AS14" s="31" t="b">
        <f>F14=[1]数字化与研发投入!F13</f>
        <v>1</v>
      </c>
      <c r="AT14" s="31" t="b">
        <f>G14=[1]数字化与研发投入!G13</f>
        <v>1</v>
      </c>
      <c r="AU14" s="31" t="b">
        <f>H14=[1]数字化与研发投入!H13</f>
        <v>1</v>
      </c>
      <c r="AV14" s="31" t="b">
        <f>I14=[1]数字化与研发投入!I13</f>
        <v>1</v>
      </c>
      <c r="AW14" s="31" t="b">
        <f>J14=[1]数字化与研发投入!J13</f>
        <v>1</v>
      </c>
      <c r="AX14" s="31" t="b">
        <f>K14=[1]数字化与研发投入!K13</f>
        <v>1</v>
      </c>
      <c r="AY14" s="31" t="b">
        <f>L14=[1]数字化与研发投入!L13</f>
        <v>1</v>
      </c>
      <c r="AZ14" s="31" t="b">
        <f>M14=[1]数字化与研发投入!M13</f>
        <v>1</v>
      </c>
      <c r="BA14" s="31" t="b">
        <f>N14=[1]数字化与研发投入!N13</f>
        <v>1</v>
      </c>
      <c r="BB14" s="31" t="b">
        <f>O14=[1]数字化与研发投入!O13</f>
        <v>1</v>
      </c>
      <c r="BC14" s="31" t="b">
        <f>P14=[1]数字化与研发投入!P13</f>
        <v>1</v>
      </c>
      <c r="BD14" s="31" t="b">
        <f>Q14=[1]数字化与研发投入!Q13</f>
        <v>1</v>
      </c>
      <c r="BE14" s="31" t="b">
        <f>R14=[1]数字化与研发投入!R13</f>
        <v>1</v>
      </c>
      <c r="BF14" s="31" t="b">
        <f>S14=[1]数字化与研发投入!S13</f>
        <v>1</v>
      </c>
      <c r="BG14" s="31" t="b">
        <f>T14=[1]数字化与研发投入!T13</f>
        <v>1</v>
      </c>
      <c r="BH14" s="31" t="b">
        <f>U14=[1]数字化与研发投入!U13</f>
        <v>1</v>
      </c>
      <c r="BI14" s="31" t="b">
        <f>V14=[1]数字化与研发投入!V13</f>
        <v>1</v>
      </c>
      <c r="BJ14" s="31" t="b">
        <f>W14=[1]数字化与研发投入!W13</f>
        <v>1</v>
      </c>
      <c r="BK14" s="31" t="b">
        <f>X14=[1]数字化与研发投入!X13</f>
        <v>1</v>
      </c>
      <c r="BL14" s="31" t="b">
        <f>Y14=[1]数字化与研发投入!Y13</f>
        <v>1</v>
      </c>
      <c r="BM14" s="31" t="b">
        <f>Z14=[1]数字化与研发投入!Z13</f>
        <v>1</v>
      </c>
      <c r="BN14" s="31" t="b">
        <f>AA14=[1]数字化与研发投入!AA13</f>
        <v>1</v>
      </c>
      <c r="BO14" s="31" t="b">
        <f>AB14=[1]数字化与研发投入!AB13</f>
        <v>1</v>
      </c>
      <c r="BP14" s="31" t="b">
        <f>AC14=[1]数字化与研发投入!AC13</f>
        <v>1</v>
      </c>
      <c r="BQ14" s="31" t="b">
        <f>AD14=[1]数字化与研发投入!AD13</f>
        <v>1</v>
      </c>
      <c r="BR14" s="31" t="b">
        <f>AE14=[1]数字化与研发投入!AE13</f>
        <v>1</v>
      </c>
      <c r="BS14" s="31" t="b">
        <f>AF14=[1]数字化与研发投入!AF13</f>
        <v>1</v>
      </c>
      <c r="BT14" s="31" t="b">
        <f>AG14=[1]数字化与研发投入!AG13</f>
        <v>1</v>
      </c>
      <c r="BU14" s="31" t="b">
        <f>AH14=[1]数字化与研发投入!AH13</f>
        <v>1</v>
      </c>
      <c r="BV14" s="31" t="b">
        <f>AI14=[1]数字化与研发投入!AI13</f>
        <v>1</v>
      </c>
      <c r="BW14" s="31" t="b">
        <f>AJ14=[1]数字化与研发投入!AJ13</f>
        <v>1</v>
      </c>
      <c r="BX14" s="31" t="b">
        <f>AK14=[1]数字化与研发投入!AK13</f>
        <v>1</v>
      </c>
    </row>
    <row r="15" s="31" customFormat="1" ht="177" customHeight="1" spans="1:1024 1025:16384">
      <c r="A15" s="40"/>
      <c r="B15" s="75" t="s">
        <v>516</v>
      </c>
      <c r="C15" s="42" t="s">
        <v>454</v>
      </c>
      <c r="D15" s="42" t="s">
        <v>543</v>
      </c>
      <c r="E15" s="76" t="s">
        <v>544</v>
      </c>
      <c r="F15" s="89" t="s">
        <v>545</v>
      </c>
      <c r="G15" s="47" t="s">
        <v>546</v>
      </c>
      <c r="H15" s="46" t="s">
        <v>547</v>
      </c>
      <c r="I15" s="46" t="s">
        <v>548</v>
      </c>
      <c r="J15" s="47" t="s">
        <v>549</v>
      </c>
      <c r="K15" s="77"/>
      <c r="L15" s="48"/>
      <c r="M15" s="49" t="s">
        <v>36</v>
      </c>
      <c r="N15" s="48"/>
      <c r="O15" s="49" t="s">
        <v>36</v>
      </c>
      <c r="P15" s="48"/>
      <c r="Q15" s="48"/>
      <c r="R15" s="48"/>
      <c r="S15" s="48"/>
      <c r="T15" s="49" t="s">
        <v>475</v>
      </c>
      <c r="U15" s="47"/>
      <c r="V15" s="46" t="s">
        <v>550</v>
      </c>
      <c r="W15" s="46" t="s">
        <v>526</v>
      </c>
      <c r="X15" s="49" t="s">
        <v>503</v>
      </c>
      <c r="Y15" s="49" t="s">
        <v>466</v>
      </c>
      <c r="Z15" s="49"/>
      <c r="AA15" s="49" t="s">
        <v>467</v>
      </c>
      <c r="AB15" s="49" t="s">
        <v>466</v>
      </c>
      <c r="AC15" s="49"/>
      <c r="AD15" s="47"/>
      <c r="AE15" s="49"/>
      <c r="AF15" s="49"/>
      <c r="AG15" s="49"/>
      <c r="AH15" s="49" t="s">
        <v>469</v>
      </c>
      <c r="AI15" s="49" t="s">
        <v>469</v>
      </c>
      <c r="AJ15" s="47" t="s">
        <v>551</v>
      </c>
      <c r="AK15" s="52" t="s">
        <v>471</v>
      </c>
      <c r="AL15" s="53" t="s">
        <v>798</v>
      </c>
      <c r="AM15" s="54"/>
      <c r="AN15" s="31" t="b">
        <f>A15=[1]数字化与研发投入!A14</f>
        <v>1</v>
      </c>
      <c r="AO15" s="31" t="b">
        <f>B15=[1]数字化与研发投入!B14</f>
        <v>1</v>
      </c>
      <c r="AP15" s="31" t="b">
        <f>C15=[1]数字化与研发投入!C14</f>
        <v>1</v>
      </c>
      <c r="AQ15" s="31" t="b">
        <f>D15=[1]数字化与研发投入!D14</f>
        <v>1</v>
      </c>
      <c r="AR15" s="31" t="b">
        <f>E15=[1]数字化与研发投入!E14</f>
        <v>1</v>
      </c>
      <c r="AS15" s="31" t="b">
        <f>F15=[1]数字化与研发投入!F14</f>
        <v>1</v>
      </c>
      <c r="AT15" s="31" t="b">
        <f>G15=[1]数字化与研发投入!G14</f>
        <v>1</v>
      </c>
      <c r="AU15" s="31" t="b">
        <f>H15=[1]数字化与研发投入!H14</f>
        <v>1</v>
      </c>
      <c r="AV15" s="31" t="b">
        <f>I15=[1]数字化与研发投入!I14</f>
        <v>1</v>
      </c>
      <c r="AW15" s="31" t="b">
        <f>J15=[1]数字化与研发投入!J14</f>
        <v>1</v>
      </c>
      <c r="AX15" s="31" t="b">
        <f>K15=[1]数字化与研发投入!K14</f>
        <v>1</v>
      </c>
      <c r="AY15" s="31" t="b">
        <f>L15=[1]数字化与研发投入!L14</f>
        <v>1</v>
      </c>
      <c r="AZ15" s="31" t="b">
        <f>M15=[1]数字化与研发投入!M14</f>
        <v>1</v>
      </c>
      <c r="BA15" s="31" t="b">
        <f>N15=[1]数字化与研发投入!N14</f>
        <v>1</v>
      </c>
      <c r="BB15" s="31" t="b">
        <f>O15=[1]数字化与研发投入!O14</f>
        <v>1</v>
      </c>
      <c r="BC15" s="31" t="b">
        <f>P15=[1]数字化与研发投入!P14</f>
        <v>1</v>
      </c>
      <c r="BD15" s="31" t="b">
        <f>Q15=[1]数字化与研发投入!Q14</f>
        <v>1</v>
      </c>
      <c r="BE15" s="31" t="b">
        <f>R15=[1]数字化与研发投入!R14</f>
        <v>1</v>
      </c>
      <c r="BF15" s="31" t="b">
        <f>S15=[1]数字化与研发投入!S14</f>
        <v>1</v>
      </c>
      <c r="BG15" s="31" t="b">
        <f>T15=[1]数字化与研发投入!T14</f>
        <v>1</v>
      </c>
      <c r="BH15" s="31" t="b">
        <f>U15=[1]数字化与研发投入!U14</f>
        <v>1</v>
      </c>
      <c r="BI15" s="31" t="b">
        <f>V15=[1]数字化与研发投入!V14</f>
        <v>1</v>
      </c>
      <c r="BJ15" s="31" t="b">
        <f>W15=[1]数字化与研发投入!W14</f>
        <v>1</v>
      </c>
      <c r="BK15" s="31" t="b">
        <f>X15=[1]数字化与研发投入!X14</f>
        <v>1</v>
      </c>
      <c r="BL15" s="31" t="b">
        <f>Y15=[1]数字化与研发投入!Y14</f>
        <v>1</v>
      </c>
      <c r="BM15" s="31" t="b">
        <f>Z15=[1]数字化与研发投入!Z14</f>
        <v>1</v>
      </c>
      <c r="BN15" s="31" t="b">
        <f>AA15=[1]数字化与研发投入!AA14</f>
        <v>1</v>
      </c>
      <c r="BO15" s="31" t="b">
        <f>AB15=[1]数字化与研发投入!AB14</f>
        <v>1</v>
      </c>
      <c r="BP15" s="31" t="b">
        <f>AC15=[1]数字化与研发投入!AC14</f>
        <v>1</v>
      </c>
      <c r="BQ15" s="31" t="b">
        <f>AD15=[1]数字化与研发投入!AD14</f>
        <v>1</v>
      </c>
      <c r="BR15" s="31" t="b">
        <f>AE15=[1]数字化与研发投入!AE14</f>
        <v>1</v>
      </c>
      <c r="BS15" s="31" t="b">
        <f>AF15=[1]数字化与研发投入!AF14</f>
        <v>1</v>
      </c>
      <c r="BT15" s="31" t="b">
        <f>AG15=[1]数字化与研发投入!AG14</f>
        <v>1</v>
      </c>
      <c r="BU15" s="31" t="b">
        <f>AH15=[1]数字化与研发投入!AH14</f>
        <v>1</v>
      </c>
      <c r="BV15" s="31" t="b">
        <f>AI15=[1]数字化与研发投入!AI14</f>
        <v>1</v>
      </c>
      <c r="BW15" s="31" t="b">
        <f>AJ15=[1]数字化与研发投入!AJ14</f>
        <v>1</v>
      </c>
      <c r="BX15" s="31" t="b">
        <f>AK15=[1]数字化与研发投入!AK14</f>
        <v>1</v>
      </c>
    </row>
    <row r="16" s="31" customFormat="1" ht="118.8" spans="1:1024 1025:16384">
      <c r="A16" s="40"/>
      <c r="B16" s="80"/>
      <c r="C16" s="55"/>
      <c r="D16" s="55"/>
      <c r="E16" s="81"/>
      <c r="F16" s="80"/>
      <c r="G16" s="74" t="s">
        <v>546</v>
      </c>
      <c r="H16" s="76" t="s">
        <v>547</v>
      </c>
      <c r="I16" s="46" t="s">
        <v>552</v>
      </c>
      <c r="J16" s="47" t="s">
        <v>553</v>
      </c>
      <c r="K16" s="77"/>
      <c r="L16" s="48"/>
      <c r="M16" s="49" t="s">
        <v>36</v>
      </c>
      <c r="N16" s="48"/>
      <c r="O16" s="49" t="s">
        <v>36</v>
      </c>
      <c r="P16" s="48"/>
      <c r="Q16" s="48"/>
      <c r="R16" s="48"/>
      <c r="S16" s="48"/>
      <c r="T16" s="49" t="s">
        <v>475</v>
      </c>
      <c r="U16" s="47"/>
      <c r="V16" s="46" t="s">
        <v>550</v>
      </c>
      <c r="W16" s="46" t="s">
        <v>526</v>
      </c>
      <c r="X16" s="49" t="s">
        <v>503</v>
      </c>
      <c r="Y16" s="49" t="s">
        <v>466</v>
      </c>
      <c r="Z16" s="49"/>
      <c r="AA16" s="49" t="s">
        <v>467</v>
      </c>
      <c r="AB16" s="49" t="s">
        <v>466</v>
      </c>
      <c r="AC16" s="49"/>
      <c r="AD16" s="47"/>
      <c r="AE16" s="49"/>
      <c r="AF16" s="49"/>
      <c r="AG16" s="49"/>
      <c r="AH16" s="49" t="s">
        <v>469</v>
      </c>
      <c r="AI16" s="49" t="s">
        <v>469</v>
      </c>
      <c r="AJ16" s="47" t="s">
        <v>551</v>
      </c>
      <c r="AK16" s="52" t="s">
        <v>471</v>
      </c>
      <c r="AL16" s="53" t="s">
        <v>798</v>
      </c>
      <c r="AM16" s="54"/>
      <c r="AN16" s="31" t="b">
        <f>A16=[1]数字化与研发投入!A15</f>
        <v>1</v>
      </c>
      <c r="AO16" s="31" t="b">
        <f>B16=[1]数字化与研发投入!B15</f>
        <v>1</v>
      </c>
      <c r="AP16" s="31" t="b">
        <f>C16=[1]数字化与研发投入!C15</f>
        <v>1</v>
      </c>
      <c r="AQ16" s="31" t="b">
        <f>D16=[1]数字化与研发投入!D15</f>
        <v>1</v>
      </c>
      <c r="AR16" s="31" t="b">
        <f>E16=[1]数字化与研发投入!E15</f>
        <v>1</v>
      </c>
      <c r="AS16" s="31" t="b">
        <f>F16=[1]数字化与研发投入!F15</f>
        <v>1</v>
      </c>
      <c r="AT16" s="31" t="b">
        <f>G16=[1]数字化与研发投入!G15</f>
        <v>1</v>
      </c>
      <c r="AU16" s="31" t="b">
        <f>H16=[1]数字化与研发投入!H15</f>
        <v>1</v>
      </c>
      <c r="AV16" s="31" t="b">
        <f>I16=[1]数字化与研发投入!I15</f>
        <v>1</v>
      </c>
      <c r="AW16" s="31" t="b">
        <f>J16=[1]数字化与研发投入!J15</f>
        <v>1</v>
      </c>
      <c r="AX16" s="31" t="b">
        <f>K16=[1]数字化与研发投入!K15</f>
        <v>1</v>
      </c>
      <c r="AY16" s="31" t="b">
        <f>L16=[1]数字化与研发投入!L15</f>
        <v>1</v>
      </c>
      <c r="AZ16" s="31" t="b">
        <f>M16=[1]数字化与研发投入!M15</f>
        <v>1</v>
      </c>
      <c r="BA16" s="31" t="b">
        <f>N16=[1]数字化与研发投入!N15</f>
        <v>1</v>
      </c>
      <c r="BB16" s="31" t="b">
        <f>O16=[1]数字化与研发投入!O15</f>
        <v>1</v>
      </c>
      <c r="BC16" s="31" t="b">
        <f>P16=[1]数字化与研发投入!P15</f>
        <v>1</v>
      </c>
      <c r="BD16" s="31" t="b">
        <f>Q16=[1]数字化与研发投入!Q15</f>
        <v>1</v>
      </c>
      <c r="BE16" s="31" t="b">
        <f>R16=[1]数字化与研发投入!R15</f>
        <v>1</v>
      </c>
      <c r="BF16" s="31" t="b">
        <f>S16=[1]数字化与研发投入!S15</f>
        <v>1</v>
      </c>
      <c r="BG16" s="31" t="b">
        <f>T16=[1]数字化与研发投入!T15</f>
        <v>1</v>
      </c>
      <c r="BH16" s="31" t="b">
        <f>U16=[1]数字化与研发投入!U15</f>
        <v>1</v>
      </c>
      <c r="BI16" s="31" t="b">
        <f>V16=[1]数字化与研发投入!V15</f>
        <v>1</v>
      </c>
      <c r="BJ16" s="31" t="b">
        <f>W16=[1]数字化与研发投入!W15</f>
        <v>1</v>
      </c>
      <c r="BK16" s="31" t="b">
        <f>X16=[1]数字化与研发投入!X15</f>
        <v>1</v>
      </c>
      <c r="BL16" s="31" t="b">
        <f>Y16=[1]数字化与研发投入!Y15</f>
        <v>1</v>
      </c>
      <c r="BM16" s="31" t="b">
        <f>Z16=[1]数字化与研发投入!Z15</f>
        <v>1</v>
      </c>
      <c r="BN16" s="31" t="b">
        <f>AA16=[1]数字化与研发投入!AA15</f>
        <v>1</v>
      </c>
      <c r="BO16" s="31" t="b">
        <f>AB16=[1]数字化与研发投入!AB15</f>
        <v>1</v>
      </c>
      <c r="BP16" s="31" t="b">
        <f>AC16=[1]数字化与研发投入!AC15</f>
        <v>1</v>
      </c>
      <c r="BQ16" s="31" t="b">
        <f>AD16=[1]数字化与研发投入!AD15</f>
        <v>1</v>
      </c>
      <c r="BR16" s="31" t="b">
        <f>AE16=[1]数字化与研发投入!AE15</f>
        <v>1</v>
      </c>
      <c r="BS16" s="31" t="b">
        <f>AF16=[1]数字化与研发投入!AF15</f>
        <v>1</v>
      </c>
      <c r="BT16" s="31" t="b">
        <f>AG16=[1]数字化与研发投入!AG15</f>
        <v>1</v>
      </c>
      <c r="BU16" s="31" t="b">
        <f>AH16=[1]数字化与研发投入!AH15</f>
        <v>1</v>
      </c>
      <c r="BV16" s="31" t="b">
        <f>AI16=[1]数字化与研发投入!AI15</f>
        <v>1</v>
      </c>
      <c r="BW16" s="31" t="b">
        <f>AJ16=[1]数字化与研发投入!AJ15</f>
        <v>1</v>
      </c>
      <c r="BX16" s="31" t="b">
        <f>AK16=[1]数字化与研发投入!AK15</f>
        <v>1</v>
      </c>
    </row>
    <row r="17" s="31" customFormat="1" ht="132" spans="1:76">
      <c r="A17" s="40"/>
      <c r="B17" s="80"/>
      <c r="C17" s="55"/>
      <c r="D17" s="55"/>
      <c r="E17" s="81"/>
      <c r="F17" s="80"/>
      <c r="G17" s="79"/>
      <c r="H17" s="81"/>
      <c r="I17" s="46" t="s">
        <v>554</v>
      </c>
      <c r="J17" s="90" t="s">
        <v>555</v>
      </c>
      <c r="K17" s="48"/>
      <c r="L17" s="48"/>
      <c r="M17" s="49" t="s">
        <v>36</v>
      </c>
      <c r="N17" s="48"/>
      <c r="O17" s="49" t="s">
        <v>36</v>
      </c>
      <c r="P17" s="48"/>
      <c r="Q17" s="48"/>
      <c r="R17" s="48"/>
      <c r="S17" s="49" t="s">
        <v>36</v>
      </c>
      <c r="T17" s="49" t="s">
        <v>556</v>
      </c>
      <c r="U17" s="47" t="s">
        <v>557</v>
      </c>
      <c r="V17" s="46" t="s">
        <v>550</v>
      </c>
      <c r="W17" s="46" t="s">
        <v>618</v>
      </c>
      <c r="X17" s="49" t="s">
        <v>503</v>
      </c>
      <c r="Y17" s="49" t="s">
        <v>466</v>
      </c>
      <c r="Z17" s="49"/>
      <c r="AA17" s="49" t="s">
        <v>467</v>
      </c>
      <c r="AB17" s="49" t="s">
        <v>466</v>
      </c>
      <c r="AC17" s="49"/>
      <c r="AD17" s="47" t="s">
        <v>559</v>
      </c>
      <c r="AE17" s="49" t="s">
        <v>527</v>
      </c>
      <c r="AF17" s="49" t="s">
        <v>466</v>
      </c>
      <c r="AG17" s="49"/>
      <c r="AH17" s="49" t="s">
        <v>469</v>
      </c>
      <c r="AI17" s="49" t="s">
        <v>469</v>
      </c>
      <c r="AJ17" s="47" t="s">
        <v>551</v>
      </c>
      <c r="AK17" s="52" t="s">
        <v>471</v>
      </c>
      <c r="AL17" s="53" t="s">
        <v>799</v>
      </c>
      <c r="AM17" s="54" t="s">
        <v>800</v>
      </c>
      <c r="AN17" s="31" t="b">
        <f>A17=[1]数字化与研发投入!A16</f>
        <v>1</v>
      </c>
      <c r="AO17" s="31" t="b">
        <f>B17=[1]数字化与研发投入!B16</f>
        <v>1</v>
      </c>
      <c r="AP17" s="31" t="b">
        <f>C17=[1]数字化与研发投入!C16</f>
        <v>1</v>
      </c>
      <c r="AQ17" s="31" t="b">
        <f>D17=[1]数字化与研发投入!D16</f>
        <v>1</v>
      </c>
      <c r="AR17" s="31" t="b">
        <f>E17=[1]数字化与研发投入!E16</f>
        <v>1</v>
      </c>
      <c r="AS17" s="31" t="b">
        <f>F17=[1]数字化与研发投入!F16</f>
        <v>1</v>
      </c>
      <c r="AT17" s="31" t="b">
        <f>G17=[1]数字化与研发投入!G16</f>
        <v>1</v>
      </c>
      <c r="AU17" s="31" t="b">
        <f>H17=[1]数字化与研发投入!H16</f>
        <v>1</v>
      </c>
      <c r="AV17" s="31" t="b">
        <f>I17=[1]数字化与研发投入!I16</f>
        <v>1</v>
      </c>
      <c r="AW17" s="31" t="b">
        <f>J17=[1]数字化与研发投入!J16</f>
        <v>0</v>
      </c>
      <c r="AX17" s="31" t="b">
        <f>K17=[1]数字化与研发投入!K16</f>
        <v>1</v>
      </c>
      <c r="AY17" s="31" t="b">
        <f>L17=[1]数字化与研发投入!L16</f>
        <v>1</v>
      </c>
      <c r="AZ17" s="31" t="b">
        <f>M17=[1]数字化与研发投入!M16</f>
        <v>1</v>
      </c>
      <c r="BA17" s="31" t="b">
        <f>N17=[1]数字化与研发投入!N16</f>
        <v>1</v>
      </c>
      <c r="BB17" s="31" t="b">
        <f>O17=[1]数字化与研发投入!O16</f>
        <v>1</v>
      </c>
      <c r="BC17" s="31" t="b">
        <f>P17=[1]数字化与研发投入!P16</f>
        <v>1</v>
      </c>
      <c r="BD17" s="31" t="b">
        <f>Q17=[1]数字化与研发投入!Q16</f>
        <v>1</v>
      </c>
      <c r="BE17" s="31" t="b">
        <f>R17=[1]数字化与研发投入!R16</f>
        <v>1</v>
      </c>
      <c r="BF17" s="31" t="b">
        <f>S17=[1]数字化与研发投入!S16</f>
        <v>1</v>
      </c>
      <c r="BG17" s="31" t="b">
        <f>T17=[1]数字化与研发投入!T16</f>
        <v>1</v>
      </c>
      <c r="BH17" s="31" t="b">
        <f>U17=[1]数字化与研发投入!U16</f>
        <v>1</v>
      </c>
      <c r="BI17" s="31" t="b">
        <f>V17=[1]数字化与研发投入!V16</f>
        <v>1</v>
      </c>
      <c r="BJ17" s="31" t="b">
        <f>W17=[1]数字化与研发投入!W16</f>
        <v>1</v>
      </c>
      <c r="BK17" s="31" t="b">
        <f>X17=[1]数字化与研发投入!X16</f>
        <v>1</v>
      </c>
      <c r="BL17" s="31" t="b">
        <f>Y17=[1]数字化与研发投入!Y16</f>
        <v>1</v>
      </c>
      <c r="BM17" s="31" t="b">
        <f>Z17=[1]数字化与研发投入!Z16</f>
        <v>1</v>
      </c>
      <c r="BN17" s="31" t="b">
        <f>AA17=[1]数字化与研发投入!AA16</f>
        <v>1</v>
      </c>
      <c r="BO17" s="31" t="b">
        <f>AB17=[1]数字化与研发投入!AB16</f>
        <v>1</v>
      </c>
      <c r="BP17" s="31" t="b">
        <f>AC17=[1]数字化与研发投入!AC16</f>
        <v>1</v>
      </c>
      <c r="BQ17" s="31" t="b">
        <f>AD17=[1]数字化与研发投入!AD16</f>
        <v>1</v>
      </c>
      <c r="BR17" s="31" t="b">
        <f>AE17=[1]数字化与研发投入!AE16</f>
        <v>1</v>
      </c>
      <c r="BS17" s="31" t="b">
        <f>AF17=[1]数字化与研发投入!AF16</f>
        <v>1</v>
      </c>
      <c r="BT17" s="31" t="b">
        <f>AG17=[1]数字化与研发投入!AG16</f>
        <v>1</v>
      </c>
      <c r="BU17" s="31" t="b">
        <f>AH17=[1]数字化与研发投入!AH16</f>
        <v>1</v>
      </c>
      <c r="BV17" s="31" t="b">
        <f>AI17=[1]数字化与研发投入!AI16</f>
        <v>1</v>
      </c>
      <c r="BW17" s="31" t="b">
        <f>AJ17=[1]数字化与研发投入!AJ16</f>
        <v>1</v>
      </c>
      <c r="BX17" s="31" t="b">
        <f>AK17=[1]数字化与研发投入!AK16</f>
        <v>1</v>
      </c>
    </row>
    <row r="18" s="31" customFormat="1" ht="132" spans="1:76">
      <c r="A18" s="40"/>
      <c r="B18" s="80"/>
      <c r="C18" s="55"/>
      <c r="D18" s="55"/>
      <c r="E18" s="81"/>
      <c r="F18" s="80"/>
      <c r="G18" s="79"/>
      <c r="H18" s="81"/>
      <c r="I18" s="46" t="s">
        <v>561</v>
      </c>
      <c r="J18" s="50" t="s">
        <v>562</v>
      </c>
      <c r="K18" s="48"/>
      <c r="L18" s="48"/>
      <c r="M18" s="49" t="s">
        <v>36</v>
      </c>
      <c r="N18" s="48"/>
      <c r="O18" s="49" t="s">
        <v>36</v>
      </c>
      <c r="P18" s="48"/>
      <c r="Q18" s="48"/>
      <c r="R18" s="48"/>
      <c r="S18" s="49" t="s">
        <v>36</v>
      </c>
      <c r="T18" s="49" t="s">
        <v>475</v>
      </c>
      <c r="U18" s="50"/>
      <c r="V18" s="46" t="s">
        <v>550</v>
      </c>
      <c r="W18" s="46" t="s">
        <v>618</v>
      </c>
      <c r="X18" s="49" t="s">
        <v>503</v>
      </c>
      <c r="Y18" s="49" t="s">
        <v>466</v>
      </c>
      <c r="Z18" s="49"/>
      <c r="AA18" s="49" t="s">
        <v>467</v>
      </c>
      <c r="AB18" s="49" t="s">
        <v>466</v>
      </c>
      <c r="AC18" s="49"/>
      <c r="AD18" s="47" t="s">
        <v>559</v>
      </c>
      <c r="AE18" s="49" t="s">
        <v>527</v>
      </c>
      <c r="AF18" s="49" t="s">
        <v>466</v>
      </c>
      <c r="AG18" s="49"/>
      <c r="AH18" s="49" t="s">
        <v>469</v>
      </c>
      <c r="AI18" s="49" t="s">
        <v>469</v>
      </c>
      <c r="AJ18" s="47" t="s">
        <v>551</v>
      </c>
      <c r="AK18" s="52" t="s">
        <v>471</v>
      </c>
      <c r="AL18" s="53" t="s">
        <v>799</v>
      </c>
      <c r="AM18" s="54" t="s">
        <v>800</v>
      </c>
      <c r="AN18" s="31" t="b">
        <f>A18=[1]数字化与研发投入!A17</f>
        <v>1</v>
      </c>
      <c r="AO18" s="31" t="b">
        <f>B18=[1]数字化与研发投入!B17</f>
        <v>1</v>
      </c>
      <c r="AP18" s="31" t="b">
        <f>C18=[1]数字化与研发投入!C17</f>
        <v>1</v>
      </c>
      <c r="AQ18" s="31" t="b">
        <f>D18=[1]数字化与研发投入!D17</f>
        <v>1</v>
      </c>
      <c r="AR18" s="31" t="b">
        <f>E18=[1]数字化与研发投入!E17</f>
        <v>1</v>
      </c>
      <c r="AS18" s="31" t="b">
        <f>F18=[1]数字化与研发投入!F17</f>
        <v>1</v>
      </c>
      <c r="AT18" s="31" t="b">
        <f>G18=[1]数字化与研发投入!G17</f>
        <v>1</v>
      </c>
      <c r="AU18" s="31" t="b">
        <f>H18=[1]数字化与研发投入!H17</f>
        <v>1</v>
      </c>
      <c r="AV18" s="31" t="b">
        <f>I18=[1]数字化与研发投入!I17</f>
        <v>1</v>
      </c>
      <c r="AW18" s="31" t="b">
        <f>J18=[1]数字化与研发投入!J17</f>
        <v>0</v>
      </c>
      <c r="AX18" s="31" t="b">
        <f>K18=[1]数字化与研发投入!K17</f>
        <v>1</v>
      </c>
      <c r="AY18" s="31" t="b">
        <f>L18=[1]数字化与研发投入!L17</f>
        <v>1</v>
      </c>
      <c r="AZ18" s="31" t="b">
        <f>M18=[1]数字化与研发投入!M17</f>
        <v>1</v>
      </c>
      <c r="BA18" s="31" t="b">
        <f>N18=[1]数字化与研发投入!N17</f>
        <v>1</v>
      </c>
      <c r="BB18" s="31" t="b">
        <f>O18=[1]数字化与研发投入!O17</f>
        <v>1</v>
      </c>
      <c r="BC18" s="31" t="b">
        <f>P18=[1]数字化与研发投入!P17</f>
        <v>1</v>
      </c>
      <c r="BD18" s="31" t="b">
        <f>Q18=[1]数字化与研发投入!Q17</f>
        <v>1</v>
      </c>
      <c r="BE18" s="31" t="b">
        <f>R18=[1]数字化与研发投入!R17</f>
        <v>1</v>
      </c>
      <c r="BF18" s="31" t="b">
        <f>S18=[1]数字化与研发投入!S17</f>
        <v>1</v>
      </c>
      <c r="BG18" s="31" t="b">
        <f>T18=[1]数字化与研发投入!T17</f>
        <v>1</v>
      </c>
      <c r="BH18" s="31" t="b">
        <f>U18=[1]数字化与研发投入!U17</f>
        <v>1</v>
      </c>
      <c r="BI18" s="31" t="b">
        <f>V18=[1]数字化与研发投入!V17</f>
        <v>1</v>
      </c>
      <c r="BJ18" s="31" t="b">
        <f>W18=[1]数字化与研发投入!W17</f>
        <v>1</v>
      </c>
      <c r="BK18" s="31" t="b">
        <f>X18=[1]数字化与研发投入!X17</f>
        <v>1</v>
      </c>
      <c r="BL18" s="31" t="b">
        <f>Y18=[1]数字化与研发投入!Y17</f>
        <v>1</v>
      </c>
      <c r="BM18" s="31" t="b">
        <f>Z18=[1]数字化与研发投入!Z17</f>
        <v>1</v>
      </c>
      <c r="BN18" s="31" t="b">
        <f>AA18=[1]数字化与研发投入!AA17</f>
        <v>1</v>
      </c>
      <c r="BO18" s="31" t="b">
        <f>AB18=[1]数字化与研发投入!AB17</f>
        <v>1</v>
      </c>
      <c r="BP18" s="31" t="b">
        <f>AC18=[1]数字化与研发投入!AC17</f>
        <v>1</v>
      </c>
      <c r="BQ18" s="31" t="b">
        <f>AD18=[1]数字化与研发投入!AD17</f>
        <v>1</v>
      </c>
      <c r="BR18" s="31" t="b">
        <f>AE18=[1]数字化与研发投入!AE17</f>
        <v>1</v>
      </c>
      <c r="BS18" s="31" t="b">
        <f>AF18=[1]数字化与研发投入!AF17</f>
        <v>1</v>
      </c>
      <c r="BT18" s="31" t="b">
        <f>AG18=[1]数字化与研发投入!AG17</f>
        <v>1</v>
      </c>
      <c r="BU18" s="31" t="b">
        <f>AH18=[1]数字化与研发投入!AH17</f>
        <v>1</v>
      </c>
      <c r="BV18" s="31" t="b">
        <f>AI18=[1]数字化与研发投入!AI17</f>
        <v>1</v>
      </c>
      <c r="BW18" s="31" t="b">
        <f>AJ18=[1]数字化与研发投入!AJ17</f>
        <v>1</v>
      </c>
      <c r="BX18" s="31" t="b">
        <f>AK18=[1]数字化与研发投入!AK17</f>
        <v>1</v>
      </c>
    </row>
    <row r="19" s="31" customFormat="1" ht="132" spans="1:76">
      <c r="A19" s="40"/>
      <c r="B19" s="84"/>
      <c r="C19" s="58"/>
      <c r="D19" s="58"/>
      <c r="E19" s="85"/>
      <c r="F19" s="84"/>
      <c r="G19" s="83"/>
      <c r="H19" s="85"/>
      <c r="I19" s="46" t="s">
        <v>563</v>
      </c>
      <c r="J19" s="47" t="s">
        <v>564</v>
      </c>
      <c r="K19" s="48"/>
      <c r="L19" s="48"/>
      <c r="M19" s="49" t="s">
        <v>36</v>
      </c>
      <c r="N19" s="48"/>
      <c r="O19" s="49" t="s">
        <v>36</v>
      </c>
      <c r="P19" s="49" t="s">
        <v>36</v>
      </c>
      <c r="Q19" s="49" t="s">
        <v>36</v>
      </c>
      <c r="R19" s="48"/>
      <c r="S19" s="49" t="s">
        <v>36</v>
      </c>
      <c r="T19" s="49" t="s">
        <v>556</v>
      </c>
      <c r="U19" s="47" t="s">
        <v>536</v>
      </c>
      <c r="V19" s="46" t="s">
        <v>550</v>
      </c>
      <c r="W19" s="46" t="s">
        <v>565</v>
      </c>
      <c r="X19" s="49" t="s">
        <v>503</v>
      </c>
      <c r="Y19" s="49" t="s">
        <v>466</v>
      </c>
      <c r="Z19" s="49"/>
      <c r="AA19" s="49" t="s">
        <v>467</v>
      </c>
      <c r="AB19" s="49" t="s">
        <v>466</v>
      </c>
      <c r="AC19" s="49"/>
      <c r="AD19" s="47" t="s">
        <v>559</v>
      </c>
      <c r="AE19" s="49" t="s">
        <v>527</v>
      </c>
      <c r="AF19" s="49" t="s">
        <v>466</v>
      </c>
      <c r="AG19" s="49"/>
      <c r="AH19" s="49" t="s">
        <v>469</v>
      </c>
      <c r="AI19" s="49" t="s">
        <v>469</v>
      </c>
      <c r="AJ19" s="47" t="s">
        <v>551</v>
      </c>
      <c r="AK19" s="52" t="s">
        <v>471</v>
      </c>
      <c r="AL19" s="53" t="s">
        <v>798</v>
      </c>
      <c r="AM19" s="54"/>
      <c r="AN19" s="31" t="b">
        <f>A19=[1]数字化与研发投入!A18</f>
        <v>1</v>
      </c>
      <c r="AO19" s="31" t="b">
        <f>B19=[1]数字化与研发投入!B18</f>
        <v>1</v>
      </c>
      <c r="AP19" s="31" t="b">
        <f>C19=[1]数字化与研发投入!C18</f>
        <v>1</v>
      </c>
      <c r="AQ19" s="31" t="b">
        <f>D19=[1]数字化与研发投入!D18</f>
        <v>1</v>
      </c>
      <c r="AR19" s="31" t="b">
        <f>E19=[1]数字化与研发投入!E18</f>
        <v>1</v>
      </c>
      <c r="AS19" s="31" t="b">
        <f>F19=[1]数字化与研发投入!F18</f>
        <v>1</v>
      </c>
      <c r="AT19" s="31" t="b">
        <f>G19=[1]数字化与研发投入!G18</f>
        <v>1</v>
      </c>
      <c r="AU19" s="31" t="b">
        <f>H19=[1]数字化与研发投入!H18</f>
        <v>1</v>
      </c>
      <c r="AV19" s="31" t="b">
        <f>I19=[1]数字化与研发投入!I18</f>
        <v>1</v>
      </c>
      <c r="AW19" s="31" t="b">
        <f>J19=[1]数字化与研发投入!J18</f>
        <v>1</v>
      </c>
      <c r="AX19" s="31" t="b">
        <f>K19=[1]数字化与研发投入!K18</f>
        <v>1</v>
      </c>
      <c r="AY19" s="31" t="b">
        <f>L19=[1]数字化与研发投入!L18</f>
        <v>1</v>
      </c>
      <c r="AZ19" s="31" t="b">
        <f>M19=[1]数字化与研发投入!M18</f>
        <v>1</v>
      </c>
      <c r="BA19" s="31" t="b">
        <f>N19=[1]数字化与研发投入!N18</f>
        <v>1</v>
      </c>
      <c r="BB19" s="31" t="b">
        <f>O19=[1]数字化与研发投入!O18</f>
        <v>1</v>
      </c>
      <c r="BC19" s="31" t="b">
        <f>P19=[1]数字化与研发投入!P18</f>
        <v>1</v>
      </c>
      <c r="BD19" s="31" t="b">
        <f>Q19=[1]数字化与研发投入!Q18</f>
        <v>1</v>
      </c>
      <c r="BE19" s="31" t="b">
        <f>R19=[1]数字化与研发投入!R18</f>
        <v>1</v>
      </c>
      <c r="BF19" s="31" t="b">
        <f>S19=[1]数字化与研发投入!S18</f>
        <v>1</v>
      </c>
      <c r="BG19" s="31" t="b">
        <f>T19=[1]数字化与研发投入!T18</f>
        <v>1</v>
      </c>
      <c r="BH19" s="31" t="b">
        <f>U19=[1]数字化与研发投入!U18</f>
        <v>1</v>
      </c>
      <c r="BI19" s="31" t="b">
        <f>V19=[1]数字化与研发投入!V18</f>
        <v>1</v>
      </c>
      <c r="BJ19" s="31" t="b">
        <f>W19=[1]数字化与研发投入!W18</f>
        <v>1</v>
      </c>
      <c r="BK19" s="31" t="b">
        <f>X19=[1]数字化与研发投入!X18</f>
        <v>1</v>
      </c>
      <c r="BL19" s="31" t="b">
        <f>Y19=[1]数字化与研发投入!Y18</f>
        <v>1</v>
      </c>
      <c r="BM19" s="31" t="b">
        <f>Z19=[1]数字化与研发投入!Z18</f>
        <v>1</v>
      </c>
      <c r="BN19" s="31" t="b">
        <f>AA19=[1]数字化与研发投入!AA18</f>
        <v>1</v>
      </c>
      <c r="BO19" s="31" t="b">
        <f>AB19=[1]数字化与研发投入!AB18</f>
        <v>1</v>
      </c>
      <c r="BP19" s="31" t="b">
        <f>AC19=[1]数字化与研发投入!AC18</f>
        <v>1</v>
      </c>
      <c r="BQ19" s="31" t="b">
        <f>AD19=[1]数字化与研发投入!AD18</f>
        <v>1</v>
      </c>
      <c r="BR19" s="31" t="b">
        <f>AE19=[1]数字化与研发投入!AE18</f>
        <v>1</v>
      </c>
      <c r="BS19" s="31" t="b">
        <f>AF19=[1]数字化与研发投入!AF18</f>
        <v>1</v>
      </c>
      <c r="BT19" s="31" t="b">
        <f>AG19=[1]数字化与研发投入!AG18</f>
        <v>1</v>
      </c>
      <c r="BU19" s="31" t="b">
        <f>AH19=[1]数字化与研发投入!AH18</f>
        <v>1</v>
      </c>
      <c r="BV19" s="31" t="b">
        <f>AI19=[1]数字化与研发投入!AI18</f>
        <v>1</v>
      </c>
      <c r="BW19" s="31" t="b">
        <f>AJ19=[1]数字化与研发投入!AJ18</f>
        <v>1</v>
      </c>
      <c r="BX19" s="31" t="b">
        <f>AK19=[1]数字化与研发投入!AK18</f>
        <v>1</v>
      </c>
    </row>
    <row r="20" s="31" customFormat="1" ht="145.2" spans="1:76">
      <c r="A20" s="40" t="s">
        <v>452</v>
      </c>
      <c r="B20" s="75" t="s">
        <v>566</v>
      </c>
      <c r="C20" s="73" t="s">
        <v>454</v>
      </c>
      <c r="D20" s="73" t="s">
        <v>567</v>
      </c>
      <c r="E20" s="74" t="s">
        <v>568</v>
      </c>
      <c r="F20" s="86" t="s">
        <v>569</v>
      </c>
      <c r="G20" s="76" t="s">
        <v>570</v>
      </c>
      <c r="H20" s="76" t="s">
        <v>571</v>
      </c>
      <c r="I20" s="46" t="s">
        <v>572</v>
      </c>
      <c r="J20" s="47" t="s">
        <v>573</v>
      </c>
      <c r="K20" s="60"/>
      <c r="L20" s="49" t="s">
        <v>36</v>
      </c>
      <c r="M20" s="49" t="s">
        <v>36</v>
      </c>
      <c r="N20" s="48"/>
      <c r="O20" s="48"/>
      <c r="P20" s="48"/>
      <c r="Q20" s="48"/>
      <c r="R20" s="49" t="s">
        <v>36</v>
      </c>
      <c r="S20" s="48"/>
      <c r="T20" s="49" t="s">
        <v>535</v>
      </c>
      <c r="U20" s="47" t="s">
        <v>574</v>
      </c>
      <c r="V20" s="46" t="s">
        <v>575</v>
      </c>
      <c r="W20" s="46" t="s">
        <v>576</v>
      </c>
      <c r="X20" s="49" t="s">
        <v>527</v>
      </c>
      <c r="Y20" s="49" t="s">
        <v>466</v>
      </c>
      <c r="Z20" s="49"/>
      <c r="AA20" s="49" t="s">
        <v>467</v>
      </c>
      <c r="AB20" s="49" t="s">
        <v>466</v>
      </c>
      <c r="AC20" s="49"/>
      <c r="AD20" s="47" t="s">
        <v>577</v>
      </c>
      <c r="AE20" s="49" t="s">
        <v>465</v>
      </c>
      <c r="AF20" s="49" t="s">
        <v>466</v>
      </c>
      <c r="AG20" s="49"/>
      <c r="AH20" s="49" t="s">
        <v>469</v>
      </c>
      <c r="AI20" s="49" t="s">
        <v>469</v>
      </c>
      <c r="AJ20" s="47" t="s">
        <v>578</v>
      </c>
      <c r="AK20" s="52" t="s">
        <v>471</v>
      </c>
      <c r="AL20" s="53" t="s">
        <v>798</v>
      </c>
      <c r="AM20" s="54"/>
      <c r="AN20" s="31" t="b">
        <f>A20=[1]数字化与研发投入!A19</f>
        <v>1</v>
      </c>
      <c r="AO20" s="31" t="b">
        <f>B20=[1]数字化与研发投入!B19</f>
        <v>1</v>
      </c>
      <c r="AP20" s="31" t="b">
        <f>C20=[1]数字化与研发投入!C19</f>
        <v>1</v>
      </c>
      <c r="AQ20" s="31" t="b">
        <f>D20=[1]数字化与研发投入!D19</f>
        <v>1</v>
      </c>
      <c r="AR20" s="31" t="b">
        <f>E20=[1]数字化与研发投入!E19</f>
        <v>1</v>
      </c>
      <c r="AS20" s="31" t="b">
        <f>F20=[1]数字化与研发投入!F19</f>
        <v>1</v>
      </c>
      <c r="AT20" s="31" t="b">
        <f>G20=[1]数字化与研发投入!G19</f>
        <v>1</v>
      </c>
      <c r="AU20" s="31" t="b">
        <f>H20=[1]数字化与研发投入!H19</f>
        <v>1</v>
      </c>
      <c r="AV20" s="31" t="b">
        <f>I20=[1]数字化与研发投入!I19</f>
        <v>1</v>
      </c>
      <c r="AW20" s="31" t="b">
        <f>J20=[1]数字化与研发投入!J19</f>
        <v>1</v>
      </c>
      <c r="AX20" s="31" t="b">
        <f>K20=[1]数字化与研发投入!K19</f>
        <v>1</v>
      </c>
      <c r="AY20" s="31" t="b">
        <f>L20=[1]数字化与研发投入!L19</f>
        <v>1</v>
      </c>
      <c r="AZ20" s="31" t="b">
        <f>M20=[1]数字化与研发投入!M19</f>
        <v>1</v>
      </c>
      <c r="BA20" s="31" t="b">
        <f>N20=[1]数字化与研发投入!N19</f>
        <v>1</v>
      </c>
      <c r="BB20" s="31" t="b">
        <f>O20=[1]数字化与研发投入!O19</f>
        <v>1</v>
      </c>
      <c r="BC20" s="31" t="b">
        <f>P20=[1]数字化与研发投入!P19</f>
        <v>1</v>
      </c>
      <c r="BD20" s="31" t="b">
        <f>Q20=[1]数字化与研发投入!Q19</f>
        <v>1</v>
      </c>
      <c r="BE20" s="31" t="b">
        <f>R20=[1]数字化与研发投入!R19</f>
        <v>1</v>
      </c>
      <c r="BF20" s="31" t="b">
        <f>S20=[1]数字化与研发投入!S19</f>
        <v>1</v>
      </c>
      <c r="BG20" s="31" t="b">
        <f>T20=[1]数字化与研发投入!T19</f>
        <v>1</v>
      </c>
      <c r="BH20" s="31" t="b">
        <f>U20=[1]数字化与研发投入!U19</f>
        <v>1</v>
      </c>
      <c r="BI20" s="31" t="b">
        <f>V20=[1]数字化与研发投入!V19</f>
        <v>1</v>
      </c>
      <c r="BJ20" s="31" t="b">
        <f>W20=[1]数字化与研发投入!W19</f>
        <v>1</v>
      </c>
      <c r="BK20" s="31" t="b">
        <f>X20=[1]数字化与研发投入!X19</f>
        <v>1</v>
      </c>
      <c r="BL20" s="31" t="b">
        <f>Y20=[1]数字化与研发投入!Y19</f>
        <v>1</v>
      </c>
      <c r="BM20" s="31" t="b">
        <f>Z20=[1]数字化与研发投入!Z19</f>
        <v>1</v>
      </c>
      <c r="BN20" s="31" t="b">
        <f>AA20=[1]数字化与研发投入!AA19</f>
        <v>1</v>
      </c>
      <c r="BO20" s="31" t="b">
        <f>AB20=[1]数字化与研发投入!AB19</f>
        <v>1</v>
      </c>
      <c r="BP20" s="31" t="b">
        <f>AC20=[1]数字化与研发投入!AC19</f>
        <v>1</v>
      </c>
      <c r="BQ20" s="31" t="b">
        <f>AD20=[1]数字化与研发投入!AD19</f>
        <v>1</v>
      </c>
      <c r="BR20" s="31" t="b">
        <f>AE20=[1]数字化与研发投入!AE19</f>
        <v>1</v>
      </c>
      <c r="BS20" s="31" t="b">
        <f>AF20=[1]数字化与研发投入!AF19</f>
        <v>1</v>
      </c>
      <c r="BT20" s="31" t="b">
        <f>AG20=[1]数字化与研发投入!AG19</f>
        <v>1</v>
      </c>
      <c r="BU20" s="31" t="b">
        <f>AH20=[1]数字化与研发投入!AH19</f>
        <v>1</v>
      </c>
      <c r="BV20" s="31" t="b">
        <f>AI20=[1]数字化与研发投入!AI19</f>
        <v>1</v>
      </c>
      <c r="BW20" s="31" t="b">
        <f>AJ20=[1]数字化与研发投入!AJ19</f>
        <v>1</v>
      </c>
      <c r="BX20" s="31" t="b">
        <f>AK20=[1]数字化与研发投入!AK19</f>
        <v>1</v>
      </c>
    </row>
    <row r="21" s="31" customFormat="1" ht="92.4" spans="1:76">
      <c r="A21" s="40"/>
      <c r="B21" s="80"/>
      <c r="C21" s="78"/>
      <c r="D21" s="78"/>
      <c r="E21" s="79"/>
      <c r="F21" s="87"/>
      <c r="G21" s="81"/>
      <c r="H21" s="81"/>
      <c r="I21" s="46" t="s">
        <v>579</v>
      </c>
      <c r="J21" s="50" t="s">
        <v>580</v>
      </c>
      <c r="K21" s="77"/>
      <c r="L21" s="48"/>
      <c r="M21" s="49" t="s">
        <v>36</v>
      </c>
      <c r="N21" s="48"/>
      <c r="O21" s="48"/>
      <c r="P21" s="48"/>
      <c r="Q21" s="48"/>
      <c r="R21" s="49" t="s">
        <v>36</v>
      </c>
      <c r="S21" s="48"/>
      <c r="T21" s="49" t="s">
        <v>475</v>
      </c>
      <c r="U21" s="47"/>
      <c r="V21" s="46" t="s">
        <v>581</v>
      </c>
      <c r="W21" s="46" t="s">
        <v>801</v>
      </c>
      <c r="X21" s="49" t="s">
        <v>527</v>
      </c>
      <c r="Y21" s="49" t="s">
        <v>466</v>
      </c>
      <c r="Z21" s="49"/>
      <c r="AA21" s="49" t="s">
        <v>467</v>
      </c>
      <c r="AB21" s="49" t="s">
        <v>466</v>
      </c>
      <c r="AC21" s="49"/>
      <c r="AD21" s="47"/>
      <c r="AE21" s="49"/>
      <c r="AF21" s="49"/>
      <c r="AG21" s="49"/>
      <c r="AH21" s="49" t="s">
        <v>469</v>
      </c>
      <c r="AI21" s="49" t="s">
        <v>469</v>
      </c>
      <c r="AJ21" s="47" t="s">
        <v>578</v>
      </c>
      <c r="AK21" s="52" t="s">
        <v>471</v>
      </c>
      <c r="AL21" s="53" t="s">
        <v>798</v>
      </c>
      <c r="AM21" s="54" t="s">
        <v>800</v>
      </c>
      <c r="AN21" s="31" t="b">
        <f>A21=[1]数字化与研发投入!A20</f>
        <v>1</v>
      </c>
      <c r="AO21" s="31" t="b">
        <f>B21=[1]数字化与研发投入!B20</f>
        <v>1</v>
      </c>
      <c r="AP21" s="31" t="b">
        <f>C21=[1]数字化与研发投入!C20</f>
        <v>1</v>
      </c>
      <c r="AQ21" s="31" t="b">
        <f>D21=[1]数字化与研发投入!D20</f>
        <v>1</v>
      </c>
      <c r="AR21" s="31" t="b">
        <f>E21=[1]数字化与研发投入!E20</f>
        <v>1</v>
      </c>
      <c r="AS21" s="31" t="b">
        <f>F21=[1]数字化与研发投入!F20</f>
        <v>1</v>
      </c>
      <c r="AT21" s="31" t="b">
        <f>G21=[1]数字化与研发投入!G20</f>
        <v>1</v>
      </c>
      <c r="AU21" s="31" t="b">
        <f>H21=[1]数字化与研发投入!H20</f>
        <v>1</v>
      </c>
      <c r="AV21" s="31" t="b">
        <f>I21=[1]数字化与研发投入!I20</f>
        <v>1</v>
      </c>
      <c r="AW21" s="31" t="b">
        <f>J21=[1]数字化与研发投入!J20</f>
        <v>0</v>
      </c>
      <c r="AX21" s="31" t="b">
        <f>K21=[1]数字化与研发投入!K20</f>
        <v>1</v>
      </c>
      <c r="AY21" s="31" t="b">
        <f>L21=[1]数字化与研发投入!L20</f>
        <v>1</v>
      </c>
      <c r="AZ21" s="31" t="b">
        <f>M21=[1]数字化与研发投入!M20</f>
        <v>1</v>
      </c>
      <c r="BA21" s="31" t="b">
        <f>N21=[1]数字化与研发投入!N20</f>
        <v>1</v>
      </c>
      <c r="BB21" s="31" t="b">
        <f>O21=[1]数字化与研发投入!O20</f>
        <v>1</v>
      </c>
      <c r="BC21" s="31" t="b">
        <f>P21=[1]数字化与研发投入!P20</f>
        <v>1</v>
      </c>
      <c r="BD21" s="31" t="b">
        <f>Q21=[1]数字化与研发投入!Q20</f>
        <v>1</v>
      </c>
      <c r="BE21" s="31" t="b">
        <f>R21=[1]数字化与研发投入!R20</f>
        <v>1</v>
      </c>
      <c r="BF21" s="31" t="b">
        <f>S21=[1]数字化与研发投入!S20</f>
        <v>1</v>
      </c>
      <c r="BG21" s="31" t="b">
        <f>T21=[1]数字化与研发投入!T20</f>
        <v>1</v>
      </c>
      <c r="BH21" s="31" t="b">
        <f>U21=[1]数字化与研发投入!U20</f>
        <v>1</v>
      </c>
      <c r="BI21" s="31" t="b">
        <f>V21=[1]数字化与研发投入!V20</f>
        <v>1</v>
      </c>
      <c r="BJ21" s="31" t="b">
        <f>W21=[1]数字化与研发投入!W20</f>
        <v>1</v>
      </c>
      <c r="BK21" s="31" t="b">
        <f>X21=[1]数字化与研发投入!X20</f>
        <v>1</v>
      </c>
      <c r="BL21" s="31" t="b">
        <f>Y21=[1]数字化与研发投入!Y20</f>
        <v>1</v>
      </c>
      <c r="BM21" s="31" t="b">
        <f>Z21=[1]数字化与研发投入!Z20</f>
        <v>1</v>
      </c>
      <c r="BN21" s="31" t="b">
        <f>AA21=[1]数字化与研发投入!AA20</f>
        <v>1</v>
      </c>
      <c r="BO21" s="31" t="b">
        <f>AB21=[1]数字化与研发投入!AB20</f>
        <v>1</v>
      </c>
      <c r="BP21" s="31" t="b">
        <f>AC21=[1]数字化与研发投入!AC20</f>
        <v>1</v>
      </c>
      <c r="BQ21" s="31" t="b">
        <f>AD21=[1]数字化与研发投入!AD20</f>
        <v>1</v>
      </c>
      <c r="BR21" s="31" t="b">
        <f>AE21=[1]数字化与研发投入!AE20</f>
        <v>1</v>
      </c>
      <c r="BS21" s="31" t="b">
        <f>AF21=[1]数字化与研发投入!AF20</f>
        <v>1</v>
      </c>
      <c r="BT21" s="31" t="b">
        <f>AG21=[1]数字化与研发投入!AG20</f>
        <v>1</v>
      </c>
      <c r="BU21" s="31" t="b">
        <f>AH21=[1]数字化与研发投入!AH20</f>
        <v>1</v>
      </c>
      <c r="BV21" s="31" t="b">
        <f>AI21=[1]数字化与研发投入!AI20</f>
        <v>1</v>
      </c>
      <c r="BW21" s="31" t="b">
        <f>AJ21=[1]数字化与研发投入!AJ20</f>
        <v>1</v>
      </c>
      <c r="BX21" s="31" t="b">
        <f>AK21=[1]数字化与研发投入!AK20</f>
        <v>1</v>
      </c>
    </row>
    <row r="22" s="31" customFormat="1" ht="145.2" spans="1:76">
      <c r="A22" s="40"/>
      <c r="B22" s="80"/>
      <c r="C22" s="82"/>
      <c r="D22" s="82"/>
      <c r="E22" s="83"/>
      <c r="F22" s="88"/>
      <c r="G22" s="85"/>
      <c r="H22" s="85"/>
      <c r="I22" s="46" t="s">
        <v>584</v>
      </c>
      <c r="J22" s="47" t="s">
        <v>585</v>
      </c>
      <c r="K22" s="48"/>
      <c r="L22" s="48"/>
      <c r="M22" s="49"/>
      <c r="N22" s="48"/>
      <c r="O22" s="49" t="s">
        <v>36</v>
      </c>
      <c r="P22" s="48"/>
      <c r="Q22" s="49" t="s">
        <v>36</v>
      </c>
      <c r="R22" s="48"/>
      <c r="S22" s="48"/>
      <c r="T22" s="49" t="s">
        <v>556</v>
      </c>
      <c r="U22" s="47" t="s">
        <v>536</v>
      </c>
      <c r="V22" s="46" t="s">
        <v>586</v>
      </c>
      <c r="W22" s="46" t="s">
        <v>587</v>
      </c>
      <c r="X22" s="49" t="s">
        <v>527</v>
      </c>
      <c r="Y22" s="49" t="s">
        <v>466</v>
      </c>
      <c r="Z22" s="49"/>
      <c r="AA22" s="49" t="s">
        <v>467</v>
      </c>
      <c r="AB22" s="49" t="s">
        <v>466</v>
      </c>
      <c r="AC22" s="49"/>
      <c r="AD22" s="47" t="s">
        <v>577</v>
      </c>
      <c r="AE22" s="49" t="s">
        <v>465</v>
      </c>
      <c r="AF22" s="49" t="s">
        <v>466</v>
      </c>
      <c r="AG22" s="49"/>
      <c r="AH22" s="49" t="s">
        <v>469</v>
      </c>
      <c r="AI22" s="49" t="s">
        <v>469</v>
      </c>
      <c r="AJ22" s="47" t="s">
        <v>578</v>
      </c>
      <c r="AK22" s="52" t="s">
        <v>471</v>
      </c>
      <c r="AL22" s="53" t="s">
        <v>798</v>
      </c>
      <c r="AM22" s="54"/>
      <c r="AN22" s="31" t="b">
        <f>A22=[1]数字化与研发投入!A21</f>
        <v>1</v>
      </c>
      <c r="AO22" s="31" t="b">
        <f>B22=[1]数字化与研发投入!B21</f>
        <v>1</v>
      </c>
      <c r="AP22" s="31" t="b">
        <f>C22=[1]数字化与研发投入!C21</f>
        <v>1</v>
      </c>
      <c r="AQ22" s="31" t="b">
        <f>D22=[1]数字化与研发投入!D21</f>
        <v>1</v>
      </c>
      <c r="AR22" s="31" t="b">
        <f>E22=[1]数字化与研发投入!E21</f>
        <v>1</v>
      </c>
      <c r="AS22" s="31" t="b">
        <f>F22=[1]数字化与研发投入!F21</f>
        <v>1</v>
      </c>
      <c r="AT22" s="31" t="b">
        <f>G22=[1]数字化与研发投入!G21</f>
        <v>1</v>
      </c>
      <c r="AU22" s="31" t="b">
        <f>H22=[1]数字化与研发投入!H21</f>
        <v>1</v>
      </c>
      <c r="AV22" s="31" t="b">
        <f>I22=[1]数字化与研发投入!I21</f>
        <v>1</v>
      </c>
      <c r="AW22" s="31" t="b">
        <f>J22=[1]数字化与研发投入!J21</f>
        <v>1</v>
      </c>
      <c r="AX22" s="31" t="b">
        <f>K22=[1]数字化与研发投入!K21</f>
        <v>1</v>
      </c>
      <c r="AY22" s="31" t="b">
        <f>L22=[1]数字化与研发投入!L21</f>
        <v>1</v>
      </c>
      <c r="AZ22" s="31" t="b">
        <f>M22=[1]数字化与研发投入!M21</f>
        <v>1</v>
      </c>
      <c r="BA22" s="31" t="b">
        <f>N22=[1]数字化与研发投入!N21</f>
        <v>1</v>
      </c>
      <c r="BB22" s="31" t="b">
        <f>O22=[1]数字化与研发投入!O21</f>
        <v>1</v>
      </c>
      <c r="BC22" s="31" t="b">
        <f>P22=[1]数字化与研发投入!P21</f>
        <v>1</v>
      </c>
      <c r="BD22" s="31" t="b">
        <f>Q22=[1]数字化与研发投入!Q21</f>
        <v>1</v>
      </c>
      <c r="BE22" s="31" t="b">
        <f>R22=[1]数字化与研发投入!R21</f>
        <v>1</v>
      </c>
      <c r="BF22" s="31" t="b">
        <f>S22=[1]数字化与研发投入!S21</f>
        <v>1</v>
      </c>
      <c r="BG22" s="31" t="b">
        <f>T22=[1]数字化与研发投入!T21</f>
        <v>1</v>
      </c>
      <c r="BH22" s="31" t="b">
        <f>U22=[1]数字化与研发投入!U21</f>
        <v>1</v>
      </c>
      <c r="BI22" s="31" t="b">
        <f>V22=[1]数字化与研发投入!V21</f>
        <v>1</v>
      </c>
      <c r="BJ22" s="31" t="b">
        <f>W22=[1]数字化与研发投入!W21</f>
        <v>1</v>
      </c>
      <c r="BK22" s="31" t="b">
        <f>X22=[1]数字化与研发投入!X21</f>
        <v>1</v>
      </c>
      <c r="BL22" s="31" t="b">
        <f>Y22=[1]数字化与研发投入!Y21</f>
        <v>1</v>
      </c>
      <c r="BM22" s="31" t="b">
        <f>Z22=[1]数字化与研发投入!Z21</f>
        <v>1</v>
      </c>
      <c r="BN22" s="31" t="b">
        <f>AA22=[1]数字化与研发投入!AA21</f>
        <v>1</v>
      </c>
      <c r="BO22" s="31" t="b">
        <f>AB22=[1]数字化与研发投入!AB21</f>
        <v>1</v>
      </c>
      <c r="BP22" s="31" t="b">
        <f>AC22=[1]数字化与研发投入!AC21</f>
        <v>1</v>
      </c>
      <c r="BQ22" s="31" t="b">
        <f>AD22=[1]数字化与研发投入!AD21</f>
        <v>1</v>
      </c>
      <c r="BR22" s="31" t="b">
        <f>AE22=[1]数字化与研发投入!AE21</f>
        <v>1</v>
      </c>
      <c r="BS22" s="31" t="b">
        <f>AF22=[1]数字化与研发投入!AF21</f>
        <v>1</v>
      </c>
      <c r="BT22" s="31" t="b">
        <f>AG22=[1]数字化与研发投入!AG21</f>
        <v>1</v>
      </c>
      <c r="BU22" s="31" t="b">
        <f>AH22=[1]数字化与研发投入!AH21</f>
        <v>1</v>
      </c>
      <c r="BV22" s="31" t="b">
        <f>AI22=[1]数字化与研发投入!AI21</f>
        <v>1</v>
      </c>
      <c r="BW22" s="31" t="b">
        <f>AJ22=[1]数字化与研发投入!AJ21</f>
        <v>1</v>
      </c>
      <c r="BX22" s="31" t="b">
        <f>AK22=[1]数字化与研发投入!AK21</f>
        <v>1</v>
      </c>
    </row>
    <row r="23" s="31" customFormat="1" ht="118.8" spans="1:76">
      <c r="A23" s="40"/>
      <c r="B23" s="80"/>
      <c r="C23" s="73" t="s">
        <v>454</v>
      </c>
      <c r="D23" s="73" t="s">
        <v>588</v>
      </c>
      <c r="E23" s="73" t="s">
        <v>589</v>
      </c>
      <c r="F23" s="91" t="s">
        <v>569</v>
      </c>
      <c r="G23" s="42" t="s">
        <v>590</v>
      </c>
      <c r="H23" s="42" t="s">
        <v>591</v>
      </c>
      <c r="I23" s="46" t="s">
        <v>592</v>
      </c>
      <c r="J23" s="47" t="s">
        <v>593</v>
      </c>
      <c r="K23" s="77"/>
      <c r="L23" s="49" t="s">
        <v>36</v>
      </c>
      <c r="M23" s="49" t="s">
        <v>36</v>
      </c>
      <c r="N23" s="48"/>
      <c r="O23" s="48"/>
      <c r="P23" s="48"/>
      <c r="Q23" s="48"/>
      <c r="R23" s="48"/>
      <c r="S23" s="48"/>
      <c r="T23" s="49" t="s">
        <v>475</v>
      </c>
      <c r="U23" s="47"/>
      <c r="V23" s="46" t="s">
        <v>594</v>
      </c>
      <c r="W23" s="46" t="s">
        <v>618</v>
      </c>
      <c r="X23" s="49" t="s">
        <v>503</v>
      </c>
      <c r="Y23" s="49" t="s">
        <v>466</v>
      </c>
      <c r="Z23" s="49"/>
      <c r="AA23" s="49" t="s">
        <v>467</v>
      </c>
      <c r="AB23" s="49" t="s">
        <v>466</v>
      </c>
      <c r="AC23" s="49"/>
      <c r="AD23" s="47"/>
      <c r="AE23" s="49"/>
      <c r="AF23" s="49"/>
      <c r="AG23" s="49"/>
      <c r="AH23" s="49" t="s">
        <v>469</v>
      </c>
      <c r="AI23" s="49" t="s">
        <v>469</v>
      </c>
      <c r="AJ23" s="47" t="s">
        <v>596</v>
      </c>
      <c r="AK23" s="52" t="s">
        <v>471</v>
      </c>
      <c r="AL23" s="53" t="s">
        <v>802</v>
      </c>
      <c r="AM23" s="54" t="s">
        <v>759</v>
      </c>
      <c r="AN23" s="31" t="b">
        <f>A23=[1]数字化与研发投入!A22</f>
        <v>1</v>
      </c>
      <c r="AO23" s="31" t="b">
        <f>B23=[1]数字化与研发投入!B22</f>
        <v>1</v>
      </c>
      <c r="AP23" s="31" t="b">
        <f>C23=[1]数字化与研发投入!C22</f>
        <v>1</v>
      </c>
      <c r="AQ23" s="31" t="b">
        <f>D23=[1]数字化与研发投入!D22</f>
        <v>1</v>
      </c>
      <c r="AR23" s="31" t="b">
        <f>E23=[1]数字化与研发投入!E22</f>
        <v>1</v>
      </c>
      <c r="AS23" s="31" t="b">
        <f>F23=[1]数字化与研发投入!F22</f>
        <v>1</v>
      </c>
      <c r="AT23" s="31" t="b">
        <f>G23=[1]数字化与研发投入!G22</f>
        <v>1</v>
      </c>
      <c r="AU23" s="31" t="b">
        <f>H23=[1]数字化与研发投入!H22</f>
        <v>1</v>
      </c>
      <c r="AV23" s="31" t="b">
        <f>I23=[1]数字化与研发投入!I22</f>
        <v>1</v>
      </c>
      <c r="AW23" s="31" t="b">
        <f>J23=[1]数字化与研发投入!J22</f>
        <v>1</v>
      </c>
      <c r="AX23" s="31" t="b">
        <f>K23=[1]数字化与研发投入!K22</f>
        <v>1</v>
      </c>
      <c r="AY23" s="31" t="b">
        <f>L23=[1]数字化与研发投入!L22</f>
        <v>1</v>
      </c>
      <c r="AZ23" s="31" t="b">
        <f>M23=[1]数字化与研发投入!M22</f>
        <v>1</v>
      </c>
      <c r="BA23" s="31" t="b">
        <f>N23=[1]数字化与研发投入!N22</f>
        <v>1</v>
      </c>
      <c r="BB23" s="31" t="b">
        <f>O23=[1]数字化与研发投入!O22</f>
        <v>1</v>
      </c>
      <c r="BC23" s="31" t="b">
        <f>P23=[1]数字化与研发投入!P22</f>
        <v>1</v>
      </c>
      <c r="BD23" s="31" t="b">
        <f>Q23=[1]数字化与研发投入!Q22</f>
        <v>1</v>
      </c>
      <c r="BE23" s="31" t="b">
        <f>R23=[1]数字化与研发投入!R22</f>
        <v>1</v>
      </c>
      <c r="BF23" s="31" t="b">
        <f>S23=[1]数字化与研发投入!S22</f>
        <v>1</v>
      </c>
      <c r="BG23" s="31" t="b">
        <f>T23=[1]数字化与研发投入!T22</f>
        <v>1</v>
      </c>
      <c r="BH23" s="31" t="b">
        <f>U23=[1]数字化与研发投入!U22</f>
        <v>1</v>
      </c>
      <c r="BI23" s="31" t="b">
        <f>V23=[1]数字化与研发投入!V22</f>
        <v>1</v>
      </c>
      <c r="BJ23" s="31" t="b">
        <f>W23=[1]数字化与研发投入!W22</f>
        <v>1</v>
      </c>
      <c r="BK23" s="31" t="b">
        <f>X23=[1]数字化与研发投入!X22</f>
        <v>1</v>
      </c>
      <c r="BL23" s="31" t="b">
        <f>Y23=[1]数字化与研发投入!Y22</f>
        <v>1</v>
      </c>
      <c r="BM23" s="31" t="b">
        <f>Z23=[1]数字化与研发投入!Z22</f>
        <v>1</v>
      </c>
      <c r="BN23" s="31" t="b">
        <f>AA23=[1]数字化与研发投入!AA22</f>
        <v>1</v>
      </c>
      <c r="BO23" s="31" t="b">
        <f>AB23=[1]数字化与研发投入!AB22</f>
        <v>1</v>
      </c>
      <c r="BP23" s="31" t="b">
        <f>AC23=[1]数字化与研发投入!AC22</f>
        <v>1</v>
      </c>
      <c r="BQ23" s="31" t="b">
        <f>AD23=[1]数字化与研发投入!AD22</f>
        <v>1</v>
      </c>
      <c r="BR23" s="31" t="b">
        <f>AE23=[1]数字化与研发投入!AE22</f>
        <v>1</v>
      </c>
      <c r="BS23" s="31" t="b">
        <f>AF23=[1]数字化与研发投入!AF22</f>
        <v>1</v>
      </c>
      <c r="BT23" s="31" t="b">
        <f>AG23=[1]数字化与研发投入!AG22</f>
        <v>1</v>
      </c>
      <c r="BU23" s="31" t="b">
        <f>AH23=[1]数字化与研发投入!AH22</f>
        <v>1</v>
      </c>
      <c r="BV23" s="31" t="b">
        <f>AI23=[1]数字化与研发投入!AI22</f>
        <v>1</v>
      </c>
      <c r="BW23" s="31" t="b">
        <f>AJ23=[1]数字化与研发投入!AJ22</f>
        <v>0</v>
      </c>
      <c r="BX23" s="31" t="b">
        <f>AK23=[1]数字化与研发投入!AK22</f>
        <v>1</v>
      </c>
    </row>
    <row r="24" s="31" customFormat="1" ht="145.2" spans="1:76">
      <c r="A24" s="40"/>
      <c r="B24" s="80"/>
      <c r="C24" s="78"/>
      <c r="D24" s="78"/>
      <c r="E24" s="78"/>
      <c r="F24" s="87"/>
      <c r="G24" s="55"/>
      <c r="H24" s="55"/>
      <c r="I24" s="46" t="s">
        <v>598</v>
      </c>
      <c r="J24" s="47" t="s">
        <v>599</v>
      </c>
      <c r="K24" s="48"/>
      <c r="L24" s="48"/>
      <c r="M24" s="48"/>
      <c r="N24" s="48"/>
      <c r="O24" s="49" t="s">
        <v>36</v>
      </c>
      <c r="P24" s="48"/>
      <c r="Q24" s="48"/>
      <c r="R24" s="49" t="s">
        <v>36</v>
      </c>
      <c r="S24" s="48"/>
      <c r="T24" s="49" t="s">
        <v>475</v>
      </c>
      <c r="U24" s="47"/>
      <c r="V24" s="46" t="s">
        <v>600</v>
      </c>
      <c r="W24" s="46" t="s">
        <v>803</v>
      </c>
      <c r="X24" s="49" t="s">
        <v>503</v>
      </c>
      <c r="Y24" s="49" t="s">
        <v>466</v>
      </c>
      <c r="Z24" s="49"/>
      <c r="AA24" s="49" t="s">
        <v>467</v>
      </c>
      <c r="AB24" s="49" t="s">
        <v>466</v>
      </c>
      <c r="AC24" s="49"/>
      <c r="AD24" s="47"/>
      <c r="AE24" s="49"/>
      <c r="AF24" s="49"/>
      <c r="AG24" s="49"/>
      <c r="AH24" s="49" t="s">
        <v>469</v>
      </c>
      <c r="AI24" s="49" t="s">
        <v>469</v>
      </c>
      <c r="AJ24" s="47" t="s">
        <v>602</v>
      </c>
      <c r="AK24" s="52" t="s">
        <v>471</v>
      </c>
      <c r="AL24" s="53" t="s">
        <v>804</v>
      </c>
      <c r="AM24" s="54" t="s">
        <v>805</v>
      </c>
      <c r="AN24" s="31" t="b">
        <f>A24=[1]数字化与研发投入!A23</f>
        <v>1</v>
      </c>
      <c r="AO24" s="31" t="b">
        <f>B24=[1]数字化与研发投入!B23</f>
        <v>1</v>
      </c>
      <c r="AP24" s="31" t="b">
        <f>C24=[1]数字化与研发投入!C23</f>
        <v>1</v>
      </c>
      <c r="AQ24" s="31" t="b">
        <f>D24=[1]数字化与研发投入!D23</f>
        <v>1</v>
      </c>
      <c r="AR24" s="31" t="b">
        <f>E24=[1]数字化与研发投入!E23</f>
        <v>1</v>
      </c>
      <c r="AS24" s="31" t="b">
        <f>F24=[1]数字化与研发投入!F23</f>
        <v>1</v>
      </c>
      <c r="AT24" s="31" t="b">
        <f>G24=[1]数字化与研发投入!G23</f>
        <v>1</v>
      </c>
      <c r="AU24" s="31" t="b">
        <f>H24=[1]数字化与研发投入!H23</f>
        <v>1</v>
      </c>
      <c r="AV24" s="31" t="b">
        <f>I24=[1]数字化与研发投入!I23</f>
        <v>1</v>
      </c>
      <c r="AW24" s="31" t="b">
        <f>J24=[1]数字化与研发投入!J23</f>
        <v>1</v>
      </c>
      <c r="AX24" s="31" t="b">
        <f>K24=[1]数字化与研发投入!K23</f>
        <v>1</v>
      </c>
      <c r="AY24" s="31" t="b">
        <f>L24=[1]数字化与研发投入!L23</f>
        <v>1</v>
      </c>
      <c r="AZ24" s="31" t="b">
        <f>M24=[1]数字化与研发投入!M23</f>
        <v>1</v>
      </c>
      <c r="BA24" s="31" t="b">
        <f>N24=[1]数字化与研发投入!N23</f>
        <v>1</v>
      </c>
      <c r="BB24" s="31" t="b">
        <f>O24=[1]数字化与研发投入!O23</f>
        <v>1</v>
      </c>
      <c r="BC24" s="31" t="b">
        <f>P24=[1]数字化与研发投入!P23</f>
        <v>1</v>
      </c>
      <c r="BD24" s="31" t="b">
        <f>Q24=[1]数字化与研发投入!Q23</f>
        <v>1</v>
      </c>
      <c r="BE24" s="31" t="b">
        <f>R24=[1]数字化与研发投入!R23</f>
        <v>1</v>
      </c>
      <c r="BF24" s="31" t="b">
        <f>S24=[1]数字化与研发投入!S23</f>
        <v>1</v>
      </c>
      <c r="BG24" s="31" t="b">
        <f>T24=[1]数字化与研发投入!T23</f>
        <v>1</v>
      </c>
      <c r="BH24" s="31" t="b">
        <f>U24=[1]数字化与研发投入!U23</f>
        <v>1</v>
      </c>
      <c r="BI24" s="31" t="b">
        <f>V24=[1]数字化与研发投入!V23</f>
        <v>1</v>
      </c>
      <c r="BJ24" s="31" t="b">
        <f>W24=[1]数字化与研发投入!W23</f>
        <v>1</v>
      </c>
      <c r="BK24" s="31" t="b">
        <f>X24=[1]数字化与研发投入!X23</f>
        <v>1</v>
      </c>
      <c r="BL24" s="31" t="b">
        <f>Y24=[1]数字化与研发投入!Y23</f>
        <v>1</v>
      </c>
      <c r="BM24" s="31" t="b">
        <f>Z24=[1]数字化与研发投入!Z23</f>
        <v>1</v>
      </c>
      <c r="BN24" s="31" t="b">
        <f>AA24=[1]数字化与研发投入!AA23</f>
        <v>1</v>
      </c>
      <c r="BO24" s="31" t="b">
        <f>AB24=[1]数字化与研发投入!AB23</f>
        <v>1</v>
      </c>
      <c r="BP24" s="31" t="b">
        <f>AC24=[1]数字化与研发投入!AC23</f>
        <v>1</v>
      </c>
      <c r="BQ24" s="31" t="b">
        <f>AD24=[1]数字化与研发投入!AD23</f>
        <v>1</v>
      </c>
      <c r="BR24" s="31" t="b">
        <f>AE24=[1]数字化与研发投入!AE23</f>
        <v>1</v>
      </c>
      <c r="BS24" s="31" t="b">
        <f>AF24=[1]数字化与研发投入!AF23</f>
        <v>1</v>
      </c>
      <c r="BT24" s="31" t="b">
        <f>AG24=[1]数字化与研发投入!AG23</f>
        <v>1</v>
      </c>
      <c r="BU24" s="31" t="b">
        <f>AH24=[1]数字化与研发投入!AH23</f>
        <v>1</v>
      </c>
      <c r="BV24" s="31" t="b">
        <f>AI24=[1]数字化与研发投入!AI23</f>
        <v>1</v>
      </c>
      <c r="BW24" s="31" t="b">
        <f>AJ24=[1]数字化与研发投入!AJ23</f>
        <v>0</v>
      </c>
      <c r="BX24" s="31" t="b">
        <f>AK24=[1]数字化与研发投入!AK23</f>
        <v>1</v>
      </c>
    </row>
    <row r="25" s="31" customFormat="1" ht="132" spans="1:76">
      <c r="A25" s="40"/>
      <c r="B25" s="80"/>
      <c r="C25" s="78"/>
      <c r="D25" s="78"/>
      <c r="E25" s="78"/>
      <c r="F25" s="87"/>
      <c r="G25" s="55"/>
      <c r="H25" s="55"/>
      <c r="I25" s="46" t="s">
        <v>604</v>
      </c>
      <c r="J25" s="47" t="s">
        <v>605</v>
      </c>
      <c r="K25" s="77"/>
      <c r="L25" s="48"/>
      <c r="M25" s="48"/>
      <c r="N25" s="48"/>
      <c r="O25" s="48"/>
      <c r="P25" s="48"/>
      <c r="Q25" s="48"/>
      <c r="R25" s="48"/>
      <c r="S25" s="49" t="s">
        <v>36</v>
      </c>
      <c r="T25" s="49" t="s">
        <v>475</v>
      </c>
      <c r="U25" s="47"/>
      <c r="V25" s="46" t="s">
        <v>606</v>
      </c>
      <c r="W25" s="46" t="s">
        <v>618</v>
      </c>
      <c r="X25" s="49" t="s">
        <v>503</v>
      </c>
      <c r="Y25" s="49" t="s">
        <v>466</v>
      </c>
      <c r="Z25" s="49"/>
      <c r="AA25" s="49" t="s">
        <v>467</v>
      </c>
      <c r="AB25" s="49" t="s">
        <v>466</v>
      </c>
      <c r="AC25" s="49"/>
      <c r="AD25" s="47"/>
      <c r="AE25" s="49"/>
      <c r="AF25" s="49"/>
      <c r="AG25" s="49"/>
      <c r="AH25" s="49" t="s">
        <v>469</v>
      </c>
      <c r="AI25" s="49" t="s">
        <v>469</v>
      </c>
      <c r="AJ25" s="47" t="s">
        <v>608</v>
      </c>
      <c r="AK25" s="52" t="s">
        <v>471</v>
      </c>
      <c r="AL25" s="53" t="s">
        <v>804</v>
      </c>
      <c r="AM25" s="54" t="s">
        <v>759</v>
      </c>
      <c r="AN25" s="31" t="b">
        <f>A25=[1]数字化与研发投入!A24</f>
        <v>1</v>
      </c>
      <c r="AO25" s="31" t="b">
        <f>B25=[1]数字化与研发投入!B24</f>
        <v>1</v>
      </c>
      <c r="AP25" s="31" t="b">
        <f>C25=[1]数字化与研发投入!C24</f>
        <v>1</v>
      </c>
      <c r="AQ25" s="31" t="b">
        <f>D25=[1]数字化与研发投入!D24</f>
        <v>1</v>
      </c>
      <c r="AR25" s="31" t="b">
        <f>E25=[1]数字化与研发投入!E24</f>
        <v>1</v>
      </c>
      <c r="AS25" s="31" t="b">
        <f>F25=[1]数字化与研发投入!F24</f>
        <v>1</v>
      </c>
      <c r="AT25" s="31" t="b">
        <f>G25=[1]数字化与研发投入!G24</f>
        <v>1</v>
      </c>
      <c r="AU25" s="31" t="b">
        <f>H25=[1]数字化与研发投入!H24</f>
        <v>1</v>
      </c>
      <c r="AV25" s="31" t="b">
        <f>I25=[1]数字化与研发投入!I24</f>
        <v>1</v>
      </c>
      <c r="AW25" s="31" t="b">
        <f>J25=[1]数字化与研发投入!J24</f>
        <v>1</v>
      </c>
      <c r="AX25" s="31" t="b">
        <f>K25=[1]数字化与研发投入!K24</f>
        <v>1</v>
      </c>
      <c r="AY25" s="31" t="b">
        <f>L25=[1]数字化与研发投入!L24</f>
        <v>1</v>
      </c>
      <c r="AZ25" s="31" t="b">
        <f>M25=[1]数字化与研发投入!M24</f>
        <v>1</v>
      </c>
      <c r="BA25" s="31" t="b">
        <f>N25=[1]数字化与研发投入!N24</f>
        <v>1</v>
      </c>
      <c r="BB25" s="31" t="b">
        <f>O25=[1]数字化与研发投入!O24</f>
        <v>1</v>
      </c>
      <c r="BC25" s="31" t="b">
        <f>P25=[1]数字化与研发投入!P24</f>
        <v>1</v>
      </c>
      <c r="BD25" s="31" t="b">
        <f>Q25=[1]数字化与研发投入!Q24</f>
        <v>1</v>
      </c>
      <c r="BE25" s="31" t="b">
        <f>R25=[1]数字化与研发投入!R24</f>
        <v>1</v>
      </c>
      <c r="BF25" s="31" t="b">
        <f>S25=[1]数字化与研发投入!S24</f>
        <v>1</v>
      </c>
      <c r="BG25" s="31" t="b">
        <f>T25=[1]数字化与研发投入!T24</f>
        <v>1</v>
      </c>
      <c r="BH25" s="31" t="b">
        <f>U25=[1]数字化与研发投入!U24</f>
        <v>1</v>
      </c>
      <c r="BI25" s="31" t="b">
        <f>V25=[1]数字化与研发投入!V24</f>
        <v>1</v>
      </c>
      <c r="BJ25" s="31" t="b">
        <f>W25=[1]数字化与研发投入!W24</f>
        <v>1</v>
      </c>
      <c r="BK25" s="31" t="b">
        <f>X25=[1]数字化与研发投入!X24</f>
        <v>1</v>
      </c>
      <c r="BL25" s="31" t="b">
        <f>Y25=[1]数字化与研发投入!Y24</f>
        <v>1</v>
      </c>
      <c r="BM25" s="31" t="b">
        <f>Z25=[1]数字化与研发投入!Z24</f>
        <v>1</v>
      </c>
      <c r="BN25" s="31" t="b">
        <f>AA25=[1]数字化与研发投入!AA24</f>
        <v>1</v>
      </c>
      <c r="BO25" s="31" t="b">
        <f>AB25=[1]数字化与研发投入!AB24</f>
        <v>1</v>
      </c>
      <c r="BP25" s="31" t="b">
        <f>AC25=[1]数字化与研发投入!AC24</f>
        <v>1</v>
      </c>
      <c r="BQ25" s="31" t="b">
        <f>AD25=[1]数字化与研发投入!AD24</f>
        <v>1</v>
      </c>
      <c r="BR25" s="31" t="b">
        <f>AE25=[1]数字化与研发投入!AE24</f>
        <v>1</v>
      </c>
      <c r="BS25" s="31" t="b">
        <f>AF25=[1]数字化与研发投入!AF24</f>
        <v>1</v>
      </c>
      <c r="BT25" s="31" t="b">
        <f>AG25=[1]数字化与研发投入!AG24</f>
        <v>1</v>
      </c>
      <c r="BU25" s="31" t="b">
        <f>AH25=[1]数字化与研发投入!AH24</f>
        <v>1</v>
      </c>
      <c r="BV25" s="31" t="b">
        <f>AI25=[1]数字化与研发投入!AI24</f>
        <v>1</v>
      </c>
      <c r="BW25" s="31" t="b">
        <f>AJ25=[1]数字化与研发投入!AJ24</f>
        <v>0</v>
      </c>
      <c r="BX25" s="31" t="b">
        <f>AK25=[1]数字化与研发投入!AK24</f>
        <v>1</v>
      </c>
    </row>
    <row r="26" s="31" customFormat="1" ht="79.2" spans="1:76">
      <c r="A26" s="40"/>
      <c r="B26" s="80"/>
      <c r="C26" s="73" t="s">
        <v>610</v>
      </c>
      <c r="D26" s="73" t="s">
        <v>611</v>
      </c>
      <c r="E26" s="74" t="s">
        <v>612</v>
      </c>
      <c r="F26" s="75"/>
      <c r="G26" s="76" t="s">
        <v>613</v>
      </c>
      <c r="H26" s="76" t="s">
        <v>614</v>
      </c>
      <c r="I26" s="46" t="s">
        <v>615</v>
      </c>
      <c r="J26" s="47" t="s">
        <v>616</v>
      </c>
      <c r="K26" s="77"/>
      <c r="L26" s="48"/>
      <c r="M26" s="49" t="s">
        <v>36</v>
      </c>
      <c r="N26" s="48"/>
      <c r="O26" s="49" t="s">
        <v>36</v>
      </c>
      <c r="P26" s="48"/>
      <c r="Q26" s="48"/>
      <c r="R26" s="49" t="s">
        <v>36</v>
      </c>
      <c r="S26" s="48"/>
      <c r="T26" s="49" t="s">
        <v>475</v>
      </c>
      <c r="U26" s="47"/>
      <c r="V26" s="46" t="s">
        <v>617</v>
      </c>
      <c r="W26" s="46" t="s">
        <v>618</v>
      </c>
      <c r="X26" s="49" t="s">
        <v>465</v>
      </c>
      <c r="Y26" s="49" t="s">
        <v>540</v>
      </c>
      <c r="Z26" s="49"/>
      <c r="AA26" s="49" t="s">
        <v>467</v>
      </c>
      <c r="AB26" s="49" t="s">
        <v>466</v>
      </c>
      <c r="AC26" s="49"/>
      <c r="AD26" s="47"/>
      <c r="AE26" s="49"/>
      <c r="AF26" s="49"/>
      <c r="AG26" s="49"/>
      <c r="AH26" s="49" t="s">
        <v>469</v>
      </c>
      <c r="AI26" s="49" t="s">
        <v>469</v>
      </c>
      <c r="AJ26" s="47" t="s">
        <v>619</v>
      </c>
      <c r="AK26" s="52" t="s">
        <v>471</v>
      </c>
      <c r="AL26" s="53" t="s">
        <v>798</v>
      </c>
      <c r="AM26" s="54"/>
      <c r="AN26" s="31" t="b">
        <f>A26=[1]数字化与研发投入!A25</f>
        <v>1</v>
      </c>
      <c r="AO26" s="31" t="b">
        <f>B26=[1]数字化与研发投入!B25</f>
        <v>1</v>
      </c>
      <c r="AP26" s="31" t="b">
        <f>C26=[1]数字化与研发投入!C25</f>
        <v>1</v>
      </c>
      <c r="AQ26" s="31" t="b">
        <f>D26=[1]数字化与研发投入!D25</f>
        <v>1</v>
      </c>
      <c r="AR26" s="31" t="b">
        <f>E26=[1]数字化与研发投入!E25</f>
        <v>1</v>
      </c>
      <c r="AS26" s="31" t="b">
        <f>F26=[1]数字化与研发投入!F25</f>
        <v>1</v>
      </c>
      <c r="AT26" s="31" t="b">
        <f>G26=[1]数字化与研发投入!G25</f>
        <v>1</v>
      </c>
      <c r="AU26" s="31" t="b">
        <f>H26=[1]数字化与研发投入!H25</f>
        <v>1</v>
      </c>
      <c r="AV26" s="31" t="b">
        <f>I26=[1]数字化与研发投入!I25</f>
        <v>1</v>
      </c>
      <c r="AW26" s="31" t="b">
        <f>J26=[1]数字化与研发投入!J25</f>
        <v>1</v>
      </c>
      <c r="AX26" s="31" t="b">
        <f>K26=[1]数字化与研发投入!K25</f>
        <v>1</v>
      </c>
      <c r="AY26" s="31" t="b">
        <f>L26=[1]数字化与研发投入!L25</f>
        <v>1</v>
      </c>
      <c r="AZ26" s="31" t="b">
        <f>M26=[1]数字化与研发投入!M25</f>
        <v>1</v>
      </c>
      <c r="BA26" s="31" t="b">
        <f>N26=[1]数字化与研发投入!N25</f>
        <v>1</v>
      </c>
      <c r="BB26" s="31" t="b">
        <f>O26=[1]数字化与研发投入!O25</f>
        <v>1</v>
      </c>
      <c r="BC26" s="31" t="b">
        <f>P26=[1]数字化与研发投入!P25</f>
        <v>1</v>
      </c>
      <c r="BD26" s="31" t="b">
        <f>Q26=[1]数字化与研发投入!Q25</f>
        <v>1</v>
      </c>
      <c r="BE26" s="31" t="b">
        <f>R26=[1]数字化与研发投入!R25</f>
        <v>1</v>
      </c>
      <c r="BF26" s="31" t="b">
        <f>S26=[1]数字化与研发投入!S25</f>
        <v>1</v>
      </c>
      <c r="BG26" s="31" t="b">
        <f>T26=[1]数字化与研发投入!T25</f>
        <v>1</v>
      </c>
      <c r="BH26" s="31" t="b">
        <f>U26=[1]数字化与研发投入!U25</f>
        <v>1</v>
      </c>
      <c r="BI26" s="31" t="b">
        <f>V26=[1]数字化与研发投入!V25</f>
        <v>1</v>
      </c>
      <c r="BJ26" s="31" t="b">
        <f>W26=[1]数字化与研发投入!W25</f>
        <v>1</v>
      </c>
      <c r="BK26" s="31" t="b">
        <f>X26=[1]数字化与研发投入!X25</f>
        <v>1</v>
      </c>
      <c r="BL26" s="31" t="b">
        <f>Y26=[1]数字化与研发投入!Y25</f>
        <v>1</v>
      </c>
      <c r="BM26" s="31" t="b">
        <f>Z26=[1]数字化与研发投入!Z25</f>
        <v>1</v>
      </c>
      <c r="BN26" s="31" t="b">
        <f>AA26=[1]数字化与研发投入!AA25</f>
        <v>1</v>
      </c>
      <c r="BO26" s="31" t="b">
        <f>AB26=[1]数字化与研发投入!AB25</f>
        <v>1</v>
      </c>
      <c r="BP26" s="31" t="b">
        <f>AC26=[1]数字化与研发投入!AC25</f>
        <v>1</v>
      </c>
      <c r="BQ26" s="31" t="b">
        <f>AD26=[1]数字化与研发投入!AD25</f>
        <v>1</v>
      </c>
      <c r="BR26" s="31" t="b">
        <f>AE26=[1]数字化与研发投入!AE25</f>
        <v>1</v>
      </c>
      <c r="BS26" s="31" t="b">
        <f>AF26=[1]数字化与研发投入!AF25</f>
        <v>1</v>
      </c>
      <c r="BT26" s="31" t="b">
        <f>AG26=[1]数字化与研发投入!AG25</f>
        <v>1</v>
      </c>
      <c r="BU26" s="31" t="b">
        <f>AH26=[1]数字化与研发投入!AH25</f>
        <v>1</v>
      </c>
      <c r="BV26" s="31" t="b">
        <f>AI26=[1]数字化与研发投入!AI25</f>
        <v>1</v>
      </c>
      <c r="BW26" s="31" t="b">
        <f>AJ26=[1]数字化与研发投入!AJ25</f>
        <v>1</v>
      </c>
      <c r="BX26" s="31" t="b">
        <f>AK26=[1]数字化与研发投入!AK25</f>
        <v>1</v>
      </c>
    </row>
    <row r="27" s="31" customFormat="1" ht="79.2" spans="1:76">
      <c r="A27" s="40"/>
      <c r="B27" s="84"/>
      <c r="C27" s="82"/>
      <c r="D27" s="82"/>
      <c r="E27" s="83"/>
      <c r="F27" s="84"/>
      <c r="G27" s="85"/>
      <c r="H27" s="85"/>
      <c r="I27" s="46" t="s">
        <v>620</v>
      </c>
      <c r="J27" s="47" t="s">
        <v>621</v>
      </c>
      <c r="K27" s="48"/>
      <c r="L27" s="48"/>
      <c r="M27" s="48"/>
      <c r="N27" s="48"/>
      <c r="O27" s="48"/>
      <c r="P27" s="48"/>
      <c r="Q27" s="49" t="s">
        <v>36</v>
      </c>
      <c r="R27" s="48"/>
      <c r="S27" s="48"/>
      <c r="T27" s="49" t="s">
        <v>535</v>
      </c>
      <c r="U27" s="47" t="s">
        <v>536</v>
      </c>
      <c r="V27" s="46" t="s">
        <v>622</v>
      </c>
      <c r="W27" s="46" t="s">
        <v>623</v>
      </c>
      <c r="X27" s="49" t="s">
        <v>465</v>
      </c>
      <c r="Y27" s="49" t="s">
        <v>540</v>
      </c>
      <c r="Z27" s="49"/>
      <c r="AA27" s="49" t="s">
        <v>467</v>
      </c>
      <c r="AB27" s="49" t="s">
        <v>466</v>
      </c>
      <c r="AC27" s="49"/>
      <c r="AD27" s="47"/>
      <c r="AE27" s="49"/>
      <c r="AF27" s="49"/>
      <c r="AG27" s="49"/>
      <c r="AH27" s="49" t="s">
        <v>469</v>
      </c>
      <c r="AI27" s="49" t="s">
        <v>469</v>
      </c>
      <c r="AJ27" s="47" t="s">
        <v>619</v>
      </c>
      <c r="AK27" s="52" t="s">
        <v>471</v>
      </c>
      <c r="AL27" s="53" t="s">
        <v>798</v>
      </c>
      <c r="AM27" s="54"/>
      <c r="AN27" s="31" t="b">
        <f>A27=[1]数字化与研发投入!A26</f>
        <v>1</v>
      </c>
      <c r="AO27" s="31" t="b">
        <f>B27=[1]数字化与研发投入!B26</f>
        <v>1</v>
      </c>
      <c r="AP27" s="31" t="b">
        <f>C27=[1]数字化与研发投入!C26</f>
        <v>1</v>
      </c>
      <c r="AQ27" s="31" t="b">
        <f>D27=[1]数字化与研发投入!D26</f>
        <v>1</v>
      </c>
      <c r="AR27" s="31" t="b">
        <f>E27=[1]数字化与研发投入!E26</f>
        <v>1</v>
      </c>
      <c r="AS27" s="31" t="b">
        <f>F27=[1]数字化与研发投入!F26</f>
        <v>1</v>
      </c>
      <c r="AT27" s="31" t="b">
        <f>G27=[1]数字化与研发投入!G26</f>
        <v>1</v>
      </c>
      <c r="AU27" s="31" t="b">
        <f>H27=[1]数字化与研发投入!H26</f>
        <v>1</v>
      </c>
      <c r="AV27" s="31" t="b">
        <f>I27=[1]数字化与研发投入!I26</f>
        <v>1</v>
      </c>
      <c r="AW27" s="31" t="b">
        <f>J27=[1]数字化与研发投入!J26</f>
        <v>1</v>
      </c>
      <c r="AX27" s="31" t="b">
        <f>K27=[1]数字化与研发投入!K26</f>
        <v>1</v>
      </c>
      <c r="AY27" s="31" t="b">
        <f>L27=[1]数字化与研发投入!L26</f>
        <v>1</v>
      </c>
      <c r="AZ27" s="31" t="b">
        <f>M27=[1]数字化与研发投入!M26</f>
        <v>1</v>
      </c>
      <c r="BA27" s="31" t="b">
        <f>N27=[1]数字化与研发投入!N26</f>
        <v>1</v>
      </c>
      <c r="BB27" s="31" t="b">
        <f>O27=[1]数字化与研发投入!O26</f>
        <v>1</v>
      </c>
      <c r="BC27" s="31" t="b">
        <f>P27=[1]数字化与研发投入!P26</f>
        <v>1</v>
      </c>
      <c r="BD27" s="31" t="b">
        <f>Q27=[1]数字化与研发投入!Q26</f>
        <v>1</v>
      </c>
      <c r="BE27" s="31" t="b">
        <f>R27=[1]数字化与研发投入!R26</f>
        <v>1</v>
      </c>
      <c r="BF27" s="31" t="b">
        <f>S27=[1]数字化与研发投入!S26</f>
        <v>1</v>
      </c>
      <c r="BG27" s="31" t="b">
        <f>T27=[1]数字化与研发投入!T26</f>
        <v>1</v>
      </c>
      <c r="BH27" s="31" t="b">
        <f>U27=[1]数字化与研发投入!U26</f>
        <v>1</v>
      </c>
      <c r="BI27" s="31" t="b">
        <f>V27=[1]数字化与研发投入!V26</f>
        <v>1</v>
      </c>
      <c r="BJ27" s="31" t="b">
        <f>W27=[1]数字化与研发投入!W26</f>
        <v>1</v>
      </c>
      <c r="BK27" s="31" t="b">
        <f>X27=[1]数字化与研发投入!X26</f>
        <v>1</v>
      </c>
      <c r="BL27" s="31" t="b">
        <f>Y27=[1]数字化与研发投入!Y26</f>
        <v>1</v>
      </c>
      <c r="BM27" s="31" t="b">
        <f>Z27=[1]数字化与研发投入!Z26</f>
        <v>1</v>
      </c>
      <c r="BN27" s="31" t="b">
        <f>AA27=[1]数字化与研发投入!AA26</f>
        <v>1</v>
      </c>
      <c r="BO27" s="31" t="b">
        <f>AB27=[1]数字化与研发投入!AB26</f>
        <v>1</v>
      </c>
      <c r="BP27" s="31" t="b">
        <f>AC27=[1]数字化与研发投入!AC26</f>
        <v>1</v>
      </c>
      <c r="BQ27" s="31" t="b">
        <f>AD27=[1]数字化与研发投入!AD26</f>
        <v>1</v>
      </c>
      <c r="BR27" s="31" t="b">
        <f>AE27=[1]数字化与研发投入!AE26</f>
        <v>1</v>
      </c>
      <c r="BS27" s="31" t="b">
        <f>AF27=[1]数字化与研发投入!AF26</f>
        <v>1</v>
      </c>
      <c r="BT27" s="31" t="b">
        <f>AG27=[1]数字化与研发投入!AG26</f>
        <v>1</v>
      </c>
      <c r="BU27" s="31" t="b">
        <f>AH27=[1]数字化与研发投入!AH26</f>
        <v>1</v>
      </c>
      <c r="BV27" s="31" t="b">
        <f>AI27=[1]数字化与研发投入!AI26</f>
        <v>1</v>
      </c>
      <c r="BW27" s="31" t="b">
        <f>AJ27=[1]数字化与研发投入!AJ26</f>
        <v>1</v>
      </c>
      <c r="BX27" s="31" t="b">
        <f>AK27=[1]数字化与研发投入!AK26</f>
        <v>1</v>
      </c>
    </row>
    <row r="28" s="33" customFormat="1" ht="83" customHeight="1" spans="1:76">
      <c r="A28" s="92" t="s">
        <v>624</v>
      </c>
      <c r="B28" s="93" t="s">
        <v>453</v>
      </c>
      <c r="C28" s="94" t="s">
        <v>454</v>
      </c>
      <c r="D28" s="94" t="s">
        <v>625</v>
      </c>
      <c r="E28" s="95" t="s">
        <v>626</v>
      </c>
      <c r="F28" s="93" t="s">
        <v>627</v>
      </c>
      <c r="G28" s="95" t="s">
        <v>628</v>
      </c>
      <c r="H28" s="95" t="s">
        <v>629</v>
      </c>
      <c r="I28" s="95" t="s">
        <v>630</v>
      </c>
      <c r="J28" s="95" t="s">
        <v>631</v>
      </c>
      <c r="K28" s="94"/>
      <c r="L28" s="94" t="s">
        <v>36</v>
      </c>
      <c r="M28" s="94" t="s">
        <v>36</v>
      </c>
      <c r="N28" s="94"/>
      <c r="O28" s="94"/>
      <c r="P28" s="94"/>
      <c r="Q28" s="94"/>
      <c r="R28" s="94"/>
      <c r="S28" s="94" t="s">
        <v>36</v>
      </c>
      <c r="T28" s="94" t="s">
        <v>535</v>
      </c>
      <c r="U28" s="95" t="s">
        <v>632</v>
      </c>
      <c r="V28" s="95" t="s">
        <v>633</v>
      </c>
      <c r="W28" s="95" t="s">
        <v>634</v>
      </c>
      <c r="X28" s="94" t="s">
        <v>467</v>
      </c>
      <c r="Y28" s="94" t="s">
        <v>635</v>
      </c>
      <c r="Z28" s="94"/>
      <c r="AA28" s="94" t="s">
        <v>467</v>
      </c>
      <c r="AB28" s="94" t="s">
        <v>635</v>
      </c>
      <c r="AC28" s="94"/>
      <c r="AD28" s="95"/>
      <c r="AE28" s="94"/>
      <c r="AF28" s="94"/>
      <c r="AG28" s="94"/>
      <c r="AH28" s="94" t="s">
        <v>469</v>
      </c>
      <c r="AI28" s="94" t="s">
        <v>469</v>
      </c>
      <c r="AJ28" s="96" t="s">
        <v>806</v>
      </c>
      <c r="AK28" s="94" t="s">
        <v>637</v>
      </c>
      <c r="AL28" s="97"/>
      <c r="AM28" s="54"/>
      <c r="AN28" s="31" t="b">
        <f>A28=[1]数字化与研发投入!A27</f>
        <v>1</v>
      </c>
      <c r="AO28" s="31" t="b">
        <f>B28=[1]数字化与研发投入!B27</f>
        <v>1</v>
      </c>
      <c r="AP28" s="31" t="b">
        <f>C28=[1]数字化与研发投入!C27</f>
        <v>1</v>
      </c>
      <c r="AQ28" s="31" t="b">
        <f>D28=[1]数字化与研发投入!D27</f>
        <v>1</v>
      </c>
      <c r="AR28" s="31" t="b">
        <f>E28=[1]数字化与研发投入!E27</f>
        <v>1</v>
      </c>
      <c r="AS28" s="31" t="b">
        <f>F28=[1]数字化与研发投入!F27</f>
        <v>1</v>
      </c>
      <c r="AT28" s="31" t="b">
        <f>G28=[1]数字化与研发投入!G27</f>
        <v>1</v>
      </c>
      <c r="AU28" s="31" t="b">
        <f>H28=[1]数字化与研发投入!H27</f>
        <v>1</v>
      </c>
      <c r="AV28" s="31" t="b">
        <f>I28=[1]数字化与研发投入!I27</f>
        <v>1</v>
      </c>
      <c r="AW28" s="31" t="b">
        <f>J28=[1]数字化与研发投入!J27</f>
        <v>1</v>
      </c>
      <c r="AX28" s="31" t="b">
        <f>K28=[1]数字化与研发投入!K27</f>
        <v>1</v>
      </c>
      <c r="AY28" s="31" t="b">
        <f>L28=[1]数字化与研发投入!L27</f>
        <v>1</v>
      </c>
      <c r="AZ28" s="31" t="b">
        <f>M28=[1]数字化与研发投入!M27</f>
        <v>1</v>
      </c>
      <c r="BA28" s="31" t="b">
        <f>N28=[1]数字化与研发投入!N27</f>
        <v>1</v>
      </c>
      <c r="BB28" s="31" t="b">
        <f>O28=[1]数字化与研发投入!O27</f>
        <v>1</v>
      </c>
      <c r="BC28" s="31" t="b">
        <f>P28=[1]数字化与研发投入!P27</f>
        <v>1</v>
      </c>
      <c r="BD28" s="31" t="b">
        <f>Q28=[1]数字化与研发投入!Q27</f>
        <v>1</v>
      </c>
      <c r="BE28" s="31" t="b">
        <f>R28=[1]数字化与研发投入!R27</f>
        <v>1</v>
      </c>
      <c r="BF28" s="31" t="b">
        <f>S28=[1]数字化与研发投入!S27</f>
        <v>1</v>
      </c>
      <c r="BG28" s="31" t="b">
        <f>T28=[1]数字化与研发投入!T27</f>
        <v>1</v>
      </c>
      <c r="BH28" s="31" t="b">
        <f>U28=[1]数字化与研发投入!U27</f>
        <v>1</v>
      </c>
      <c r="BI28" s="31" t="b">
        <f>V28=[1]数字化与研发投入!V27</f>
        <v>1</v>
      </c>
      <c r="BJ28" s="31" t="b">
        <f>W28=[1]数字化与研发投入!W27</f>
        <v>1</v>
      </c>
      <c r="BK28" s="31" t="b">
        <f>X28=[1]数字化与研发投入!X27</f>
        <v>1</v>
      </c>
      <c r="BL28" s="31" t="b">
        <f>Y28=[1]数字化与研发投入!Y27</f>
        <v>1</v>
      </c>
      <c r="BM28" s="31" t="b">
        <f>Z28=[1]数字化与研发投入!Z27</f>
        <v>1</v>
      </c>
      <c r="BN28" s="31" t="b">
        <f>AA28=[1]数字化与研发投入!AA27</f>
        <v>1</v>
      </c>
      <c r="BO28" s="31" t="b">
        <f>AB28=[1]数字化与研发投入!AB27</f>
        <v>1</v>
      </c>
      <c r="BP28" s="31" t="b">
        <f>AC28=[1]数字化与研发投入!AC27</f>
        <v>1</v>
      </c>
      <c r="BQ28" s="31" t="b">
        <f>AD28=[1]数字化与研发投入!AD27</f>
        <v>1</v>
      </c>
      <c r="BR28" s="31" t="b">
        <f>AE28=[1]数字化与研发投入!AE27</f>
        <v>1</v>
      </c>
      <c r="BS28" s="31" t="b">
        <f>AF28=[1]数字化与研发投入!AF27</f>
        <v>1</v>
      </c>
      <c r="BT28" s="31" t="b">
        <f>AG28=[1]数字化与研发投入!AG27</f>
        <v>1</v>
      </c>
      <c r="BU28" s="31" t="b">
        <f>AH28=[1]数字化与研发投入!AH27</f>
        <v>1</v>
      </c>
      <c r="BV28" s="31" t="b">
        <f>AI28=[1]数字化与研发投入!AI27</f>
        <v>1</v>
      </c>
      <c r="BW28" s="31" t="b">
        <f>AJ28=[1]数字化与研发投入!AJ27</f>
        <v>1</v>
      </c>
      <c r="BX28" s="31" t="b">
        <f>AK28=[1]数字化与研发投入!AK27</f>
        <v>1</v>
      </c>
    </row>
    <row r="29" s="33" customFormat="1" ht="125" customHeight="1" spans="1:76">
      <c r="A29" s="92"/>
      <c r="B29" s="93"/>
      <c r="C29" s="94"/>
      <c r="D29" s="94"/>
      <c r="E29" s="95"/>
      <c r="F29" s="92"/>
      <c r="G29" s="95"/>
      <c r="H29" s="95"/>
      <c r="I29" s="95" t="s">
        <v>638</v>
      </c>
      <c r="J29" s="95" t="s">
        <v>639</v>
      </c>
      <c r="K29" s="94"/>
      <c r="L29" s="94" t="s">
        <v>36</v>
      </c>
      <c r="M29" s="94" t="s">
        <v>36</v>
      </c>
      <c r="N29" s="94"/>
      <c r="O29" s="94"/>
      <c r="P29" s="94"/>
      <c r="Q29" s="94"/>
      <c r="R29" s="94"/>
      <c r="S29" s="94" t="s">
        <v>36</v>
      </c>
      <c r="T29" s="94" t="s">
        <v>475</v>
      </c>
      <c r="U29" s="95"/>
      <c r="V29" s="95" t="s">
        <v>640</v>
      </c>
      <c r="W29" s="95" t="s">
        <v>641</v>
      </c>
      <c r="X29" s="94" t="s">
        <v>467</v>
      </c>
      <c r="Y29" s="94" t="s">
        <v>635</v>
      </c>
      <c r="Z29" s="94"/>
      <c r="AA29" s="94" t="s">
        <v>467</v>
      </c>
      <c r="AB29" s="94" t="s">
        <v>635</v>
      </c>
      <c r="AC29" s="94"/>
      <c r="AD29" s="95"/>
      <c r="AE29" s="94"/>
      <c r="AF29" s="94"/>
      <c r="AG29" s="94"/>
      <c r="AH29" s="94" t="s">
        <v>469</v>
      </c>
      <c r="AI29" s="94" t="s">
        <v>469</v>
      </c>
      <c r="AJ29" s="96" t="s">
        <v>806</v>
      </c>
      <c r="AK29" s="94" t="s">
        <v>637</v>
      </c>
      <c r="AL29" s="97"/>
      <c r="AM29" s="54"/>
      <c r="AN29" s="31" t="b">
        <f>A29=[1]数字化与研发投入!A28</f>
        <v>1</v>
      </c>
      <c r="AO29" s="31" t="b">
        <f>B29=[1]数字化与研发投入!B28</f>
        <v>1</v>
      </c>
      <c r="AP29" s="31" t="b">
        <f>C29=[1]数字化与研发投入!C28</f>
        <v>1</v>
      </c>
      <c r="AQ29" s="31" t="b">
        <f>D29=[1]数字化与研发投入!D28</f>
        <v>1</v>
      </c>
      <c r="AR29" s="31" t="b">
        <f>E29=[1]数字化与研发投入!E28</f>
        <v>1</v>
      </c>
      <c r="AS29" s="31" t="b">
        <f>F29=[1]数字化与研发投入!F28</f>
        <v>1</v>
      </c>
      <c r="AT29" s="31" t="b">
        <f>G29=[1]数字化与研发投入!G28</f>
        <v>1</v>
      </c>
      <c r="AU29" s="31" t="b">
        <f>H29=[1]数字化与研发投入!H28</f>
        <v>1</v>
      </c>
      <c r="AV29" s="31" t="b">
        <f>I29=[1]数字化与研发投入!I28</f>
        <v>1</v>
      </c>
      <c r="AW29" s="31" t="b">
        <f>J29=[1]数字化与研发投入!J28</f>
        <v>1</v>
      </c>
      <c r="AX29" s="31" t="b">
        <f>K29=[1]数字化与研发投入!K28</f>
        <v>1</v>
      </c>
      <c r="AY29" s="31" t="b">
        <f>L29=[1]数字化与研发投入!L28</f>
        <v>1</v>
      </c>
      <c r="AZ29" s="31" t="b">
        <f>M29=[1]数字化与研发投入!M28</f>
        <v>1</v>
      </c>
      <c r="BA29" s="31" t="b">
        <f>N29=[1]数字化与研发投入!N28</f>
        <v>1</v>
      </c>
      <c r="BB29" s="31" t="b">
        <f>O29=[1]数字化与研发投入!O28</f>
        <v>1</v>
      </c>
      <c r="BC29" s="31" t="b">
        <f>P29=[1]数字化与研发投入!P28</f>
        <v>1</v>
      </c>
      <c r="BD29" s="31" t="b">
        <f>Q29=[1]数字化与研发投入!Q28</f>
        <v>1</v>
      </c>
      <c r="BE29" s="31" t="b">
        <f>R29=[1]数字化与研发投入!R28</f>
        <v>1</v>
      </c>
      <c r="BF29" s="31" t="b">
        <f>S29=[1]数字化与研发投入!S28</f>
        <v>1</v>
      </c>
      <c r="BG29" s="31" t="b">
        <f>T29=[1]数字化与研发投入!T28</f>
        <v>1</v>
      </c>
      <c r="BH29" s="31" t="b">
        <f>U29=[1]数字化与研发投入!U28</f>
        <v>1</v>
      </c>
      <c r="BI29" s="31" t="b">
        <f>V29=[1]数字化与研发投入!V28</f>
        <v>1</v>
      </c>
      <c r="BJ29" s="31" t="b">
        <f>W29=[1]数字化与研发投入!W28</f>
        <v>1</v>
      </c>
      <c r="BK29" s="31" t="b">
        <f>X29=[1]数字化与研发投入!X28</f>
        <v>1</v>
      </c>
      <c r="BL29" s="31" t="b">
        <f>Y29=[1]数字化与研发投入!Y28</f>
        <v>1</v>
      </c>
      <c r="BM29" s="31" t="b">
        <f>Z29=[1]数字化与研发投入!Z28</f>
        <v>1</v>
      </c>
      <c r="BN29" s="31" t="b">
        <f>AA29=[1]数字化与研发投入!AA28</f>
        <v>1</v>
      </c>
      <c r="BO29" s="31" t="b">
        <f>AB29=[1]数字化与研发投入!AB28</f>
        <v>1</v>
      </c>
      <c r="BP29" s="31" t="b">
        <f>AC29=[1]数字化与研发投入!AC28</f>
        <v>1</v>
      </c>
      <c r="BQ29" s="31" t="b">
        <f>AD29=[1]数字化与研发投入!AD28</f>
        <v>1</v>
      </c>
      <c r="BR29" s="31" t="b">
        <f>AE29=[1]数字化与研发投入!AE28</f>
        <v>1</v>
      </c>
      <c r="BS29" s="31" t="b">
        <f>AF29=[1]数字化与研发投入!AF28</f>
        <v>1</v>
      </c>
      <c r="BT29" s="31" t="b">
        <f>AG29=[1]数字化与研发投入!AG28</f>
        <v>1</v>
      </c>
      <c r="BU29" s="31" t="b">
        <f>AH29=[1]数字化与研发投入!AH28</f>
        <v>1</v>
      </c>
      <c r="BV29" s="31" t="b">
        <f>AI29=[1]数字化与研发投入!AI28</f>
        <v>1</v>
      </c>
      <c r="BW29" s="31" t="b">
        <f>AJ29=[1]数字化与研发投入!AJ28</f>
        <v>1</v>
      </c>
      <c r="BX29" s="31" t="b">
        <f>AK29=[1]数字化与研发投入!AK28</f>
        <v>1</v>
      </c>
    </row>
    <row r="30" s="33" customFormat="1" ht="253" customHeight="1" spans="1:76">
      <c r="A30" s="92" t="s">
        <v>624</v>
      </c>
      <c r="B30" s="92" t="s">
        <v>516</v>
      </c>
      <c r="C30" s="94" t="s">
        <v>517</v>
      </c>
      <c r="D30" s="94" t="s">
        <v>495</v>
      </c>
      <c r="E30" s="95" t="s">
        <v>642</v>
      </c>
      <c r="F30" s="92"/>
      <c r="G30" s="95" t="s">
        <v>643</v>
      </c>
      <c r="H30" s="95" t="s">
        <v>644</v>
      </c>
      <c r="I30" s="95" t="s">
        <v>645</v>
      </c>
      <c r="J30" s="95" t="s">
        <v>646</v>
      </c>
      <c r="K30" s="94"/>
      <c r="L30" s="94"/>
      <c r="M30" s="94" t="s">
        <v>36</v>
      </c>
      <c r="N30" s="94" t="s">
        <v>36</v>
      </c>
      <c r="O30" s="94"/>
      <c r="P30" s="94"/>
      <c r="Q30" s="94"/>
      <c r="R30" s="94"/>
      <c r="S30" s="94"/>
      <c r="T30" s="94" t="s">
        <v>535</v>
      </c>
      <c r="U30" s="95" t="s">
        <v>536</v>
      </c>
      <c r="V30" s="95" t="s">
        <v>647</v>
      </c>
      <c r="W30" s="95" t="s">
        <v>648</v>
      </c>
      <c r="X30" s="94" t="s">
        <v>467</v>
      </c>
      <c r="Y30" s="94" t="s">
        <v>466</v>
      </c>
      <c r="Z30" s="94"/>
      <c r="AA30" s="94" t="s">
        <v>467</v>
      </c>
      <c r="AB30" s="94" t="s">
        <v>466</v>
      </c>
      <c r="AC30" s="94"/>
      <c r="AD30" s="95" t="s">
        <v>649</v>
      </c>
      <c r="AE30" s="94" t="s">
        <v>467</v>
      </c>
      <c r="AF30" s="94" t="s">
        <v>466</v>
      </c>
      <c r="AG30" s="94"/>
      <c r="AH30" s="94" t="s">
        <v>469</v>
      </c>
      <c r="AI30" s="94" t="s">
        <v>469</v>
      </c>
      <c r="AJ30" s="96" t="s">
        <v>807</v>
      </c>
      <c r="AK30" s="94" t="s">
        <v>637</v>
      </c>
      <c r="AL30" s="97"/>
      <c r="AM30" s="54"/>
      <c r="AN30" s="31" t="b">
        <f>A30=[1]数字化与研发投入!A29</f>
        <v>1</v>
      </c>
      <c r="AO30" s="31" t="b">
        <f>B30=[1]数字化与研发投入!B29</f>
        <v>1</v>
      </c>
      <c r="AP30" s="31" t="b">
        <f>C30=[1]数字化与研发投入!C29</f>
        <v>1</v>
      </c>
      <c r="AQ30" s="31" t="b">
        <f>D30=[1]数字化与研发投入!D29</f>
        <v>1</v>
      </c>
      <c r="AR30" s="31" t="b">
        <f>E30=[1]数字化与研发投入!E29</f>
        <v>1</v>
      </c>
      <c r="AS30" s="31" t="b">
        <f>F30=[1]数字化与研发投入!F29</f>
        <v>1</v>
      </c>
      <c r="AT30" s="31" t="b">
        <f>G30=[1]数字化与研发投入!G29</f>
        <v>1</v>
      </c>
      <c r="AU30" s="31" t="b">
        <f>H30=[1]数字化与研发投入!H29</f>
        <v>1</v>
      </c>
      <c r="AV30" s="31" t="b">
        <f>I30=[1]数字化与研发投入!I29</f>
        <v>1</v>
      </c>
      <c r="AW30" s="31" t="b">
        <f>J30=[1]数字化与研发投入!J29</f>
        <v>1</v>
      </c>
      <c r="AX30" s="31" t="b">
        <f>K30=[1]数字化与研发投入!K29</f>
        <v>1</v>
      </c>
      <c r="AY30" s="31" t="b">
        <f>L30=[1]数字化与研发投入!L29</f>
        <v>1</v>
      </c>
      <c r="AZ30" s="31" t="b">
        <f>M30=[1]数字化与研发投入!M29</f>
        <v>1</v>
      </c>
      <c r="BA30" s="31" t="b">
        <f>N30=[1]数字化与研发投入!N29</f>
        <v>1</v>
      </c>
      <c r="BB30" s="31" t="b">
        <f>O30=[1]数字化与研发投入!O29</f>
        <v>1</v>
      </c>
      <c r="BC30" s="31" t="b">
        <f>P30=[1]数字化与研发投入!P29</f>
        <v>1</v>
      </c>
      <c r="BD30" s="31" t="b">
        <f>Q30=[1]数字化与研发投入!Q29</f>
        <v>1</v>
      </c>
      <c r="BE30" s="31" t="b">
        <f>R30=[1]数字化与研发投入!R29</f>
        <v>1</v>
      </c>
      <c r="BF30" s="31" t="b">
        <f>S30=[1]数字化与研发投入!S29</f>
        <v>1</v>
      </c>
      <c r="BG30" s="31" t="b">
        <f>T30=[1]数字化与研发投入!T29</f>
        <v>1</v>
      </c>
      <c r="BH30" s="31" t="b">
        <f>U30=[1]数字化与研发投入!U29</f>
        <v>1</v>
      </c>
      <c r="BI30" s="31" t="b">
        <f>V30=[1]数字化与研发投入!V29</f>
        <v>1</v>
      </c>
      <c r="BJ30" s="31" t="b">
        <f>W30=[1]数字化与研发投入!W29</f>
        <v>1</v>
      </c>
      <c r="BK30" s="31" t="b">
        <f>X30=[1]数字化与研发投入!X29</f>
        <v>1</v>
      </c>
      <c r="BL30" s="31" t="b">
        <f>Y30=[1]数字化与研发投入!Y29</f>
        <v>1</v>
      </c>
      <c r="BM30" s="31" t="b">
        <f>Z30=[1]数字化与研发投入!Z29</f>
        <v>1</v>
      </c>
      <c r="BN30" s="31" t="b">
        <f>AA30=[1]数字化与研发投入!AA29</f>
        <v>1</v>
      </c>
      <c r="BO30" s="31" t="b">
        <f>AB30=[1]数字化与研发投入!AB29</f>
        <v>1</v>
      </c>
      <c r="BP30" s="31" t="b">
        <f>AC30=[1]数字化与研发投入!AC29</f>
        <v>1</v>
      </c>
      <c r="BQ30" s="31" t="b">
        <f>AD30=[1]数字化与研发投入!AD29</f>
        <v>1</v>
      </c>
      <c r="BR30" s="31" t="b">
        <f>AE30=[1]数字化与研发投入!AE29</f>
        <v>1</v>
      </c>
      <c r="BS30" s="31" t="b">
        <f>AF30=[1]数字化与研发投入!AF29</f>
        <v>1</v>
      </c>
      <c r="BT30" s="31" t="b">
        <f>AG30=[1]数字化与研发投入!AG29</f>
        <v>1</v>
      </c>
      <c r="BU30" s="31" t="b">
        <f>AH30=[1]数字化与研发投入!AH29</f>
        <v>1</v>
      </c>
      <c r="BV30" s="31" t="b">
        <f>AI30=[1]数字化与研发投入!AI29</f>
        <v>1</v>
      </c>
      <c r="BW30" s="31" t="b">
        <f>AJ30=[1]数字化与研发投入!AJ29</f>
        <v>1</v>
      </c>
      <c r="BX30" s="31" t="b">
        <f>AK30=[1]数字化与研发投入!AK29</f>
        <v>1</v>
      </c>
    </row>
    <row r="31" s="33" customFormat="1" ht="201" customHeight="1" spans="1:76">
      <c r="A31" s="92"/>
      <c r="B31" s="92"/>
      <c r="C31" s="94"/>
      <c r="D31" s="94"/>
      <c r="E31" s="95"/>
      <c r="F31" s="92"/>
      <c r="G31" s="95"/>
      <c r="H31" s="95"/>
      <c r="I31" s="95" t="s">
        <v>651</v>
      </c>
      <c r="J31" s="95" t="s">
        <v>652</v>
      </c>
      <c r="K31" s="94"/>
      <c r="L31" s="94"/>
      <c r="M31" s="94"/>
      <c r="N31" s="94"/>
      <c r="O31" s="94"/>
      <c r="P31" s="94"/>
      <c r="Q31" s="94"/>
      <c r="R31" s="94"/>
      <c r="S31" s="94" t="s">
        <v>36</v>
      </c>
      <c r="T31" s="94" t="s">
        <v>475</v>
      </c>
      <c r="U31" s="95"/>
      <c r="V31" s="95" t="s">
        <v>653</v>
      </c>
      <c r="W31" s="95" t="s">
        <v>654</v>
      </c>
      <c r="X31" s="94" t="s">
        <v>467</v>
      </c>
      <c r="Y31" s="94" t="s">
        <v>466</v>
      </c>
      <c r="Z31" s="94"/>
      <c r="AA31" s="94" t="s">
        <v>467</v>
      </c>
      <c r="AB31" s="94" t="s">
        <v>466</v>
      </c>
      <c r="AC31" s="94"/>
      <c r="AD31" s="95"/>
      <c r="AE31" s="94"/>
      <c r="AF31" s="94"/>
      <c r="AG31" s="94"/>
      <c r="AH31" s="94" t="s">
        <v>469</v>
      </c>
      <c r="AI31" s="94" t="s">
        <v>469</v>
      </c>
      <c r="AJ31" s="96" t="s">
        <v>808</v>
      </c>
      <c r="AK31" s="94" t="s">
        <v>637</v>
      </c>
      <c r="AL31" s="97"/>
      <c r="AM31" s="54"/>
      <c r="AN31" s="31" t="b">
        <f>A31=[1]数字化与研发投入!A30</f>
        <v>1</v>
      </c>
      <c r="AO31" s="31" t="b">
        <f>B31=[1]数字化与研发投入!B30</f>
        <v>1</v>
      </c>
      <c r="AP31" s="31" t="b">
        <f>C31=[1]数字化与研发投入!C30</f>
        <v>1</v>
      </c>
      <c r="AQ31" s="31" t="b">
        <f>D31=[1]数字化与研发投入!D30</f>
        <v>1</v>
      </c>
      <c r="AR31" s="31" t="b">
        <f>E31=[1]数字化与研发投入!E30</f>
        <v>1</v>
      </c>
      <c r="AS31" s="31" t="b">
        <f>F31=[1]数字化与研发投入!F30</f>
        <v>1</v>
      </c>
      <c r="AT31" s="31" t="b">
        <f>G31=[1]数字化与研发投入!G30</f>
        <v>1</v>
      </c>
      <c r="AU31" s="31" t="b">
        <f>H31=[1]数字化与研发投入!H30</f>
        <v>1</v>
      </c>
      <c r="AV31" s="31" t="b">
        <f>I31=[1]数字化与研发投入!I30</f>
        <v>1</v>
      </c>
      <c r="AW31" s="31" t="b">
        <f>J31=[1]数字化与研发投入!J30</f>
        <v>1</v>
      </c>
      <c r="AX31" s="31" t="b">
        <f>K31=[1]数字化与研发投入!K30</f>
        <v>1</v>
      </c>
      <c r="AY31" s="31" t="b">
        <f>L31=[1]数字化与研发投入!L30</f>
        <v>1</v>
      </c>
      <c r="AZ31" s="31" t="b">
        <f>M31=[1]数字化与研发投入!M30</f>
        <v>1</v>
      </c>
      <c r="BA31" s="31" t="b">
        <f>N31=[1]数字化与研发投入!N30</f>
        <v>1</v>
      </c>
      <c r="BB31" s="31" t="b">
        <f>O31=[1]数字化与研发投入!O30</f>
        <v>1</v>
      </c>
      <c r="BC31" s="31" t="b">
        <f>P31=[1]数字化与研发投入!P30</f>
        <v>1</v>
      </c>
      <c r="BD31" s="31" t="b">
        <f>Q31=[1]数字化与研发投入!Q30</f>
        <v>1</v>
      </c>
      <c r="BE31" s="31" t="b">
        <f>R31=[1]数字化与研发投入!R30</f>
        <v>1</v>
      </c>
      <c r="BF31" s="31" t="b">
        <f>S31=[1]数字化与研发投入!S30</f>
        <v>1</v>
      </c>
      <c r="BG31" s="31" t="b">
        <f>T31=[1]数字化与研发投入!T30</f>
        <v>1</v>
      </c>
      <c r="BH31" s="31" t="b">
        <f>U31=[1]数字化与研发投入!U30</f>
        <v>1</v>
      </c>
      <c r="BI31" s="31" t="b">
        <f>V31=[1]数字化与研发投入!V30</f>
        <v>1</v>
      </c>
      <c r="BJ31" s="31" t="b">
        <f>W31=[1]数字化与研发投入!W30</f>
        <v>1</v>
      </c>
      <c r="BK31" s="31" t="b">
        <f>X31=[1]数字化与研发投入!X30</f>
        <v>1</v>
      </c>
      <c r="BL31" s="31" t="b">
        <f>Y31=[1]数字化与研发投入!Y30</f>
        <v>1</v>
      </c>
      <c r="BM31" s="31" t="b">
        <f>Z31=[1]数字化与研发投入!Z30</f>
        <v>1</v>
      </c>
      <c r="BN31" s="31" t="b">
        <f>AA31=[1]数字化与研发投入!AA30</f>
        <v>1</v>
      </c>
      <c r="BO31" s="31" t="b">
        <f>AB31=[1]数字化与研发投入!AB30</f>
        <v>1</v>
      </c>
      <c r="BP31" s="31" t="b">
        <f>AC31=[1]数字化与研发投入!AC30</f>
        <v>1</v>
      </c>
      <c r="BQ31" s="31" t="b">
        <f>AD31=[1]数字化与研发投入!AD30</f>
        <v>1</v>
      </c>
      <c r="BR31" s="31" t="b">
        <f>AE31=[1]数字化与研发投入!AE30</f>
        <v>1</v>
      </c>
      <c r="BS31" s="31" t="b">
        <f>AF31=[1]数字化与研发投入!AF30</f>
        <v>1</v>
      </c>
      <c r="BT31" s="31" t="b">
        <f>AG31=[1]数字化与研发投入!AG30</f>
        <v>1</v>
      </c>
      <c r="BU31" s="31" t="b">
        <f>AH31=[1]数字化与研发投入!AH30</f>
        <v>1</v>
      </c>
      <c r="BV31" s="31" t="b">
        <f>AI31=[1]数字化与研发投入!AI30</f>
        <v>1</v>
      </c>
      <c r="BW31" s="31" t="b">
        <f>AJ31=[1]数字化与研发投入!AJ30</f>
        <v>1</v>
      </c>
      <c r="BX31" s="31" t="b">
        <f>AK31=[1]数字化与研发投入!AK30</f>
        <v>1</v>
      </c>
    </row>
    <row r="32" s="33" customFormat="1" ht="187" customHeight="1" spans="1:76">
      <c r="A32" s="92"/>
      <c r="B32" s="92"/>
      <c r="C32" s="94"/>
      <c r="D32" s="94" t="s">
        <v>518</v>
      </c>
      <c r="E32" s="95" t="s">
        <v>656</v>
      </c>
      <c r="F32" s="93" t="s">
        <v>657</v>
      </c>
      <c r="G32" s="95" t="s">
        <v>658</v>
      </c>
      <c r="H32" s="95" t="s">
        <v>659</v>
      </c>
      <c r="I32" s="95" t="s">
        <v>660</v>
      </c>
      <c r="J32" s="95" t="s">
        <v>661</v>
      </c>
      <c r="K32" s="94"/>
      <c r="L32" s="94"/>
      <c r="M32" s="94" t="s">
        <v>36</v>
      </c>
      <c r="N32" s="94"/>
      <c r="O32" s="94" t="s">
        <v>36</v>
      </c>
      <c r="P32" s="94" t="s">
        <v>36</v>
      </c>
      <c r="Q32" s="94"/>
      <c r="R32" s="94"/>
      <c r="S32" s="94"/>
      <c r="T32" s="94" t="s">
        <v>535</v>
      </c>
      <c r="U32" s="95" t="s">
        <v>536</v>
      </c>
      <c r="V32" s="95" t="s">
        <v>662</v>
      </c>
      <c r="W32" s="95" t="s">
        <v>663</v>
      </c>
      <c r="X32" s="94" t="s">
        <v>503</v>
      </c>
      <c r="Y32" s="94" t="s">
        <v>540</v>
      </c>
      <c r="Z32" s="94"/>
      <c r="AA32" s="94" t="s">
        <v>503</v>
      </c>
      <c r="AB32" s="94" t="s">
        <v>540</v>
      </c>
      <c r="AC32" s="94"/>
      <c r="AD32" s="95" t="s">
        <v>664</v>
      </c>
      <c r="AE32" s="94" t="s">
        <v>665</v>
      </c>
      <c r="AF32" s="94" t="s">
        <v>540</v>
      </c>
      <c r="AG32" s="94"/>
      <c r="AH32" s="94" t="s">
        <v>469</v>
      </c>
      <c r="AI32" s="94" t="s">
        <v>469</v>
      </c>
      <c r="AJ32" s="96" t="s">
        <v>809</v>
      </c>
      <c r="AK32" s="94" t="s">
        <v>667</v>
      </c>
      <c r="AL32" s="97"/>
      <c r="AM32" s="54"/>
      <c r="AN32" s="31" t="b">
        <f>A32=[1]数字化与研发投入!A31</f>
        <v>1</v>
      </c>
      <c r="AO32" s="31" t="b">
        <f>B32=[1]数字化与研发投入!B31</f>
        <v>1</v>
      </c>
      <c r="AP32" s="31" t="b">
        <f>C32=[1]数字化与研发投入!C31</f>
        <v>1</v>
      </c>
      <c r="AQ32" s="31" t="b">
        <f>D32=[1]数字化与研发投入!D31</f>
        <v>1</v>
      </c>
      <c r="AR32" s="31" t="b">
        <f>E32=[1]数字化与研发投入!E31</f>
        <v>1</v>
      </c>
      <c r="AS32" s="31" t="b">
        <f>F32=[1]数字化与研发投入!F31</f>
        <v>1</v>
      </c>
      <c r="AT32" s="31" t="b">
        <f>G32=[1]数字化与研发投入!G31</f>
        <v>1</v>
      </c>
      <c r="AU32" s="31" t="b">
        <f>H32=[1]数字化与研发投入!H31</f>
        <v>1</v>
      </c>
      <c r="AV32" s="31" t="b">
        <f>I32=[1]数字化与研发投入!I31</f>
        <v>1</v>
      </c>
      <c r="AW32" s="31" t="b">
        <f>J32=[1]数字化与研发投入!J31</f>
        <v>1</v>
      </c>
      <c r="AX32" s="31" t="b">
        <f>K32=[1]数字化与研发投入!K31</f>
        <v>1</v>
      </c>
      <c r="AY32" s="31" t="b">
        <f>L32=[1]数字化与研发投入!L31</f>
        <v>1</v>
      </c>
      <c r="AZ32" s="31" t="b">
        <f>M32=[1]数字化与研发投入!M31</f>
        <v>1</v>
      </c>
      <c r="BA32" s="31" t="b">
        <f>N32=[1]数字化与研发投入!N31</f>
        <v>1</v>
      </c>
      <c r="BB32" s="31" t="b">
        <f>O32=[1]数字化与研发投入!O31</f>
        <v>1</v>
      </c>
      <c r="BC32" s="31" t="b">
        <f>P32=[1]数字化与研发投入!P31</f>
        <v>1</v>
      </c>
      <c r="BD32" s="31" t="b">
        <f>Q32=[1]数字化与研发投入!Q31</f>
        <v>1</v>
      </c>
      <c r="BE32" s="31" t="b">
        <f>R32=[1]数字化与研发投入!R31</f>
        <v>1</v>
      </c>
      <c r="BF32" s="31" t="b">
        <f>S32=[1]数字化与研发投入!S31</f>
        <v>1</v>
      </c>
      <c r="BG32" s="31" t="b">
        <f>T32=[1]数字化与研发投入!T31</f>
        <v>1</v>
      </c>
      <c r="BH32" s="31" t="b">
        <f>U32=[1]数字化与研发投入!U31</f>
        <v>1</v>
      </c>
      <c r="BI32" s="31" t="b">
        <f>V32=[1]数字化与研发投入!V31</f>
        <v>1</v>
      </c>
      <c r="BJ32" s="31" t="b">
        <f>W32=[1]数字化与研发投入!W31</f>
        <v>1</v>
      </c>
      <c r="BK32" s="31" t="b">
        <f>X32=[1]数字化与研发投入!X31</f>
        <v>1</v>
      </c>
      <c r="BL32" s="31" t="b">
        <f>Y32=[1]数字化与研发投入!Y31</f>
        <v>1</v>
      </c>
      <c r="BM32" s="31" t="b">
        <f>Z32=[1]数字化与研发投入!Z31</f>
        <v>1</v>
      </c>
      <c r="BN32" s="31" t="b">
        <f>AA32=[1]数字化与研发投入!AA31</f>
        <v>1</v>
      </c>
      <c r="BO32" s="31" t="b">
        <f>AB32=[1]数字化与研发投入!AB31</f>
        <v>1</v>
      </c>
      <c r="BP32" s="31" t="b">
        <f>AC32=[1]数字化与研发投入!AC31</f>
        <v>1</v>
      </c>
      <c r="BQ32" s="31" t="b">
        <f>AD32=[1]数字化与研发投入!AD31</f>
        <v>1</v>
      </c>
      <c r="BR32" s="31" t="b">
        <f>AE32=[1]数字化与研发投入!AE31</f>
        <v>1</v>
      </c>
      <c r="BS32" s="31" t="b">
        <f>AF32=[1]数字化与研发投入!AF31</f>
        <v>1</v>
      </c>
      <c r="BT32" s="31" t="b">
        <f>AG32=[1]数字化与研发投入!AG31</f>
        <v>1</v>
      </c>
      <c r="BU32" s="31" t="b">
        <f>AH32=[1]数字化与研发投入!AH31</f>
        <v>1</v>
      </c>
      <c r="BV32" s="31" t="b">
        <f>AI32=[1]数字化与研发投入!AI31</f>
        <v>1</v>
      </c>
      <c r="BW32" s="31" t="b">
        <f>AJ32=[1]数字化与研发投入!AJ31</f>
        <v>1</v>
      </c>
      <c r="BX32" s="31" t="b">
        <f>AK32=[1]数字化与研发投入!AK31</f>
        <v>1</v>
      </c>
    </row>
    <row r="33" s="33" customFormat="1" ht="151" customHeight="1" spans="1:76">
      <c r="A33" s="92"/>
      <c r="B33" s="92"/>
      <c r="C33" s="94"/>
      <c r="D33" s="94"/>
      <c r="E33" s="95"/>
      <c r="F33" s="92"/>
      <c r="G33" s="95"/>
      <c r="H33" s="95"/>
      <c r="I33" s="95" t="s">
        <v>668</v>
      </c>
      <c r="J33" s="95" t="s">
        <v>669</v>
      </c>
      <c r="K33" s="98"/>
      <c r="L33" s="94"/>
      <c r="M33" s="94" t="s">
        <v>36</v>
      </c>
      <c r="N33" s="94"/>
      <c r="O33" s="94" t="s">
        <v>36</v>
      </c>
      <c r="P33" s="94"/>
      <c r="Q33" s="94"/>
      <c r="R33" s="94"/>
      <c r="S33" s="94"/>
      <c r="T33" s="94" t="s">
        <v>475</v>
      </c>
      <c r="U33" s="95"/>
      <c r="V33" s="95" t="s">
        <v>670</v>
      </c>
      <c r="W33" s="95" t="s">
        <v>654</v>
      </c>
      <c r="X33" s="94" t="s">
        <v>503</v>
      </c>
      <c r="Y33" s="94" t="s">
        <v>540</v>
      </c>
      <c r="Z33" s="94"/>
      <c r="AA33" s="94" t="s">
        <v>503</v>
      </c>
      <c r="AB33" s="94" t="s">
        <v>540</v>
      </c>
      <c r="AC33" s="94"/>
      <c r="AD33" s="95"/>
      <c r="AE33" s="94"/>
      <c r="AF33" s="94"/>
      <c r="AG33" s="94"/>
      <c r="AH33" s="94" t="s">
        <v>469</v>
      </c>
      <c r="AI33" s="94" t="s">
        <v>469</v>
      </c>
      <c r="AJ33" s="96" t="s">
        <v>809</v>
      </c>
      <c r="AK33" s="94" t="s">
        <v>667</v>
      </c>
      <c r="AL33" s="97"/>
      <c r="AM33" s="54"/>
      <c r="AN33" s="31" t="b">
        <f>A33=[1]数字化与研发投入!A32</f>
        <v>1</v>
      </c>
      <c r="AO33" s="31" t="b">
        <f>B33=[1]数字化与研发投入!B32</f>
        <v>1</v>
      </c>
      <c r="AP33" s="31" t="b">
        <f>C33=[1]数字化与研发投入!C32</f>
        <v>1</v>
      </c>
      <c r="AQ33" s="31" t="b">
        <f>D33=[1]数字化与研发投入!D32</f>
        <v>1</v>
      </c>
      <c r="AR33" s="31" t="b">
        <f>E33=[1]数字化与研发投入!E32</f>
        <v>1</v>
      </c>
      <c r="AS33" s="31" t="b">
        <f>F33=[1]数字化与研发投入!F32</f>
        <v>1</v>
      </c>
      <c r="AT33" s="31" t="b">
        <f>G33=[1]数字化与研发投入!G32</f>
        <v>1</v>
      </c>
      <c r="AU33" s="31" t="b">
        <f>H33=[1]数字化与研发投入!H32</f>
        <v>1</v>
      </c>
      <c r="AV33" s="31" t="b">
        <f>I33=[1]数字化与研发投入!I32</f>
        <v>1</v>
      </c>
      <c r="AW33" s="31" t="b">
        <f>J33=[1]数字化与研发投入!J32</f>
        <v>1</v>
      </c>
      <c r="AX33" s="31" t="b">
        <f>K33=[1]数字化与研发投入!K32</f>
        <v>1</v>
      </c>
      <c r="AY33" s="31" t="b">
        <f>L33=[1]数字化与研发投入!L32</f>
        <v>1</v>
      </c>
      <c r="AZ33" s="31" t="b">
        <f>M33=[1]数字化与研发投入!M32</f>
        <v>1</v>
      </c>
      <c r="BA33" s="31" t="b">
        <f>N33=[1]数字化与研发投入!N32</f>
        <v>1</v>
      </c>
      <c r="BB33" s="31" t="b">
        <f>O33=[1]数字化与研发投入!O32</f>
        <v>1</v>
      </c>
      <c r="BC33" s="31" t="b">
        <f>P33=[1]数字化与研发投入!P32</f>
        <v>1</v>
      </c>
      <c r="BD33" s="31" t="b">
        <f>Q33=[1]数字化与研发投入!Q32</f>
        <v>1</v>
      </c>
      <c r="BE33" s="31" t="b">
        <f>R33=[1]数字化与研发投入!R32</f>
        <v>1</v>
      </c>
      <c r="BF33" s="31" t="b">
        <f>S33=[1]数字化与研发投入!S32</f>
        <v>1</v>
      </c>
      <c r="BG33" s="31" t="b">
        <f>T33=[1]数字化与研发投入!T32</f>
        <v>1</v>
      </c>
      <c r="BH33" s="31" t="b">
        <f>U33=[1]数字化与研发投入!U32</f>
        <v>1</v>
      </c>
      <c r="BI33" s="31" t="b">
        <f>V33=[1]数字化与研发投入!V32</f>
        <v>1</v>
      </c>
      <c r="BJ33" s="31" t="b">
        <f>W33=[1]数字化与研发投入!W32</f>
        <v>1</v>
      </c>
      <c r="BK33" s="31" t="b">
        <f>X33=[1]数字化与研发投入!X32</f>
        <v>1</v>
      </c>
      <c r="BL33" s="31" t="b">
        <f>Y33=[1]数字化与研发投入!Y32</f>
        <v>1</v>
      </c>
      <c r="BM33" s="31" t="b">
        <f>Z33=[1]数字化与研发投入!Z32</f>
        <v>1</v>
      </c>
      <c r="BN33" s="31" t="b">
        <f>AA33=[1]数字化与研发投入!AA32</f>
        <v>1</v>
      </c>
      <c r="BO33" s="31" t="b">
        <f>AB33=[1]数字化与研发投入!AB32</f>
        <v>1</v>
      </c>
      <c r="BP33" s="31" t="b">
        <f>AC33=[1]数字化与研发投入!AC32</f>
        <v>1</v>
      </c>
      <c r="BQ33" s="31" t="b">
        <f>AD33=[1]数字化与研发投入!AD32</f>
        <v>1</v>
      </c>
      <c r="BR33" s="31" t="b">
        <f>AE33=[1]数字化与研发投入!AE32</f>
        <v>1</v>
      </c>
      <c r="BS33" s="31" t="b">
        <f>AF33=[1]数字化与研发投入!AF32</f>
        <v>1</v>
      </c>
      <c r="BT33" s="31" t="b">
        <f>AG33=[1]数字化与研发投入!AG32</f>
        <v>1</v>
      </c>
      <c r="BU33" s="31" t="b">
        <f>AH33=[1]数字化与研发投入!AH32</f>
        <v>1</v>
      </c>
      <c r="BV33" s="31" t="b">
        <f>AI33=[1]数字化与研发投入!AI32</f>
        <v>1</v>
      </c>
      <c r="BW33" s="31" t="b">
        <f>AJ33=[1]数字化与研发投入!AJ32</f>
        <v>1</v>
      </c>
      <c r="BX33" s="31" t="b">
        <f>AK33=[1]数字化与研发投入!AK32</f>
        <v>1</v>
      </c>
    </row>
    <row r="34" s="33" customFormat="1" ht="200" customHeight="1" spans="1:76">
      <c r="A34" s="92"/>
      <c r="B34" s="92"/>
      <c r="C34" s="94"/>
      <c r="D34" s="94"/>
      <c r="E34" s="95"/>
      <c r="F34" s="92"/>
      <c r="G34" s="95"/>
      <c r="H34" s="95"/>
      <c r="I34" s="95" t="s">
        <v>671</v>
      </c>
      <c r="J34" s="95" t="s">
        <v>672</v>
      </c>
      <c r="K34" s="98"/>
      <c r="L34" s="94"/>
      <c r="M34" s="94"/>
      <c r="N34" s="94" t="s">
        <v>36</v>
      </c>
      <c r="O34" s="94" t="s">
        <v>36</v>
      </c>
      <c r="P34" s="94" t="s">
        <v>36</v>
      </c>
      <c r="Q34" s="94" t="s">
        <v>36</v>
      </c>
      <c r="R34" s="94"/>
      <c r="S34" s="94"/>
      <c r="T34" s="94" t="s">
        <v>535</v>
      </c>
      <c r="U34" s="95" t="s">
        <v>536</v>
      </c>
      <c r="V34" s="95" t="s">
        <v>673</v>
      </c>
      <c r="W34" s="95" t="s">
        <v>674</v>
      </c>
      <c r="X34" s="94" t="s">
        <v>503</v>
      </c>
      <c r="Y34" s="94" t="s">
        <v>540</v>
      </c>
      <c r="Z34" s="94"/>
      <c r="AA34" s="94" t="s">
        <v>503</v>
      </c>
      <c r="AB34" s="94" t="s">
        <v>540</v>
      </c>
      <c r="AC34" s="94"/>
      <c r="AD34" s="95" t="s">
        <v>675</v>
      </c>
      <c r="AE34" s="94" t="s">
        <v>665</v>
      </c>
      <c r="AF34" s="94" t="s">
        <v>540</v>
      </c>
      <c r="AG34" s="94"/>
      <c r="AH34" s="94" t="s">
        <v>469</v>
      </c>
      <c r="AI34" s="94" t="s">
        <v>469</v>
      </c>
      <c r="AJ34" s="96" t="s">
        <v>809</v>
      </c>
      <c r="AK34" s="94" t="s">
        <v>667</v>
      </c>
      <c r="AL34" s="97"/>
      <c r="AM34" s="54"/>
      <c r="AN34" s="31" t="b">
        <f>A34=[1]数字化与研发投入!A33</f>
        <v>1</v>
      </c>
      <c r="AO34" s="31" t="b">
        <f>B34=[1]数字化与研发投入!B33</f>
        <v>1</v>
      </c>
      <c r="AP34" s="31" t="b">
        <f>C34=[1]数字化与研发投入!C33</f>
        <v>1</v>
      </c>
      <c r="AQ34" s="31" t="b">
        <f>D34=[1]数字化与研发投入!D33</f>
        <v>1</v>
      </c>
      <c r="AR34" s="31" t="b">
        <f>E34=[1]数字化与研发投入!E33</f>
        <v>1</v>
      </c>
      <c r="AS34" s="31" t="b">
        <f>F34=[1]数字化与研发投入!F33</f>
        <v>1</v>
      </c>
      <c r="AT34" s="31" t="b">
        <f>G34=[1]数字化与研发投入!G33</f>
        <v>1</v>
      </c>
      <c r="AU34" s="31" t="b">
        <f>H34=[1]数字化与研发投入!H33</f>
        <v>1</v>
      </c>
      <c r="AV34" s="31" t="b">
        <f>I34=[1]数字化与研发投入!I33</f>
        <v>1</v>
      </c>
      <c r="AW34" s="31" t="b">
        <f>J34=[1]数字化与研发投入!J33</f>
        <v>1</v>
      </c>
      <c r="AX34" s="31" t="b">
        <f>K34=[1]数字化与研发投入!K33</f>
        <v>1</v>
      </c>
      <c r="AY34" s="31" t="b">
        <f>L34=[1]数字化与研发投入!L33</f>
        <v>1</v>
      </c>
      <c r="AZ34" s="31" t="b">
        <f>M34=[1]数字化与研发投入!M33</f>
        <v>1</v>
      </c>
      <c r="BA34" s="31" t="b">
        <f>N34=[1]数字化与研发投入!N33</f>
        <v>1</v>
      </c>
      <c r="BB34" s="31" t="b">
        <f>O34=[1]数字化与研发投入!O33</f>
        <v>1</v>
      </c>
      <c r="BC34" s="31" t="b">
        <f>P34=[1]数字化与研发投入!P33</f>
        <v>1</v>
      </c>
      <c r="BD34" s="31" t="b">
        <f>Q34=[1]数字化与研发投入!Q33</f>
        <v>1</v>
      </c>
      <c r="BE34" s="31" t="b">
        <f>R34=[1]数字化与研发投入!R33</f>
        <v>1</v>
      </c>
      <c r="BF34" s="31" t="b">
        <f>S34=[1]数字化与研发投入!S33</f>
        <v>1</v>
      </c>
      <c r="BG34" s="31" t="b">
        <f>T34=[1]数字化与研发投入!T33</f>
        <v>1</v>
      </c>
      <c r="BH34" s="31" t="b">
        <f>U34=[1]数字化与研发投入!U33</f>
        <v>1</v>
      </c>
      <c r="BI34" s="31" t="b">
        <f>V34=[1]数字化与研发投入!V33</f>
        <v>1</v>
      </c>
      <c r="BJ34" s="31" t="b">
        <f>W34=[1]数字化与研发投入!W33</f>
        <v>1</v>
      </c>
      <c r="BK34" s="31" t="b">
        <f>X34=[1]数字化与研发投入!X33</f>
        <v>1</v>
      </c>
      <c r="BL34" s="31" t="b">
        <f>Y34=[1]数字化与研发投入!Y33</f>
        <v>1</v>
      </c>
      <c r="BM34" s="31" t="b">
        <f>Z34=[1]数字化与研发投入!Z33</f>
        <v>1</v>
      </c>
      <c r="BN34" s="31" t="b">
        <f>AA34=[1]数字化与研发投入!AA33</f>
        <v>1</v>
      </c>
      <c r="BO34" s="31" t="b">
        <f>AB34=[1]数字化与研发投入!AB33</f>
        <v>1</v>
      </c>
      <c r="BP34" s="31" t="b">
        <f>AC34=[1]数字化与研发投入!AC33</f>
        <v>1</v>
      </c>
      <c r="BQ34" s="31" t="b">
        <f>AD34=[1]数字化与研发投入!AD33</f>
        <v>1</v>
      </c>
      <c r="BR34" s="31" t="b">
        <f>AE34=[1]数字化与研发投入!AE33</f>
        <v>1</v>
      </c>
      <c r="BS34" s="31" t="b">
        <f>AF34=[1]数字化与研发投入!AF33</f>
        <v>1</v>
      </c>
      <c r="BT34" s="31" t="b">
        <f>AG34=[1]数字化与研发投入!AG33</f>
        <v>1</v>
      </c>
      <c r="BU34" s="31" t="b">
        <f>AH34=[1]数字化与研发投入!AH33</f>
        <v>1</v>
      </c>
      <c r="BV34" s="31" t="b">
        <f>AI34=[1]数字化与研发投入!AI33</f>
        <v>1</v>
      </c>
      <c r="BW34" s="31" t="b">
        <f>AJ34=[1]数字化与研发投入!AJ33</f>
        <v>1</v>
      </c>
      <c r="BX34" s="31" t="b">
        <f>AK34=[1]数字化与研发投入!AK33</f>
        <v>1</v>
      </c>
    </row>
    <row r="35" s="33" customFormat="1" ht="140" customHeight="1" spans="1:76">
      <c r="A35" s="92"/>
      <c r="B35" s="92"/>
      <c r="C35" s="94" t="s">
        <v>610</v>
      </c>
      <c r="D35" s="94" t="s">
        <v>676</v>
      </c>
      <c r="E35" s="95" t="s">
        <v>677</v>
      </c>
      <c r="F35" s="92"/>
      <c r="G35" s="95" t="s">
        <v>678</v>
      </c>
      <c r="H35" s="95" t="s">
        <v>679</v>
      </c>
      <c r="I35" s="95" t="s">
        <v>680</v>
      </c>
      <c r="J35" s="95" t="s">
        <v>681</v>
      </c>
      <c r="K35" s="98"/>
      <c r="L35" s="94"/>
      <c r="M35" s="94" t="s">
        <v>36</v>
      </c>
      <c r="N35" s="94"/>
      <c r="O35" s="94" t="s">
        <v>36</v>
      </c>
      <c r="P35" s="94"/>
      <c r="Q35" s="94"/>
      <c r="R35" s="94"/>
      <c r="S35" s="94"/>
      <c r="T35" s="94" t="s">
        <v>475</v>
      </c>
      <c r="U35" s="95"/>
      <c r="V35" s="95" t="s">
        <v>682</v>
      </c>
      <c r="W35" s="95" t="s">
        <v>683</v>
      </c>
      <c r="X35" s="94" t="s">
        <v>465</v>
      </c>
      <c r="Y35" s="94" t="s">
        <v>466</v>
      </c>
      <c r="Z35" s="94"/>
      <c r="AA35" s="94" t="s">
        <v>465</v>
      </c>
      <c r="AB35" s="94" t="s">
        <v>466</v>
      </c>
      <c r="AC35" s="94"/>
      <c r="AD35" s="95"/>
      <c r="AE35" s="94"/>
      <c r="AF35" s="94"/>
      <c r="AG35" s="94"/>
      <c r="AH35" s="94" t="s">
        <v>469</v>
      </c>
      <c r="AI35" s="94" t="s">
        <v>469</v>
      </c>
      <c r="AJ35" s="96" t="s">
        <v>692</v>
      </c>
      <c r="AK35" s="94" t="s">
        <v>667</v>
      </c>
      <c r="AL35" s="97"/>
      <c r="AM35" s="54"/>
      <c r="AN35" s="31" t="b">
        <f>A35=[1]数字化与研发投入!A34</f>
        <v>1</v>
      </c>
      <c r="AO35" s="31" t="b">
        <f>B35=[1]数字化与研发投入!B34</f>
        <v>1</v>
      </c>
      <c r="AP35" s="31" t="b">
        <f>C35=[1]数字化与研发投入!C34</f>
        <v>1</v>
      </c>
      <c r="AQ35" s="31" t="b">
        <f>D35=[1]数字化与研发投入!D34</f>
        <v>1</v>
      </c>
      <c r="AR35" s="31" t="b">
        <f>E35=[1]数字化与研发投入!E34</f>
        <v>1</v>
      </c>
      <c r="AS35" s="31" t="b">
        <f>F35=[1]数字化与研发投入!F34</f>
        <v>1</v>
      </c>
      <c r="AT35" s="31" t="b">
        <f>G35=[1]数字化与研发投入!G34</f>
        <v>1</v>
      </c>
      <c r="AU35" s="31" t="b">
        <f>H35=[1]数字化与研发投入!H34</f>
        <v>1</v>
      </c>
      <c r="AV35" s="31" t="b">
        <f>I35=[1]数字化与研发投入!I34</f>
        <v>1</v>
      </c>
      <c r="AW35" s="31" t="b">
        <f>J35=[1]数字化与研发投入!J34</f>
        <v>1</v>
      </c>
      <c r="AX35" s="31" t="b">
        <f>K35=[1]数字化与研发投入!K34</f>
        <v>1</v>
      </c>
      <c r="AY35" s="31" t="b">
        <f>L35=[1]数字化与研发投入!L34</f>
        <v>1</v>
      </c>
      <c r="AZ35" s="31" t="b">
        <f>M35=[1]数字化与研发投入!M34</f>
        <v>1</v>
      </c>
      <c r="BA35" s="31" t="b">
        <f>N35=[1]数字化与研发投入!N34</f>
        <v>1</v>
      </c>
      <c r="BB35" s="31" t="b">
        <f>O35=[1]数字化与研发投入!O34</f>
        <v>1</v>
      </c>
      <c r="BC35" s="31" t="b">
        <f>P35=[1]数字化与研发投入!P34</f>
        <v>1</v>
      </c>
      <c r="BD35" s="31" t="b">
        <f>Q35=[1]数字化与研发投入!Q34</f>
        <v>1</v>
      </c>
      <c r="BE35" s="31" t="b">
        <f>R35=[1]数字化与研发投入!R34</f>
        <v>1</v>
      </c>
      <c r="BF35" s="31" t="b">
        <f>S35=[1]数字化与研发投入!S34</f>
        <v>1</v>
      </c>
      <c r="BG35" s="31" t="b">
        <f>T35=[1]数字化与研发投入!T34</f>
        <v>1</v>
      </c>
      <c r="BH35" s="31" t="b">
        <f>U35=[1]数字化与研发投入!U34</f>
        <v>1</v>
      </c>
      <c r="BI35" s="31" t="b">
        <f>V35=[1]数字化与研发投入!V34</f>
        <v>1</v>
      </c>
      <c r="BJ35" s="31" t="b">
        <f>W35=[1]数字化与研发投入!W34</f>
        <v>1</v>
      </c>
      <c r="BK35" s="31" t="b">
        <f>X35=[1]数字化与研发投入!X34</f>
        <v>1</v>
      </c>
      <c r="BL35" s="31" t="b">
        <f>Y35=[1]数字化与研发投入!Y34</f>
        <v>1</v>
      </c>
      <c r="BM35" s="31" t="b">
        <f>Z35=[1]数字化与研发投入!Z34</f>
        <v>1</v>
      </c>
      <c r="BN35" s="31" t="b">
        <f>AA35=[1]数字化与研发投入!AA34</f>
        <v>1</v>
      </c>
      <c r="BO35" s="31" t="b">
        <f>AB35=[1]数字化与研发投入!AB34</f>
        <v>1</v>
      </c>
      <c r="BP35" s="31" t="b">
        <f>AC35=[1]数字化与研发投入!AC34</f>
        <v>1</v>
      </c>
      <c r="BQ35" s="31" t="b">
        <f>AD35=[1]数字化与研发投入!AD34</f>
        <v>1</v>
      </c>
      <c r="BR35" s="31" t="b">
        <f>AE35=[1]数字化与研发投入!AE34</f>
        <v>1</v>
      </c>
      <c r="BS35" s="31" t="b">
        <f>AF35=[1]数字化与研发投入!AF34</f>
        <v>1</v>
      </c>
      <c r="BT35" s="31" t="b">
        <f>AG35=[1]数字化与研发投入!AG34</f>
        <v>1</v>
      </c>
      <c r="BU35" s="31" t="b">
        <f>AH35=[1]数字化与研发投入!AH34</f>
        <v>1</v>
      </c>
      <c r="BV35" s="31" t="b">
        <f>AI35=[1]数字化与研发投入!AI34</f>
        <v>1</v>
      </c>
      <c r="BW35" s="31" t="b">
        <f>AJ35=[1]数字化与研发投入!AJ34</f>
        <v>1</v>
      </c>
      <c r="BX35" s="31" t="b">
        <f>AK35=[1]数字化与研发投入!AK34</f>
        <v>1</v>
      </c>
    </row>
    <row r="36" s="33" customFormat="1" ht="129" customHeight="1" spans="1:76">
      <c r="A36" s="92"/>
      <c r="B36" s="92"/>
      <c r="C36" s="94"/>
      <c r="D36" s="94"/>
      <c r="E36" s="95"/>
      <c r="F36" s="92"/>
      <c r="G36" s="95"/>
      <c r="H36" s="95"/>
      <c r="I36" s="95" t="s">
        <v>685</v>
      </c>
      <c r="J36" s="95" t="s">
        <v>686</v>
      </c>
      <c r="K36" s="98"/>
      <c r="L36" s="94"/>
      <c r="M36" s="94" t="s">
        <v>36</v>
      </c>
      <c r="N36" s="94"/>
      <c r="O36" s="94" t="s">
        <v>36</v>
      </c>
      <c r="P36" s="94"/>
      <c r="Q36" s="94"/>
      <c r="R36" s="94"/>
      <c r="S36" s="94"/>
      <c r="T36" s="94" t="s">
        <v>475</v>
      </c>
      <c r="U36" s="95"/>
      <c r="V36" s="95" t="s">
        <v>682</v>
      </c>
      <c r="W36" s="95" t="s">
        <v>687</v>
      </c>
      <c r="X36" s="94" t="s">
        <v>465</v>
      </c>
      <c r="Y36" s="94" t="s">
        <v>466</v>
      </c>
      <c r="Z36" s="94"/>
      <c r="AA36" s="94" t="s">
        <v>465</v>
      </c>
      <c r="AB36" s="94" t="s">
        <v>466</v>
      </c>
      <c r="AC36" s="94"/>
      <c r="AD36" s="95"/>
      <c r="AE36" s="94"/>
      <c r="AF36" s="94"/>
      <c r="AG36" s="94"/>
      <c r="AH36" s="94" t="s">
        <v>469</v>
      </c>
      <c r="AI36" s="94" t="s">
        <v>469</v>
      </c>
      <c r="AJ36" s="96" t="s">
        <v>692</v>
      </c>
      <c r="AK36" s="94" t="s">
        <v>667</v>
      </c>
      <c r="AL36" s="97"/>
      <c r="AM36" s="54"/>
      <c r="AN36" s="31" t="b">
        <f>A36=[1]数字化与研发投入!A35</f>
        <v>1</v>
      </c>
      <c r="AO36" s="31" t="b">
        <f>B36=[1]数字化与研发投入!B35</f>
        <v>1</v>
      </c>
      <c r="AP36" s="31" t="b">
        <f>C36=[1]数字化与研发投入!C35</f>
        <v>1</v>
      </c>
      <c r="AQ36" s="31" t="b">
        <f>D36=[1]数字化与研发投入!D35</f>
        <v>1</v>
      </c>
      <c r="AR36" s="31" t="b">
        <f>E36=[1]数字化与研发投入!E35</f>
        <v>1</v>
      </c>
      <c r="AS36" s="31" t="b">
        <f>F36=[1]数字化与研发投入!F35</f>
        <v>1</v>
      </c>
      <c r="AT36" s="31" t="b">
        <f>G36=[1]数字化与研发投入!G35</f>
        <v>1</v>
      </c>
      <c r="AU36" s="31" t="b">
        <f>H36=[1]数字化与研发投入!H35</f>
        <v>1</v>
      </c>
      <c r="AV36" s="31" t="b">
        <f>I36=[1]数字化与研发投入!I35</f>
        <v>1</v>
      </c>
      <c r="AW36" s="31" t="b">
        <f>J36=[1]数字化与研发投入!J35</f>
        <v>1</v>
      </c>
      <c r="AX36" s="31" t="b">
        <f>K36=[1]数字化与研发投入!K35</f>
        <v>1</v>
      </c>
      <c r="AY36" s="31" t="b">
        <f>L36=[1]数字化与研发投入!L35</f>
        <v>1</v>
      </c>
      <c r="AZ36" s="31" t="b">
        <f>M36=[1]数字化与研发投入!M35</f>
        <v>1</v>
      </c>
      <c r="BA36" s="31" t="b">
        <f>N36=[1]数字化与研发投入!N35</f>
        <v>1</v>
      </c>
      <c r="BB36" s="31" t="b">
        <f>O36=[1]数字化与研发投入!O35</f>
        <v>1</v>
      </c>
      <c r="BC36" s="31" t="b">
        <f>P36=[1]数字化与研发投入!P35</f>
        <v>1</v>
      </c>
      <c r="BD36" s="31" t="b">
        <f>Q36=[1]数字化与研发投入!Q35</f>
        <v>1</v>
      </c>
      <c r="BE36" s="31" t="b">
        <f>R36=[1]数字化与研发投入!R35</f>
        <v>1</v>
      </c>
      <c r="BF36" s="31" t="b">
        <f>S36=[1]数字化与研发投入!S35</f>
        <v>1</v>
      </c>
      <c r="BG36" s="31" t="b">
        <f>T36=[1]数字化与研发投入!T35</f>
        <v>1</v>
      </c>
      <c r="BH36" s="31" t="b">
        <f>U36=[1]数字化与研发投入!U35</f>
        <v>1</v>
      </c>
      <c r="BI36" s="31" t="b">
        <f>V36=[1]数字化与研发投入!V35</f>
        <v>1</v>
      </c>
      <c r="BJ36" s="31" t="b">
        <f>W36=[1]数字化与研发投入!W35</f>
        <v>1</v>
      </c>
      <c r="BK36" s="31" t="b">
        <f>X36=[1]数字化与研发投入!X35</f>
        <v>1</v>
      </c>
      <c r="BL36" s="31" t="b">
        <f>Y36=[1]数字化与研发投入!Y35</f>
        <v>1</v>
      </c>
      <c r="BM36" s="31" t="b">
        <f>Z36=[1]数字化与研发投入!Z35</f>
        <v>1</v>
      </c>
      <c r="BN36" s="31" t="b">
        <f>AA36=[1]数字化与研发投入!AA35</f>
        <v>1</v>
      </c>
      <c r="BO36" s="31" t="b">
        <f>AB36=[1]数字化与研发投入!AB35</f>
        <v>1</v>
      </c>
      <c r="BP36" s="31" t="b">
        <f>AC36=[1]数字化与研发投入!AC35</f>
        <v>1</v>
      </c>
      <c r="BQ36" s="31" t="b">
        <f>AD36=[1]数字化与研发投入!AD35</f>
        <v>1</v>
      </c>
      <c r="BR36" s="31" t="b">
        <f>AE36=[1]数字化与研发投入!AE35</f>
        <v>1</v>
      </c>
      <c r="BS36" s="31" t="b">
        <f>AF36=[1]数字化与研发投入!AF35</f>
        <v>1</v>
      </c>
      <c r="BT36" s="31" t="b">
        <f>AG36=[1]数字化与研发投入!AG35</f>
        <v>1</v>
      </c>
      <c r="BU36" s="31" t="b">
        <f>AH36=[1]数字化与研发投入!AH35</f>
        <v>1</v>
      </c>
      <c r="BV36" s="31" t="b">
        <f>AI36=[1]数字化与研发投入!AI35</f>
        <v>1</v>
      </c>
      <c r="BW36" s="31" t="b">
        <f>AJ36=[1]数字化与研发投入!AJ35</f>
        <v>1</v>
      </c>
      <c r="BX36" s="31" t="b">
        <f>AK36=[1]数字化与研发投入!AK35</f>
        <v>1</v>
      </c>
    </row>
    <row r="37" s="33" customFormat="1" ht="146" customHeight="1" spans="1:76">
      <c r="A37" s="92" t="s">
        <v>624</v>
      </c>
      <c r="B37" s="92" t="s">
        <v>516</v>
      </c>
      <c r="C37" s="96" t="s">
        <v>610</v>
      </c>
      <c r="D37" s="96" t="s">
        <v>676</v>
      </c>
      <c r="E37" s="96" t="s">
        <v>677</v>
      </c>
      <c r="F37" s="99"/>
      <c r="G37" s="96" t="s">
        <v>678</v>
      </c>
      <c r="H37" s="96"/>
      <c r="I37" s="95" t="s">
        <v>688</v>
      </c>
      <c r="J37" s="95" t="s">
        <v>689</v>
      </c>
      <c r="K37" s="98"/>
      <c r="L37" s="94"/>
      <c r="M37" s="94" t="s">
        <v>36</v>
      </c>
      <c r="N37" s="94"/>
      <c r="O37" s="94" t="s">
        <v>36</v>
      </c>
      <c r="P37" s="94"/>
      <c r="Q37" s="94"/>
      <c r="R37" s="94"/>
      <c r="S37" s="94"/>
      <c r="T37" s="94" t="s">
        <v>535</v>
      </c>
      <c r="U37" s="95" t="s">
        <v>536</v>
      </c>
      <c r="V37" s="95" t="s">
        <v>682</v>
      </c>
      <c r="W37" s="95" t="s">
        <v>690</v>
      </c>
      <c r="X37" s="94" t="s">
        <v>465</v>
      </c>
      <c r="Y37" s="94" t="s">
        <v>466</v>
      </c>
      <c r="Z37" s="94"/>
      <c r="AA37" s="94" t="s">
        <v>465</v>
      </c>
      <c r="AB37" s="94" t="s">
        <v>466</v>
      </c>
      <c r="AC37" s="94"/>
      <c r="AD37" s="95" t="s">
        <v>691</v>
      </c>
      <c r="AE37" s="94" t="s">
        <v>503</v>
      </c>
      <c r="AF37" s="94" t="s">
        <v>466</v>
      </c>
      <c r="AG37" s="94"/>
      <c r="AH37" s="94" t="s">
        <v>469</v>
      </c>
      <c r="AI37" s="94" t="s">
        <v>469</v>
      </c>
      <c r="AJ37" s="96" t="s">
        <v>692</v>
      </c>
      <c r="AK37" s="94" t="s">
        <v>667</v>
      </c>
      <c r="AL37" s="97"/>
      <c r="AM37" s="54"/>
      <c r="AN37" s="31" t="b">
        <f>A37=[1]数字化与研发投入!A36</f>
        <v>1</v>
      </c>
      <c r="AO37" s="31" t="b">
        <f>B37=[1]数字化与研发投入!B36</f>
        <v>1</v>
      </c>
      <c r="AP37" s="31" t="b">
        <f>C37=[1]数字化与研发投入!C36</f>
        <v>1</v>
      </c>
      <c r="AQ37" s="31" t="b">
        <f>D37=[1]数字化与研发投入!D36</f>
        <v>1</v>
      </c>
      <c r="AR37" s="31" t="b">
        <f>E37=[1]数字化与研发投入!E36</f>
        <v>1</v>
      </c>
      <c r="AS37" s="31" t="b">
        <f>F37=[1]数字化与研发投入!F36</f>
        <v>1</v>
      </c>
      <c r="AT37" s="31" t="b">
        <f>G37=[1]数字化与研发投入!G36</f>
        <v>1</v>
      </c>
      <c r="AU37" s="31" t="b">
        <f>H37=[1]数字化与研发投入!H36</f>
        <v>1</v>
      </c>
      <c r="AV37" s="31" t="b">
        <f>I37=[1]数字化与研发投入!I36</f>
        <v>1</v>
      </c>
      <c r="AW37" s="31" t="b">
        <f>J37=[1]数字化与研发投入!J36</f>
        <v>1</v>
      </c>
      <c r="AX37" s="31" t="b">
        <f>K37=[1]数字化与研发投入!K36</f>
        <v>1</v>
      </c>
      <c r="AY37" s="31" t="b">
        <f>L37=[1]数字化与研发投入!L36</f>
        <v>1</v>
      </c>
      <c r="AZ37" s="31" t="b">
        <f>M37=[1]数字化与研发投入!M36</f>
        <v>1</v>
      </c>
      <c r="BA37" s="31" t="b">
        <f>N37=[1]数字化与研发投入!N36</f>
        <v>1</v>
      </c>
      <c r="BB37" s="31" t="b">
        <f>O37=[1]数字化与研发投入!O36</f>
        <v>1</v>
      </c>
      <c r="BC37" s="31" t="b">
        <f>P37=[1]数字化与研发投入!P36</f>
        <v>1</v>
      </c>
      <c r="BD37" s="31" t="b">
        <f>Q37=[1]数字化与研发投入!Q36</f>
        <v>1</v>
      </c>
      <c r="BE37" s="31" t="b">
        <f>R37=[1]数字化与研发投入!R36</f>
        <v>1</v>
      </c>
      <c r="BF37" s="31" t="b">
        <f>S37=[1]数字化与研发投入!S36</f>
        <v>1</v>
      </c>
      <c r="BG37" s="31" t="b">
        <f>T37=[1]数字化与研发投入!T36</f>
        <v>1</v>
      </c>
      <c r="BH37" s="31" t="b">
        <f>U37=[1]数字化与研发投入!U36</f>
        <v>1</v>
      </c>
      <c r="BI37" s="31" t="b">
        <f>V37=[1]数字化与研发投入!V36</f>
        <v>1</v>
      </c>
      <c r="BJ37" s="31" t="b">
        <f>W37=[1]数字化与研发投入!W36</f>
        <v>1</v>
      </c>
      <c r="BK37" s="31" t="b">
        <f>X37=[1]数字化与研发投入!X36</f>
        <v>1</v>
      </c>
      <c r="BL37" s="31" t="b">
        <f>Y37=[1]数字化与研发投入!Y36</f>
        <v>1</v>
      </c>
      <c r="BM37" s="31" t="b">
        <f>Z37=[1]数字化与研发投入!Z36</f>
        <v>1</v>
      </c>
      <c r="BN37" s="31" t="b">
        <f>AA37=[1]数字化与研发投入!AA36</f>
        <v>1</v>
      </c>
      <c r="BO37" s="31" t="b">
        <f>AB37=[1]数字化与研发投入!AB36</f>
        <v>1</v>
      </c>
      <c r="BP37" s="31" t="b">
        <f>AC37=[1]数字化与研发投入!AC36</f>
        <v>1</v>
      </c>
      <c r="BQ37" s="31" t="b">
        <f>AD37=[1]数字化与研发投入!AD36</f>
        <v>1</v>
      </c>
      <c r="BR37" s="31" t="b">
        <f>AE37=[1]数字化与研发投入!AE36</f>
        <v>1</v>
      </c>
      <c r="BS37" s="31" t="b">
        <f>AF37=[1]数字化与研发投入!AF36</f>
        <v>1</v>
      </c>
      <c r="BT37" s="31" t="b">
        <f>AG37=[1]数字化与研发投入!AG36</f>
        <v>1</v>
      </c>
      <c r="BU37" s="31" t="b">
        <f>AH37=[1]数字化与研发投入!AH36</f>
        <v>1</v>
      </c>
      <c r="BV37" s="31" t="b">
        <f>AI37=[1]数字化与研发投入!AI36</f>
        <v>1</v>
      </c>
      <c r="BW37" s="31" t="b">
        <f>AJ37=[1]数字化与研发投入!AJ36</f>
        <v>1</v>
      </c>
      <c r="BX37" s="31" t="b">
        <f>AK37=[1]数字化与研发投入!AK36</f>
        <v>1</v>
      </c>
    </row>
    <row r="38" s="33" customFormat="1" ht="134" customHeight="1" spans="1:76">
      <c r="A38" s="92"/>
      <c r="B38" s="92"/>
      <c r="C38" s="94" t="s">
        <v>517</v>
      </c>
      <c r="D38" s="94" t="s">
        <v>693</v>
      </c>
      <c r="E38" s="95" t="s">
        <v>694</v>
      </c>
      <c r="F38" s="93" t="s">
        <v>695</v>
      </c>
      <c r="G38" s="95" t="s">
        <v>696</v>
      </c>
      <c r="H38" s="95" t="s">
        <v>697</v>
      </c>
      <c r="I38" s="95" t="s">
        <v>698</v>
      </c>
      <c r="J38" s="95" t="s">
        <v>699</v>
      </c>
      <c r="K38" s="98"/>
      <c r="L38" s="94"/>
      <c r="M38" s="94" t="s">
        <v>36</v>
      </c>
      <c r="N38" s="94"/>
      <c r="O38" s="94"/>
      <c r="P38" s="94"/>
      <c r="Q38" s="94"/>
      <c r="R38" s="94"/>
      <c r="S38" s="94"/>
      <c r="T38" s="94" t="s">
        <v>535</v>
      </c>
      <c r="U38" s="95" t="s">
        <v>700</v>
      </c>
      <c r="V38" s="95" t="s">
        <v>701</v>
      </c>
      <c r="W38" s="95" t="s">
        <v>687</v>
      </c>
      <c r="X38" s="94" t="s">
        <v>467</v>
      </c>
      <c r="Y38" s="94" t="s">
        <v>540</v>
      </c>
      <c r="Z38" s="94"/>
      <c r="AA38" s="94" t="s">
        <v>467</v>
      </c>
      <c r="AB38" s="94" t="s">
        <v>540</v>
      </c>
      <c r="AC38" s="94"/>
      <c r="AD38" s="95" t="s">
        <v>702</v>
      </c>
      <c r="AE38" s="94" t="s">
        <v>467</v>
      </c>
      <c r="AF38" s="94" t="s">
        <v>540</v>
      </c>
      <c r="AG38" s="94"/>
      <c r="AH38" s="94" t="s">
        <v>469</v>
      </c>
      <c r="AI38" s="94" t="s">
        <v>469</v>
      </c>
      <c r="AJ38" s="96" t="s">
        <v>810</v>
      </c>
      <c r="AK38" s="94" t="s">
        <v>667</v>
      </c>
      <c r="AL38" s="97"/>
      <c r="AM38" s="54"/>
      <c r="AN38" s="31" t="b">
        <f>A38=[1]数字化与研发投入!A37</f>
        <v>1</v>
      </c>
      <c r="AO38" s="31" t="b">
        <f>B38=[1]数字化与研发投入!B37</f>
        <v>1</v>
      </c>
      <c r="AP38" s="31" t="b">
        <f>C38=[1]数字化与研发投入!C37</f>
        <v>1</v>
      </c>
      <c r="AQ38" s="31" t="b">
        <f>D38=[1]数字化与研发投入!D37</f>
        <v>1</v>
      </c>
      <c r="AR38" s="31" t="b">
        <f>E38=[1]数字化与研发投入!E37</f>
        <v>1</v>
      </c>
      <c r="AS38" s="31" t="b">
        <f>F38=[1]数字化与研发投入!F37</f>
        <v>1</v>
      </c>
      <c r="AT38" s="31" t="b">
        <f>G38=[1]数字化与研发投入!G37</f>
        <v>1</v>
      </c>
      <c r="AU38" s="31" t="b">
        <f>H38=[1]数字化与研发投入!H37</f>
        <v>1</v>
      </c>
      <c r="AV38" s="31" t="b">
        <f>I38=[1]数字化与研发投入!I37</f>
        <v>1</v>
      </c>
      <c r="AW38" s="31" t="b">
        <f>J38=[1]数字化与研发投入!J37</f>
        <v>1</v>
      </c>
      <c r="AX38" s="31" t="b">
        <f>K38=[1]数字化与研发投入!K37</f>
        <v>1</v>
      </c>
      <c r="AY38" s="31" t="b">
        <f>L38=[1]数字化与研发投入!L37</f>
        <v>1</v>
      </c>
      <c r="AZ38" s="31" t="b">
        <f>M38=[1]数字化与研发投入!M37</f>
        <v>1</v>
      </c>
      <c r="BA38" s="31" t="b">
        <f>N38=[1]数字化与研发投入!N37</f>
        <v>1</v>
      </c>
      <c r="BB38" s="31" t="b">
        <f>O38=[1]数字化与研发投入!O37</f>
        <v>1</v>
      </c>
      <c r="BC38" s="31" t="b">
        <f>P38=[1]数字化与研发投入!P37</f>
        <v>1</v>
      </c>
      <c r="BD38" s="31" t="b">
        <f>Q38=[1]数字化与研发投入!Q37</f>
        <v>1</v>
      </c>
      <c r="BE38" s="31" t="b">
        <f>R38=[1]数字化与研发投入!R37</f>
        <v>1</v>
      </c>
      <c r="BF38" s="31" t="b">
        <f>S38=[1]数字化与研发投入!S37</f>
        <v>1</v>
      </c>
      <c r="BG38" s="31" t="b">
        <f>T38=[1]数字化与研发投入!T37</f>
        <v>1</v>
      </c>
      <c r="BH38" s="31" t="b">
        <f>U38=[1]数字化与研发投入!U37</f>
        <v>1</v>
      </c>
      <c r="BI38" s="31" t="b">
        <f>V38=[1]数字化与研发投入!V37</f>
        <v>1</v>
      </c>
      <c r="BJ38" s="31" t="b">
        <f>W38=[1]数字化与研发投入!W37</f>
        <v>1</v>
      </c>
      <c r="BK38" s="31" t="b">
        <f>X38=[1]数字化与研发投入!X37</f>
        <v>1</v>
      </c>
      <c r="BL38" s="31" t="b">
        <f>Y38=[1]数字化与研发投入!Y37</f>
        <v>1</v>
      </c>
      <c r="BM38" s="31" t="b">
        <f>Z38=[1]数字化与研发投入!Z37</f>
        <v>1</v>
      </c>
      <c r="BN38" s="31" t="b">
        <f>AA38=[1]数字化与研发投入!AA37</f>
        <v>1</v>
      </c>
      <c r="BO38" s="31" t="b">
        <f>AB38=[1]数字化与研发投入!AB37</f>
        <v>1</v>
      </c>
      <c r="BP38" s="31" t="b">
        <f>AC38=[1]数字化与研发投入!AC37</f>
        <v>1</v>
      </c>
      <c r="BQ38" s="31" t="b">
        <f>AD38=[1]数字化与研发投入!AD37</f>
        <v>1</v>
      </c>
      <c r="BR38" s="31" t="b">
        <f>AE38=[1]数字化与研发投入!AE37</f>
        <v>1</v>
      </c>
      <c r="BS38" s="31" t="b">
        <f>AF38=[1]数字化与研发投入!AF37</f>
        <v>1</v>
      </c>
      <c r="BT38" s="31" t="b">
        <f>AG38=[1]数字化与研发投入!AG37</f>
        <v>1</v>
      </c>
      <c r="BU38" s="31" t="b">
        <f>AH38=[1]数字化与研发投入!AH37</f>
        <v>1</v>
      </c>
      <c r="BV38" s="31" t="b">
        <f>AI38=[1]数字化与研发投入!AI37</f>
        <v>1</v>
      </c>
      <c r="BW38" s="31" t="b">
        <f>AJ38=[1]数字化与研发投入!AJ37</f>
        <v>1</v>
      </c>
      <c r="BX38" s="31" t="b">
        <f>AK38=[1]数字化与研发投入!AK37</f>
        <v>1</v>
      </c>
    </row>
    <row r="39" s="33" customFormat="1" ht="103" customHeight="1" spans="1:76">
      <c r="A39" s="92"/>
      <c r="B39" s="92"/>
      <c r="C39" s="94"/>
      <c r="D39" s="94"/>
      <c r="E39" s="95"/>
      <c r="F39" s="92"/>
      <c r="G39" s="95"/>
      <c r="H39" s="95"/>
      <c r="I39" s="95" t="s">
        <v>704</v>
      </c>
      <c r="J39" s="95" t="s">
        <v>705</v>
      </c>
      <c r="K39" s="98"/>
      <c r="L39" s="94"/>
      <c r="M39" s="94"/>
      <c r="N39" s="94"/>
      <c r="O39" s="94"/>
      <c r="P39" s="94"/>
      <c r="Q39" s="94"/>
      <c r="R39" s="94"/>
      <c r="S39" s="94" t="s">
        <v>36</v>
      </c>
      <c r="T39" s="94" t="s">
        <v>475</v>
      </c>
      <c r="U39" s="95"/>
      <c r="V39" s="95" t="s">
        <v>701</v>
      </c>
      <c r="W39" s="95" t="s">
        <v>706</v>
      </c>
      <c r="X39" s="94" t="s">
        <v>467</v>
      </c>
      <c r="Y39" s="94" t="s">
        <v>540</v>
      </c>
      <c r="Z39" s="94"/>
      <c r="AA39" s="94" t="s">
        <v>467</v>
      </c>
      <c r="AB39" s="94" t="s">
        <v>540</v>
      </c>
      <c r="AC39" s="94"/>
      <c r="AD39" s="95"/>
      <c r="AE39" s="94"/>
      <c r="AF39" s="94"/>
      <c r="AG39" s="94"/>
      <c r="AH39" s="94" t="s">
        <v>469</v>
      </c>
      <c r="AI39" s="94" t="s">
        <v>469</v>
      </c>
      <c r="AJ39" s="96" t="s">
        <v>810</v>
      </c>
      <c r="AK39" s="94" t="s">
        <v>667</v>
      </c>
      <c r="AL39" s="97"/>
      <c r="AM39" s="54"/>
      <c r="AN39" s="31" t="b">
        <f>A39=[1]数字化与研发投入!A38</f>
        <v>1</v>
      </c>
      <c r="AO39" s="31" t="b">
        <f>B39=[1]数字化与研发投入!B38</f>
        <v>1</v>
      </c>
      <c r="AP39" s="31" t="b">
        <f>C39=[1]数字化与研发投入!C38</f>
        <v>1</v>
      </c>
      <c r="AQ39" s="31" t="b">
        <f>D39=[1]数字化与研发投入!D38</f>
        <v>1</v>
      </c>
      <c r="AR39" s="31" t="b">
        <f>E39=[1]数字化与研发投入!E38</f>
        <v>1</v>
      </c>
      <c r="AS39" s="31" t="b">
        <f>F39=[1]数字化与研发投入!F38</f>
        <v>1</v>
      </c>
      <c r="AT39" s="31" t="b">
        <f>G39=[1]数字化与研发投入!G38</f>
        <v>1</v>
      </c>
      <c r="AU39" s="31" t="b">
        <f>H39=[1]数字化与研发投入!H38</f>
        <v>1</v>
      </c>
      <c r="AV39" s="31" t="b">
        <f>I39=[1]数字化与研发投入!I38</f>
        <v>1</v>
      </c>
      <c r="AW39" s="31" t="b">
        <f>J39=[1]数字化与研发投入!J38</f>
        <v>1</v>
      </c>
      <c r="AX39" s="31" t="b">
        <f>K39=[1]数字化与研发投入!K38</f>
        <v>1</v>
      </c>
      <c r="AY39" s="31" t="b">
        <f>L39=[1]数字化与研发投入!L38</f>
        <v>1</v>
      </c>
      <c r="AZ39" s="31" t="b">
        <f>M39=[1]数字化与研发投入!M38</f>
        <v>1</v>
      </c>
      <c r="BA39" s="31" t="b">
        <f>N39=[1]数字化与研发投入!N38</f>
        <v>1</v>
      </c>
      <c r="BB39" s="31" t="b">
        <f>O39=[1]数字化与研发投入!O38</f>
        <v>1</v>
      </c>
      <c r="BC39" s="31" t="b">
        <f>P39=[1]数字化与研发投入!P38</f>
        <v>1</v>
      </c>
      <c r="BD39" s="31" t="b">
        <f>Q39=[1]数字化与研发投入!Q38</f>
        <v>1</v>
      </c>
      <c r="BE39" s="31" t="b">
        <f>R39=[1]数字化与研发投入!R38</f>
        <v>1</v>
      </c>
      <c r="BF39" s="31" t="b">
        <f>S39=[1]数字化与研发投入!S38</f>
        <v>1</v>
      </c>
      <c r="BG39" s="31" t="b">
        <f>T39=[1]数字化与研发投入!T38</f>
        <v>1</v>
      </c>
      <c r="BH39" s="31" t="b">
        <f>U39=[1]数字化与研发投入!U38</f>
        <v>1</v>
      </c>
      <c r="BI39" s="31" t="b">
        <f>V39=[1]数字化与研发投入!V38</f>
        <v>1</v>
      </c>
      <c r="BJ39" s="31" t="b">
        <f>W39=[1]数字化与研发投入!W38</f>
        <v>1</v>
      </c>
      <c r="BK39" s="31" t="b">
        <f>X39=[1]数字化与研发投入!X38</f>
        <v>1</v>
      </c>
      <c r="BL39" s="31" t="b">
        <f>Y39=[1]数字化与研发投入!Y38</f>
        <v>1</v>
      </c>
      <c r="BM39" s="31" t="b">
        <f>Z39=[1]数字化与研发投入!Z38</f>
        <v>1</v>
      </c>
      <c r="BN39" s="31" t="b">
        <f>AA39=[1]数字化与研发投入!AA38</f>
        <v>1</v>
      </c>
      <c r="BO39" s="31" t="b">
        <f>AB39=[1]数字化与研发投入!AB38</f>
        <v>1</v>
      </c>
      <c r="BP39" s="31" t="b">
        <f>AC39=[1]数字化与研发投入!AC38</f>
        <v>1</v>
      </c>
      <c r="BQ39" s="31" t="b">
        <f>AD39=[1]数字化与研发投入!AD38</f>
        <v>1</v>
      </c>
      <c r="BR39" s="31" t="b">
        <f>AE39=[1]数字化与研发投入!AE38</f>
        <v>1</v>
      </c>
      <c r="BS39" s="31" t="b">
        <f>AF39=[1]数字化与研发投入!AF38</f>
        <v>1</v>
      </c>
      <c r="BT39" s="31" t="b">
        <f>AG39=[1]数字化与研发投入!AG38</f>
        <v>1</v>
      </c>
      <c r="BU39" s="31" t="b">
        <f>AH39=[1]数字化与研发投入!AH38</f>
        <v>1</v>
      </c>
      <c r="BV39" s="31" t="b">
        <f>AI39=[1]数字化与研发投入!AI38</f>
        <v>1</v>
      </c>
      <c r="BW39" s="31" t="b">
        <f>AJ39=[1]数字化与研发投入!AJ38</f>
        <v>1</v>
      </c>
      <c r="BX39" s="31" t="b">
        <f>AK39=[1]数字化与研发投入!AK38</f>
        <v>1</v>
      </c>
    </row>
    <row r="40" s="33" customFormat="1" ht="221" customHeight="1" spans="1:76">
      <c r="A40" s="92"/>
      <c r="B40" s="92"/>
      <c r="C40" s="94"/>
      <c r="D40" s="95" t="s">
        <v>707</v>
      </c>
      <c r="E40" s="95" t="s">
        <v>708</v>
      </c>
      <c r="F40" s="93"/>
      <c r="G40" s="95" t="s">
        <v>709</v>
      </c>
      <c r="H40" s="95" t="s">
        <v>710</v>
      </c>
      <c r="I40" s="95" t="s">
        <v>711</v>
      </c>
      <c r="J40" s="95" t="s">
        <v>712</v>
      </c>
      <c r="K40" s="98"/>
      <c r="L40" s="94"/>
      <c r="M40" s="94" t="s">
        <v>36</v>
      </c>
      <c r="N40" s="94"/>
      <c r="O40" s="94" t="s">
        <v>36</v>
      </c>
      <c r="P40" s="94" t="s">
        <v>36</v>
      </c>
      <c r="Q40" s="94" t="s">
        <v>36</v>
      </c>
      <c r="R40" s="94"/>
      <c r="S40" s="94"/>
      <c r="T40" s="94" t="s">
        <v>535</v>
      </c>
      <c r="U40" s="95" t="s">
        <v>713</v>
      </c>
      <c r="V40" s="95" t="s">
        <v>714</v>
      </c>
      <c r="W40" s="95" t="s">
        <v>683</v>
      </c>
      <c r="X40" s="94" t="s">
        <v>465</v>
      </c>
      <c r="Y40" s="94" t="s">
        <v>540</v>
      </c>
      <c r="Z40" s="94"/>
      <c r="AA40" s="94" t="s">
        <v>465</v>
      </c>
      <c r="AB40" s="94" t="s">
        <v>540</v>
      </c>
      <c r="AC40" s="94"/>
      <c r="AD40" s="95" t="s">
        <v>715</v>
      </c>
      <c r="AE40" s="94" t="s">
        <v>527</v>
      </c>
      <c r="AF40" s="94" t="s">
        <v>540</v>
      </c>
      <c r="AG40" s="94"/>
      <c r="AH40" s="94" t="s">
        <v>469</v>
      </c>
      <c r="AI40" s="94" t="s">
        <v>469</v>
      </c>
      <c r="AJ40" s="95" t="s">
        <v>811</v>
      </c>
      <c r="AK40" s="94" t="s">
        <v>637</v>
      </c>
      <c r="AL40" s="97"/>
      <c r="AM40" s="54"/>
      <c r="AN40" s="31" t="b">
        <f>A40=[1]数字化与研发投入!A39</f>
        <v>1</v>
      </c>
      <c r="AO40" s="31" t="b">
        <f>B40=[1]数字化与研发投入!B39</f>
        <v>1</v>
      </c>
      <c r="AP40" s="31" t="b">
        <f>C40=[1]数字化与研发投入!C39</f>
        <v>1</v>
      </c>
      <c r="AQ40" s="31" t="b">
        <f>D40=[1]数字化与研发投入!D39</f>
        <v>1</v>
      </c>
      <c r="AR40" s="31" t="b">
        <f>E40=[1]数字化与研发投入!E39</f>
        <v>1</v>
      </c>
      <c r="AS40" s="31" t="b">
        <f>F40=[1]数字化与研发投入!F39</f>
        <v>1</v>
      </c>
      <c r="AT40" s="31" t="b">
        <f>G40=[1]数字化与研发投入!G39</f>
        <v>1</v>
      </c>
      <c r="AU40" s="31" t="b">
        <f>H40=[1]数字化与研发投入!H39</f>
        <v>1</v>
      </c>
      <c r="AV40" s="31" t="b">
        <f>I40=[1]数字化与研发投入!I39</f>
        <v>1</v>
      </c>
      <c r="AW40" s="31" t="b">
        <f>J40=[1]数字化与研发投入!J39</f>
        <v>1</v>
      </c>
      <c r="AX40" s="31" t="b">
        <f>K40=[1]数字化与研发投入!K39</f>
        <v>1</v>
      </c>
      <c r="AY40" s="31" t="b">
        <f>L40=[1]数字化与研发投入!L39</f>
        <v>1</v>
      </c>
      <c r="AZ40" s="31" t="b">
        <f>M40=[1]数字化与研发投入!M39</f>
        <v>1</v>
      </c>
      <c r="BA40" s="31" t="b">
        <f>N40=[1]数字化与研发投入!N39</f>
        <v>1</v>
      </c>
      <c r="BB40" s="31" t="b">
        <f>O40=[1]数字化与研发投入!O39</f>
        <v>1</v>
      </c>
      <c r="BC40" s="31" t="b">
        <f>P40=[1]数字化与研发投入!P39</f>
        <v>1</v>
      </c>
      <c r="BD40" s="31" t="b">
        <f>Q40=[1]数字化与研发投入!Q39</f>
        <v>1</v>
      </c>
      <c r="BE40" s="31" t="b">
        <f>R40=[1]数字化与研发投入!R39</f>
        <v>1</v>
      </c>
      <c r="BF40" s="31" t="b">
        <f>S40=[1]数字化与研发投入!S39</f>
        <v>1</v>
      </c>
      <c r="BG40" s="31" t="b">
        <f>T40=[1]数字化与研发投入!T39</f>
        <v>1</v>
      </c>
      <c r="BH40" s="31" t="b">
        <f>U40=[1]数字化与研发投入!U39</f>
        <v>1</v>
      </c>
      <c r="BI40" s="31" t="b">
        <f>V40=[1]数字化与研发投入!V39</f>
        <v>1</v>
      </c>
      <c r="BJ40" s="31" t="b">
        <f>W40=[1]数字化与研发投入!W39</f>
        <v>1</v>
      </c>
      <c r="BK40" s="31" t="b">
        <f>X40=[1]数字化与研发投入!X39</f>
        <v>1</v>
      </c>
      <c r="BL40" s="31" t="b">
        <f>Y40=[1]数字化与研发投入!Y39</f>
        <v>1</v>
      </c>
      <c r="BM40" s="31" t="b">
        <f>Z40=[1]数字化与研发投入!Z39</f>
        <v>1</v>
      </c>
      <c r="BN40" s="31" t="b">
        <f>AA40=[1]数字化与研发投入!AA39</f>
        <v>1</v>
      </c>
      <c r="BO40" s="31" t="b">
        <f>AB40=[1]数字化与研发投入!AB39</f>
        <v>1</v>
      </c>
      <c r="BP40" s="31" t="b">
        <f>AC40=[1]数字化与研发投入!AC39</f>
        <v>1</v>
      </c>
      <c r="BQ40" s="31" t="b">
        <f>AD40=[1]数字化与研发投入!AD39</f>
        <v>1</v>
      </c>
      <c r="BR40" s="31" t="b">
        <f>AE40=[1]数字化与研发投入!AE39</f>
        <v>1</v>
      </c>
      <c r="BS40" s="31" t="b">
        <f>AF40=[1]数字化与研发投入!AF39</f>
        <v>1</v>
      </c>
      <c r="BT40" s="31" t="b">
        <f>AG40=[1]数字化与研发投入!AG39</f>
        <v>1</v>
      </c>
      <c r="BU40" s="31" t="b">
        <f>AH40=[1]数字化与研发投入!AH39</f>
        <v>1</v>
      </c>
      <c r="BV40" s="31" t="b">
        <f>AI40=[1]数字化与研发投入!AI39</f>
        <v>1</v>
      </c>
      <c r="BW40" s="31" t="b">
        <f>AJ40=[1]数字化与研发投入!AJ39</f>
        <v>1</v>
      </c>
      <c r="BX40" s="31" t="b">
        <f>AK40=[1]数字化与研发投入!AK39</f>
        <v>1</v>
      </c>
    </row>
    <row r="41" s="33" customFormat="1" ht="96" customHeight="1" spans="1:76">
      <c r="A41" s="92"/>
      <c r="B41" s="92" t="s">
        <v>566</v>
      </c>
      <c r="C41" s="94" t="s">
        <v>454</v>
      </c>
      <c r="D41" s="94" t="s">
        <v>588</v>
      </c>
      <c r="E41" s="95" t="s">
        <v>717</v>
      </c>
      <c r="F41" s="92"/>
      <c r="G41" s="95" t="s">
        <v>718</v>
      </c>
      <c r="H41" s="95" t="s">
        <v>719</v>
      </c>
      <c r="I41" s="95" t="s">
        <v>720</v>
      </c>
      <c r="J41" s="95" t="s">
        <v>721</v>
      </c>
      <c r="K41" s="94"/>
      <c r="L41" s="94"/>
      <c r="M41" s="94" t="s">
        <v>36</v>
      </c>
      <c r="N41" s="94"/>
      <c r="O41" s="94"/>
      <c r="P41" s="94"/>
      <c r="Q41" s="94"/>
      <c r="R41" s="94"/>
      <c r="S41" s="94"/>
      <c r="T41" s="94" t="s">
        <v>475</v>
      </c>
      <c r="U41" s="95"/>
      <c r="V41" s="95" t="s">
        <v>722</v>
      </c>
      <c r="W41" s="95" t="s">
        <v>683</v>
      </c>
      <c r="X41" s="94" t="s">
        <v>503</v>
      </c>
      <c r="Y41" s="94" t="s">
        <v>540</v>
      </c>
      <c r="Z41" s="94"/>
      <c r="AA41" s="94" t="s">
        <v>503</v>
      </c>
      <c r="AB41" s="94" t="s">
        <v>540</v>
      </c>
      <c r="AC41" s="94"/>
      <c r="AD41" s="95"/>
      <c r="AE41" s="94"/>
      <c r="AF41" s="94"/>
      <c r="AG41" s="94"/>
      <c r="AH41" s="94" t="s">
        <v>469</v>
      </c>
      <c r="AI41" s="94" t="s">
        <v>469</v>
      </c>
      <c r="AJ41" s="96" t="s">
        <v>812</v>
      </c>
      <c r="AK41" s="94" t="s">
        <v>637</v>
      </c>
      <c r="AL41" s="97"/>
      <c r="AM41" s="54"/>
      <c r="AN41" s="31" t="b">
        <f>A41=[1]数字化与研发投入!A40</f>
        <v>1</v>
      </c>
      <c r="AO41" s="31" t="b">
        <f>B41=[1]数字化与研发投入!B40</f>
        <v>1</v>
      </c>
      <c r="AP41" s="31" t="b">
        <f>C41=[1]数字化与研发投入!C40</f>
        <v>1</v>
      </c>
      <c r="AQ41" s="31" t="b">
        <f>D41=[1]数字化与研发投入!D40</f>
        <v>1</v>
      </c>
      <c r="AR41" s="31" t="b">
        <f>E41=[1]数字化与研发投入!E40</f>
        <v>1</v>
      </c>
      <c r="AS41" s="31" t="b">
        <f>F41=[1]数字化与研发投入!F40</f>
        <v>1</v>
      </c>
      <c r="AT41" s="31" t="b">
        <f>G41=[1]数字化与研发投入!G40</f>
        <v>1</v>
      </c>
      <c r="AU41" s="31" t="b">
        <f>H41=[1]数字化与研发投入!H40</f>
        <v>1</v>
      </c>
      <c r="AV41" s="31" t="b">
        <f>I41=[1]数字化与研发投入!I40</f>
        <v>1</v>
      </c>
      <c r="AW41" s="31" t="b">
        <f>J41=[1]数字化与研发投入!J40</f>
        <v>1</v>
      </c>
      <c r="AX41" s="31" t="b">
        <f>K41=[1]数字化与研发投入!K40</f>
        <v>1</v>
      </c>
      <c r="AY41" s="31" t="b">
        <f>L41=[1]数字化与研发投入!L40</f>
        <v>1</v>
      </c>
      <c r="AZ41" s="31" t="b">
        <f>M41=[1]数字化与研发投入!M40</f>
        <v>1</v>
      </c>
      <c r="BA41" s="31" t="b">
        <f>N41=[1]数字化与研发投入!N40</f>
        <v>1</v>
      </c>
      <c r="BB41" s="31" t="b">
        <f>O41=[1]数字化与研发投入!O40</f>
        <v>1</v>
      </c>
      <c r="BC41" s="31" t="b">
        <f>P41=[1]数字化与研发投入!P40</f>
        <v>1</v>
      </c>
      <c r="BD41" s="31" t="b">
        <f>Q41=[1]数字化与研发投入!Q40</f>
        <v>1</v>
      </c>
      <c r="BE41" s="31" t="b">
        <f>R41=[1]数字化与研发投入!R40</f>
        <v>1</v>
      </c>
      <c r="BF41" s="31" t="b">
        <f>S41=[1]数字化与研发投入!S40</f>
        <v>1</v>
      </c>
      <c r="BG41" s="31" t="b">
        <f>T41=[1]数字化与研发投入!T40</f>
        <v>1</v>
      </c>
      <c r="BH41" s="31" t="b">
        <f>U41=[1]数字化与研发投入!U40</f>
        <v>1</v>
      </c>
      <c r="BI41" s="31" t="b">
        <f>V41=[1]数字化与研发投入!V40</f>
        <v>1</v>
      </c>
      <c r="BJ41" s="31" t="b">
        <f>W41=[1]数字化与研发投入!W40</f>
        <v>1</v>
      </c>
      <c r="BK41" s="31" t="b">
        <f>X41=[1]数字化与研发投入!X40</f>
        <v>1</v>
      </c>
      <c r="BL41" s="31" t="b">
        <f>Y41=[1]数字化与研发投入!Y40</f>
        <v>1</v>
      </c>
      <c r="BM41" s="31" t="b">
        <f>Z41=[1]数字化与研发投入!Z40</f>
        <v>1</v>
      </c>
      <c r="BN41" s="31" t="b">
        <f>AA41=[1]数字化与研发投入!AA40</f>
        <v>1</v>
      </c>
      <c r="BO41" s="31" t="b">
        <f>AB41=[1]数字化与研发投入!AB40</f>
        <v>1</v>
      </c>
      <c r="BP41" s="31" t="b">
        <f>AC41=[1]数字化与研发投入!AC40</f>
        <v>1</v>
      </c>
      <c r="BQ41" s="31" t="b">
        <f>AD41=[1]数字化与研发投入!AD40</f>
        <v>1</v>
      </c>
      <c r="BR41" s="31" t="b">
        <f>AE41=[1]数字化与研发投入!AE40</f>
        <v>1</v>
      </c>
      <c r="BS41" s="31" t="b">
        <f>AF41=[1]数字化与研发投入!AF40</f>
        <v>1</v>
      </c>
      <c r="BT41" s="31" t="b">
        <f>AG41=[1]数字化与研发投入!AG40</f>
        <v>1</v>
      </c>
      <c r="BU41" s="31" t="b">
        <f>AH41=[1]数字化与研发投入!AH40</f>
        <v>1</v>
      </c>
      <c r="BV41" s="31" t="b">
        <f>AI41=[1]数字化与研发投入!AI40</f>
        <v>1</v>
      </c>
      <c r="BW41" s="31" t="b">
        <f>AJ41=[1]数字化与研发投入!AJ40</f>
        <v>1</v>
      </c>
      <c r="BX41" s="31" t="b">
        <f>AK41=[1]数字化与研发投入!AK40</f>
        <v>1</v>
      </c>
    </row>
    <row r="42" s="33" customFormat="1" ht="102" customHeight="1" spans="1:76">
      <c r="A42" s="92"/>
      <c r="B42" s="92"/>
      <c r="C42" s="94"/>
      <c r="D42" s="94"/>
      <c r="E42" s="95"/>
      <c r="F42" s="92"/>
      <c r="G42" s="95"/>
      <c r="H42" s="95"/>
      <c r="I42" s="95" t="s">
        <v>724</v>
      </c>
      <c r="J42" s="95" t="s">
        <v>725</v>
      </c>
      <c r="K42" s="94"/>
      <c r="L42" s="94"/>
      <c r="M42" s="94" t="s">
        <v>36</v>
      </c>
      <c r="N42" s="94"/>
      <c r="O42" s="94" t="s">
        <v>36</v>
      </c>
      <c r="P42" s="94"/>
      <c r="Q42" s="94"/>
      <c r="R42" s="94"/>
      <c r="S42" s="94"/>
      <c r="T42" s="94" t="s">
        <v>475</v>
      </c>
      <c r="U42" s="95"/>
      <c r="V42" s="95" t="s">
        <v>726</v>
      </c>
      <c r="W42" s="95" t="s">
        <v>683</v>
      </c>
      <c r="X42" s="94" t="s">
        <v>503</v>
      </c>
      <c r="Y42" s="94" t="s">
        <v>540</v>
      </c>
      <c r="Z42" s="94"/>
      <c r="AA42" s="94" t="s">
        <v>503</v>
      </c>
      <c r="AB42" s="94" t="s">
        <v>540</v>
      </c>
      <c r="AC42" s="94"/>
      <c r="AD42" s="95"/>
      <c r="AE42" s="94"/>
      <c r="AF42" s="94"/>
      <c r="AG42" s="94"/>
      <c r="AH42" s="94" t="s">
        <v>469</v>
      </c>
      <c r="AI42" s="94" t="s">
        <v>469</v>
      </c>
      <c r="AJ42" s="96" t="s">
        <v>812</v>
      </c>
      <c r="AK42" s="94" t="s">
        <v>637</v>
      </c>
      <c r="AL42" s="97"/>
      <c r="AM42" s="54"/>
      <c r="AN42" s="31" t="b">
        <f>A42=[1]数字化与研发投入!A41</f>
        <v>1</v>
      </c>
      <c r="AO42" s="31" t="b">
        <f>B42=[1]数字化与研发投入!B41</f>
        <v>1</v>
      </c>
      <c r="AP42" s="31" t="b">
        <f>C42=[1]数字化与研发投入!C41</f>
        <v>1</v>
      </c>
      <c r="AQ42" s="31" t="b">
        <f>D42=[1]数字化与研发投入!D41</f>
        <v>1</v>
      </c>
      <c r="AR42" s="31" t="b">
        <f>E42=[1]数字化与研发投入!E41</f>
        <v>1</v>
      </c>
      <c r="AS42" s="31" t="b">
        <f>F42=[1]数字化与研发投入!F41</f>
        <v>1</v>
      </c>
      <c r="AT42" s="31" t="b">
        <f>G42=[1]数字化与研发投入!G41</f>
        <v>1</v>
      </c>
      <c r="AU42" s="31" t="b">
        <f>H42=[1]数字化与研发投入!H41</f>
        <v>1</v>
      </c>
      <c r="AV42" s="31" t="b">
        <f>I42=[1]数字化与研发投入!I41</f>
        <v>1</v>
      </c>
      <c r="AW42" s="31" t="b">
        <f>J42=[1]数字化与研发投入!J41</f>
        <v>1</v>
      </c>
      <c r="AX42" s="31" t="b">
        <f>K42=[1]数字化与研发投入!K41</f>
        <v>1</v>
      </c>
      <c r="AY42" s="31" t="b">
        <f>L42=[1]数字化与研发投入!L41</f>
        <v>1</v>
      </c>
      <c r="AZ42" s="31" t="b">
        <f>M42=[1]数字化与研发投入!M41</f>
        <v>1</v>
      </c>
      <c r="BA42" s="31" t="b">
        <f>N42=[1]数字化与研发投入!N41</f>
        <v>1</v>
      </c>
      <c r="BB42" s="31" t="b">
        <f>O42=[1]数字化与研发投入!O41</f>
        <v>1</v>
      </c>
      <c r="BC42" s="31" t="b">
        <f>P42=[1]数字化与研发投入!P41</f>
        <v>1</v>
      </c>
      <c r="BD42" s="31" t="b">
        <f>Q42=[1]数字化与研发投入!Q41</f>
        <v>1</v>
      </c>
      <c r="BE42" s="31" t="b">
        <f>R42=[1]数字化与研发投入!R41</f>
        <v>1</v>
      </c>
      <c r="BF42" s="31" t="b">
        <f>S42=[1]数字化与研发投入!S41</f>
        <v>1</v>
      </c>
      <c r="BG42" s="31" t="b">
        <f>T42=[1]数字化与研发投入!T41</f>
        <v>1</v>
      </c>
      <c r="BH42" s="31" t="b">
        <f>U42=[1]数字化与研发投入!U41</f>
        <v>1</v>
      </c>
      <c r="BI42" s="31" t="b">
        <f>V42=[1]数字化与研发投入!V41</f>
        <v>1</v>
      </c>
      <c r="BJ42" s="31" t="b">
        <f>W42=[1]数字化与研发投入!W41</f>
        <v>1</v>
      </c>
      <c r="BK42" s="31" t="b">
        <f>X42=[1]数字化与研发投入!X41</f>
        <v>1</v>
      </c>
      <c r="BL42" s="31" t="b">
        <f>Y42=[1]数字化与研发投入!Y41</f>
        <v>1</v>
      </c>
      <c r="BM42" s="31" t="b">
        <f>Z42=[1]数字化与研发投入!Z41</f>
        <v>1</v>
      </c>
      <c r="BN42" s="31" t="b">
        <f>AA42=[1]数字化与研发投入!AA41</f>
        <v>1</v>
      </c>
      <c r="BO42" s="31" t="b">
        <f>AB42=[1]数字化与研发投入!AB41</f>
        <v>1</v>
      </c>
      <c r="BP42" s="31" t="b">
        <f>AC42=[1]数字化与研发投入!AC41</f>
        <v>1</v>
      </c>
      <c r="BQ42" s="31" t="b">
        <f>AD42=[1]数字化与研发投入!AD41</f>
        <v>1</v>
      </c>
      <c r="BR42" s="31" t="b">
        <f>AE42=[1]数字化与研发投入!AE41</f>
        <v>1</v>
      </c>
      <c r="BS42" s="31" t="b">
        <f>AF42=[1]数字化与研发投入!AF41</f>
        <v>1</v>
      </c>
      <c r="BT42" s="31" t="b">
        <f>AG42=[1]数字化与研发投入!AG41</f>
        <v>1</v>
      </c>
      <c r="BU42" s="31" t="b">
        <f>AH42=[1]数字化与研发投入!AH41</f>
        <v>1</v>
      </c>
      <c r="BV42" s="31" t="b">
        <f>AI42=[1]数字化与研发投入!AI41</f>
        <v>1</v>
      </c>
      <c r="BW42" s="31" t="b">
        <f>AJ42=[1]数字化与研发投入!AJ41</f>
        <v>1</v>
      </c>
      <c r="BX42" s="31" t="b">
        <f>AK42=[1]数字化与研发投入!AK41</f>
        <v>1</v>
      </c>
    </row>
    <row r="43" s="33" customFormat="1" ht="101" customHeight="1" spans="1:76">
      <c r="A43" s="92"/>
      <c r="B43" s="92"/>
      <c r="C43" s="94"/>
      <c r="D43" s="94"/>
      <c r="E43" s="95"/>
      <c r="F43" s="92"/>
      <c r="G43" s="95"/>
      <c r="H43" s="95"/>
      <c r="I43" s="95" t="s">
        <v>727</v>
      </c>
      <c r="J43" s="95" t="s">
        <v>728</v>
      </c>
      <c r="K43" s="98"/>
      <c r="L43" s="94"/>
      <c r="M43" s="94" t="s">
        <v>36</v>
      </c>
      <c r="N43" s="94"/>
      <c r="O43" s="94"/>
      <c r="P43" s="94"/>
      <c r="Q43" s="94"/>
      <c r="R43" s="94"/>
      <c r="S43" s="94"/>
      <c r="T43" s="94" t="s">
        <v>535</v>
      </c>
      <c r="U43" s="95" t="s">
        <v>713</v>
      </c>
      <c r="V43" s="95" t="s">
        <v>729</v>
      </c>
      <c r="W43" s="95" t="s">
        <v>706</v>
      </c>
      <c r="X43" s="94" t="s">
        <v>503</v>
      </c>
      <c r="Y43" s="94" t="s">
        <v>540</v>
      </c>
      <c r="Z43" s="94"/>
      <c r="AA43" s="94" t="s">
        <v>503</v>
      </c>
      <c r="AB43" s="94" t="s">
        <v>540</v>
      </c>
      <c r="AC43" s="94"/>
      <c r="AD43" s="95" t="s">
        <v>730</v>
      </c>
      <c r="AE43" s="94" t="s">
        <v>467</v>
      </c>
      <c r="AF43" s="94" t="s">
        <v>466</v>
      </c>
      <c r="AG43" s="94"/>
      <c r="AH43" s="94" t="s">
        <v>469</v>
      </c>
      <c r="AI43" s="94" t="s">
        <v>469</v>
      </c>
      <c r="AJ43" s="96" t="s">
        <v>812</v>
      </c>
      <c r="AK43" s="94" t="s">
        <v>637</v>
      </c>
      <c r="AL43" s="97"/>
      <c r="AM43" s="54"/>
      <c r="AN43" s="31" t="b">
        <f>A43=[1]数字化与研发投入!A42</f>
        <v>1</v>
      </c>
      <c r="AO43" s="31" t="b">
        <f>B43=[1]数字化与研发投入!B42</f>
        <v>1</v>
      </c>
      <c r="AP43" s="31" t="b">
        <f>C43=[1]数字化与研发投入!C42</f>
        <v>1</v>
      </c>
      <c r="AQ43" s="31" t="b">
        <f>D43=[1]数字化与研发投入!D42</f>
        <v>1</v>
      </c>
      <c r="AR43" s="31" t="b">
        <f>E43=[1]数字化与研发投入!E42</f>
        <v>1</v>
      </c>
      <c r="AS43" s="31" t="b">
        <f>F43=[1]数字化与研发投入!F42</f>
        <v>1</v>
      </c>
      <c r="AT43" s="31" t="b">
        <f>G43=[1]数字化与研发投入!G42</f>
        <v>1</v>
      </c>
      <c r="AU43" s="31" t="b">
        <f>H43=[1]数字化与研发投入!H42</f>
        <v>1</v>
      </c>
      <c r="AV43" s="31" t="b">
        <f>I43=[1]数字化与研发投入!I42</f>
        <v>1</v>
      </c>
      <c r="AW43" s="31" t="b">
        <f>J43=[1]数字化与研发投入!J42</f>
        <v>1</v>
      </c>
      <c r="AX43" s="31" t="b">
        <f>K43=[1]数字化与研发投入!K42</f>
        <v>1</v>
      </c>
      <c r="AY43" s="31" t="b">
        <f>L43=[1]数字化与研发投入!L42</f>
        <v>1</v>
      </c>
      <c r="AZ43" s="31" t="b">
        <f>M43=[1]数字化与研发投入!M42</f>
        <v>1</v>
      </c>
      <c r="BA43" s="31" t="b">
        <f>N43=[1]数字化与研发投入!N42</f>
        <v>1</v>
      </c>
      <c r="BB43" s="31" t="b">
        <f>O43=[1]数字化与研发投入!O42</f>
        <v>1</v>
      </c>
      <c r="BC43" s="31" t="b">
        <f>P43=[1]数字化与研发投入!P42</f>
        <v>1</v>
      </c>
      <c r="BD43" s="31" t="b">
        <f>Q43=[1]数字化与研发投入!Q42</f>
        <v>1</v>
      </c>
      <c r="BE43" s="31" t="b">
        <f>R43=[1]数字化与研发投入!R42</f>
        <v>1</v>
      </c>
      <c r="BF43" s="31" t="b">
        <f>S43=[1]数字化与研发投入!S42</f>
        <v>1</v>
      </c>
      <c r="BG43" s="31" t="b">
        <f>T43=[1]数字化与研发投入!T42</f>
        <v>1</v>
      </c>
      <c r="BH43" s="31" t="b">
        <f>U43=[1]数字化与研发投入!U42</f>
        <v>1</v>
      </c>
      <c r="BI43" s="31" t="b">
        <f>V43=[1]数字化与研发投入!V42</f>
        <v>1</v>
      </c>
      <c r="BJ43" s="31" t="b">
        <f>W43=[1]数字化与研发投入!W42</f>
        <v>1</v>
      </c>
      <c r="BK43" s="31" t="b">
        <f>X43=[1]数字化与研发投入!X42</f>
        <v>1</v>
      </c>
      <c r="BL43" s="31" t="b">
        <f>Y43=[1]数字化与研发投入!Y42</f>
        <v>1</v>
      </c>
      <c r="BM43" s="31" t="b">
        <f>Z43=[1]数字化与研发投入!Z42</f>
        <v>1</v>
      </c>
      <c r="BN43" s="31" t="b">
        <f>AA43=[1]数字化与研发投入!AA42</f>
        <v>1</v>
      </c>
      <c r="BO43" s="31" t="b">
        <f>AB43=[1]数字化与研发投入!AB42</f>
        <v>1</v>
      </c>
      <c r="BP43" s="31" t="b">
        <f>AC43=[1]数字化与研发投入!AC42</f>
        <v>1</v>
      </c>
      <c r="BQ43" s="31" t="b">
        <f>AD43=[1]数字化与研发投入!AD42</f>
        <v>1</v>
      </c>
      <c r="BR43" s="31" t="b">
        <f>AE43=[1]数字化与研发投入!AE42</f>
        <v>1</v>
      </c>
      <c r="BS43" s="31" t="b">
        <f>AF43=[1]数字化与研发投入!AF42</f>
        <v>1</v>
      </c>
      <c r="BT43" s="31" t="b">
        <f>AG43=[1]数字化与研发投入!AG42</f>
        <v>1</v>
      </c>
      <c r="BU43" s="31" t="b">
        <f>AH43=[1]数字化与研发投入!AH42</f>
        <v>1</v>
      </c>
      <c r="BV43" s="31" t="b">
        <f>AI43=[1]数字化与研发投入!AI42</f>
        <v>1</v>
      </c>
      <c r="BW43" s="31" t="b">
        <f>AJ43=[1]数字化与研发投入!AJ42</f>
        <v>1</v>
      </c>
      <c r="BX43" s="31" t="b">
        <f>AK43=[1]数字化与研发投入!AK42</f>
        <v>1</v>
      </c>
    </row>
    <row r="44" s="33" customFormat="1" ht="127" customHeight="1" spans="1:76">
      <c r="A44" s="92"/>
      <c r="B44" s="92"/>
      <c r="C44" s="94" t="s">
        <v>454</v>
      </c>
      <c r="D44" s="94" t="s">
        <v>731</v>
      </c>
      <c r="E44" s="94" t="s">
        <v>732</v>
      </c>
      <c r="F44" s="92" t="s">
        <v>733</v>
      </c>
      <c r="G44" s="94" t="s">
        <v>734</v>
      </c>
      <c r="H44" s="94" t="s">
        <v>735</v>
      </c>
      <c r="I44" s="95" t="s">
        <v>736</v>
      </c>
      <c r="J44" s="95" t="s">
        <v>737</v>
      </c>
      <c r="K44" s="94"/>
      <c r="L44" s="94"/>
      <c r="M44" s="94" t="s">
        <v>36</v>
      </c>
      <c r="N44" s="94"/>
      <c r="O44" s="94" t="s">
        <v>36</v>
      </c>
      <c r="P44" s="94"/>
      <c r="Q44" s="94"/>
      <c r="R44" s="94" t="s">
        <v>36</v>
      </c>
      <c r="S44" s="94"/>
      <c r="T44" s="94" t="s">
        <v>475</v>
      </c>
      <c r="U44" s="95"/>
      <c r="V44" s="95" t="s">
        <v>738</v>
      </c>
      <c r="W44" s="95" t="s">
        <v>654</v>
      </c>
      <c r="X44" s="94" t="s">
        <v>467</v>
      </c>
      <c r="Y44" s="94" t="s">
        <v>466</v>
      </c>
      <c r="Z44" s="94"/>
      <c r="AA44" s="94" t="s">
        <v>467</v>
      </c>
      <c r="AB44" s="94" t="s">
        <v>466</v>
      </c>
      <c r="AC44" s="94"/>
      <c r="AD44" s="95"/>
      <c r="AE44" s="94"/>
      <c r="AF44" s="94"/>
      <c r="AG44" s="94"/>
      <c r="AH44" s="94" t="s">
        <v>469</v>
      </c>
      <c r="AI44" s="94" t="s">
        <v>469</v>
      </c>
      <c r="AJ44" s="95" t="s">
        <v>747</v>
      </c>
      <c r="AK44" s="94" t="s">
        <v>637</v>
      </c>
      <c r="AL44" s="97"/>
      <c r="AM44" s="54"/>
      <c r="AN44" s="31" t="b">
        <f>A44=[1]数字化与研发投入!A43</f>
        <v>1</v>
      </c>
      <c r="AO44" s="31" t="b">
        <f>B44=[1]数字化与研发投入!B43</f>
        <v>1</v>
      </c>
      <c r="AP44" s="31" t="b">
        <f>C44=[1]数字化与研发投入!C43</f>
        <v>1</v>
      </c>
      <c r="AQ44" s="31" t="b">
        <f>D44=[1]数字化与研发投入!D43</f>
        <v>1</v>
      </c>
      <c r="AR44" s="31" t="b">
        <f>E44=[1]数字化与研发投入!E43</f>
        <v>1</v>
      </c>
      <c r="AS44" s="31" t="b">
        <f>F44=[1]数字化与研发投入!F43</f>
        <v>1</v>
      </c>
      <c r="AT44" s="31" t="b">
        <f>G44=[1]数字化与研发投入!G43</f>
        <v>1</v>
      </c>
      <c r="AU44" s="31" t="b">
        <f>H44=[1]数字化与研发投入!H43</f>
        <v>1</v>
      </c>
      <c r="AV44" s="31" t="b">
        <f>I44=[1]数字化与研发投入!I43</f>
        <v>1</v>
      </c>
      <c r="AW44" s="31" t="b">
        <f>J44=[1]数字化与研发投入!J43</f>
        <v>1</v>
      </c>
      <c r="AX44" s="31" t="b">
        <f>K44=[1]数字化与研发投入!K43</f>
        <v>1</v>
      </c>
      <c r="AY44" s="31" t="b">
        <f>L44=[1]数字化与研发投入!L43</f>
        <v>1</v>
      </c>
      <c r="AZ44" s="31" t="b">
        <f>M44=[1]数字化与研发投入!M43</f>
        <v>1</v>
      </c>
      <c r="BA44" s="31" t="b">
        <f>N44=[1]数字化与研发投入!N43</f>
        <v>1</v>
      </c>
      <c r="BB44" s="31" t="b">
        <f>O44=[1]数字化与研发投入!O43</f>
        <v>1</v>
      </c>
      <c r="BC44" s="31" t="b">
        <f>P44=[1]数字化与研发投入!P43</f>
        <v>1</v>
      </c>
      <c r="BD44" s="31" t="b">
        <f>Q44=[1]数字化与研发投入!Q43</f>
        <v>1</v>
      </c>
      <c r="BE44" s="31" t="b">
        <f>R44=[1]数字化与研发投入!R43</f>
        <v>1</v>
      </c>
      <c r="BF44" s="31" t="b">
        <f>S44=[1]数字化与研发投入!S43</f>
        <v>1</v>
      </c>
      <c r="BG44" s="31" t="b">
        <f>T44=[1]数字化与研发投入!T43</f>
        <v>1</v>
      </c>
      <c r="BH44" s="31" t="b">
        <f>U44=[1]数字化与研发投入!U43</f>
        <v>1</v>
      </c>
      <c r="BI44" s="31" t="b">
        <f>V44=[1]数字化与研发投入!V43</f>
        <v>1</v>
      </c>
      <c r="BJ44" s="31" t="b">
        <f>W44=[1]数字化与研发投入!W43</f>
        <v>1</v>
      </c>
      <c r="BK44" s="31" t="b">
        <f>X44=[1]数字化与研发投入!X43</f>
        <v>1</v>
      </c>
      <c r="BL44" s="31" t="b">
        <f>Y44=[1]数字化与研发投入!Y43</f>
        <v>1</v>
      </c>
      <c r="BM44" s="31" t="b">
        <f>Z44=[1]数字化与研发投入!Z43</f>
        <v>1</v>
      </c>
      <c r="BN44" s="31" t="b">
        <f>AA44=[1]数字化与研发投入!AA43</f>
        <v>1</v>
      </c>
      <c r="BO44" s="31" t="b">
        <f>AB44=[1]数字化与研发投入!AB43</f>
        <v>1</v>
      </c>
      <c r="BP44" s="31" t="b">
        <f>AC44=[1]数字化与研发投入!AC43</f>
        <v>1</v>
      </c>
      <c r="BQ44" s="31" t="b">
        <f>AD44=[1]数字化与研发投入!AD43</f>
        <v>1</v>
      </c>
      <c r="BR44" s="31" t="b">
        <f>AE44=[1]数字化与研发投入!AE43</f>
        <v>1</v>
      </c>
      <c r="BS44" s="31" t="b">
        <f>AF44=[1]数字化与研发投入!AF43</f>
        <v>1</v>
      </c>
      <c r="BT44" s="31" t="b">
        <f>AG44=[1]数字化与研发投入!AG43</f>
        <v>1</v>
      </c>
      <c r="BU44" s="31" t="b">
        <f>AH44=[1]数字化与研发投入!AH43</f>
        <v>1</v>
      </c>
      <c r="BV44" s="31" t="b">
        <f>AI44=[1]数字化与研发投入!AI43</f>
        <v>1</v>
      </c>
      <c r="BW44" s="31" t="b">
        <f>AJ44=[1]数字化与研发投入!AJ43</f>
        <v>1</v>
      </c>
      <c r="BX44" s="31" t="b">
        <f>AK44=[1]数字化与研发投入!AK43</f>
        <v>1</v>
      </c>
    </row>
    <row r="45" s="33" customFormat="1" ht="144" customHeight="1" spans="1:76">
      <c r="A45" s="92"/>
      <c r="B45" s="92"/>
      <c r="C45" s="94"/>
      <c r="D45" s="94"/>
      <c r="E45" s="94"/>
      <c r="F45" s="92"/>
      <c r="G45" s="94"/>
      <c r="H45" s="94"/>
      <c r="I45" s="95" t="s">
        <v>740</v>
      </c>
      <c r="J45" s="95" t="s">
        <v>741</v>
      </c>
      <c r="K45" s="94"/>
      <c r="L45" s="94"/>
      <c r="M45" s="94" t="s">
        <v>36</v>
      </c>
      <c r="N45" s="94"/>
      <c r="O45" s="94" t="s">
        <v>36</v>
      </c>
      <c r="P45" s="94"/>
      <c r="Q45" s="94"/>
      <c r="R45" s="94" t="s">
        <v>36</v>
      </c>
      <c r="S45" s="94"/>
      <c r="T45" s="94" t="s">
        <v>475</v>
      </c>
      <c r="U45" s="95"/>
      <c r="V45" s="95" t="s">
        <v>738</v>
      </c>
      <c r="W45" s="95" t="s">
        <v>654</v>
      </c>
      <c r="X45" s="94" t="s">
        <v>467</v>
      </c>
      <c r="Y45" s="94" t="s">
        <v>466</v>
      </c>
      <c r="Z45" s="94"/>
      <c r="AA45" s="94" t="s">
        <v>467</v>
      </c>
      <c r="AB45" s="94" t="s">
        <v>466</v>
      </c>
      <c r="AC45" s="94"/>
      <c r="AD45" s="95"/>
      <c r="AE45" s="94"/>
      <c r="AF45" s="94"/>
      <c r="AG45" s="94"/>
      <c r="AH45" s="94" t="s">
        <v>469</v>
      </c>
      <c r="AI45" s="94" t="s">
        <v>469</v>
      </c>
      <c r="AJ45" s="95" t="s">
        <v>747</v>
      </c>
      <c r="AK45" s="94" t="s">
        <v>637</v>
      </c>
      <c r="AL45" s="97"/>
      <c r="AM45" s="54"/>
      <c r="AN45" s="31" t="b">
        <f>A45=[1]数字化与研发投入!A44</f>
        <v>1</v>
      </c>
      <c r="AO45" s="31" t="b">
        <f>B45=[1]数字化与研发投入!B44</f>
        <v>1</v>
      </c>
      <c r="AP45" s="31" t="b">
        <f>C45=[1]数字化与研发投入!C44</f>
        <v>1</v>
      </c>
      <c r="AQ45" s="31" t="b">
        <f>D45=[1]数字化与研发投入!D44</f>
        <v>1</v>
      </c>
      <c r="AR45" s="31" t="b">
        <f>E45=[1]数字化与研发投入!E44</f>
        <v>1</v>
      </c>
      <c r="AS45" s="31" t="b">
        <f>F45=[1]数字化与研发投入!F44</f>
        <v>1</v>
      </c>
      <c r="AT45" s="31" t="b">
        <f>G45=[1]数字化与研发投入!G44</f>
        <v>1</v>
      </c>
      <c r="AU45" s="31" t="b">
        <f>H45=[1]数字化与研发投入!H44</f>
        <v>1</v>
      </c>
      <c r="AV45" s="31" t="b">
        <f>I45=[1]数字化与研发投入!I44</f>
        <v>1</v>
      </c>
      <c r="AW45" s="31" t="b">
        <f>J45=[1]数字化与研发投入!J44</f>
        <v>1</v>
      </c>
      <c r="AX45" s="31" t="b">
        <f>K45=[1]数字化与研发投入!K44</f>
        <v>1</v>
      </c>
      <c r="AY45" s="31" t="b">
        <f>L45=[1]数字化与研发投入!L44</f>
        <v>1</v>
      </c>
      <c r="AZ45" s="31" t="b">
        <f>M45=[1]数字化与研发投入!M44</f>
        <v>1</v>
      </c>
      <c r="BA45" s="31" t="b">
        <f>N45=[1]数字化与研发投入!N44</f>
        <v>1</v>
      </c>
      <c r="BB45" s="31" t="b">
        <f>O45=[1]数字化与研发投入!O44</f>
        <v>1</v>
      </c>
      <c r="BC45" s="31" t="b">
        <f>P45=[1]数字化与研发投入!P44</f>
        <v>1</v>
      </c>
      <c r="BD45" s="31" t="b">
        <f>Q45=[1]数字化与研发投入!Q44</f>
        <v>1</v>
      </c>
      <c r="BE45" s="31" t="b">
        <f>R45=[1]数字化与研发投入!R44</f>
        <v>1</v>
      </c>
      <c r="BF45" s="31" t="b">
        <f>S45=[1]数字化与研发投入!S44</f>
        <v>1</v>
      </c>
      <c r="BG45" s="31" t="b">
        <f>T45=[1]数字化与研发投入!T44</f>
        <v>1</v>
      </c>
      <c r="BH45" s="31" t="b">
        <f>U45=[1]数字化与研发投入!U44</f>
        <v>1</v>
      </c>
      <c r="BI45" s="31" t="b">
        <f>V45=[1]数字化与研发投入!V44</f>
        <v>1</v>
      </c>
      <c r="BJ45" s="31" t="b">
        <f>W45=[1]数字化与研发投入!W44</f>
        <v>1</v>
      </c>
      <c r="BK45" s="31" t="b">
        <f>X45=[1]数字化与研发投入!X44</f>
        <v>1</v>
      </c>
      <c r="BL45" s="31" t="b">
        <f>Y45=[1]数字化与研发投入!Y44</f>
        <v>1</v>
      </c>
      <c r="BM45" s="31" t="b">
        <f>Z45=[1]数字化与研发投入!Z44</f>
        <v>1</v>
      </c>
      <c r="BN45" s="31" t="b">
        <f>AA45=[1]数字化与研发投入!AA44</f>
        <v>1</v>
      </c>
      <c r="BO45" s="31" t="b">
        <f>AB45=[1]数字化与研发投入!AB44</f>
        <v>1</v>
      </c>
      <c r="BP45" s="31" t="b">
        <f>AC45=[1]数字化与研发投入!AC44</f>
        <v>1</v>
      </c>
      <c r="BQ45" s="31" t="b">
        <f>AD45=[1]数字化与研发投入!AD44</f>
        <v>1</v>
      </c>
      <c r="BR45" s="31" t="b">
        <f>AE45=[1]数字化与研发投入!AE44</f>
        <v>1</v>
      </c>
      <c r="BS45" s="31" t="b">
        <f>AF45=[1]数字化与研发投入!AF44</f>
        <v>1</v>
      </c>
      <c r="BT45" s="31" t="b">
        <f>AG45=[1]数字化与研发投入!AG44</f>
        <v>1</v>
      </c>
      <c r="BU45" s="31" t="b">
        <f>AH45=[1]数字化与研发投入!AH44</f>
        <v>1</v>
      </c>
      <c r="BV45" s="31" t="b">
        <f>AI45=[1]数字化与研发投入!AI44</f>
        <v>1</v>
      </c>
      <c r="BW45" s="31" t="b">
        <f>AJ45=[1]数字化与研发投入!AJ44</f>
        <v>1</v>
      </c>
      <c r="BX45" s="31" t="b">
        <f>AK45=[1]数字化与研发投入!AK44</f>
        <v>1</v>
      </c>
    </row>
    <row r="46" s="33" customFormat="1" ht="90" customHeight="1" spans="1:76">
      <c r="A46" s="92"/>
      <c r="B46" s="92"/>
      <c r="C46" s="94"/>
      <c r="D46" s="94"/>
      <c r="E46" s="94"/>
      <c r="F46" s="92"/>
      <c r="G46" s="94"/>
      <c r="H46" s="94"/>
      <c r="I46" s="95" t="s">
        <v>742</v>
      </c>
      <c r="J46" s="95" t="s">
        <v>743</v>
      </c>
      <c r="K46" s="94"/>
      <c r="L46" s="94"/>
      <c r="M46" s="94"/>
      <c r="N46" s="94"/>
      <c r="O46" s="94"/>
      <c r="P46" s="94"/>
      <c r="Q46" s="94"/>
      <c r="R46" s="94"/>
      <c r="S46" s="94" t="s">
        <v>36</v>
      </c>
      <c r="T46" s="94" t="s">
        <v>475</v>
      </c>
      <c r="U46" s="95"/>
      <c r="V46" s="95" t="s">
        <v>738</v>
      </c>
      <c r="W46" s="95" t="s">
        <v>706</v>
      </c>
      <c r="X46" s="94" t="s">
        <v>467</v>
      </c>
      <c r="Y46" s="94" t="s">
        <v>466</v>
      </c>
      <c r="Z46" s="94"/>
      <c r="AA46" s="94" t="s">
        <v>467</v>
      </c>
      <c r="AB46" s="94" t="s">
        <v>466</v>
      </c>
      <c r="AC46" s="94"/>
      <c r="AD46" s="95"/>
      <c r="AE46" s="94"/>
      <c r="AF46" s="94"/>
      <c r="AG46" s="94"/>
      <c r="AH46" s="94" t="s">
        <v>469</v>
      </c>
      <c r="AI46" s="94" t="s">
        <v>469</v>
      </c>
      <c r="AJ46" s="95" t="s">
        <v>747</v>
      </c>
      <c r="AK46" s="94" t="s">
        <v>637</v>
      </c>
      <c r="AL46" s="97"/>
      <c r="AM46" s="54"/>
      <c r="AN46" s="31" t="b">
        <f>A46=[1]数字化与研发投入!A45</f>
        <v>1</v>
      </c>
      <c r="AO46" s="31" t="b">
        <f>B46=[1]数字化与研发投入!B45</f>
        <v>1</v>
      </c>
      <c r="AP46" s="31" t="b">
        <f>C46=[1]数字化与研发投入!C45</f>
        <v>1</v>
      </c>
      <c r="AQ46" s="31" t="b">
        <f>D46=[1]数字化与研发投入!D45</f>
        <v>1</v>
      </c>
      <c r="AR46" s="31" t="b">
        <f>E46=[1]数字化与研发投入!E45</f>
        <v>1</v>
      </c>
      <c r="AS46" s="31" t="b">
        <f>F46=[1]数字化与研发投入!F45</f>
        <v>1</v>
      </c>
      <c r="AT46" s="31" t="b">
        <f>G46=[1]数字化与研发投入!G45</f>
        <v>1</v>
      </c>
      <c r="AU46" s="31" t="b">
        <f>H46=[1]数字化与研发投入!H45</f>
        <v>1</v>
      </c>
      <c r="AV46" s="31" t="b">
        <f>I46=[1]数字化与研发投入!I45</f>
        <v>1</v>
      </c>
      <c r="AW46" s="31" t="b">
        <f>J46=[1]数字化与研发投入!J45</f>
        <v>1</v>
      </c>
      <c r="AX46" s="31" t="b">
        <f>K46=[1]数字化与研发投入!K45</f>
        <v>1</v>
      </c>
      <c r="AY46" s="31" t="b">
        <f>L46=[1]数字化与研发投入!L45</f>
        <v>1</v>
      </c>
      <c r="AZ46" s="31" t="b">
        <f>M46=[1]数字化与研发投入!M45</f>
        <v>1</v>
      </c>
      <c r="BA46" s="31" t="b">
        <f>N46=[1]数字化与研发投入!N45</f>
        <v>1</v>
      </c>
      <c r="BB46" s="31" t="b">
        <f>O46=[1]数字化与研发投入!O45</f>
        <v>1</v>
      </c>
      <c r="BC46" s="31" t="b">
        <f>P46=[1]数字化与研发投入!P45</f>
        <v>1</v>
      </c>
      <c r="BD46" s="31" t="b">
        <f>Q46=[1]数字化与研发投入!Q45</f>
        <v>1</v>
      </c>
      <c r="BE46" s="31" t="b">
        <f>R46=[1]数字化与研发投入!R45</f>
        <v>1</v>
      </c>
      <c r="BF46" s="31" t="b">
        <f>S46=[1]数字化与研发投入!S45</f>
        <v>1</v>
      </c>
      <c r="BG46" s="31" t="b">
        <f>T46=[1]数字化与研发投入!T45</f>
        <v>1</v>
      </c>
      <c r="BH46" s="31" t="b">
        <f>U46=[1]数字化与研发投入!U45</f>
        <v>1</v>
      </c>
      <c r="BI46" s="31" t="b">
        <f>V46=[1]数字化与研发投入!V45</f>
        <v>1</v>
      </c>
      <c r="BJ46" s="31" t="b">
        <f>W46=[1]数字化与研发投入!W45</f>
        <v>1</v>
      </c>
      <c r="BK46" s="31" t="b">
        <f>X46=[1]数字化与研发投入!X45</f>
        <v>1</v>
      </c>
      <c r="BL46" s="31" t="b">
        <f>Y46=[1]数字化与研发投入!Y45</f>
        <v>1</v>
      </c>
      <c r="BM46" s="31" t="b">
        <f>Z46=[1]数字化与研发投入!Z45</f>
        <v>1</v>
      </c>
      <c r="BN46" s="31" t="b">
        <f>AA46=[1]数字化与研发投入!AA45</f>
        <v>1</v>
      </c>
      <c r="BO46" s="31" t="b">
        <f>AB46=[1]数字化与研发投入!AB45</f>
        <v>1</v>
      </c>
      <c r="BP46" s="31" t="b">
        <f>AC46=[1]数字化与研发投入!AC45</f>
        <v>1</v>
      </c>
      <c r="BQ46" s="31" t="b">
        <f>AD46=[1]数字化与研发投入!AD45</f>
        <v>1</v>
      </c>
      <c r="BR46" s="31" t="b">
        <f>AE46=[1]数字化与研发投入!AE45</f>
        <v>1</v>
      </c>
      <c r="BS46" s="31" t="b">
        <f>AF46=[1]数字化与研发投入!AF45</f>
        <v>1</v>
      </c>
      <c r="BT46" s="31" t="b">
        <f>AG46=[1]数字化与研发投入!AG45</f>
        <v>1</v>
      </c>
      <c r="BU46" s="31" t="b">
        <f>AH46=[1]数字化与研发投入!AH45</f>
        <v>1</v>
      </c>
      <c r="BV46" s="31" t="b">
        <f>AI46=[1]数字化与研发投入!AI45</f>
        <v>1</v>
      </c>
      <c r="BW46" s="31" t="b">
        <f>AJ46=[1]数字化与研发投入!AJ45</f>
        <v>1</v>
      </c>
      <c r="BX46" s="31" t="b">
        <f>AK46=[1]数字化与研发投入!AK45</f>
        <v>1</v>
      </c>
    </row>
    <row r="47" s="34" customFormat="1" ht="92.4" spans="1:76">
      <c r="A47" s="100"/>
      <c r="B47" s="100"/>
      <c r="C47" s="101"/>
      <c r="D47" s="101"/>
      <c r="E47" s="101"/>
      <c r="F47" s="100"/>
      <c r="G47" s="101"/>
      <c r="H47" s="101"/>
      <c r="I47" s="102" t="s">
        <v>744</v>
      </c>
      <c r="J47" s="102" t="s">
        <v>745</v>
      </c>
      <c r="K47" s="103"/>
      <c r="L47" s="103"/>
      <c r="M47" s="103"/>
      <c r="N47" s="103"/>
      <c r="O47" s="103"/>
      <c r="P47" s="103"/>
      <c r="Q47" s="103"/>
      <c r="R47" s="103"/>
      <c r="S47" s="104" t="s">
        <v>36</v>
      </c>
      <c r="T47" s="105" t="s">
        <v>475</v>
      </c>
      <c r="U47" s="106"/>
      <c r="V47" s="102" t="s">
        <v>746</v>
      </c>
      <c r="W47" s="102" t="s">
        <v>706</v>
      </c>
      <c r="X47" s="105" t="s">
        <v>467</v>
      </c>
      <c r="Y47" s="105" t="s">
        <v>466</v>
      </c>
      <c r="Z47" s="105"/>
      <c r="AA47" s="105" t="s">
        <v>467</v>
      </c>
      <c r="AB47" s="105" t="s">
        <v>466</v>
      </c>
      <c r="AC47" s="105"/>
      <c r="AD47" s="102"/>
      <c r="AE47" s="105"/>
      <c r="AF47" s="105"/>
      <c r="AG47" s="105"/>
      <c r="AH47" s="105" t="s">
        <v>469</v>
      </c>
      <c r="AI47" s="105" t="s">
        <v>469</v>
      </c>
      <c r="AJ47" s="102" t="s">
        <v>747</v>
      </c>
      <c r="AK47" s="105" t="s">
        <v>637</v>
      </c>
      <c r="AM47" s="107" t="s">
        <v>748</v>
      </c>
      <c r="AN47" s="31" t="b">
        <f>A47=[1]数字化与研发投入!A46</f>
        <v>1</v>
      </c>
      <c r="AO47" s="31" t="b">
        <f>B47=[1]数字化与研发投入!B46</f>
        <v>1</v>
      </c>
      <c r="AP47" s="31" t="b">
        <f>C47=[1]数字化与研发投入!C46</f>
        <v>1</v>
      </c>
      <c r="AQ47" s="31" t="b">
        <f>D47=[1]数字化与研发投入!D46</f>
        <v>1</v>
      </c>
      <c r="AR47" s="31" t="b">
        <f>E47=[1]数字化与研发投入!E46</f>
        <v>1</v>
      </c>
      <c r="AS47" s="31" t="b">
        <f>F47=[1]数字化与研发投入!F46</f>
        <v>1</v>
      </c>
      <c r="AT47" s="31" t="b">
        <f>G47=[1]数字化与研发投入!G46</f>
        <v>1</v>
      </c>
      <c r="AU47" s="31" t="b">
        <f>H47=[1]数字化与研发投入!H46</f>
        <v>1</v>
      </c>
      <c r="AV47" s="31" t="b">
        <f>I47=[1]数字化与研发投入!I46</f>
        <v>0</v>
      </c>
      <c r="AW47" s="31" t="b">
        <f>J47=[1]数字化与研发投入!J46</f>
        <v>0</v>
      </c>
      <c r="AX47" s="31" t="b">
        <f>K47=[1]数字化与研发投入!K46</f>
        <v>1</v>
      </c>
      <c r="AY47" s="31" t="b">
        <f>L47=[1]数字化与研发投入!L46</f>
        <v>1</v>
      </c>
      <c r="AZ47" s="31" t="b">
        <f>M47=[1]数字化与研发投入!M46</f>
        <v>1</v>
      </c>
      <c r="BA47" s="31" t="b">
        <f>N47=[1]数字化与研发投入!N46</f>
        <v>1</v>
      </c>
      <c r="BB47" s="31" t="b">
        <f>O47=[1]数字化与研发投入!O46</f>
        <v>1</v>
      </c>
      <c r="BC47" s="31" t="b">
        <f>P47=[1]数字化与研发投入!P46</f>
        <v>1</v>
      </c>
      <c r="BD47" s="31" t="b">
        <f>Q47=[1]数字化与研发投入!Q46</f>
        <v>1</v>
      </c>
      <c r="BE47" s="31" t="b">
        <f>R47=[1]数字化与研发投入!R46</f>
        <v>1</v>
      </c>
      <c r="BF47" s="31" t="b">
        <f>S47=[1]数字化与研发投入!S46</f>
        <v>0</v>
      </c>
      <c r="BG47" s="31" t="b">
        <f>T47=[1]数字化与研发投入!T46</f>
        <v>0</v>
      </c>
      <c r="BH47" s="31" t="b">
        <f>U47=[1]数字化与研发投入!U46</f>
        <v>1</v>
      </c>
      <c r="BI47" s="31" t="b">
        <f>V47=[1]数字化与研发投入!V46</f>
        <v>0</v>
      </c>
      <c r="BJ47" s="31" t="b">
        <f>W47=[1]数字化与研发投入!W46</f>
        <v>0</v>
      </c>
      <c r="BK47" s="31" t="b">
        <f>X47=[1]数字化与研发投入!X46</f>
        <v>0</v>
      </c>
      <c r="BL47" s="31" t="b">
        <f>Y47=[1]数字化与研发投入!Y46</f>
        <v>0</v>
      </c>
      <c r="BM47" s="31" t="b">
        <f>Z47=[1]数字化与研发投入!Z46</f>
        <v>1</v>
      </c>
      <c r="BN47" s="31" t="b">
        <f>AA47=[1]数字化与研发投入!AA46</f>
        <v>0</v>
      </c>
      <c r="BO47" s="31" t="b">
        <f>AB47=[1]数字化与研发投入!AB46</f>
        <v>0</v>
      </c>
      <c r="BP47" s="31" t="b">
        <f>AC47=[1]数字化与研发投入!AC46</f>
        <v>1</v>
      </c>
      <c r="BQ47" s="31" t="b">
        <f>AD47=[1]数字化与研发投入!AD46</f>
        <v>1</v>
      </c>
      <c r="BR47" s="31" t="b">
        <f>AE47=[1]数字化与研发投入!AE46</f>
        <v>1</v>
      </c>
      <c r="BS47" s="31" t="b">
        <f>AF47=[1]数字化与研发投入!AF46</f>
        <v>1</v>
      </c>
      <c r="BT47" s="31" t="b">
        <f>AG47=[1]数字化与研发投入!AG46</f>
        <v>1</v>
      </c>
      <c r="BU47" s="31" t="b">
        <f>AH47=[1]数字化与研发投入!AH46</f>
        <v>0</v>
      </c>
      <c r="BV47" s="31" t="b">
        <f>AI47=[1]数字化与研发投入!AI46</f>
        <v>0</v>
      </c>
      <c r="BW47" s="31" t="b">
        <f>AJ47=[1]数字化与研发投入!AJ46</f>
        <v>0</v>
      </c>
      <c r="BX47" s="31" t="b">
        <f>AK47=[1]数字化与研发投入!AK46</f>
        <v>0</v>
      </c>
    </row>
    <row r="48" ht="22.2" spans="1:76">
      <c r="AN48" s="31" t="b">
        <f>A48=[1]数字化与研发投入!A47</f>
        <v>1</v>
      </c>
      <c r="AO48" s="31" t="b">
        <f>B48=[1]数字化与研发投入!B47</f>
        <v>1</v>
      </c>
      <c r="AP48" s="31" t="b">
        <f>C48=[1]数字化与研发投入!C47</f>
        <v>1</v>
      </c>
      <c r="AQ48" s="31" t="b">
        <f>D48=[1]数字化与研发投入!D47</f>
        <v>1</v>
      </c>
      <c r="AR48" s="31" t="b">
        <f>E48=[1]数字化与研发投入!E47</f>
        <v>1</v>
      </c>
      <c r="AS48" s="31" t="b">
        <f>F48=[1]数字化与研发投入!F47</f>
        <v>1</v>
      </c>
      <c r="AT48" s="31" t="b">
        <f>G48=[1]数字化与研发投入!G47</f>
        <v>1</v>
      </c>
      <c r="AU48" s="31" t="b">
        <f>H48=[1]数字化与研发投入!H47</f>
        <v>1</v>
      </c>
      <c r="AV48" s="31" t="b">
        <f>I48=[1]数字化与研发投入!I47</f>
        <v>1</v>
      </c>
      <c r="AW48" s="31" t="b">
        <f>J48=[1]数字化与研发投入!J47</f>
        <v>1</v>
      </c>
      <c r="AX48" s="31" t="b">
        <f>K48=[1]数字化与研发投入!K47</f>
        <v>1</v>
      </c>
      <c r="AY48" s="31" t="b">
        <f>L48=[1]数字化与研发投入!L47</f>
        <v>1</v>
      </c>
      <c r="AZ48" s="31" t="b">
        <f>M48=[1]数字化与研发投入!M47</f>
        <v>1</v>
      </c>
      <c r="BA48" s="31" t="b">
        <f>N48=[1]数字化与研发投入!N47</f>
        <v>1</v>
      </c>
      <c r="BB48" s="31" t="b">
        <f>O48=[1]数字化与研发投入!O47</f>
        <v>1</v>
      </c>
      <c r="BC48" s="31" t="b">
        <f>P48=[1]数字化与研发投入!P47</f>
        <v>1</v>
      </c>
      <c r="BD48" s="31" t="b">
        <f>Q48=[1]数字化与研发投入!Q47</f>
        <v>1</v>
      </c>
      <c r="BE48" s="31" t="b">
        <f>R48=[1]数字化与研发投入!R47</f>
        <v>1</v>
      </c>
      <c r="BF48" s="31" t="b">
        <f>S48=[1]数字化与研发投入!S47</f>
        <v>1</v>
      </c>
      <c r="BG48" s="31" t="b">
        <f>T48=[1]数字化与研发投入!T47</f>
        <v>1</v>
      </c>
      <c r="BH48" s="31" t="b">
        <f>U48=[1]数字化与研发投入!U47</f>
        <v>1</v>
      </c>
      <c r="BI48" s="31" t="b">
        <f>V48=[1]数字化与研发投入!V47</f>
        <v>1</v>
      </c>
      <c r="BJ48" s="31" t="b">
        <f>W48=[1]数字化与研发投入!W47</f>
        <v>1</v>
      </c>
      <c r="BK48" s="31" t="b">
        <f>X48=[1]数字化与研发投入!X47</f>
        <v>1</v>
      </c>
      <c r="BL48" s="31" t="b">
        <f>Y48=[1]数字化与研发投入!Y47</f>
        <v>1</v>
      </c>
      <c r="BM48" s="31" t="b">
        <f>Z48=[1]数字化与研发投入!Z47</f>
        <v>1</v>
      </c>
      <c r="BN48" s="31" t="b">
        <f>AA48=[1]数字化与研发投入!AA47</f>
        <v>1</v>
      </c>
      <c r="BO48" s="31" t="b">
        <f>AB48=[1]数字化与研发投入!AB47</f>
        <v>1</v>
      </c>
      <c r="BP48" s="31" t="b">
        <f>AC48=[1]数字化与研发投入!AC47</f>
        <v>1</v>
      </c>
      <c r="BQ48" s="31" t="b">
        <f>AD48=[1]数字化与研发投入!AD47</f>
        <v>1</v>
      </c>
      <c r="BR48" s="31" t="b">
        <f>AE48=[1]数字化与研发投入!AE47</f>
        <v>1</v>
      </c>
      <c r="BS48" s="31" t="b">
        <f>AF48=[1]数字化与研发投入!AF47</f>
        <v>1</v>
      </c>
      <c r="BT48" s="31" t="b">
        <f>AG48=[1]数字化与研发投入!AG47</f>
        <v>1</v>
      </c>
      <c r="BU48" s="31" t="b">
        <f>AH48=[1]数字化与研发投入!AH47</f>
        <v>1</v>
      </c>
      <c r="BV48" s="31" t="b">
        <f>AI48=[1]数字化与研发投入!AI47</f>
        <v>1</v>
      </c>
      <c r="BW48" s="31" t="b">
        <f>AJ48=[1]数字化与研发投入!AJ47</f>
        <v>1</v>
      </c>
      <c r="BX48" s="31" t="b">
        <f>AK48=[1]数字化与研发投入!AK47</f>
        <v>1</v>
      </c>
    </row>
  </sheetData>
  <sheetProtection formatCells="0" formatColumns="0" formatRows="0" insertRows="0" insertColumns="0" insertHyperlinks="0" deleteColumns="0" deleteRows="0" sort="0" autoFilter="0" pivotTables="0"/>
  <mergeCells count="118">
    <mergeCell ref="A1:AK1"/>
    <mergeCell ref="K2:S2"/>
    <mergeCell ref="X2:Z2"/>
    <mergeCell ref="AA2:AC2"/>
    <mergeCell ref="AD2:AG2"/>
    <mergeCell ref="AH2:AJ2"/>
    <mergeCell ref="A2:A3"/>
    <mergeCell ref="A4:A11"/>
    <mergeCell ref="A12:A19"/>
    <mergeCell ref="A20:A27"/>
    <mergeCell ref="A28:A29"/>
    <mergeCell ref="A30:A36"/>
    <mergeCell ref="A37:A47"/>
    <mergeCell ref="B2:B3"/>
    <mergeCell ref="B4:B11"/>
    <mergeCell ref="B12:B14"/>
    <mergeCell ref="B15:B19"/>
    <mergeCell ref="B20:B27"/>
    <mergeCell ref="B28:B29"/>
    <mergeCell ref="B30:B36"/>
    <mergeCell ref="B37:B40"/>
    <mergeCell ref="B41:B47"/>
    <mergeCell ref="C2:C3"/>
    <mergeCell ref="C4:C11"/>
    <mergeCell ref="C12:C14"/>
    <mergeCell ref="C15:C19"/>
    <mergeCell ref="C20:C22"/>
    <mergeCell ref="C23:C25"/>
    <mergeCell ref="C26:C27"/>
    <mergeCell ref="C28:C29"/>
    <mergeCell ref="C30:C34"/>
    <mergeCell ref="C35:C36"/>
    <mergeCell ref="C38:C40"/>
    <mergeCell ref="C41:C43"/>
    <mergeCell ref="C44:C47"/>
    <mergeCell ref="D2:D3"/>
    <mergeCell ref="D4:D7"/>
    <mergeCell ref="D9:D11"/>
    <mergeCell ref="D12:D14"/>
    <mergeCell ref="D15:D19"/>
    <mergeCell ref="D20:D22"/>
    <mergeCell ref="D23:D25"/>
    <mergeCell ref="D26:D27"/>
    <mergeCell ref="D28:D29"/>
    <mergeCell ref="D30:D31"/>
    <mergeCell ref="D32:D34"/>
    <mergeCell ref="D35:D36"/>
    <mergeCell ref="D38:D39"/>
    <mergeCell ref="D41:D43"/>
    <mergeCell ref="D44:D47"/>
    <mergeCell ref="E2:E3"/>
    <mergeCell ref="E4:E7"/>
    <mergeCell ref="E9:E11"/>
    <mergeCell ref="E12:E14"/>
    <mergeCell ref="E15:E19"/>
    <mergeCell ref="E20:E22"/>
    <mergeCell ref="E23:E25"/>
    <mergeCell ref="E26:E27"/>
    <mergeCell ref="E28:E29"/>
    <mergeCell ref="E30:E31"/>
    <mergeCell ref="E32:E34"/>
    <mergeCell ref="E35:E36"/>
    <mergeCell ref="E38:E39"/>
    <mergeCell ref="E41:E43"/>
    <mergeCell ref="E44:E47"/>
    <mergeCell ref="F2:F3"/>
    <mergeCell ref="F4:F7"/>
    <mergeCell ref="F9:F11"/>
    <mergeCell ref="F12:F14"/>
    <mergeCell ref="F15:F19"/>
    <mergeCell ref="F20:F22"/>
    <mergeCell ref="F23:F25"/>
    <mergeCell ref="F26:F27"/>
    <mergeCell ref="F28:F29"/>
    <mergeCell ref="F30:F31"/>
    <mergeCell ref="F32:F34"/>
    <mergeCell ref="F35:F36"/>
    <mergeCell ref="F38:F39"/>
    <mergeCell ref="F41:F43"/>
    <mergeCell ref="F44:F47"/>
    <mergeCell ref="G2:G3"/>
    <mergeCell ref="G4:G8"/>
    <mergeCell ref="G9:G11"/>
    <mergeCell ref="G12:G14"/>
    <mergeCell ref="G16:G19"/>
    <mergeCell ref="G20:G22"/>
    <mergeCell ref="G23:G25"/>
    <mergeCell ref="G26:G27"/>
    <mergeCell ref="G28:G29"/>
    <mergeCell ref="G30:G31"/>
    <mergeCell ref="G32:G34"/>
    <mergeCell ref="G35:G36"/>
    <mergeCell ref="G38:G39"/>
    <mergeCell ref="G41:G43"/>
    <mergeCell ref="G44:G47"/>
    <mergeCell ref="H2:H3"/>
    <mergeCell ref="H4:H8"/>
    <mergeCell ref="H9:H11"/>
    <mergeCell ref="H12:H14"/>
    <mergeCell ref="H16:H19"/>
    <mergeCell ref="H20:H22"/>
    <mergeCell ref="H23:H25"/>
    <mergeCell ref="H26:H27"/>
    <mergeCell ref="H28:H29"/>
    <mergeCell ref="H30:H31"/>
    <mergeCell ref="H32:H34"/>
    <mergeCell ref="H35:H36"/>
    <mergeCell ref="H38:H39"/>
    <mergeCell ref="H41:H43"/>
    <mergeCell ref="H44:H47"/>
    <mergeCell ref="I2:I3"/>
    <mergeCell ref="J2:J3"/>
    <mergeCell ref="T2:T3"/>
    <mergeCell ref="U2:U3"/>
    <mergeCell ref="V2:V3"/>
    <mergeCell ref="W2:W3"/>
    <mergeCell ref="AK2:AK3"/>
    <mergeCell ref="AL2:AL3"/>
  </mergeCells>
  <dataValidations count="3">
    <dataValidation allowBlank="1" showInputMessage="1" showErrorMessage="1" sqref="V3 U38 J4:J27 J44:J46 U4:U27 U43:U46"/>
    <dataValidation type="list" allowBlank="1" showInputMessage="1" showErrorMessage="1" sqref="T14 T20 T27 T2:T3 T48:T1048576">
      <formula1>#REF!</formula1>
    </dataValidation>
    <dataValidation type="list" allowBlank="1" showInputMessage="1" showErrorMessage="1" sqref="T4:T6 T8:T10 T12:T13 T15:T19 T21:T26">
      <formula1>"系统已有,系统待建,线下管控"</formula1>
    </dataValidation>
  </dataValidations>
  <printOptions horizontalCentered="1"/>
  <pageMargins left="0.444444444444444" right="0.472222222222222" top="0.511805555555556" bottom="0.275" header="0.298611111111111" footer="0.298611111111111"/>
  <pageSetup paperSize="8" scale="63" fitToHeight="0" orientation="landscape" horizontalDpi="600"/>
  <headerFooter/>
  <rowBreaks count="3" manualBreakCount="3">
    <brk id="11" max="37" man="1"/>
    <brk id="19" max="37" man="1"/>
    <brk id="27" max="37" man="1"/>
  </rowBreak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pageSetUpPr fitToPage="1"/>
  </sheetPr>
  <dimension ref="A1:AR18"/>
  <sheetViews>
    <sheetView view="pageBreakPreview" zoomScale="55" zoomScaleNormal="80" topLeftCell="Q1" workbookViewId="0">
      <selection activeCell="T3" sqref="T3"/>
    </sheetView>
  </sheetViews>
  <sheetFormatPr defaultColWidth="8.58333333333333" defaultRowHeight="21"/>
  <cols>
    <col min="1" max="1" width="5.08333333333333" style="1" customWidth="1"/>
    <col min="2" max="2" width="5.66666666666667" style="2" customWidth="1"/>
    <col min="3" max="3" width="10.4166666666667" style="3" customWidth="1"/>
    <col min="4" max="4" width="11.9166666666667" style="1" customWidth="1"/>
    <col min="5" max="5" width="18.9166666666667" style="4" customWidth="1"/>
    <col min="6" max="6" width="33.5833333333333" style="4" customWidth="1"/>
    <col min="7" max="19" width="12.3333333333333" style="2" customWidth="1"/>
    <col min="20" max="21" width="27.0833333333333" style="5" customWidth="1"/>
    <col min="22" max="25" width="9.08333333333333" style="1" customWidth="1"/>
    <col min="26" max="26" width="16.25" style="6" customWidth="1"/>
    <col min="27" max="27" width="5.91666666666667" style="6" customWidth="1"/>
    <col min="28" max="28" width="6.25" style="3" customWidth="1"/>
    <col min="29" max="29" width="4.75" style="3" customWidth="1"/>
    <col min="30" max="30" width="7" style="3" customWidth="1"/>
    <col min="31" max="31" width="5" style="4" customWidth="1"/>
    <col min="32" max="32" width="4.75" style="3" customWidth="1"/>
    <col min="33" max="33" width="10.1666666666667" style="3" customWidth="1"/>
    <col min="34" max="35" width="6.58333333333333" style="3" customWidth="1"/>
    <col min="36" max="36" width="4.75" style="3" customWidth="1"/>
    <col min="37" max="37" width="8" style="3" customWidth="1"/>
    <col min="38" max="38" width="4.58333333333333" style="4" customWidth="1"/>
    <col min="39" max="39" width="25.4166666666667" style="3" customWidth="1"/>
    <col min="40" max="40" width="11.5833333333333" style="3" customWidth="1"/>
    <col min="41" max="41" width="90.1666666666667" style="3" hidden="1" customWidth="1"/>
    <col min="42" max="43" width="8.58333333333333" style="3" hidden="1" customWidth="1"/>
    <col min="44" max="44" width="22.75" style="7" customWidth="1"/>
    <col min="45" max="16384" width="8.58333333333333" style="3"/>
  </cols>
  <sheetData>
    <row r="1" ht="53" customHeight="1" spans="1:44">
      <c r="A1" s="8" t="s">
        <v>416</v>
      </c>
      <c r="B1" s="8" t="s">
        <v>417</v>
      </c>
      <c r="C1" s="8" t="s">
        <v>418</v>
      </c>
      <c r="D1" s="8" t="s">
        <v>419</v>
      </c>
      <c r="E1" s="8" t="s">
        <v>420</v>
      </c>
      <c r="F1" s="8" t="s">
        <v>813</v>
      </c>
      <c r="G1" s="8" t="s">
        <v>422</v>
      </c>
      <c r="H1" s="9" t="s">
        <v>423</v>
      </c>
      <c r="I1" s="9" t="s">
        <v>425</v>
      </c>
      <c r="J1" s="10" t="s">
        <v>424</v>
      </c>
      <c r="K1" s="11" t="s">
        <v>426</v>
      </c>
      <c r="L1" s="11"/>
      <c r="M1" s="11"/>
      <c r="N1" s="11"/>
      <c r="O1" s="11"/>
      <c r="P1" s="11"/>
      <c r="Q1" s="11"/>
      <c r="R1" s="11"/>
      <c r="S1" s="12"/>
      <c r="T1" s="9" t="s">
        <v>814</v>
      </c>
      <c r="U1" s="10" t="s">
        <v>815</v>
      </c>
      <c r="V1" s="10" t="s">
        <v>428</v>
      </c>
      <c r="W1" s="13" t="s">
        <v>816</v>
      </c>
      <c r="X1" s="14"/>
      <c r="Y1" s="15"/>
      <c r="Z1" s="10" t="s">
        <v>430</v>
      </c>
      <c r="AA1" s="8" t="s">
        <v>431</v>
      </c>
      <c r="AB1" s="8"/>
      <c r="AC1" s="8"/>
      <c r="AD1" s="8" t="s">
        <v>432</v>
      </c>
      <c r="AE1" s="8"/>
      <c r="AF1" s="8"/>
      <c r="AG1" s="8" t="s">
        <v>433</v>
      </c>
      <c r="AH1" s="8"/>
      <c r="AI1" s="8"/>
      <c r="AJ1" s="8"/>
      <c r="AK1" s="10" t="s">
        <v>434</v>
      </c>
      <c r="AL1" s="10"/>
      <c r="AM1" s="10"/>
      <c r="AN1" s="8" t="s">
        <v>435</v>
      </c>
      <c r="AR1" s="16" t="s">
        <v>817</v>
      </c>
    </row>
    <row r="2" ht="157" customHeight="1" spans="1:44">
      <c r="A2" s="8"/>
      <c r="B2" s="8"/>
      <c r="C2" s="8"/>
      <c r="D2" s="8"/>
      <c r="E2" s="8"/>
      <c r="F2" s="8"/>
      <c r="G2" s="8"/>
      <c r="H2" s="17"/>
      <c r="I2" s="17"/>
      <c r="J2" s="10"/>
      <c r="K2" s="15" t="s">
        <v>437</v>
      </c>
      <c r="L2" s="10" t="s">
        <v>438</v>
      </c>
      <c r="M2" s="10" t="s">
        <v>818</v>
      </c>
      <c r="N2" s="10" t="s">
        <v>440</v>
      </c>
      <c r="O2" s="10" t="s">
        <v>441</v>
      </c>
      <c r="P2" s="10" t="s">
        <v>442</v>
      </c>
      <c r="Q2" s="10" t="s">
        <v>443</v>
      </c>
      <c r="R2" s="10" t="s">
        <v>444</v>
      </c>
      <c r="S2" s="10" t="s">
        <v>445</v>
      </c>
      <c r="T2" s="17"/>
      <c r="U2" s="10"/>
      <c r="V2" s="10"/>
      <c r="W2" s="18" t="s">
        <v>819</v>
      </c>
      <c r="X2" s="18" t="s">
        <v>820</v>
      </c>
      <c r="Y2" s="18" t="s">
        <v>821</v>
      </c>
      <c r="Z2" s="10"/>
      <c r="AA2" s="8" t="s">
        <v>446</v>
      </c>
      <c r="AB2" s="8" t="s">
        <v>447</v>
      </c>
      <c r="AC2" s="8" t="s">
        <v>448</v>
      </c>
      <c r="AD2" s="8" t="s">
        <v>446</v>
      </c>
      <c r="AE2" s="8" t="s">
        <v>447</v>
      </c>
      <c r="AF2" s="8" t="s">
        <v>448</v>
      </c>
      <c r="AG2" s="8" t="s">
        <v>433</v>
      </c>
      <c r="AH2" s="8" t="s">
        <v>446</v>
      </c>
      <c r="AI2" s="8" t="s">
        <v>447</v>
      </c>
      <c r="AJ2" s="8" t="s">
        <v>448</v>
      </c>
      <c r="AK2" s="10" t="s">
        <v>449</v>
      </c>
      <c r="AL2" s="10" t="s">
        <v>450</v>
      </c>
      <c r="AM2" s="10" t="s">
        <v>451</v>
      </c>
      <c r="AN2" s="8"/>
      <c r="AR2" s="19"/>
    </row>
    <row r="3" ht="316" customHeight="1" spans="1:44">
      <c r="A3" s="20" t="s">
        <v>822</v>
      </c>
      <c r="B3" s="20" t="s">
        <v>823</v>
      </c>
      <c r="C3" s="21" t="s">
        <v>824</v>
      </c>
      <c r="D3" s="22" t="s">
        <v>825</v>
      </c>
      <c r="E3" s="23" t="s">
        <v>826</v>
      </c>
      <c r="F3" s="22" t="s">
        <v>827</v>
      </c>
      <c r="G3" s="22" t="s">
        <v>828</v>
      </c>
      <c r="H3" s="22" t="s">
        <v>829</v>
      </c>
      <c r="I3" s="22" t="s">
        <v>830</v>
      </c>
      <c r="J3" s="22" t="s">
        <v>831</v>
      </c>
      <c r="K3" s="24" t="s">
        <v>36</v>
      </c>
      <c r="L3" s="24"/>
      <c r="M3" s="24" t="s">
        <v>36</v>
      </c>
      <c r="N3" s="24"/>
      <c r="O3" s="24" t="s">
        <v>36</v>
      </c>
      <c r="P3" s="24" t="s">
        <v>36</v>
      </c>
      <c r="Q3" s="24" t="s">
        <v>36</v>
      </c>
      <c r="R3" s="24" t="s">
        <v>36</v>
      </c>
      <c r="S3" s="25"/>
      <c r="T3" s="26" t="s">
        <v>535</v>
      </c>
      <c r="U3" s="26" t="s">
        <v>832</v>
      </c>
      <c r="V3" s="24" t="s">
        <v>536</v>
      </c>
      <c r="W3" s="27" t="s">
        <v>833</v>
      </c>
      <c r="X3" s="27" t="s">
        <v>834</v>
      </c>
      <c r="Y3" s="27" t="s">
        <v>835</v>
      </c>
      <c r="Z3" s="24" t="s">
        <v>836</v>
      </c>
      <c r="AA3" s="24" t="s">
        <v>465</v>
      </c>
      <c r="AB3" s="24" t="s">
        <v>466</v>
      </c>
      <c r="AC3" s="28"/>
      <c r="AD3" s="24" t="s">
        <v>527</v>
      </c>
      <c r="AE3" s="24" t="s">
        <v>466</v>
      </c>
      <c r="AF3" s="28"/>
      <c r="AG3" s="24" t="s">
        <v>837</v>
      </c>
      <c r="AH3" s="29" t="s">
        <v>527</v>
      </c>
      <c r="AI3" s="24" t="s">
        <v>466</v>
      </c>
      <c r="AJ3" s="28"/>
      <c r="AK3" s="24" t="s">
        <v>469</v>
      </c>
      <c r="AL3" s="24" t="s">
        <v>469</v>
      </c>
      <c r="AM3" s="30" t="s">
        <v>838</v>
      </c>
      <c r="AN3" s="28" t="s">
        <v>835</v>
      </c>
      <c r="AR3" s="24"/>
    </row>
    <row r="4" spans="1:44">
      <c r="AA4" s="3"/>
      <c r="AD4" s="4"/>
      <c r="AE4" s="3"/>
      <c r="AK4" s="4"/>
      <c r="AL4" s="3"/>
    </row>
    <row r="5" spans="1:44">
      <c r="AA5" s="3"/>
      <c r="AD5" s="4"/>
      <c r="AE5" s="3"/>
      <c r="AK5" s="4"/>
      <c r="AL5" s="3"/>
    </row>
    <row r="6" spans="1:44">
      <c r="AA6" s="3"/>
      <c r="AD6" s="4"/>
      <c r="AE6" s="3"/>
      <c r="AK6" s="4"/>
      <c r="AL6" s="3"/>
    </row>
    <row r="7" spans="1:44">
      <c r="AA7" s="3"/>
      <c r="AD7" s="4"/>
      <c r="AE7" s="3"/>
      <c r="AK7" s="4"/>
      <c r="AL7" s="3"/>
    </row>
    <row r="8" spans="1:44">
      <c r="AA8" s="3"/>
      <c r="AD8" s="4"/>
      <c r="AE8" s="3"/>
      <c r="AK8" s="4"/>
      <c r="AL8" s="3"/>
    </row>
    <row r="9" spans="1:44">
      <c r="AA9" s="3"/>
      <c r="AD9" s="4"/>
      <c r="AE9" s="3"/>
      <c r="AK9" s="4"/>
      <c r="AL9" s="3"/>
    </row>
    <row r="10" spans="1:44">
      <c r="AA10" s="3"/>
      <c r="AD10" s="4"/>
      <c r="AE10" s="3"/>
      <c r="AK10" s="4"/>
      <c r="AL10" s="3"/>
    </row>
    <row r="11" spans="1:44">
      <c r="AA11" s="3"/>
      <c r="AD11" s="4"/>
      <c r="AE11" s="3"/>
      <c r="AK11" s="4"/>
      <c r="AL11" s="3"/>
    </row>
    <row r="12" spans="1:44">
      <c r="AA12" s="3"/>
      <c r="AD12" s="4"/>
      <c r="AE12" s="3"/>
      <c r="AK12" s="4"/>
      <c r="AL12" s="3"/>
    </row>
    <row r="13" spans="1:44">
      <c r="AA13" s="3"/>
      <c r="AD13" s="4"/>
      <c r="AE13" s="3"/>
      <c r="AK13" s="4"/>
      <c r="AL13" s="3"/>
    </row>
    <row r="14" spans="1:44">
      <c r="AA14" s="3"/>
      <c r="AD14" s="4"/>
      <c r="AE14" s="3"/>
      <c r="AK14" s="4"/>
      <c r="AL14" s="3"/>
    </row>
    <row r="15" spans="1:44">
      <c r="AA15" s="3"/>
      <c r="AD15" s="4"/>
      <c r="AE15" s="3"/>
      <c r="AK15" s="4"/>
      <c r="AL15" s="3"/>
    </row>
    <row r="16" spans="1:44">
      <c r="AA16" s="3"/>
      <c r="AD16" s="4"/>
      <c r="AE16" s="3"/>
      <c r="AK16" s="4"/>
      <c r="AL16" s="3"/>
    </row>
    <row r="17" spans="27:38">
      <c r="AA17" s="3"/>
      <c r="AD17" s="4"/>
      <c r="AE17" s="3"/>
      <c r="AK17" s="4"/>
      <c r="AL17" s="3"/>
    </row>
    <row r="18" spans="27:38">
      <c r="AA18" s="3"/>
      <c r="AD18" s="4"/>
      <c r="AE18" s="3"/>
      <c r="AK18" s="4"/>
      <c r="AL18" s="3"/>
    </row>
  </sheetData>
  <sheetProtection formatCells="0" formatColumns="0" formatRows="0" insertRows="0" insertColumns="0" insertHyperlinks="0" deleteColumns="0" deleteRows="0" sort="0" autoFilter="0" pivotTables="0"/>
  <autoFilter xmlns:etc="http://www.wps.cn/officeDocument/2017/etCustomData" ref="A2:AN3" etc:filterBottomFollowUsedRange="0">
    <extLst/>
  </autoFilter>
  <mergeCells count="22">
    <mergeCell ref="K1:S1"/>
    <mergeCell ref="W1:Y1"/>
    <mergeCell ref="AA1:AC1"/>
    <mergeCell ref="AD1:AF1"/>
    <mergeCell ref="AG1:AJ1"/>
    <mergeCell ref="AK1:AM1"/>
    <mergeCell ref="A1:A2"/>
    <mergeCell ref="B1:B2"/>
    <mergeCell ref="C1:C2"/>
    <mergeCell ref="D1:D2"/>
    <mergeCell ref="E1:E2"/>
    <mergeCell ref="F1:F2"/>
    <mergeCell ref="G1:G2"/>
    <mergeCell ref="H1:H2"/>
    <mergeCell ref="I1:I2"/>
    <mergeCell ref="J1:J2"/>
    <mergeCell ref="T1:T2"/>
    <mergeCell ref="U1:U2"/>
    <mergeCell ref="V1:V2"/>
    <mergeCell ref="Z1:Z2"/>
    <mergeCell ref="AN1:AN2"/>
    <mergeCell ref="AR1:AR2"/>
  </mergeCells>
  <dataValidations count="3">
    <dataValidation allowBlank="1" showInputMessage="1" showErrorMessage="1" sqref="W2:Y2 AR2 Y3"/>
    <dataValidation type="list" allowBlank="1" showInputMessage="1" showErrorMessage="1" sqref="W3">
      <formula1>"一级部署系统,各单位自建系统"</formula1>
    </dataValidation>
    <dataValidation type="list" allowBlank="1" showInputMessage="1" showErrorMessage="1" sqref="X3">
      <formula1>"总部,二级单位,三级单位"</formula1>
    </dataValidation>
  </dataValidations>
  <pageMargins left="0.44375" right="0.235416666666667" top="0.590277777777778" bottom="0.393055555555556" header="0.297916666666667" footer="0.297916666666667"/>
  <pageSetup paperSize="8" scale="40" fitToHeight="0" orientation="landscape"/>
  <headerFooter>
    <oddFooter>&amp;C第 &amp;P 页，共 &amp;N 页</oddFooter>
  </headerFooter>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dimension ref="A1"/>
  <sheetViews>
    <sheetView workbookViewId="0">
      <selection activeCell="A1" sqref="A1"/>
    </sheetView>
  </sheetViews>
  <sheetFormatPr defaultColWidth="9" defaultRowHeight="13.8"/>
  <sheetData/>
  <sheetProtection formatCells="0" insertHyperlinks="0" autoFilter="0"/>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9</vt:i4>
      </vt:variant>
    </vt:vector>
  </HeadingPairs>
  <TitlesOfParts>
    <vt:vector size="9" baseType="lpstr">
      <vt:lpstr>业务流程</vt:lpstr>
      <vt:lpstr>流程图</vt:lpstr>
      <vt:lpstr>数字化与研发投入（0818）</vt:lpstr>
      <vt:lpstr>数字化与研发投入 (核对过程7.29)</vt:lpstr>
      <vt:lpstr>Sheet1</vt:lpstr>
      <vt:lpstr>数字化与研发投入 (下发版本核对过程7.27)</vt:lpstr>
      <vt:lpstr>数字化与研发投入 (核对过程7.24数字化部分)</vt:lpstr>
      <vt:lpstr>意见建议</vt:lpstr>
      <vt:lpstr>WpsReserved_CellImgList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claire8claire</dc:creator>
  <cp:lastModifiedBy>fxzsb</cp:lastModifiedBy>
  <dcterms:created xsi:type="dcterms:W3CDTF">2015-06-09T10:19:00Z</dcterms:created>
  <cp:lastPrinted>2025-11-07T00:56:00Z</cp:lastPrinted>
  <dcterms:modified xsi:type="dcterms:W3CDTF">2026-09-14T03:54:03Z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84CAE1CF462A4961B649D7CBC035A8EC</vt:lpwstr>
  </property>
  <property fmtid="{D5CDD505-2E9C-101B-9397-08002B2CF9AE}" pid="3" name="KSOProductBuildVer">
    <vt:lpwstr>2052-12.1.0.28505</vt:lpwstr>
  </property>
  <property fmtid="{D5CDD505-2E9C-101B-9397-08002B2CF9AE}" pid="4" name="CalculationRule">
    <vt:i4>0</vt:i4>
  </property>
  <property fmtid="{D5CDD505-2E9C-101B-9397-08002B2CF9AE}" pid="5" name="KSOReadingLayout">
    <vt:bool>true</vt:bool>
  </property>
</Properties>
</file>