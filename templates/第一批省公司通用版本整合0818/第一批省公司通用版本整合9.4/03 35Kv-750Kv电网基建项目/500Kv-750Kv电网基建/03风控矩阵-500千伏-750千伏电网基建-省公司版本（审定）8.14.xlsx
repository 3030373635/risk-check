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腾讯workbuddy\湖南风控矩阵审核\湖南公司审核前期资料9.11更新\第一批省公司通用版本整合9.4（0818下发版本，员工报账矩阵9.2修改了)\第一批省公司通用版本整合9.4\03 35Kv-750Kv电网基建项目\500Kv-750Kv电网基建\"/>
    </mc:Choice>
  </mc:AlternateContent>
  <bookViews>
    <workbookView windowWidth="23040" windowHeight="8615" tabRatio="782" firstSheet="3" activeTab="3"/>
  </bookViews>
  <sheets>
    <sheet name="业务流程" sheetId="3" state="hidden" r:id="rId1"/>
    <sheet name="流程图" sheetId="19" state="hidden" r:id="rId2"/>
    <sheet name="意见建议" sheetId="25" state="hidden" r:id="rId3"/>
    <sheet name="500千伏-750千伏电网基建" sheetId="24" r:id="rId4"/>
    <sheet name="500千伏-750千伏电网基建 (核对过程7.29)" sheetId="29" state="hidden" r:id="rId5"/>
    <sheet name="Sheet1" sheetId="28" state="hidden" r:id="rId6"/>
    <sheet name="500千伏-750千伏电网基建（核对过程7.27） (2)" sheetId="27" state="hidden" r:id="rId7"/>
    <sheet name="35千伏-750千伏电网基建（核对过程） (2)" sheetId="26" state="hidden" r:id="rId8"/>
    <sheet name="WpsReserved_CellImgList" sheetId="21" state="veryHidden" r:id="rId9"/>
  </sheets>
  <externalReferences>
    <externalReference r:id="rId10"/>
    <externalReference r:id="rId11"/>
  </externalReferences>
  <definedNames>
    <definedName name="_xlnm._FilterDatabase" localSheetId="2" hidden="1">意见建议!$A$2:$AN$3</definedName>
    <definedName name="_xlnm._FilterDatabase" localSheetId="3" hidden="1">'500千伏-750千伏电网基建'!$A$2:$AK$95</definedName>
    <definedName name="_xlnm._FilterDatabase" localSheetId="4" hidden="1">'500千伏-750千伏电网基建 (核对过程7.29)'!$A$3:$CC$95</definedName>
    <definedName name="_xlnm.Print_Titles" localSheetId="3">'500千伏-750千伏电网基建'!$2:$3</definedName>
    <definedName name="_xlnm.Print_Area" localSheetId="3">'500千伏-750千伏电网基建'!$A$1:$AK$95</definedName>
    <definedName name="_xlnm.Print_Titles" localSheetId="2">意见建议!$1:$2</definedName>
    <definedName name="_xlnm.Print_Area" localSheetId="2">意见建议!$A$1:$AR$3</definedName>
    <definedName name="_xlnm._FilterDatabase" localSheetId="7" hidden="1">'35千伏-750千伏电网基建（核对过程） (2)'!$A$2:$AN$99</definedName>
    <definedName name="_xlnm.Print_Titles" localSheetId="7">'35千伏-750千伏电网基建（核对过程） (2)'!$2:$3</definedName>
    <definedName name="_xlnm.Print_Area" localSheetId="7">'35千伏-750千伏电网基建（核对过程） (2)'!$A$1:$AK$93</definedName>
    <definedName name="_xlnm._FilterDatabase" localSheetId="6" hidden="1">'500千伏-750千伏电网基建（核对过程7.27） (2)'!$A$3:$AO$101</definedName>
    <definedName name="_xlnm.Print_Titles" localSheetId="6">'500千伏-750千伏电网基建（核对过程7.27） (2)'!$2:$3</definedName>
    <definedName name="_xlnm.Print_Area" localSheetId="6">'500千伏-750千伏电网基建（核对过程7.27） (2)'!$A$1:$AK$95</definedName>
    <definedName name="_xlnm.Print_Titles" localSheetId="4">'500千伏-750千伏电网基建 (核对过程7.29)'!$2:$3</definedName>
    <definedName name="_xlnm.Print_Area" localSheetId="4">'500千伏-750千伏电网基建 (核对过程7.29)'!$A$1:$AK$93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<sst xmlns="http://schemas.openxmlformats.org/spreadsheetml/2006/main" count="8358" uniqueCount="1481">
  <si>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</si>
  <si>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</si>
  <si>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</si>
  <si>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</si>
  <si>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</si>
  <si>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</si>
  <si>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</si>
  <si>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</si>
  <si>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</si>
  <si>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</si>
  <si>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</si>
  <si>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</si>
  <si>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</si>
  <si>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</si>
  <si>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</si>
  <si>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</si>
  <si>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</si>
  <si>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</si>
  <si>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</si>
  <si>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</si>
  <si>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</si>
  <si>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</si>
  <si>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</si>
  <si>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</si>
  <si>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</si>
  <si>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</si>
  <si>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</si>
  <si>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</si>
  <si>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</si>
  <si>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</si>
  <si>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</si>
  <si>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</si>
  <si>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</si>
  <si>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</si>
  <si>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</si>
  <si>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</si>
  <si>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</si>
  <si>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</si>
  <si>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</si>
  <si>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</si>
  <si>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</si>
  <si>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</si>
  <si>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</si>
  <si>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</si>
  <si>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</si>
  <si>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</si>
  <si>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</si>
  <si>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</si>
  <si>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</si>
  <si>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</si>
  <si>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</si>
  <si>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</si>
  <si>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</si>
  <si>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</si>
  <si>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</si>
  <si>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</si>
  <si>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</si>
  <si>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</si>
  <si>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</si>
  <si>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</si>
  <si>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</si>
  <si>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</si>
  <si>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</si>
  <si>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</si>
  <si>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</si>
  <si>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</si>
  <si>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</si>
  <si>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</si>
  <si>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</si>
  <si>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</si>
  <si>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</si>
  <si>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</si>
  <si>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</si>
  <si>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</si>
  <si>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</si>
  <si>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</si>
  <si>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</si>
  <si>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</si>
  <si>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</si>
  <si>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</si>
  <si>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</si>
  <si>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</si>
  <si>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</si>
  <si>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</si>
  <si>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</si>
  <si>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</si>
  <si>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</si>
  <si>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</si>
  <si>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</si>
  <si>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</si>
  <si>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</si>
  <si>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</si>
  <si>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</si>
  <si>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</si>
  <si>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</si>
  <si>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</si>
  <si>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</si>
  <si>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</si>
  <si>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</si>
  <si>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</si>
  <si>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</si>
  <si>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</si>
  <si>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</si>
  <si>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</si>
  <si>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</si>
  <si>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</si>
  <si>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</si>
  <si>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</si>
  <si>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</si>
  <si>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</si>
  <si>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</si>
  <si>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</si>
  <si>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</si>
  <si>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</si>
  <si>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</si>
  <si>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</si>
  <si>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</si>
  <si>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</si>
  <si>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</si>
  <si>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</si>
  <si>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</si>
  <si>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</si>
  <si>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</si>
  <si>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</si>
  <si>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</si>
  <si>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</si>
  <si>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</si>
  <si>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</si>
  <si>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</si>
  <si>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</si>
  <si>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</si>
  <si>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</si>
  <si>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</si>
  <si>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</si>
  <si>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</si>
  <si>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</si>
  <si>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</si>
  <si>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</si>
  <si>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</si>
  <si>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</si>
  <si>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</si>
  <si>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</si>
  <si>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</si>
  <si>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</si>
  <si>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</si>
  <si>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</si>
  <si>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</si>
  <si>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</si>
  <si>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</si>
  <si>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</si>
  <si>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</si>
  <si>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</si>
  <si>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</si>
  <si>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</si>
  <si>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</si>
  <si>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</si>
  <si>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</si>
  <si>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</si>
  <si>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</si>
  <si>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</si>
  <si>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</si>
  <si>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</si>
  <si>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</si>
  <si>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</si>
  <si>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</si>
  <si>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</si>
  <si>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</si>
  <si>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</si>
  <si>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</si>
  <si>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</si>
  <si>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</si>
  <si>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</si>
  <si>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</si>
  <si>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</si>
  <si>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</si>
  <si>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</si>
  <si>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</si>
  <si>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</si>
  <si>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</si>
  <si>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</si>
  <si>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</si>
  <si>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</si>
  <si>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</si>
  <si>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</si>
  <si>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</si>
  <si>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</si>
  <si>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</si>
  <si>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</si>
  <si>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</si>
  <si>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</si>
  <si>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</si>
  <si>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</si>
  <si>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</si>
  <si>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</si>
  <si>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</si>
  <si>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</si>
  <si>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</si>
  <si>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</si>
  <si>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</si>
  <si>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</si>
  <si>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</si>
  <si>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</si>
  <si>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</si>
  <si>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</si>
  <si>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</si>
  <si>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</si>
  <si>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</si>
  <si>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</si>
  <si>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</si>
  <si>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</si>
  <si>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</si>
  <si>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</si>
  <si>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</si>
  <si>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</si>
  <si>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</si>
  <si>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</si>
  <si>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</si>
  <si>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</si>
  <si>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</si>
  <si>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</si>
  <si>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</si>
  <si>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</si>
  <si>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</si>
  <si>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</si>
  <si>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</si>
  <si>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</si>
  <si>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</si>
  <si>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</si>
  <si>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</si>
  <si>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</si>
  <si>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</si>
  <si>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</si>
  <si>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</si>
  <si>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</si>
  <si>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</si>
  <si>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</si>
  <si>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</si>
  <si>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</si>
  <si>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</si>
  <si>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</si>
  <si>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</si>
  <si>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</si>
  <si>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</si>
  <si>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</si>
  <si>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</si>
  <si>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</si>
  <si>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</si>
  <si>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</si>
  <si>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</si>
  <si>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</si>
  <si>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</si>
  <si>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</si>
  <si>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</si>
  <si>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</si>
  <si>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</si>
  <si>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</si>
  <si>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</si>
  <si>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</si>
  <si>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</si>
  <si>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</si>
  <si>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</si>
  <si>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</si>
  <si>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</si>
  <si>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</si>
  <si>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</si>
  <si>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</si>
  <si>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</si>
  <si>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</si>
  <si>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</si>
  <si>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</si>
  <si>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</si>
  <si>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</si>
  <si>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</si>
  <si>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</si>
  <si>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</si>
  <si>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</si>
  <si>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</si>
  <si>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</si>
  <si>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</si>
  <si>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</si>
  <si>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</si>
  <si>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</si>
  <si>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</si>
  <si>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</si>
  <si>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</si>
  <si>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</si>
  <si>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</si>
  <si>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</si>
  <si>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</si>
  <si>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</si>
  <si>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</si>
  <si>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</si>
  <si>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</si>
  <si>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</si>
  <si>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</si>
  <si>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</si>
  <si>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</si>
  <si>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</si>
  <si>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</si>
  <si>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</si>
  <si>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</si>
  <si>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</si>
  <si>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</si>
  <si>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</si>
  <si>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</si>
  <si>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</si>
  <si>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</si>
  <si>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</si>
  <si>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</si>
  <si>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</si>
  <si>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</si>
  <si>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</si>
  <si>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</si>
  <si>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</si>
  <si>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</si>
  <si>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</si>
  <si>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</si>
  <si>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</si>
  <si>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</si>
  <si>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</si>
  <si>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</si>
  <si>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</si>
  <si>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</si>
  <si>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</si>
  <si>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</si>
  <si>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</si>
  <si>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</si>
  <si>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</si>
  <si>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</si>
  <si>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</si>
  <si>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</si>
  <si>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</si>
  <si>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</si>
  <si>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</si>
  <si>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</si>
  <si>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</si>
  <si>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</si>
  <si>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</si>
  <si>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</si>
  <si>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</si>
  <si>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</si>
  <si>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</si>
  <si>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</si>
  <si>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</si>
  <si>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</si>
  <si>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</si>
  <si>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</si>
  <si>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</si>
  <si>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</si>
  <si>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</si>
  <si>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</si>
  <si>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</si>
  <si>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</si>
  <si>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</si>
  <si>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</si>
  <si>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</si>
  <si>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</si>
  <si>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</si>
  <si>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</si>
  <si>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</si>
  <si>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</si>
  <si>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</si>
  <si>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</si>
  <si>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</si>
  <si>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</si>
  <si>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</si>
  <si>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</si>
  <si>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</si>
  <si>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</si>
  <si>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</si>
  <si>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</si>
  <si>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</si>
  <si>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</si>
  <si>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</si>
  <si>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</si>
  <si>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</si>
  <si>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</si>
  <si>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</si>
  <si>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</si>
  <si>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</si>
  <si>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</si>
  <si>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</si>
  <si>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</si>
  <si>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</si>
  <si>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</si>
  <si>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</si>
  <si>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</si>
  <si>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</si>
  <si>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</si>
  <si>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</si>
  <si>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</si>
  <si>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</si>
  <si>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</si>
  <si>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</si>
  <si>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</si>
  <si>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</si>
  <si>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</si>
  <si>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</si>
  <si>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</si>
  <si>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</si>
  <si>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</si>
  <si>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</si>
  <si>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</si>
  <si>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</si>
  <si>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</si>
  <si>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</si>
  <si>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</si>
  <si>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</si>
  <si>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</si>
  <si>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</si>
  <si>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</si>
  <si>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</si>
  <si>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</si>
  <si>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</si>
  <si>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</si>
  <si>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业务条线</t>
  </si>
  <si>
    <t>业务领域</t>
  </si>
  <si>
    <t>控制目标</t>
  </si>
  <si>
    <t>业务流程步骤</t>
  </si>
  <si>
    <t>经营风险</t>
  </si>
  <si>
    <t>对应典型问题</t>
  </si>
  <si>
    <t>关键控制点</t>
  </si>
  <si>
    <t>控制要求</t>
  </si>
  <si>
    <t>控制措施</t>
  </si>
  <si>
    <t>控制措施编号</t>
  </si>
  <si>
    <t>控制措施分类</t>
  </si>
  <si>
    <t>控制方式（枚举值）</t>
  </si>
  <si>
    <t>内控载体</t>
  </si>
  <si>
    <t>控制系统</t>
  </si>
  <si>
    <t>系统控制层次</t>
  </si>
  <si>
    <t>责任主体</t>
  </si>
  <si>
    <t>业务自评价</t>
  </si>
  <si>
    <t>集团监督评价</t>
  </si>
  <si>
    <t>数字化监督场景</t>
  </si>
  <si>
    <t>现有制度及文件落实情况</t>
  </si>
  <si>
    <t>总部审核部门</t>
  </si>
  <si>
    <t>意见建议</t>
  </si>
  <si>
    <t>不相容岗位</t>
  </si>
  <si>
    <t>分级授权</t>
  </si>
  <si>
    <t>业务真实性校验</t>
  </si>
  <si>
    <t>预算管控</t>
  </si>
  <si>
    <t>合同控制</t>
  </si>
  <si>
    <t>收付控制</t>
  </si>
  <si>
    <t>会计监督</t>
  </si>
  <si>
    <t>财产保护</t>
  </si>
  <si>
    <t>分析与评价</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</si>
  <si>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</si>
  <si>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</si>
  <si>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</si>
  <si>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评价频率</t>
  </si>
  <si>
    <t>评价范围</t>
  </si>
  <si>
    <t>评价结论</t>
  </si>
  <si>
    <t>是否已要求</t>
  </si>
  <si>
    <t>是否满足要求</t>
  </si>
  <si>
    <t>对应制度及文件名称</t>
  </si>
  <si>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</si>
  <si>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</si>
  <si>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</si>
  <si>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</si>
  <si>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</si>
  <si>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</si>
  <si>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</si>
  <si>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</si>
  <si>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</si>
  <si>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</si>
  <si>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</si>
  <si>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</si>
  <si>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智慧共享财务平台</t>
  </si>
  <si>
    <t>一级部署系统</t>
  </si>
  <si>
    <t>总部</t>
  </si>
  <si>
    <t>财务部</t>
  </si>
  <si>
    <t>各级单位-各部门-报账人员、各级单位-各部门-负责人、各级单位-项目归口管理部门-负责人</t>
  </si>
  <si>
    <t>每季度</t>
  </si>
  <si>
    <t>抽查</t>
  </si>
  <si>
    <t>每年</t>
  </si>
  <si>
    <t>青苗赔偿费监督场景</t>
  </si>
  <si>
    <t>是</t>
  </si>
  <si>
    <t>《国家电网有限公司会计基础管理办法》（国家电网企管〔2019〕132号）附件：电网企业经济业务审核手册</t>
  </si>
  <si>
    <t>“一企一策”风控矩阵—500千伏-750千伏电网基建</t>
  </si>
  <si>
    <t>典型问题</t>
  </si>
  <si>
    <t>控制方式</t>
  </si>
  <si>
    <t>控制载体</t>
  </si>
  <si>
    <t>业务真实性控制</t>
  </si>
  <si>
    <t>35千伏-750千伏电网基建项目</t>
  </si>
  <si>
    <t>一、项目前期管理</t>
  </si>
  <si>
    <t>资金资产安全</t>
  </si>
  <si>
    <t>投资授权权限</t>
  </si>
  <si>
    <t>违规投资禁止类、特别监管类项目，违反投资政策，造成投资风险。</t>
  </si>
  <si>
    <t>1.严格禁止类、特别监管类项目投资决策审批</t>
  </si>
  <si>
    <t>严禁投资禁止类项目，严格履行特别监管类项目投资决策审批流程</t>
  </si>
  <si>
    <t>电网基建业务-1.严格禁止类、特别监管类项目投资决策审批-控制措施01</t>
  </si>
  <si>
    <t>省公司发展部投资管理人员建立项目投资负面清单，项目管理部门人员全面审查项目政策合规性、地方政府信用等级、项目资金来源等，不得投资国家或地方政府限制类项目；</t>
  </si>
  <si>
    <t>线下管控</t>
  </si>
  <si>
    <t>1.项目投资负面清单。</t>
  </si>
  <si>
    <r>
      <rPr>
        <strike/>
        <sz val="10"/>
        <color theme="1"/>
        <rFont val="方正仿宋_GBK"/>
        <charset val="134"/>
      </rPr>
      <t>各级单位</t>
    </r>
    <r>
      <rPr>
        <sz val="10"/>
        <color rgb="FFFF0000"/>
        <rFont val="方正仿宋_GBK"/>
        <charset val="134"/>
      </rPr>
      <t>省公司</t>
    </r>
    <r>
      <rPr>
        <sz val="10"/>
        <color theme="1"/>
        <rFont val="方正仿宋_GBK"/>
        <charset val="134"/>
      </rPr>
      <t xml:space="preserve">-发展部门-投资管理人员
</t>
    </r>
  </si>
  <si>
    <t>投资规划监督场景</t>
  </si>
  <si>
    <t>《国家电网有限公司投资管理规定》（国家电网企管〔2019〕425号）第五章</t>
  </si>
  <si>
    <t>国网发展部</t>
  </si>
  <si>
    <t>电网基建业务-1.严格禁止类、特别监管类项目投资决策审批-控制措施02</t>
  </si>
  <si>
    <t>针对特别监管类项目应履行提级审批程序，各级单位不得绕过审批程序违规投资。</t>
  </si>
  <si>
    <t>网上电网</t>
  </si>
  <si>
    <r>
      <rPr>
        <strike/>
        <sz val="10"/>
        <rFont val="方正仿宋_GBK"/>
        <charset val="134"/>
      </rPr>
      <t>各级单位-发展部门-投资管理人员、各级单位-发展部门-审批人员</t>
    </r>
    <r>
      <rPr>
        <sz val="10"/>
        <rFont val="方正仿宋_GBK"/>
        <charset val="134"/>
      </rPr>
      <t xml:space="preserve">
</t>
    </r>
    <r>
      <rPr>
        <sz val="10"/>
        <color rgb="FFFF0000"/>
        <rFont val="方正仿宋_GBK"/>
        <charset val="134"/>
      </rPr>
      <t>省公司-发展部门-投资管理人员、建设公司-计划经营部-综合计划人员</t>
    </r>
  </si>
  <si>
    <t>可行性研究设计与审查</t>
  </si>
  <si>
    <t>估算方法和依据不合理，导致投资估算与实际投入相差较大，造成资金占用、资源错配。</t>
  </si>
  <si>
    <t>2.可研报告（估算）准确性、完整性审核控制</t>
  </si>
  <si>
    <t>投资项目可研估算编制的依据和方法合理准确。</t>
  </si>
  <si>
    <t>电网基建业务-2.可研报告（估算）准确性、完整性审核控制-控制措施01</t>
  </si>
  <si>
    <t>省公司发展部可研核准管理人员负责确认可研估算采用行业定额标准；</t>
  </si>
  <si>
    <t>1.可研估算。</t>
  </si>
  <si>
    <r>
      <rPr>
        <strike/>
        <sz val="10"/>
        <rFont val="方正仿宋_GBK"/>
        <charset val="134"/>
      </rPr>
      <t>各级单位</t>
    </r>
    <r>
      <rPr>
        <sz val="10"/>
        <color rgb="FFFF0000"/>
        <rFont val="方正仿宋_GBK"/>
        <charset val="134"/>
      </rPr>
      <t>省公司</t>
    </r>
    <r>
      <rPr>
        <sz val="10"/>
        <rFont val="方正仿宋_GBK"/>
        <charset val="134"/>
      </rPr>
      <t xml:space="preserve">-发展部门-可研核准管理人员
</t>
    </r>
  </si>
  <si>
    <t>造价管理数据常态化分析监督场景</t>
  </si>
  <si>
    <t>每月</t>
  </si>
  <si>
    <t>《国家电网有限公司电网项目可行性研究工作管理办法》（国家电网企管〔2021〕64号）第五章</t>
  </si>
  <si>
    <t>电网基建业务-2.可研报告（估算）准确性、完整性审核控制-控制措施02</t>
  </si>
  <si>
    <t>经研院技经人员审核可研估算的量、价，确保行业标准“应采尽采”；</t>
  </si>
  <si>
    <r>
      <rPr>
        <strike/>
        <sz val="10"/>
        <rFont val="方正仿宋_GBK"/>
        <charset val="134"/>
      </rPr>
      <t>各级单位-经研院、所-技经人员</t>
    </r>
    <r>
      <rPr>
        <sz val="10"/>
        <rFont val="方正仿宋_GBK"/>
        <charset val="134"/>
      </rPr>
      <t xml:space="preserve">
</t>
    </r>
    <r>
      <rPr>
        <sz val="10"/>
        <color rgb="FFFF0000"/>
        <rFont val="方正仿宋_GBK"/>
        <charset val="134"/>
      </rPr>
      <t>经研院-技经人员</t>
    </r>
  </si>
  <si>
    <t>电网基建业务-2.可研报告（估算）准确性、完整性审核控制-控制措施03</t>
  </si>
  <si>
    <t>加强“估、概、预、结、决”等数据比对、评价，由建设部门牵头负责概算、预算及结算部分，发展部门负责估算部分，财务部门负责决算部分。</t>
  </si>
  <si>
    <r>
      <rPr>
        <strike/>
        <sz val="10"/>
        <rFont val="方正仿宋_GBK"/>
        <charset val="134"/>
      </rPr>
      <t>各级单位-发展部门-可研核准管理人员、各级单位-建设部门-计划人员、各级单位-财务部门-工程管理人员</t>
    </r>
    <r>
      <rPr>
        <sz val="10"/>
        <rFont val="方正仿宋_GBK"/>
        <charset val="134"/>
      </rPr>
      <t xml:space="preserve">
</t>
    </r>
    <r>
      <rPr>
        <sz val="10"/>
        <color rgb="FFFF0000"/>
        <rFont val="方正仿宋_GBK"/>
        <charset val="134"/>
      </rPr>
      <t>省公司-发展部门-可研核准管理人员、省公司-建设部门-技经人员、省公司-财务部门-工程财务人员
建设公司-财务部门-工程结算与决算管理人员</t>
    </r>
  </si>
  <si>
    <t>国网基建部、国网发展部</t>
  </si>
  <si>
    <t>未充分评估投资项目的可行性和经济性，导致技术方案无法实施、可研估算不合理。</t>
  </si>
  <si>
    <t>3.可研经济性评审、财务合规性审核控制</t>
  </si>
  <si>
    <t>建立并严格执行可研经济性评审与财务合规性审核流程。</t>
  </si>
  <si>
    <t>电网基建业务-3.可研经济性评审、财务合规性审核控制-控制措施01</t>
  </si>
  <si>
    <t>省公司发展部可研核准管理人员、经研院技经人员建立可研经济性评审、财务合规性审核流程，落实评审与校核责任；</t>
  </si>
  <si>
    <t>1.可行性研究报告；
2.经研院或评审单位出具的可研评审意见文件或评审意见；                
3.发展部门出具的可研批复文件及财务部会签意见。</t>
  </si>
  <si>
    <r>
      <rPr>
        <strike/>
        <sz val="10"/>
        <rFont val="方正仿宋_GBK"/>
        <charset val="134"/>
      </rPr>
      <t>各级单位-发展部门-可研核准管理人员、各级单位-经研院、所-技经人员</t>
    </r>
    <r>
      <rPr>
        <sz val="10"/>
        <rFont val="方正仿宋_GBK"/>
        <charset val="134"/>
      </rPr>
      <t xml:space="preserve">
</t>
    </r>
    <r>
      <rPr>
        <sz val="10"/>
        <color rgb="FFFF0000"/>
        <rFont val="方正仿宋_GBK"/>
        <charset val="134"/>
      </rPr>
      <t>省公司-发展部门-可研核准管理人员、经研院-技经人员</t>
    </r>
  </si>
  <si>
    <t>可研评审规则库监督场景</t>
  </si>
  <si>
    <t>电网基建业务-3.可研经济性评审、财务合规性审核控制-控制措施02</t>
  </si>
  <si>
    <r>
      <rPr>
        <sz val="10"/>
        <rFont val="方正仿宋_GBK"/>
        <charset val="134"/>
      </rPr>
      <t>各级单位财务部门负责审核财务合规性</t>
    </r>
    <r>
      <rPr>
        <sz val="10"/>
        <color rgb="FFFF0000"/>
        <rFont val="方正仿宋_GBK"/>
        <charset val="134"/>
      </rPr>
      <t>、经济性</t>
    </r>
    <r>
      <rPr>
        <sz val="10"/>
        <rFont val="方正仿宋_GBK"/>
        <charset val="134"/>
      </rPr>
      <t>，会签可研批复、确保严肃有效；</t>
    </r>
    <r>
      <rPr>
        <sz val="10"/>
        <color rgb="FFFF0000"/>
        <rFont val="方正仿宋_GBK"/>
        <charset val="134"/>
      </rPr>
      <t>审核过程中要深化内部价格库数据应用，分析比对项目造价水平。</t>
    </r>
  </si>
  <si>
    <t>办公公文系统</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</si>
  <si>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省公司-财务部门-工程财务人员、建设公司-财务部门-工程结算与决算管理人员</t>
    </r>
  </si>
  <si>
    <t>国网财务部</t>
  </si>
  <si>
    <t>电网基建业务-3.可研经济性评审、财务合规性审核控制-控制措施03</t>
  </si>
  <si>
    <t>省公司发展部可研核准管理人员强化项目立项管理。</t>
  </si>
  <si>
    <r>
      <rPr>
        <strike/>
        <sz val="10"/>
        <color theme="1"/>
        <rFont val="方正仿宋_GBK"/>
        <charset val="134"/>
      </rPr>
      <t>各级单位-发展部门-可研核准管理人员</t>
    </r>
    <r>
      <rPr>
        <sz val="10"/>
        <color theme="1"/>
        <rFont val="方正仿宋_GBK"/>
        <charset val="134"/>
      </rPr>
      <t xml:space="preserve">
</t>
    </r>
    <r>
      <rPr>
        <sz val="10"/>
        <color rgb="FFFF0000"/>
        <rFont val="方正仿宋_GBK"/>
        <charset val="134"/>
      </rPr>
      <t>省公司-发展部门-可研核准管理人员</t>
    </r>
  </si>
  <si>
    <t>会计信息真实完整</t>
  </si>
  <si>
    <t>项目前期费用确认</t>
  </si>
  <si>
    <t>前期费用列支与预规、公司及行业规定前期费用项目不符，导致前期费用超范围或超规模列支。</t>
  </si>
  <si>
    <t>4.前期费用列支范围、规模审核控制</t>
  </si>
  <si>
    <t>前期费用列支与管理办法约定的前期工作内容一致。</t>
  </si>
  <si>
    <t>电网基建业务-4.前期费用列支范围、规模审核控制-控制措施01</t>
  </si>
  <si>
    <t>各级单位发展部门负责编制项目前期费用计划，项目前期费用应以规划、前期计划或估算为依据，严禁无依据列支，规划或前期计划外项目创建前期费用项目需履行分级审批流程；</t>
  </si>
  <si>
    <t>1.ERP系统
2.智慧共享财务平台
3.网上电网</t>
  </si>
  <si>
    <t>1.系统审批记录；
2.前期费用入账明细；
3.合同执行情况；
4.前期项目计划文件。</t>
  </si>
  <si>
    <r>
      <rPr>
        <strike/>
        <sz val="10"/>
        <color theme="1"/>
        <rFont val="方正仿宋_GBK"/>
        <charset val="134"/>
      </rPr>
      <t>各级单位-发展部门-前期规划人员</t>
    </r>
    <r>
      <rPr>
        <sz val="10"/>
        <color theme="1"/>
        <rFont val="方正仿宋_GBK"/>
        <charset val="134"/>
      </rPr>
      <t xml:space="preserve">
</t>
    </r>
    <r>
      <rPr>
        <sz val="10"/>
        <color rgb="FFFF0000"/>
        <rFont val="方正仿宋_GBK"/>
        <charset val="134"/>
      </rPr>
      <t>省公司-发展部门-计划管理人员；建设公司-计划经营部-综合计划人员、建设公司-前期中心-前期项目管理</t>
    </r>
  </si>
  <si>
    <t>前期费用监督场景</t>
  </si>
  <si>
    <t>《国家电网有限公司电网项目前期工作管理办法》（国家电网企管〔2022〕578号）第三章</t>
  </si>
  <si>
    <t>电网基建业务-4.前期费用列支范围、规模审核控制-控制措施02</t>
  </si>
  <si>
    <t>财务部门参与前期费用计划审核，复核前期工作内容，范围内的项目纳入年度财务预算，超范围项目不允许立项；</t>
  </si>
  <si>
    <t>系统待建</t>
  </si>
  <si>
    <t>1.智慧共享财务平台
2.网上电网</t>
  </si>
  <si>
    <t>1.系统审批记录；
2.前期费用入账明细；
3.前期项目计划文件。</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</si>
  <si>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建设公司-财务资产部-工程（前期）财务人员</t>
    </r>
  </si>
  <si>
    <t>《国家电网有限公司电网项目前期工作管理办法》（国家电网企管〔2022〕578号）第三章、《国家电网有限公司全面预算管理办法》（ 国网（财/2）375-2026（通用））第三章</t>
  </si>
  <si>
    <t>电网基建业务-4.前期费用列支范围、规模审核控制-控制措施03</t>
  </si>
  <si>
    <t>建设公司财务资产部工程（前期）财务人员对前期费用报账的一致性、合规性进行会计监督，审核前期费用报账内容是否与前期费用立项范围一致，超规模列支不允许报账及支付。</t>
  </si>
  <si>
    <t>1.系统审批记录；
2.前期费用入账明细；
3.凭证附件-合同执行情况；
4.前期项目计划文件。</t>
  </si>
  <si>
    <t>《国家电网有限公司工程财务管理办法》（国家电网企管〔2023〕28号）第五章</t>
  </si>
  <si>
    <t>前期费用长期挂账未及时清理，导致公司投资损失的可能性增加。</t>
  </si>
  <si>
    <t>5.长期挂账前期费用清理</t>
  </si>
  <si>
    <t>严控2年以上前期费用规模。</t>
  </si>
  <si>
    <t>电网基建业务-5.长期挂账前期费用清理-控制措施01</t>
  </si>
  <si>
    <t>建设公司财务资产部工程（前期）财务人员建立挂账超2年的前期费用项目预警机制；</t>
  </si>
  <si>
    <t>1.2年以上前期费用计划管理部门备案证明。</t>
  </si>
  <si>
    <t>每半年</t>
  </si>
  <si>
    <t>全量检查</t>
  </si>
  <si>
    <t>2年以上前期费用监督场景</t>
  </si>
  <si>
    <t>电网基建业务-5.长期挂账前期费用清理-控制措施02</t>
  </si>
  <si>
    <t>各级单位发展部门健全前期费用核销流程。规划内项目取消，前期费用项目采取按批核销方式；规划内项目推迟，前期费用项目核销结合实际情况履行逐项分级审批；规划外异常项目，前期费用项目核销履行逐项分级审批，并建立“谁立项谁负责”问责机制。</t>
  </si>
  <si>
    <t>1.2年以上前期费用计划管理部门备案证明；
2.前期费用核销审批手续。</t>
  </si>
  <si>
    <r>
      <rPr>
        <strike/>
        <sz val="10"/>
        <rFont val="方正仿宋_GBK"/>
        <charset val="134"/>
      </rPr>
      <t>各级单位-发展部门-前期规划人员</t>
    </r>
    <r>
      <rPr>
        <sz val="10"/>
        <rFont val="方正仿宋_GBK"/>
        <charset val="134"/>
      </rPr>
      <t xml:space="preserve">
</t>
    </r>
    <r>
      <rPr>
        <sz val="10"/>
        <color rgb="FFFF0000"/>
        <rFont val="方正仿宋_GBK"/>
        <charset val="134"/>
      </rPr>
      <t>省公司-发展部门-前期规划人员；建设公司-前期管理中心-前期项目管理人员、计划经营部-综合计划人员、财务资产部-工程（前期）财务人员</t>
    </r>
  </si>
  <si>
    <t>《国家电网有限公司工程财务管理办法》（国家电网企管〔2023〕28号）第五章第二十九条</t>
  </si>
  <si>
    <t>二、项目立项管理</t>
  </si>
  <si>
    <t>项目储备及立项</t>
  </si>
  <si>
    <t>项目立项依据不足，造成经济损失。</t>
  </si>
  <si>
    <r>
      <rPr>
        <b/>
        <sz val="10"/>
        <rFont val="方正仿宋_GBK"/>
        <charset val="134"/>
      </rPr>
      <t>30.项目立项管理不规范：</t>
    </r>
    <r>
      <rPr>
        <sz val="10"/>
        <rFont val="方正仿宋_GBK"/>
        <charset val="134"/>
      </rPr>
      <t>存在虚列项目、重复立项、违规拆分项目规避招标、项目可研编制不规范，模板套用、内容一致，不能准确反应估算造价等问题。</t>
    </r>
  </si>
  <si>
    <t>6.储备项目合规性、金额准确性的审批控制</t>
  </si>
  <si>
    <t>未完成可研的项目不应纳入储备库立项。</t>
  </si>
  <si>
    <t>电网基建业务-6.储备项目合规性、金额准确性的审批控制-控制措施01</t>
  </si>
  <si>
    <t>省公司发展部计划管理人员负责将经可研评审后的项目纳入储备库；未获可研评审意见提前入库项目，建立“谁立项谁负责”机制，履行分级审批流程；</t>
  </si>
  <si>
    <t>1.可研评审系统审批记录；
2.投资计划文件；
3.储备库的储备项目记录（中台-项目预算管理）。</t>
  </si>
  <si>
    <r>
      <rPr>
        <strike/>
        <sz val="10"/>
        <rFont val="方正仿宋_GBK"/>
        <charset val="134"/>
      </rPr>
      <t>各级单位</t>
    </r>
    <r>
      <rPr>
        <sz val="10"/>
        <color rgb="FFFF0000"/>
        <rFont val="方正仿宋_GBK"/>
        <charset val="134"/>
      </rPr>
      <t>省公司-</t>
    </r>
    <r>
      <rPr>
        <sz val="10"/>
        <rFont val="方正仿宋_GBK"/>
        <charset val="134"/>
      </rPr>
      <t xml:space="preserve">发展部门-计划管理人员
</t>
    </r>
  </si>
  <si>
    <t>项目储备监督场景</t>
  </si>
  <si>
    <t>《国家电网有限公司投资管理规定》（国家电网企管〔2019〕425号）第五章第二十三条</t>
  </si>
  <si>
    <t>电网基建业务-6.储备项目合规性、金额准确性的审批控制-控制措施02</t>
  </si>
  <si>
    <r>
      <rPr>
        <strike/>
        <sz val="10"/>
        <rFont val="方正仿宋_GBK"/>
        <charset val="134"/>
      </rPr>
      <t>各级单位</t>
    </r>
    <r>
      <rPr>
        <sz val="10"/>
        <color rgb="FFFF0000"/>
        <rFont val="方正仿宋_GBK"/>
        <charset val="134"/>
      </rPr>
      <t>省公司</t>
    </r>
    <r>
      <rPr>
        <sz val="10"/>
        <rFont val="方正仿宋_GBK"/>
        <charset val="134"/>
      </rPr>
      <t xml:space="preserve">财务部负责项目储备立项金额复核，建立投资计划与财务预算的复核机制，确保项目“有计划、有预算、有支出”。
</t>
    </r>
    <r>
      <rPr>
        <sz val="10"/>
        <color rgb="FFFF0000"/>
        <rFont val="方正仿宋_GBK"/>
        <charset val="134"/>
      </rPr>
      <t>建设公司计划经营部建立投资计划与财务预算的复核机制，确保项目“有计划、有预算、有支出”。</t>
    </r>
  </si>
  <si>
    <t>ERP系统</t>
  </si>
  <si>
    <t>1.投资计划文件；
2.储备库的储备项目记录（中台-项目预算管理）。</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</si>
  <si>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省公司-财务部门-工程财务人员
建设公司-财务部门-工程（预算）财务人员</t>
    </r>
  </si>
  <si>
    <t>项目初设评审与批复</t>
  </si>
  <si>
    <t>概算深度不足，影响项目整体资金规划和投资效益。</t>
  </si>
  <si>
    <r>
      <rPr>
        <b/>
        <sz val="10"/>
        <rFont val="方正仿宋_GBK"/>
        <charset val="134"/>
      </rPr>
      <t>33.设计履职不到位：</t>
    </r>
    <r>
      <rPr>
        <sz val="10"/>
        <rFont val="方正仿宋_GBK"/>
        <charset val="134"/>
      </rPr>
      <t xml:space="preserve">存在应设计未设计、部分现场实际情况与竣工图纸不符、设计人员变更未履行审批手续、设计单位未考虑现场实际情况导致费用增加或超概算等问题。
</t>
    </r>
    <r>
      <rPr>
        <b/>
        <sz val="10"/>
        <rFont val="方正仿宋_GBK"/>
        <charset val="134"/>
      </rPr>
      <t>39.设计深度不足：</t>
    </r>
    <r>
      <rPr>
        <sz val="10"/>
        <rFont val="方正仿宋_GBK"/>
        <charset val="134"/>
      </rPr>
      <t>存在概算造价不准确，资金结余率超规定的20%；因可研深度不足造成重大变更，增加工程造价造成计划大幅调增等问题。</t>
    </r>
  </si>
  <si>
    <t>7.概算审核控制</t>
  </si>
  <si>
    <t>概算应满足资金规划、施工招标及成本管控需求。</t>
  </si>
  <si>
    <t>电网基建业务-7.概算审核控制-控制措施01</t>
  </si>
  <si>
    <t>经研院建立“谁评审谁负责”机制，对初步设计概算的准确性、人材机费用标准合理性进行评审；</t>
  </si>
  <si>
    <t>1.初步设计概算文件；
2.可研批复估算文件。</t>
  </si>
  <si>
    <t>《国家电网有限公司输变电工程初步设计审批管理办法》（国家电网企管〔2021〕89号）第二章第四十六条</t>
  </si>
  <si>
    <t>国网基建部</t>
  </si>
  <si>
    <t>电网基建业务-7.概算审核控制-控制措施02</t>
  </si>
  <si>
    <t>建设公司技经中心技经人员门比对估算与概算的合理性，开展监督评价；</t>
  </si>
  <si>
    <t>e基建2.0平台</t>
  </si>
  <si>
    <t>1.初步设计概算文件；
2.可研批复估算文件；
3.年度综合计划；
4.概算调整审批文件。</t>
  </si>
  <si>
    <r>
      <rPr>
        <strike/>
        <sz val="10"/>
        <rFont val="方正仿宋_GBK"/>
        <charset val="134"/>
      </rPr>
      <t>各级单位-建设部门-技经人员</t>
    </r>
    <r>
      <rPr>
        <sz val="10"/>
        <rFont val="方正仿宋_GBK"/>
        <charset val="134"/>
      </rPr>
      <t xml:space="preserve">
</t>
    </r>
    <r>
      <rPr>
        <sz val="10"/>
        <color rgb="FFFF0000"/>
        <rFont val="方正仿宋_GBK"/>
        <charset val="134"/>
      </rPr>
      <t>建设公司-技经中心-技经人员</t>
    </r>
  </si>
  <si>
    <t>《国家电网有限公司输变电工程初步设计审批管理办法》（国家电网企管〔2021〕89号）第二章第六条</t>
  </si>
  <si>
    <t>电网基建业务-7.概算审核控制-控制措施03</t>
  </si>
  <si>
    <r>
      <rPr>
        <sz val="10"/>
        <rFont val="方正仿宋_GBK"/>
        <charset val="134"/>
      </rPr>
      <t>建设公司技经中心技经人员需调整概算时，各级单位建设部门严格履行项目概算调整审批流程。</t>
    </r>
    <r>
      <rPr>
        <sz val="10"/>
        <color rgb="FFFF0000"/>
        <rFont val="方正仿宋_GBK"/>
        <charset val="134"/>
      </rPr>
      <t>加强初设审查，逐项核验工程量、设备选型、材料规格。</t>
    </r>
  </si>
  <si>
    <r>
      <rPr>
        <strike/>
        <sz val="10"/>
        <rFont val="方正仿宋_GBK"/>
        <charset val="134"/>
      </rPr>
      <t>各级单位-建设部门-技经人员</t>
    </r>
    <r>
      <rPr>
        <sz val="10"/>
        <rFont val="方正仿宋_GBK"/>
        <charset val="134"/>
      </rPr>
      <t xml:space="preserve">
</t>
    </r>
    <r>
      <rPr>
        <sz val="10"/>
        <color rgb="FFFF0000"/>
        <rFont val="方正仿宋_GBK"/>
        <charset val="134"/>
      </rPr>
      <t>建设公司--技经中心--技经人员</t>
    </r>
  </si>
  <si>
    <t>初设管理监督场景</t>
  </si>
  <si>
    <t>否</t>
  </si>
  <si>
    <t>《国家电网有限公司输变电工程初步设计审批管理办法》（国家电网企管〔2021〕89号）第六章第五十一条</t>
  </si>
  <si>
    <t>项目投资预算编制与管控</t>
  </si>
  <si>
    <t>工程预算超项目计划，导致项目支出超计划，造成工程成本不可控。</t>
  </si>
  <si>
    <t>8.工程计划与预算的规模控制</t>
  </si>
  <si>
    <t>年度财务支出预算与年度投资计划保持相对一致。</t>
  </si>
  <si>
    <t>电网基建业务-8.工程计划与预算的规模控制-控制措施01</t>
  </si>
  <si>
    <t>各级单位建设部门提交的工程财务支出预算、投资计划要严格控制在概算范围内。负责审核执行项目与申报项目是否保持一致，严禁随意替换。</t>
  </si>
  <si>
    <t>1.项目预算表；
2.年度投资计划。</t>
  </si>
  <si>
    <r>
      <rPr>
        <strike/>
        <sz val="10"/>
        <rFont val="方正仿宋_GBK"/>
        <charset val="134"/>
      </rPr>
      <t>各级单位-建设部门-技经人员</t>
    </r>
    <r>
      <rPr>
        <sz val="10"/>
        <rFont val="方正仿宋_GBK"/>
        <charset val="134"/>
      </rPr>
      <t xml:space="preserve">
</t>
    </r>
    <r>
      <rPr>
        <sz val="10"/>
        <color rgb="FFFF0000"/>
        <rFont val="方正仿宋_GBK"/>
        <charset val="134"/>
      </rPr>
      <t>省公司-建设部门-技经人员；
建设公司-财务部门-工程财务人员；
建设公司-建管分公司-项目经理、技经中心--技经人员、前期中心-前期管理人员；
建设公司-财务部-工程（预算）财务人员</t>
    </r>
  </si>
  <si>
    <t>工程预算内控系数监督场景</t>
  </si>
  <si>
    <t>《国家电网有限公司全面预算管理办法》（国家电网企管[2020]763号）第六章第三十五条</t>
  </si>
  <si>
    <t>电网基建业务-8.工程计划与预算的规模控制-控制措施02</t>
  </si>
  <si>
    <t>财务部门复核预算与计划是否保持相对一致，年度实际财务支出控制在预算范围内。对执行项目与申报项目一致性开展校验，确保项目“有计划、有预算、有支出”。</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</si>
  <si>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建设公司-财务资产部-工程（预算）财务人员</t>
    </r>
  </si>
  <si>
    <t>招标采购</t>
  </si>
  <si>
    <t>未进行招标限价管控，造成项目造价虚高、资金不必要浪费</t>
  </si>
  <si>
    <t>9.物资、工程、服务招标限价管控</t>
  </si>
  <si>
    <t>在开展二级招标采购时，设置招标最高限价</t>
  </si>
  <si>
    <t>电网基建业务-9.招标限价管控-控制措施01</t>
  </si>
  <si>
    <t>开展二级专区物资、施工、服务招标采购时，要科学设定最高限价。确有特殊原因未设置最高限价的，应出具说明材料履行审批手续。</t>
  </si>
  <si>
    <t>ECP2.0</t>
  </si>
  <si>
    <t>1.招标过程资料</t>
  </si>
  <si>
    <t>省公司物资部-招标计划处-招标采购人员</t>
  </si>
  <si>
    <t>《国家电网有限公司关于印发加强工程造价管控若干措施的通知》国家电网财〔2025〕595号
 《国网湖南省电力有限公司关于印发加强工程造价管控三年行动实施方案的通知》湘电公司财〔2026〕61号</t>
  </si>
  <si>
    <t>国网物资部</t>
  </si>
  <si>
    <t>项目合同签订</t>
  </si>
  <si>
    <t>合同条款背离招投标文件、超越合同授权范围不当签署合同、合同签订流程倒置，导致合同履约风险。</t>
  </si>
  <si>
    <t>10.施工合同合规性、时效性控制</t>
  </si>
  <si>
    <t>签订的合同合法、有效。</t>
  </si>
  <si>
    <t>电网基建业务-10.施工合同合规性、时效性控制-控制措施01</t>
  </si>
  <si>
    <t>建设公司计划经营部合同管理人员按招标结果按时签订合同（自中标通知书发出之日起三十日内），合同签订严格执行授权程序，不得越权签署不当合同。对经审批生效的合同，在数字化法治企业建设平台结构化注册，推送财务系统，确保付款条款清晰，强化履约过程管理；</t>
  </si>
  <si>
    <t>ECP2.0、数字化法治企业建设平台</t>
  </si>
  <si>
    <t>1.施工合同；
2.招投标文件、中标通知书；
3.委托授权书。</t>
  </si>
  <si>
    <r>
      <rPr>
        <strike/>
        <sz val="10"/>
        <rFont val="方正仿宋_GBK"/>
        <charset val="134"/>
      </rPr>
      <t>各级单位-建设部门-合同管理人员</t>
    </r>
    <r>
      <rPr>
        <sz val="10"/>
        <rFont val="方正仿宋_GBK"/>
        <charset val="134"/>
      </rPr>
      <t xml:space="preserve">
</t>
    </r>
    <r>
      <rPr>
        <sz val="10"/>
        <color rgb="FFFF0000"/>
        <rFont val="方正仿宋_GBK"/>
        <charset val="134"/>
      </rPr>
      <t>建设公司-计划经营部-合同管理人员</t>
    </r>
  </si>
  <si>
    <t>合同按时签订监督场景</t>
  </si>
  <si>
    <t>《国家电网有限公司合同管理办法》（国家电网企管〔2020〕832号）第一章第六条</t>
  </si>
  <si>
    <t>国网法律部</t>
  </si>
  <si>
    <t>电网基建业务-10.施工合同合规性、时效性控制-控制措施02</t>
  </si>
  <si>
    <t>建设公司综合部法律合规人员对合同条款合规性进行复核；</t>
  </si>
  <si>
    <t>数字化法治企业建设平台</t>
  </si>
  <si>
    <r>
      <rPr>
        <strike/>
        <sz val="10"/>
        <rFont val="方正仿宋_GBK"/>
        <charset val="134"/>
      </rPr>
      <t>各级单位-法规部门-法律合规人员</t>
    </r>
    <r>
      <rPr>
        <sz val="10"/>
        <rFont val="方正仿宋_GBK"/>
        <charset val="134"/>
      </rPr>
      <t xml:space="preserve">
</t>
    </r>
    <r>
      <rPr>
        <sz val="10"/>
        <color rgb="FFFF0000"/>
        <rFont val="方正仿宋_GBK"/>
        <charset val="134"/>
      </rPr>
      <t>建设公司-综合部-法律合规人员</t>
    </r>
  </si>
  <si>
    <t>《国家电网有限公司合同管理办法》（国家电网企管〔2020〕832号）第一章第五条</t>
  </si>
  <si>
    <t>国网基建部、国网法律部、国网财务部、国网物资部</t>
  </si>
  <si>
    <t>电网基建业务-10.施工合同合规性、时效性控制-控制措施03</t>
  </si>
  <si>
    <t>建设公司财务部工程（核算）财务人员对合同付款条件进行复核；</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</si>
  <si>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建设公司-财务部-工程（核算）财务人员</t>
    </r>
  </si>
  <si>
    <t>《国家电网有限公司合同管理办法》（国家电网企管〔2020〕832号）第一章第七条</t>
  </si>
  <si>
    <t>电网基建业务-10.施工合同合规性、时效性控制-控制措施04</t>
  </si>
  <si>
    <r>
      <rPr>
        <sz val="10"/>
        <rFont val="方正仿宋_GBK"/>
        <charset val="134"/>
      </rPr>
      <t>建设公司</t>
    </r>
    <r>
      <rPr>
        <sz val="10"/>
        <color rgb="FFFF0000"/>
        <rFont val="方正仿宋_GBK"/>
        <charset val="134"/>
      </rPr>
      <t>合同及招投标归口管理部门</t>
    </r>
    <r>
      <rPr>
        <sz val="10"/>
        <rFont val="方正仿宋_GBK"/>
        <charset val="134"/>
      </rPr>
      <t>对合同条款与合同招标文件进行复核。</t>
    </r>
  </si>
  <si>
    <r>
      <rPr>
        <strike/>
        <sz val="10"/>
        <rFont val="方正仿宋_GBK"/>
        <charset val="134"/>
      </rPr>
      <t>各级单位-物资部门-物资管理人员</t>
    </r>
    <r>
      <rPr>
        <sz val="10"/>
        <rFont val="方正仿宋_GBK"/>
        <charset val="134"/>
      </rPr>
      <t xml:space="preserve">
</t>
    </r>
    <r>
      <rPr>
        <sz val="10"/>
        <color rgb="FFFF0000"/>
        <rFont val="方正仿宋_GBK"/>
        <charset val="134"/>
      </rPr>
      <t>建设公司-建管分公司-工程合同及投标管理人员</t>
    </r>
  </si>
  <si>
    <t>《国家电网有限公司合同管理办法》（国家电网企管〔2020〕832号）第一章第八条</t>
  </si>
  <si>
    <t>三、项目实施管理</t>
  </si>
  <si>
    <t>违规转分包，向不具备资质的单位和个人分包施工，导致工程无法按期完工或停工，引发资产损失风险。</t>
  </si>
  <si>
    <r>
      <rPr>
        <b/>
        <sz val="10"/>
        <rFont val="方正仿宋_GBK"/>
        <charset val="134"/>
      </rPr>
      <t>22.违法、违规转分包：</t>
    </r>
    <r>
      <rPr>
        <sz val="10"/>
        <rFont val="方正仿宋_GBK"/>
        <charset val="134"/>
      </rPr>
      <t>存在工程项目整体转包、肢解分包；勘察设计业务转包；未经建设单位同意违规分包；工程主体违规专业分包；超合同约定比例分包；以劳务分包之名行专业分包之实；层层转包、分包；项目以包代管等问题。</t>
    </r>
  </si>
  <si>
    <t>11.对系统内总包单位转分包行为控制</t>
  </si>
  <si>
    <t>对系统内电网基建施工总分包业务完善“项目、合同、人员、资金”四维穿透控制机制。</t>
  </si>
  <si>
    <t>电网基建业务-11.对系统内总包单位转分包行为控制-控制措施01</t>
  </si>
  <si>
    <t>建设公司建管分公司项目经理完善项目穿透机制，推行施工总包项目单项管理，确保建设单位项目与施工总包项目一一对应。严格执行分包审批备案，重点核查分包审批程序合规性，杜绝未经建设单位审批即分包的违规情形。</t>
  </si>
  <si>
    <t>1.e基建2.0平台
2.数字化法治企业建设平台</t>
  </si>
  <si>
    <t>1.施工承包合同；
2.分包备案资料（建设单位分包审批资料、已备案的外包合同等）。</t>
  </si>
  <si>
    <r>
      <rPr>
        <strike/>
        <sz val="10"/>
        <rFont val="方正仿宋_GBK"/>
        <charset val="134"/>
      </rPr>
      <t>各级单位-建设部门-项目经理</t>
    </r>
    <r>
      <rPr>
        <sz val="10"/>
        <rFont val="方正仿宋_GBK"/>
        <charset val="134"/>
      </rPr>
      <t xml:space="preserve">
</t>
    </r>
    <r>
      <rPr>
        <sz val="10"/>
        <color rgb="FFFF0000"/>
        <rFont val="方正仿宋_GBK"/>
        <charset val="134"/>
      </rPr>
      <t>建设公司-建管分公司-项目经理</t>
    </r>
  </si>
  <si>
    <t>《国家电网有限公司业务外包安全监督管理办法》（国家电网企管〔2023〕55 号）第四章第二十条第五章二十九条、《国家电网有限公司输变电施工业务外包合规管理办法》（国家电网企管[2025]432号）第七章第二十八条</t>
  </si>
  <si>
    <t>国网基建部、国网财务部</t>
  </si>
  <si>
    <t>电网基建业务-11.对系统内总包单位转分包行为控制-控制措施02</t>
  </si>
  <si>
    <r>
      <rPr>
        <sz val="10"/>
        <rFont val="方正仿宋_GBK"/>
        <charset val="134"/>
      </rPr>
      <t>省公司建设部、</t>
    </r>
    <r>
      <rPr>
        <sz val="10"/>
        <color rgb="FFFF0000"/>
        <rFont val="方正仿宋_GBK"/>
        <charset val="134"/>
      </rPr>
      <t>安监部</t>
    </r>
    <r>
      <rPr>
        <sz val="10"/>
        <rFont val="方正仿宋_GBK"/>
        <charset val="134"/>
      </rPr>
      <t>加强施工业务外包合同管理，完善合同穿透机制，形成“总-分包”合同的关联关系，穿透形成建设单位、总包单位、分包单位的合同主体关联关系，对比总分合同金额及服务内容研判是否超比例、超范围分包。完善外包单位评价机制，对违规外包行为开展评价，建立负面清单。</t>
    </r>
  </si>
  <si>
    <r>
      <rPr>
        <strike/>
        <sz val="10"/>
        <rFont val="方正仿宋_GBK"/>
        <charset val="134"/>
      </rPr>
      <t>各级单位-建设部门-项目经理</t>
    </r>
    <r>
      <rPr>
        <sz val="10"/>
        <color rgb="FFFF0000"/>
        <rFont val="方正仿宋_GBK"/>
        <charset val="134"/>
      </rPr>
      <t xml:space="preserve">
省公司-建设部-安全质量管理人员、省公司-安监部-督察人员、建设公司-建管分公司-项目经理</t>
    </r>
  </si>
  <si>
    <t>电网基建业务-11.对系统内总包单位转分包行为控制-控制措施03</t>
  </si>
  <si>
    <t>建设公司建管分公司项目经理完善人员穿透机制，重点核查进场作业人员的单位隶属关系及资质资格，确保进场人员信息与总包单位、分包单位备案信息完全一致。建立外包人员评价机制，对违规外包行为开展评价，建立黑名单。</t>
  </si>
  <si>
    <t>1.施工承包合同；
2.分包备案资料（建设单位分包审批资料、已备案的外包合同等）；
3.人员备案信息、进场记录信息。</t>
  </si>
  <si>
    <t>电网基建业务-11.对系统内总包单位转分包行为控制-控制措施04</t>
  </si>
  <si>
    <t>建设公司财务资产部工程（核算）财务人员完善资金支付穿透机制，构建穿透洞察场景，通过项目、合同、人员对应关系，研判资金流向是否符合合同主体关联链路、分包单位与审批备案清单是否一致，研判是否超比例、超范围分包，研判农民工支付清单与备案作业人员是否一致。构建项目、合同、人员、资金关联闭环监督体系，确保分包活动真实、合规可控。</t>
  </si>
  <si>
    <t>1.e基建2.0平台
2.数字化法治企业建设平台
3.智慧共享平台</t>
  </si>
  <si>
    <t>1.施工承包合同；
2.资金支付记录。</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</si>
  <si>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建设公司-财务资产部-工程（核算）财务人员</t>
    </r>
  </si>
  <si>
    <t>电网基建业务-11.对系统内总包单位转分包行为控制-控制措施05</t>
  </si>
  <si>
    <t>建设公司建管分公司项目经理强化考核评价，将农民工纠纷发生情况、工程按期完工情况等关键履约指标纳入考核体系，依据考核结果分级建立负面清单。将负面清单信息同步纳入物资部门供应商评价体系，对列入负面清单的单位，按规定采取限制投标、降低投标评分权重、取消投标资格等惩戒措施。</t>
  </si>
  <si>
    <t>1.施工承包合同；
2.分包备案资料（建设单位分包审批资料、已备案的外包合同等）；
3.人员备案信息、进场记录信息；
4.资金支付记录。</t>
  </si>
  <si>
    <t>工程资金支付</t>
  </si>
  <si>
    <t>农民工工资支付不及时，增加资金风险、劳资纠纷风险，引发法律处罚及舆情维稳风险。</t>
  </si>
  <si>
    <r>
      <rPr>
        <b/>
        <sz val="10"/>
        <rFont val="方正仿宋_GBK"/>
        <charset val="134"/>
      </rPr>
      <t>40.未按规定支付农民工工资：</t>
    </r>
    <r>
      <rPr>
        <sz val="10"/>
        <rFont val="方正仿宋_GBK"/>
        <charset val="134"/>
      </rPr>
      <t>存在未使用农民工工资账户支付工资；未及时支付农民工工资；农民工工资支付依据不足等问题。</t>
    </r>
  </si>
  <si>
    <t>12.农民工工资总包代发控制</t>
  </si>
  <si>
    <t>农民工工资按时合规发放。</t>
  </si>
  <si>
    <t>电网基建业务-12.农民工工资总包代发控制-控制措施01</t>
  </si>
  <si>
    <r>
      <rPr>
        <strike/>
        <sz val="10"/>
        <rFont val="方正仿宋_GBK"/>
        <charset val="134"/>
      </rPr>
      <t>各二级单位牵头部门要对照《保障农民工工资支付条例》，</t>
    </r>
    <r>
      <rPr>
        <sz val="10"/>
        <color rgb="FFFF0000"/>
        <rFont val="方正仿宋_GBK"/>
        <charset val="134"/>
      </rPr>
      <t>建设公司建管分公司项目经理、技经中心技经人员对照《保障农民工工资支付条例》</t>
    </r>
    <r>
      <rPr>
        <sz val="10"/>
        <rFont val="方正仿宋_GBK"/>
        <charset val="134"/>
      </rPr>
      <t>，结合属地人社部门出台的农民工工资管理细则，建立本单位农民工工资管理制度</t>
    </r>
    <r>
      <rPr>
        <sz val="10"/>
        <color rgb="FFFF0000"/>
        <rFont val="方正仿宋_GBK"/>
        <charset val="134"/>
      </rPr>
      <t>保障机制</t>
    </r>
    <r>
      <rPr>
        <sz val="10"/>
        <rFont val="方正仿宋_GBK"/>
        <charset val="134"/>
      </rPr>
      <t>，明确总包代发、农民工工资专户的适用范围、开立标准与代发流程，强化制度保障。</t>
    </r>
  </si>
  <si>
    <r>
      <rPr>
        <strike/>
        <sz val="10"/>
        <rFont val="方正仿宋_GBK"/>
        <charset val="134"/>
      </rPr>
      <t>各二级单位-牵头部门-法律合规人员</t>
    </r>
    <r>
      <rPr>
        <sz val="10"/>
        <rFont val="方正仿宋_GBK"/>
        <charset val="134"/>
      </rPr>
      <t xml:space="preserve">
</t>
    </r>
    <r>
      <rPr>
        <sz val="10"/>
        <color rgb="FFFF0000"/>
        <rFont val="方正仿宋_GBK"/>
        <charset val="134"/>
      </rPr>
      <t>建设公司-建管分公司-项目经理、技经中心-技经人员</t>
    </r>
  </si>
  <si>
    <t>电网基建业务-12.农民工工资总包代发控制-控制措施02</t>
  </si>
  <si>
    <t>建设公司建管分公司项目经理监督总包单位明确农民工总包代发名单范围，确保人员完整性，严格履行农民工工资总包代发、实名制管理等；</t>
  </si>
  <si>
    <t>1.施工合同；
2.农民工工资支付表；
3.农民工考勤表。</t>
  </si>
  <si>
    <t>《国家电网有限公司关于保障输变电工程建设农民工工资支付的通知》(国家电网基建〔2020〕151号)第二章第三章第四章</t>
  </si>
  <si>
    <t>电网基建业务-12.农民工工资总包代发控制-控制措施03</t>
  </si>
  <si>
    <t>建设公司建管分公司项目经理核查总包单位农民工工资支付表与银行卡信息、考勤表、ORM现场入场考勤人员、发放清册的一致性；若签字单人员与现场入场人员信息不符，第一时间组织项目管理单位提交书面材料，解释说明人员信息不符原因；</t>
  </si>
  <si>
    <t>电网基建业务-12.农民工工资总包代发控制-控制措施04</t>
  </si>
  <si>
    <t>建设公司建管分公司项目经理、技经中心技经人员根据合同约定，审核实际工程量，发起支付申请；</t>
  </si>
  <si>
    <r>
      <rPr>
        <sz val="10"/>
        <rFont val="方正仿宋_GBK"/>
        <charset val="134"/>
      </rPr>
      <t>1.施工合同；</t>
    </r>
    <r>
      <rPr>
        <strike/>
        <sz val="10"/>
        <rFont val="方正仿宋_GBK"/>
        <charset val="134"/>
      </rPr>
      <t xml:space="preserve">
2.进度款报审表；
</t>
    </r>
    <r>
      <rPr>
        <sz val="10"/>
        <rFont val="方正仿宋_GBK"/>
        <charset val="134"/>
      </rPr>
      <t xml:space="preserve">3.农民工工资支付表；
4.农民工考勤表。
</t>
    </r>
  </si>
  <si>
    <r>
      <rPr>
        <strike/>
        <sz val="10"/>
        <rFont val="方正仿宋_GBK"/>
        <charset val="134"/>
      </rPr>
      <t>各级单位-建设部门-项目经理</t>
    </r>
    <r>
      <rPr>
        <sz val="10"/>
        <rFont val="方正仿宋_GBK"/>
        <charset val="134"/>
      </rPr>
      <t xml:space="preserve">
</t>
    </r>
    <r>
      <rPr>
        <sz val="10"/>
        <color rgb="FFFF0000"/>
        <rFont val="方正仿宋_GBK"/>
        <charset val="134"/>
      </rPr>
      <t>建设公司-建管分公司-项目经理、技经中心-技经人员</t>
    </r>
  </si>
  <si>
    <t>电网基建业务-12.农民工工资总包代发控制-控制措施05</t>
  </si>
  <si>
    <t>建设公司建管分公司、财务部门审核农民工工资资金是否及时、按制度规定比例足额拨付到位、专户支出是否专款专用、支付手续是否符合完整性、规范性要求；</t>
  </si>
  <si>
    <t xml:space="preserve">1.施工合同；
2.进度款报审表；
3.农民工工资支付表；
</t>
  </si>
  <si>
    <r>
      <rPr>
        <strike/>
        <sz val="10"/>
        <rFont val="方正仿宋_GBK"/>
        <charset val="134"/>
      </rPr>
      <t>各级单位-财务部门-工程财务人员、各级单位-财务部门-审批人员</t>
    </r>
    <r>
      <rPr>
        <sz val="10"/>
        <rFont val="方正仿宋_GBK"/>
        <charset val="134"/>
      </rPr>
      <t xml:space="preserve">
</t>
    </r>
    <r>
      <rPr>
        <sz val="10"/>
        <color rgb="FFFF0000"/>
        <rFont val="方正仿宋_GBK"/>
        <charset val="134"/>
      </rPr>
      <t>建设公司-建管分公司-项目经理、财务部-工程（核算）财务人员</t>
    </r>
  </si>
  <si>
    <t>电网基建业务-12.农民工工资总包代发控制-控制措施06</t>
  </si>
  <si>
    <t>建设公司财务部门工程（核算）财务人员负责抽查总承包单位农民工工资支付情况，履行监督职能。</t>
  </si>
  <si>
    <t>1.施工合同；
2.进度款报审表；
3.农民工工资支付表。
4.农民工考勤表。</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</si>
  <si>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建设公司-财务部门-工程（核算）财务人员</t>
    </r>
  </si>
  <si>
    <t>项目开工</t>
  </si>
  <si>
    <t>项目违规开工，未批先建，导致面临行政处罚或承担违规风险。</t>
  </si>
  <si>
    <t>13.项目开工合规性审核</t>
  </si>
  <si>
    <t>确保项目在取得全部行政许可后方可开工，杜绝未批先建行为，确保项目建设的合规性。</t>
  </si>
  <si>
    <t>电网基建业务-13.项目开工合规性审核-控制措施01</t>
  </si>
  <si>
    <t>省公司建设部建管管理人员加强开工审批流程管理，建设公司建管分公司、前期中心开工管理要严格遵循“依法合规、分层报批”原则，项目开工前要完成行政审批手续，未经审批不得私自开工。</t>
  </si>
  <si>
    <t>1.项目核准文件；
2.建设工程（市政工程）规划许可证（按需）；
3.国有土地划拨决定书或建设用地批准书（按需）。</t>
  </si>
  <si>
    <r>
      <rPr>
        <strike/>
        <sz val="10"/>
        <rFont val="方正仿宋_GBK"/>
        <charset val="134"/>
      </rPr>
      <t>各级单位-建设部门-项目经理</t>
    </r>
    <r>
      <rPr>
        <sz val="10"/>
        <rFont val="方正仿宋_GBK"/>
        <charset val="134"/>
      </rPr>
      <t xml:space="preserve">
</t>
    </r>
    <r>
      <rPr>
        <sz val="10"/>
        <color rgb="FFFF0000"/>
        <rFont val="方正仿宋_GBK"/>
        <charset val="134"/>
      </rPr>
      <t>省公司-建设部门-建管管理人员；建设公司--建管分公司-项目经理、前期中心-前期项目经理</t>
    </r>
  </si>
  <si>
    <t>《国家电网有限公司输变电工程进度计划管理办法》（国家电网企管〔2019〕426号）第四章第十八、十九条</t>
  </si>
  <si>
    <t>自然灾害、材料丢失被盗等导致资产损失</t>
  </si>
  <si>
    <t>14.项目财产保全控制</t>
  </si>
  <si>
    <t>确保项目在开工时，购买安装工程一切险，减少自然灾害材料丢失等造成的非正常损失。</t>
  </si>
  <si>
    <t>电网基建业务-14.项目财产保全控制-控制措施01</t>
  </si>
  <si>
    <t>110kV及以上电网基建工程应在开工时投保建安工程一切险，其余项目根据需要进行投保。保险期限应完整覆盖工程建设期间。</t>
  </si>
  <si>
    <t>1.保险合同；            
2.发票；
3.保险单。</t>
  </si>
  <si>
    <t>属地公司-建设部-属地管理专责、
建设公司-财务部-工程财务岗</t>
  </si>
  <si>
    <t xml:space="preserve">《国家电网有限公司工程财务管理办法》（国家电网企管〔2023〕28号） 
《国家电网有限公司关于深化产融协同加强保险管理工作的意见》（国家电网财[2019]356号）
</t>
  </si>
  <si>
    <t>项目设计变更与审批</t>
  </si>
  <si>
    <t>违规肢解、拆分设计变更，或虚假设计变更、现场签证等，导致工程量不实，施工费结算出现偏差，造成成本增加损失。</t>
  </si>
  <si>
    <r>
      <rPr>
        <b/>
        <sz val="10"/>
        <rFont val="方正仿宋_GBK"/>
        <charset val="134"/>
      </rPr>
      <t>25.结算不准确，多结算工程款：</t>
    </r>
    <r>
      <rPr>
        <sz val="10"/>
        <rFont val="方正仿宋_GBK"/>
        <charset val="134"/>
      </rPr>
      <t xml:space="preserve">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
</t>
    </r>
    <r>
      <rPr>
        <b/>
        <sz val="10"/>
        <rFont val="方正仿宋_GBK"/>
        <charset val="134"/>
      </rPr>
      <t>29.工程变更管理不规范：</t>
    </r>
    <r>
      <rPr>
        <sz val="10"/>
        <rFont val="方正仿宋_GBK"/>
        <charset val="134"/>
      </rPr>
      <t>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t>
    </r>
  </si>
  <si>
    <t>15.设计变更与现场签证真实性审核控制</t>
  </si>
  <si>
    <t>设计变更、现场签证与现场工程量一致。</t>
  </si>
  <si>
    <t>电网基建业务-15.设计变更与现场签证真实性审核控制-控制措施01</t>
  </si>
  <si>
    <r>
      <rPr>
        <strike/>
        <sz val="10"/>
        <rFont val="方正仿宋_GBK"/>
        <charset val="134"/>
      </rPr>
      <t>各级单位建设部门</t>
    </r>
    <r>
      <rPr>
        <sz val="10"/>
        <color rgb="FFFF0000"/>
        <rFont val="方正仿宋_GBK"/>
        <charset val="134"/>
      </rPr>
      <t>建设公司</t>
    </r>
    <r>
      <rPr>
        <sz val="10"/>
        <rFont val="方正仿宋_GBK"/>
        <charset val="134"/>
      </rPr>
      <t>建立“谁鉴证谁负责”查勘机制，</t>
    </r>
    <r>
      <rPr>
        <strike/>
        <sz val="10"/>
        <rFont val="方正仿宋_GBK"/>
        <charset val="134"/>
      </rPr>
      <t>各级单位、</t>
    </r>
    <r>
      <rPr>
        <sz val="10"/>
        <color rgb="FFFF0000"/>
        <rFont val="方正仿宋_GBK"/>
        <charset val="134"/>
      </rPr>
      <t>建管单位、设计单位、</t>
    </r>
    <r>
      <rPr>
        <sz val="10"/>
        <rFont val="方正仿宋_GBK"/>
        <charset val="134"/>
      </rPr>
      <t>施工单位、监理单位对现场进行查勘，并对查勘结果负责；</t>
    </r>
  </si>
  <si>
    <r>
      <rPr>
        <strike/>
        <sz val="10"/>
        <rFont val="方正仿宋_GBK"/>
        <charset val="134"/>
      </rPr>
      <t>1.设计及现场变更汇总表。</t>
    </r>
    <r>
      <rPr>
        <sz val="10"/>
        <rFont val="方正仿宋_GBK"/>
        <charset val="134"/>
      </rPr>
      <t xml:space="preserve">
</t>
    </r>
    <r>
      <rPr>
        <sz val="10"/>
        <color rgb="FFFF0000"/>
        <rFont val="方正仿宋_GBK"/>
        <charset val="134"/>
      </rPr>
      <t>2.设计变更审批单；
3.现场签证审批单。</t>
    </r>
  </si>
  <si>
    <r>
      <rPr>
        <strike/>
        <sz val="10"/>
        <rFont val="方正仿宋_GBK"/>
        <charset val="134"/>
      </rPr>
      <t>各级单位-建设部门-项目经理、各级单位-建设部门-审批人员</t>
    </r>
    <r>
      <rPr>
        <sz val="10"/>
        <rFont val="方正仿宋_GBK"/>
        <charset val="134"/>
      </rPr>
      <t xml:space="preserve">
</t>
    </r>
    <r>
      <rPr>
        <sz val="10"/>
        <color rgb="FFFF0000"/>
        <rFont val="方正仿宋_GBK"/>
        <charset val="134"/>
      </rPr>
      <t>建设公司--建管分公司--项目经理、技经中心-技经人员</t>
    </r>
  </si>
  <si>
    <t>《国家电网有限公司输变电工程进度计划管理办法》（国家电网企管〔2019〕426号）第二章第十一条</t>
  </si>
  <si>
    <t>电网基建业务-15.设计变更与现场签证真实性审核控制-控制措施02</t>
  </si>
  <si>
    <r>
      <rPr>
        <strike/>
        <sz val="10"/>
        <rFont val="方正仿宋_GBK"/>
        <charset val="134"/>
      </rPr>
      <t>各级单位建设部门</t>
    </r>
    <r>
      <rPr>
        <sz val="10"/>
        <color rgb="FFFF0000"/>
        <rFont val="方正仿宋_GBK"/>
        <charset val="134"/>
      </rPr>
      <t>建设公司</t>
    </r>
    <r>
      <rPr>
        <sz val="10"/>
        <rFont val="方正仿宋_GBK"/>
        <charset val="134"/>
      </rPr>
      <t>建立“谁审批谁负责”复核机制，</t>
    </r>
    <r>
      <rPr>
        <strike/>
        <sz val="10"/>
        <rFont val="方正仿宋_GBK"/>
        <charset val="134"/>
      </rPr>
      <t>各级单位、</t>
    </r>
    <r>
      <rPr>
        <sz val="10"/>
        <color rgb="FFFF0000"/>
        <rFont val="方正仿宋_GBK"/>
        <charset val="134"/>
      </rPr>
      <t>建管单位、设计单位、</t>
    </r>
    <r>
      <rPr>
        <sz val="10"/>
        <rFont val="方正仿宋_GBK"/>
        <charset val="134"/>
      </rPr>
      <t>施工单位、监理单位对查勘结果进行审批复核；</t>
    </r>
  </si>
  <si>
    <t>1.设计及现场变更汇总表；
2.设计变更审批单；
3.现场签证审批单。</t>
  </si>
  <si>
    <t>电网基建业务-15.设计变更与现场签证真实性审核控制-控制措施03</t>
  </si>
  <si>
    <r>
      <rPr>
        <strike/>
        <sz val="10"/>
        <rFont val="方正仿宋_GBK"/>
        <charset val="134"/>
      </rPr>
      <t>各级单位建设部门</t>
    </r>
    <r>
      <rPr>
        <sz val="10"/>
        <color rgb="FFFF0000"/>
        <rFont val="方正仿宋_GBK"/>
        <charset val="134"/>
      </rPr>
      <t>建设公司建管分公司项目经理、技经中心技经人员</t>
    </r>
    <r>
      <rPr>
        <sz val="10"/>
        <rFont val="方正仿宋_GBK"/>
        <charset val="134"/>
      </rPr>
      <t>严格履行设计变更、</t>
    </r>
    <r>
      <rPr>
        <sz val="10"/>
        <color rgb="FFFF0000"/>
        <rFont val="方正仿宋_GBK"/>
        <charset val="134"/>
      </rPr>
      <t>现场签证</t>
    </r>
    <r>
      <rPr>
        <sz val="10"/>
        <rFont val="方正仿宋_GBK"/>
        <charset val="134"/>
      </rPr>
      <t>分级审批流程权限；</t>
    </r>
  </si>
  <si>
    <r>
      <rPr>
        <sz val="10"/>
        <rFont val="方正仿宋_GBK"/>
        <charset val="134"/>
      </rPr>
      <t>《国家电网有限公司输变电工程进度计划管理办法》（国家电网企管〔2019〕426号）第二章第十一条，</t>
    </r>
    <r>
      <rPr>
        <sz val="10"/>
        <color rgb="FFFF0000"/>
        <rFont val="方正仿宋_GBK"/>
        <charset val="134"/>
      </rPr>
      <t>《国家电网公司输变电工程设计变更与现场签证管理办法》（国网（基建/3）185-2017）第二章</t>
    </r>
  </si>
  <si>
    <t>电网基建业务-15.设计变更与现场签证真实性审核控制-控制措施04</t>
  </si>
  <si>
    <r>
      <rPr>
        <strike/>
        <sz val="10"/>
        <rFont val="方正仿宋_GBK"/>
        <charset val="134"/>
      </rPr>
      <t>各级单位建设部门</t>
    </r>
    <r>
      <rPr>
        <sz val="10"/>
        <color rgb="FFFF0000"/>
        <rFont val="方正仿宋_GBK"/>
        <charset val="134"/>
      </rPr>
      <t>建设公司建管分公司项目经理、技经中心技经人员</t>
    </r>
    <r>
      <rPr>
        <sz val="10"/>
        <rFont val="方正仿宋_GBK"/>
        <charset val="134"/>
      </rPr>
      <t>分析设计变更频次、金额，对设计、施工、监理单位开展评价。</t>
    </r>
  </si>
  <si>
    <r>
      <rPr>
        <strike/>
        <sz val="10"/>
        <rFont val="方正仿宋_GBK"/>
        <charset val="134"/>
      </rPr>
      <t>各级单位-建设部门-项目经理</t>
    </r>
    <r>
      <rPr>
        <sz val="10"/>
        <rFont val="方正仿宋_GBK"/>
        <charset val="134"/>
      </rPr>
      <t xml:space="preserve">
</t>
    </r>
    <r>
      <rPr>
        <sz val="10"/>
        <color rgb="FFFF0000"/>
        <rFont val="方正仿宋_GBK"/>
        <charset val="134"/>
      </rPr>
      <t>建设公司--建管分公司--项目经理、技经中心-技经人员</t>
    </r>
  </si>
  <si>
    <t>物资到货交接</t>
  </si>
  <si>
    <r>
      <rPr>
        <sz val="10"/>
        <rFont val="方正仿宋_GBK"/>
        <charset val="134"/>
      </rPr>
      <t>物资现场到货与物资采购不符，物资短缺、</t>
    </r>
    <r>
      <rPr>
        <sz val="10"/>
        <rFont val="Times New Roman"/>
        <charset val="134"/>
      </rPr>
      <t>​</t>
    </r>
    <r>
      <rPr>
        <sz val="10"/>
        <rFont val="方正仿宋_GBK"/>
        <charset val="134"/>
      </rPr>
      <t>规格错误或质量不达标，需二次采购，导致工程延误、成本增加。</t>
    </r>
  </si>
  <si>
    <r>
      <rPr>
        <b/>
        <sz val="10"/>
        <rFont val="方正仿宋_GBK"/>
        <charset val="134"/>
      </rPr>
      <t>24.项目质量管控不严：</t>
    </r>
    <r>
      <rPr>
        <sz val="10"/>
        <rFont val="方正仿宋_GBK"/>
        <charset val="134"/>
      </rPr>
      <t>存在混凝土检测等乙供材试验不规范、乙供材未经检测即在工程中使用；未按批复规模/施工图/设计要求施工等问题。</t>
    </r>
  </si>
  <si>
    <t>16.物资现场到货与采购一致性控制</t>
  </si>
  <si>
    <t>明确到货交接、现场保管及设备移交全流程责任。</t>
  </si>
  <si>
    <t>电网基建业务-16.物资现场到货与采购一致性控制-控制措施01</t>
  </si>
  <si>
    <r>
      <rPr>
        <sz val="10"/>
        <color rgb="FFFF0000"/>
        <rFont val="方正仿宋_GBK"/>
        <charset val="134"/>
      </rPr>
      <t>物资公司履约管理人员</t>
    </r>
    <r>
      <rPr>
        <strike/>
        <sz val="10"/>
        <rFont val="方正仿宋_GBK"/>
        <charset val="134"/>
      </rPr>
      <t>物资部门</t>
    </r>
    <r>
      <rPr>
        <sz val="10"/>
        <rFont val="方正仿宋_GBK"/>
        <charset val="134"/>
      </rPr>
      <t>建立供应商、建设管理单位项目经理、物资供应人员三方到货交接责任机制，确保物资现场到货与采购合同一致；物资实行“按需领用、实名登记”。</t>
    </r>
  </si>
  <si>
    <t>绿色现代数智供应链平台</t>
  </si>
  <si>
    <t>1.ERP物资货物交接单；
2.经法系统物资合同；
3.项目物资需求单。</t>
  </si>
  <si>
    <t>物资公司-履约管理人员</t>
  </si>
  <si>
    <t>物资到货交接监督场景</t>
  </si>
  <si>
    <t>《国家电网有限公司实物资源管理办法》（国家电网企管〔2022〕235号）第三章</t>
  </si>
  <si>
    <t>国网基建部、国网物资部</t>
  </si>
  <si>
    <t>电网基建业务-16.物资现场到货与采购一致性控制-控制措施02</t>
  </si>
  <si>
    <r>
      <rPr>
        <sz val="10"/>
        <color rgb="FFFF0000"/>
        <rFont val="方正仿宋_GBK"/>
        <charset val="134"/>
      </rPr>
      <t>建设公司建管分公司项目经理</t>
    </r>
    <r>
      <rPr>
        <sz val="10"/>
        <color theme="1"/>
        <rFont val="方正仿宋_GBK"/>
        <charset val="134"/>
      </rPr>
      <t>建立现场物资安全保管责任制，明确设备移交双方责任，依托实物ID赋码实现全流程线上跟踪；无实物ID物资建立线上虚拟台账，定期开展账实核对并留存核对记录；</t>
    </r>
  </si>
  <si>
    <t>1.ERP物资到货交接单；
2.经法系统物资合同；
3.项目物资需求单；
4.入库单；
5.物资结算资料。</t>
  </si>
  <si>
    <t>建设公司--建管分公司--项目经理</t>
  </si>
  <si>
    <t>《国家电网有限公司实物资源管理办法》（国家电网企管〔2022〕235号 ）第三章</t>
  </si>
  <si>
    <t>电网基建业务-16.物资现场到货与采购一致性控制-控制措施03</t>
  </si>
  <si>
    <r>
      <rPr>
        <sz val="10"/>
        <color rgb="FFFF0000"/>
        <rFont val="方正仿宋_GBK"/>
        <charset val="134"/>
      </rPr>
      <t>建设公司建管分公司项目经理</t>
    </r>
    <r>
      <rPr>
        <sz val="10"/>
        <color theme="1"/>
        <rFont val="方正仿宋_GBK"/>
        <charset val="134"/>
      </rPr>
      <t>建立现场物资盘点机制，定期组织开展实物台账一致性核查。落实盘点</t>
    </r>
    <r>
      <rPr>
        <sz val="10"/>
        <rFont val="方正仿宋_GBK"/>
        <charset val="134"/>
      </rPr>
      <t>人与保管人不相容岗位内控要求。</t>
    </r>
  </si>
  <si>
    <t>物资成本确认</t>
  </si>
  <si>
    <t>提前确认项目物资成本，导致项目物资采购成本与现场实际到货不一致，虚增成本费用。</t>
  </si>
  <si>
    <t>17.物资成本报账与现场实物到货一致性控制</t>
  </si>
  <si>
    <t>物资成本报账与现场实际到货一致。</t>
  </si>
  <si>
    <t>电网基建业务-17.物资成本报账与现场实物到货一致性控制-控制措施01</t>
  </si>
  <si>
    <r>
      <rPr>
        <sz val="10"/>
        <color rgb="FFFF0000"/>
        <rFont val="方正仿宋_GBK"/>
        <charset val="134"/>
      </rPr>
      <t>物资公司财务部工程财务人员</t>
    </r>
    <r>
      <rPr>
        <sz val="10"/>
        <rFont val="方正仿宋_GBK"/>
        <charset val="134"/>
      </rPr>
      <t>门对物资报账相关单据合规性、完整性进行复核核验。</t>
    </r>
  </si>
  <si>
    <t>1.物资款支付报审表；
2.出入库单；
3.采购合同；
4.现场验收签收单。</t>
  </si>
  <si>
    <r>
      <rPr>
        <sz val="10"/>
        <color rgb="FFFF0000"/>
        <rFont val="方正仿宋_GBK"/>
        <charset val="134"/>
      </rPr>
      <t>物资公司</t>
    </r>
    <r>
      <rPr>
        <sz val="10"/>
        <rFont val="方正仿宋_GBK"/>
        <charset val="134"/>
      </rPr>
      <t>-财务部门-工程财务人员</t>
    </r>
  </si>
  <si>
    <t>《国家电网有限公司工程财务管理办法》（国家电网企管〔2023〕28号）第二章</t>
  </si>
  <si>
    <t>工程成本核算确认</t>
  </si>
  <si>
    <t>提前确认项目建设成本，导致项目建设成本与工程现场进度不匹配，虚增成本费用。</t>
  </si>
  <si>
    <r>
      <rPr>
        <b/>
        <sz val="10"/>
        <rFont val="方正仿宋_GBK"/>
        <charset val="134"/>
      </rPr>
      <t>23.项目进度计划管控不到位：</t>
    </r>
    <r>
      <rPr>
        <sz val="10"/>
        <rFont val="方正仿宋_GBK"/>
        <charset val="134"/>
      </rPr>
      <t>存在工程开工延迟、未按期完工、未按期投产；工程项目竣工后仍进行施工计划作业；工程项目竣工后仍有物资出库；新能源接网配套项目建设推进不及时等问题。</t>
    </r>
  </si>
  <si>
    <t>18.施工成本报账与现场进度一致性控制</t>
  </si>
  <si>
    <t>施工成本报账与现场进度一致。</t>
  </si>
  <si>
    <t>电网基建业务-18.施工成本报账与现场进度一致性控制-控制措施01</t>
  </si>
  <si>
    <r>
      <rPr>
        <sz val="10"/>
        <color rgb="FFFF0000"/>
        <rFont val="方正仿宋_GBK"/>
        <charset val="134"/>
      </rPr>
      <t>建设公司建管分公司项目经理</t>
    </r>
    <r>
      <rPr>
        <sz val="10"/>
        <rFont val="方正仿宋_GBK"/>
        <charset val="134"/>
      </rPr>
      <t>建立健全项目工程量与报账复核机制：
报账时，提供工程量清单、合同付款单等相关佐证材料，确保现场工作量与报账保持相对一致；
支付工程预付款时，</t>
    </r>
    <r>
      <rPr>
        <sz val="10"/>
        <color rgb="FFFF0000"/>
        <rFont val="方正仿宋_GBK"/>
        <charset val="134"/>
      </rPr>
      <t>技经中心技经人员</t>
    </r>
    <r>
      <rPr>
        <sz val="10"/>
        <rFont val="方正仿宋_GBK"/>
        <charset val="134"/>
      </rPr>
      <t>审核是否开具收据或不征税普通发票，严禁提前确认工程成本；审核进度款时，审核报审表与工程量清单进度一致，检查预付款扣回条款落实情况，按照合同约定在支付进度款时扣回预付款，确保进度款支付进度不超过合同约定。</t>
    </r>
  </si>
  <si>
    <t>1.ERP系统
2.e基建2.0平台
3.智慧共享财务平台</t>
  </si>
  <si>
    <t>1.进度款报审表；
2.工程量清单；
3.发票；
4.合同；
5.里程碑计划月报。</t>
  </si>
  <si>
    <t>电网基建业务-18.施工成本报账与现场进度一致性控制-控制措施02</t>
  </si>
  <si>
    <r>
      <rPr>
        <sz val="10"/>
        <color rgb="FFFF0000"/>
        <rFont val="方正仿宋_GBK"/>
        <charset val="134"/>
      </rPr>
      <t>建设公司财务部工程（核算）财务人员</t>
    </r>
    <r>
      <rPr>
        <sz val="10"/>
        <rFont val="方正仿宋_GBK"/>
        <charset val="134"/>
      </rPr>
      <t>对施工进度成本确认与合同履约台账的合规性进行复核核验，核实付款申请单的发票、合同及付款申请单中开票方、合同签订方与收款方一致性，确认款项支付严格按照合同约定执行。</t>
    </r>
  </si>
  <si>
    <t>1.ERP系统
2.智慧共享财务平台</t>
  </si>
  <si>
    <t>1.进度款报审表；
2.工程量清单；
3.发票；
4.合同。</t>
  </si>
  <si>
    <t>施工成本报账与现场进度一致性监督场景</t>
  </si>
  <si>
    <t>法人管理费列支范围不清晰、开支标准不统一、未严格执行预算，导致费用超支或列支不合规。</t>
  </si>
  <si>
    <t>19.工程成本其他费用控制</t>
  </si>
  <si>
    <t>严格实行法人管理费预算管控，规范费用列支渠道，按照规定的标准及审批流程进行报销，强化法人费结算管理。</t>
  </si>
  <si>
    <t>电网基建业务-19.工程成本其他费用控制-控制措施01</t>
  </si>
  <si>
    <t>法人管理费实行单项管控，所有费用须在经批准的项目概（估）算、年度预算范围内规范列支，前置审核费用报销的预算可用额度、列支范围和单据合规性，严控非生产性支出，确保预算不超支。</t>
  </si>
  <si>
    <t xml:space="preserve">1、概算批复中法人管理费金额
</t>
  </si>
  <si>
    <t>建设公司-财务部-工程（核算）财务岗</t>
  </si>
  <si>
    <t>《国网湖南电力建设部关于进一步规范输变电工程项目法人管理费使用的指导意》（建设〔2021〕36号）</t>
  </si>
  <si>
    <t>会计信息质量不准确：收入、成本确认不及时、不准确。</t>
  </si>
  <si>
    <t>属地费用入账及时性和合规性审核</t>
  </si>
  <si>
    <t>属地费用成本入账及时合规。</t>
  </si>
  <si>
    <t>电网基建业务-19.工程成本其他费用控制-控制措施02</t>
  </si>
  <si>
    <t>严格以概算上线管控属地费用，明晰属地公司、建设公司职责。属地费用按照“谁办理手续、谁使用资金、谁承担责任”的原则，属地公司及时按要求办理费用入账，移交完整佐证材料，严禁超范围列支；</t>
  </si>
  <si>
    <t xml:space="preserve">1.属地费用明细清单；
2.法人账套明细；
</t>
  </si>
  <si>
    <t>建设公司-工程财务岗、前期管理人员；属地公司-建设部-属地管理专责、属地公司-财务部-工程财务岗</t>
  </si>
  <si>
    <t>《国家电网有限公司工程财务管理办法》（国家电网企管〔2023〕28号）第二十七条</t>
  </si>
  <si>
    <t>未及时足额纳税，导致税务机构进行处罚。</t>
  </si>
  <si>
    <t>严格按照税法规定准确识别纳税事项，确保税费计算准确、申报资料完整，按规定期限足额完成纳税申报缴纳。</t>
  </si>
  <si>
    <t>电网基建业务-19.工程成本其他费用控制-控制措施03</t>
  </si>
  <si>
    <t>建设公司财务部门税务管理岗加强工程项目有关的税费双重管控，及时清理缴纳工程项目各项税费。</t>
  </si>
  <si>
    <t>1.纳税申报表；
2.完税凭证。</t>
  </si>
  <si>
    <t>建设公司-财务部-税务管理岗</t>
  </si>
  <si>
    <t>年度</t>
  </si>
  <si>
    <t>全量</t>
  </si>
  <si>
    <t>《国家电网有限公司税务管理办法》（国家电网企管〔202619〕262号）第六章  纳税申报与报告管理</t>
  </si>
  <si>
    <t>项目施工工期管理</t>
  </si>
  <si>
    <t>项目进度计划管控不到位，未按期完工、投产，导致项目经济效益下降，造成资金长期占用。</t>
  </si>
  <si>
    <t>20.长期挂账在建工程清理</t>
  </si>
  <si>
    <t>做好在建工程工期进度管控和价值管理。</t>
  </si>
  <si>
    <t>电网基建业务-20.长期挂账在建工程清理-控制措施01</t>
  </si>
  <si>
    <r>
      <rPr>
        <sz val="10"/>
        <rFont val="方正仿宋_GBK"/>
        <charset val="134"/>
      </rPr>
      <t>建设公司财务部工程财务人员、建管分公司项目经理建立在建工程长期挂账预警机制，按《国网工程财务管理办法》规定，对6个月及以上无支出的在建工程提出停滞预警，对一年以上无支出的在建工程提出核销预警，</t>
    </r>
    <r>
      <rPr>
        <strike/>
        <sz val="10"/>
        <rFont val="方正仿宋_GBK"/>
        <charset val="134"/>
      </rPr>
      <t>并结合区域特点（东北长期封冻期）、项目类型（藏区环境保护）、季节特性（春节、迎峰度夏期间）等</t>
    </r>
    <r>
      <rPr>
        <sz val="10"/>
        <color rgb="FFFF0000"/>
        <rFont val="方正仿宋_GBK"/>
        <charset val="134"/>
      </rPr>
      <t>并结合区域特点季节特性（春节、迎峰度夏度冬、春雨季、防汛期间）等，</t>
    </r>
    <r>
      <rPr>
        <sz val="10"/>
        <rFont val="方正仿宋_GBK"/>
        <charset val="134"/>
      </rPr>
      <t>适当调整停滞预警和核销预警的时间；</t>
    </r>
  </si>
  <si>
    <t>1.近一年项目成本支出明细；
2.在建工程明细。</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</si>
  <si>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建设公司-财务部-工程（核算）财务人员、
建管分公司-项目经理</t>
    </r>
  </si>
  <si>
    <t>电网基建业务-20.长期挂账在建工程清理-控制措施02</t>
  </si>
  <si>
    <t>建设公司建管分公司项目经理对停滞预警及时反馈说明情况，对核销预警进行减值与核销评估并出具意见说明；</t>
  </si>
  <si>
    <t>1.减值与核销评估意见。</t>
  </si>
  <si>
    <r>
      <rPr>
        <strike/>
        <sz val="10"/>
        <rFont val="方正仿宋_GBK"/>
        <charset val="134"/>
      </rPr>
      <t>各级单位-建设部门-项目经理、各级单位-建设部门-审批人员</t>
    </r>
    <r>
      <rPr>
        <sz val="10"/>
        <rFont val="方正仿宋_GBK"/>
        <charset val="134"/>
      </rPr>
      <t xml:space="preserve">
</t>
    </r>
    <r>
      <rPr>
        <sz val="10"/>
        <color rgb="FFFF0000"/>
        <rFont val="方正仿宋_GBK"/>
        <charset val="134"/>
      </rPr>
      <t>建设公司-建管分公司-项目经理</t>
    </r>
  </si>
  <si>
    <t>电网基建业务-20.长期挂账在建工程清理-控制措施03</t>
  </si>
  <si>
    <t>建设公司建管分公司项目经理结合减值与核销原因，建立减值与核销项目免责与追责机制。</t>
  </si>
  <si>
    <t>《国家电网有限公司工程财务管理办法》（国家电网企管〔2023〕28号）第五章、《国家电网有限公司违规经营投资责任追究实施办法（试行）》（国家电网办〔2019〕32号）第三章</t>
  </si>
  <si>
    <t>四、竣工验收转资</t>
  </si>
  <si>
    <t>项目竣工验收</t>
  </si>
  <si>
    <t>工程未开工、未完工虚假验收，导致项目提前结决算，产生资金支付风险。</t>
  </si>
  <si>
    <r>
      <rPr>
        <b/>
        <sz val="10"/>
        <rFont val="方正仿宋_GBK"/>
        <charset val="134"/>
      </rPr>
      <t>36.工程验收管理不规范：</t>
    </r>
    <r>
      <rPr>
        <sz val="10"/>
        <rFont val="方正仿宋_GBK"/>
        <charset val="134"/>
      </rPr>
      <t>存在未完工提前办理验收；隐蔽工程验收管理不规范；项目竣工验收直接将单位工程质量竣工验收记录作为工程竣工验收报告；项目竣工验收缺少验收报告、设备材料合格证、出厂试验报告等资料等问题。</t>
    </r>
  </si>
  <si>
    <t>21.现场实际工程量与验收报告一致性控制</t>
  </si>
  <si>
    <t>现场实际工程量与验收报告一致。</t>
  </si>
  <si>
    <t>电网基建业务-21.现场实际工程量与验收报告一致性控制-控制措施01</t>
  </si>
  <si>
    <t>建设公司技术质量部、建管分公司项目经理、超高压变电公司运维检修部、超高压输电公司运维检修部门等规范验收流程，严格履行内部交叉验收机制，各级单位、监理单位、施工单位等多方联合开展验收，相互监督制约。</t>
  </si>
  <si>
    <t>1.竣工验收报告；
2.启动带电运行令；
3.业务系统开、竣工信息；
4.合同（含中标通知书）；
5.成本入账时间。</t>
  </si>
  <si>
    <r>
      <rPr>
        <strike/>
        <sz val="10"/>
        <rFont val="方正仿宋_GBK"/>
        <charset val="134"/>
      </rPr>
      <t>各级单位-建设部门-项目经理、各级单位-设备部门-设备资产管理人员</t>
    </r>
    <r>
      <rPr>
        <sz val="10"/>
        <rFont val="方正仿宋_GBK"/>
        <charset val="134"/>
      </rPr>
      <t xml:space="preserve">
</t>
    </r>
    <r>
      <rPr>
        <sz val="10"/>
        <color rgb="FFFF0000"/>
        <rFont val="方正仿宋_GBK"/>
        <charset val="134"/>
      </rPr>
      <t>建设公司-技术质量部-质量专责岗、建管分公司-项目经理、超高压变电公司-运维检修部-生产准备专责、超高压输电公司-运维检修部-生产准备专责</t>
    </r>
  </si>
  <si>
    <t>《国家电网有限公司输变电工程业主项目部管理办法》（国家电网企管〔2019〕296号）第四章</t>
  </si>
  <si>
    <t>项目现场资产盘点</t>
  </si>
  <si>
    <t>资产卡片、设备清单与现场实物不符，导致账、卡、物不一致，造成资产流失。</t>
  </si>
  <si>
    <t>22.竣工资产移交闭环控制</t>
  </si>
  <si>
    <t>资产卡片、设备清单与现场实物一致。</t>
  </si>
  <si>
    <t>电网基建业务-22.竣工资产移交闭环控制-控制措施01</t>
  </si>
  <si>
    <t>建管分公司项目经理、超高压变电公司运维检修部、超高压输电公司运维检修部门等建设部门、设备部门、资产使用保管部门及施工单位多部门联合确认检查实物四码与物资清册一致性，提交现场实物盘点确认清单；</t>
  </si>
  <si>
    <t>1.物资清册；
2.现场盘点清单。</t>
  </si>
  <si>
    <r>
      <rPr>
        <strike/>
        <sz val="10"/>
        <color theme="1"/>
        <rFont val="方正仿宋_GBK"/>
        <charset val="134"/>
      </rPr>
      <t>各级单位-建设部门-项目经理、各级单位-设备部门-设备资产管理人员、各级单位-资产使用保管部门-资产使用保管人员</t>
    </r>
    <r>
      <rPr>
        <sz val="10"/>
        <color theme="1"/>
        <rFont val="方正仿宋_GBK"/>
        <charset val="134"/>
      </rPr>
      <t xml:space="preserve">
</t>
    </r>
    <r>
      <rPr>
        <sz val="10"/>
        <color rgb="FFFF0000"/>
        <rFont val="方正仿宋_GBK"/>
        <charset val="134"/>
      </rPr>
      <t>建设公司-建管分公司-项目经理、
超高压变电公司-运维检修部-生产准备专责、
超高压输电公司-运维检修部-生产准备专责</t>
    </r>
  </si>
  <si>
    <t>《国家电网有限公司电网实物资产管理规定》（国家电网企管〔2019〕429号）第二章第九条、《国家电网有限公司基建项目管理规定》（国家电网企管〔2019〕426号）第二章</t>
  </si>
  <si>
    <t>国网基建部、国网设备部</t>
  </si>
  <si>
    <t>电网基建业务-22.竣工资产移交闭环控制-控制措施02</t>
  </si>
  <si>
    <t>超高压变电公司运维检修部、超高压输电公司运维检修部门设备部门建立资产卡片与设备台账关联一致性复核机制，确保工程项目资产建卡准确、完整。</t>
  </si>
  <si>
    <t>1.PMS3.0系统
2.ERP系统
3.智慧共享财务平台</t>
  </si>
  <si>
    <r>
      <rPr>
        <strike/>
        <sz val="10"/>
        <rFont val="方正仿宋_GBK"/>
        <charset val="134"/>
      </rPr>
      <t>各级单位-设备部门-设备资产管理人员</t>
    </r>
    <r>
      <rPr>
        <sz val="10"/>
        <color rgb="FFFF0000"/>
        <rFont val="方正仿宋_GBK"/>
        <charset val="134"/>
      </rPr>
      <t xml:space="preserve">
超高压变电公司-运维检修部-生产准备专责、
超高压输电公司-运维检修部-生产准备专责</t>
    </r>
  </si>
  <si>
    <t>设备资产台账、卡片一致性监督场景</t>
  </si>
  <si>
    <t>《国家电网有限公司电网实物资产管理规定》（国家电网企管〔2019〕429号）第二章</t>
  </si>
  <si>
    <t>国网设备部</t>
  </si>
  <si>
    <t>工程成本暂估确认</t>
  </si>
  <si>
    <t>暂估成本费用测算不合理，导致工程暂估成本虚增虚减，造成折旧成本数据有误。</t>
  </si>
  <si>
    <t>23.工程成本暂估的真实性、准确性控制</t>
  </si>
  <si>
    <t>暂估工程成本符合工程实际情况，原则上不低于概算数75%。</t>
  </si>
  <si>
    <t>电网基建业务-23.工程成本暂估的真实性、准确性控制-控制措施01</t>
  </si>
  <si>
    <t>建设公司项目经理、技经中心技经人员对暂估后成本低于概算75%或超概算仍进行暂估的，需履行相应审批程序；</t>
  </si>
  <si>
    <t>1.工程项目整体成本入账金额；
2.暂估工程成本明细表。</t>
  </si>
  <si>
    <r>
      <rPr>
        <strike/>
        <sz val="10"/>
        <rFont val="方正仿宋_GBK"/>
        <charset val="134"/>
      </rPr>
      <t>各级单位-建设部门-项目经理、技经人员、各级单位-建设部门-审批人员</t>
    </r>
    <r>
      <rPr>
        <sz val="10"/>
        <rFont val="方正仿宋_GBK"/>
        <charset val="134"/>
      </rPr>
      <t xml:space="preserve">
</t>
    </r>
    <r>
      <rPr>
        <sz val="10"/>
        <color rgb="FFFF0000"/>
        <rFont val="方正仿宋_GBK"/>
        <charset val="134"/>
      </rPr>
      <t>建设公司--建管分公司-项目经理、技经中心-技经人员</t>
    </r>
  </si>
  <si>
    <t>工程成本入账率监督场景</t>
  </si>
  <si>
    <t>《国家电网有限公司工程财务管理办法》（国家电网企管〔2023〕28号）第七章</t>
  </si>
  <si>
    <t>电网基建业务-23.工程成本暂估的真实性、准确性控制-控制措施02</t>
  </si>
  <si>
    <t>建设公司财务部门工程财务人员监督考核应暂估未暂估、虚假暂估的项目。</t>
  </si>
  <si>
    <t>建设公司-财务部门-工程财务人员</t>
  </si>
  <si>
    <t>《国家电网有限公司工程财务管理办法》（国家电网企管〔2023〕28号）第六章</t>
  </si>
  <si>
    <t>工程暂估转资</t>
  </si>
  <si>
    <t>未及时完成暂估转资流程，有效资产及折旧未能及时足额计增，导致成本减少。</t>
  </si>
  <si>
    <t>24.暂估转资节点刚性控制</t>
  </si>
  <si>
    <t>单项工程达到预计使用状态后的30天内完成转资。</t>
  </si>
  <si>
    <t>电网基建业务-24.暂估转资节点刚性控制-控制措施01</t>
  </si>
  <si>
    <t>建设公司建管中心项目经理、建设公司财务部门工程结算与决算财务人员建立暂估时限预警机制，到达预警时点，系统自动向相关岗位推送预警信息，确保及时转资；</t>
  </si>
  <si>
    <t>ERP系统智慧共享财务平台</t>
  </si>
  <si>
    <t>1.系统中工程转资时间；
2.竣工投运资料。</t>
  </si>
  <si>
    <r>
      <rPr>
        <strike/>
        <sz val="10"/>
        <rFont val="方正仿宋_GBK"/>
        <charset val="134"/>
      </rPr>
      <t>各级单位-建设部门-项目经理、各级单位-设备部门-设备资产管理人员、各级单位-财务部门-工程财务人员</t>
    </r>
    <r>
      <rPr>
        <sz val="10"/>
        <rFont val="方正仿宋_GBK"/>
        <charset val="134"/>
      </rPr>
      <t xml:space="preserve">
</t>
    </r>
    <r>
      <rPr>
        <sz val="10"/>
        <color rgb="FFFF0000"/>
        <rFont val="方正仿宋_GBK"/>
        <charset val="134"/>
      </rPr>
      <t>建设公司-建管中心-项目经理、建设公司-财务部门-工程结算与决算财务人员</t>
    </r>
  </si>
  <si>
    <t>暂估转资时效性监督场景</t>
  </si>
  <si>
    <t>电网基建业务-24.暂估转资节点刚性控制-控制措施02</t>
  </si>
  <si>
    <t>建设公司建管中心项目经理业务部门及时提供工程竣工投运报告或投运批准书，以确定投产日。</t>
  </si>
  <si>
    <t>1.系统中工程转资时间；
2.竣工投运资料（竣工投运报告或投运批准书）。</t>
  </si>
  <si>
    <r>
      <rPr>
        <strike/>
        <sz val="10"/>
        <rFont val="方正仿宋_GBK"/>
        <charset val="134"/>
      </rPr>
      <t>各级单位-建设部门-项目经理</t>
    </r>
    <r>
      <rPr>
        <sz val="10"/>
        <rFont val="方正仿宋_GBK"/>
        <charset val="134"/>
      </rPr>
      <t xml:space="preserve">
</t>
    </r>
    <r>
      <rPr>
        <sz val="10"/>
        <color rgb="FFFF0000"/>
        <rFont val="方正仿宋_GBK"/>
        <charset val="134"/>
      </rPr>
      <t>建设公司-项目经理</t>
    </r>
  </si>
  <si>
    <t>电网基建业务-24.暂估转资节点刚性控制-控制措施03</t>
  </si>
  <si>
    <t>建设公司财务部门工程结算与决算财务人员应在投运后30日内暂估转资，并监督考核转资延误的项目。</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</si>
  <si>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建设公司-财务部门-工程结算与决算财务人员</t>
    </r>
  </si>
  <si>
    <t>结余物资管理</t>
  </si>
  <si>
    <t>工程结余物资未及时办理退库手续、移交实物，导致资产流失、账实不符。</t>
  </si>
  <si>
    <r>
      <rPr>
        <b/>
        <sz val="10"/>
        <rFont val="方正仿宋_GBK"/>
        <charset val="134"/>
      </rPr>
      <t>28.工程结余物资未退库：</t>
    </r>
    <r>
      <rPr>
        <sz val="10"/>
        <rFont val="方正仿宋_GBK"/>
        <charset val="134"/>
      </rPr>
      <t>存在应退库结余物资遗失；结余物资多次在ERP系统中领退，实物不交接，造成账实不符；施工单位未足额移交结余物资；甲供物资未足额退库；已竣工且完成结算审核，仍有部分物资未办理退库手续等问题。</t>
    </r>
  </si>
  <si>
    <t>25.已领未用物资退库控制</t>
  </si>
  <si>
    <t>已领未用物资及时办理退库手续及实物移交。</t>
  </si>
  <si>
    <t>电网基建业务-25.已领未用物资退库控制-控制措施01</t>
  </si>
  <si>
    <t>建设公司建管分公司项目经理会同物资部门、设计单位与施工单位核对物资结余情况；</t>
  </si>
  <si>
    <t>1.物资领用清单；
2.物资耗用清单；
3.工程物资退库单；
4.转储申请单。</t>
  </si>
  <si>
    <t>建设公司-建管分公司-项目经理、物资公司-物资结算管理人员</t>
  </si>
  <si>
    <t>《国家电网有限公司基建项目管理规定》（国家电网企管〔2019〕426号）第四章、《国家电网有限公司实物资源管理办法》（国家电网企管〔2022〕235号 ）第三章</t>
  </si>
  <si>
    <t>电网基建业务-25.已领未用物资退库控制-控制措施02</t>
  </si>
  <si>
    <r>
      <rPr>
        <sz val="10"/>
        <rFont val="方正仿宋_GBK"/>
        <charset val="134"/>
      </rPr>
      <t>建设公司财务部门工程结算与决算财务人员比对出库物资、结算审定使用、结余物资退库的明细及数量，复核物资结余退库情况；</t>
    </r>
    <r>
      <rPr>
        <sz val="10"/>
        <color rgb="FFFF0000"/>
        <rFont val="方正仿宋_GBK"/>
        <charset val="134"/>
      </rPr>
      <t xml:space="preserve">
</t>
    </r>
  </si>
  <si>
    <t>1.物资领用清单；
2.物资耗用清单；
3.工程物资核对表。</t>
  </si>
  <si>
    <t>电网基建业务-25.已领未用物资退库控制-控制措施03</t>
  </si>
  <si>
    <t>建设公司建管分公司项目经理建立结余物资损失责任追究机制。</t>
  </si>
  <si>
    <r>
      <rPr>
        <strike/>
        <sz val="10"/>
        <rFont val="方正仿宋_GBK"/>
        <charset val="134"/>
      </rPr>
      <t>各级单位-物资部门-物资管理人员</t>
    </r>
    <r>
      <rPr>
        <sz val="10"/>
        <rFont val="方正仿宋_GBK"/>
        <charset val="134"/>
      </rPr>
      <t xml:space="preserve">
</t>
    </r>
    <r>
      <rPr>
        <sz val="10"/>
        <color rgb="FFFF0000"/>
        <rFont val="方正仿宋_GBK"/>
        <charset val="134"/>
      </rPr>
      <t>建设公司-建管分公司-项目经理</t>
    </r>
  </si>
  <si>
    <t>《国家电网公司输变电工程业主项目部管理办法》（国家电网企管〔2019〕296号）第二章、《国家电网有限公司实物资源管理办法》（国家电网企管〔2022〕235号）第二章、《国家电网有限公司违规经营投资责任追究实施办法（试行）》（国家电网办〔2019〕32号）第三章</t>
  </si>
  <si>
    <t>拆旧物资管理</t>
  </si>
  <si>
    <t>工程拆旧物资未及时、准确办理退库或者报废手续，形成账外资产或“小金库”，造成资产流失。</t>
  </si>
  <si>
    <t>26.拆旧物资处置控制</t>
  </si>
  <si>
    <t>工程拆旧资产及时办理退库手续及实物移交。</t>
  </si>
  <si>
    <t>电网基建业务-26.拆旧物资处置控制-控制措施01</t>
  </si>
  <si>
    <r>
      <rPr>
        <sz val="10"/>
        <color rgb="FFFF0000"/>
        <rFont val="方正仿宋_GBK"/>
        <charset val="134"/>
      </rPr>
      <t>建设公司建管分公司、技经中心、超高压变电公司-运维检修部、超高压输电公司运维检修部</t>
    </r>
    <r>
      <rPr>
        <sz val="10"/>
        <rFont val="方正仿宋_GBK"/>
        <charset val="134"/>
      </rPr>
      <t xml:space="preserve">会同设计单位与施工单位核对拆旧物资情况；
</t>
    </r>
  </si>
  <si>
    <r>
      <rPr>
        <sz val="10"/>
        <rFont val="方正仿宋_GBK"/>
        <charset val="134"/>
      </rPr>
      <t xml:space="preserve">1.拆旧物资退库单；
2.工程拆旧工程量清单；
3.技术鉴定表；
</t>
    </r>
    <r>
      <rPr>
        <strike/>
        <sz val="10"/>
        <rFont val="方正仿宋_GBK"/>
        <charset val="134"/>
      </rPr>
      <t>4.固定资产报废审批表；</t>
    </r>
    <r>
      <rPr>
        <sz val="10"/>
        <rFont val="方正仿宋_GBK"/>
        <charset val="134"/>
      </rPr>
      <t xml:space="preserve">
5.拆旧物资现场清点表；
6.拆旧计划。</t>
    </r>
  </si>
  <si>
    <r>
      <rPr>
        <strike/>
        <sz val="10"/>
        <rFont val="方正仿宋_GBK"/>
        <charset val="134"/>
      </rPr>
      <t>各级单位-建设部门-项目经理、各级单位-设备部门-设备资产管理人员</t>
    </r>
    <r>
      <rPr>
        <sz val="10"/>
        <rFont val="方正仿宋_GBK"/>
        <charset val="134"/>
      </rPr>
      <t xml:space="preserve">
</t>
    </r>
    <r>
      <rPr>
        <sz val="10"/>
        <color rgb="FFFF0000"/>
        <rFont val="方正仿宋_GBK"/>
        <charset val="134"/>
      </rPr>
      <t xml:space="preserve">建设公司-建管分公司-项目经理、
超高压变电公司-运维检修部-实物资产管理专责、超高压输电公司-运维检修部-实物资产管理专责
</t>
    </r>
  </si>
  <si>
    <t>《国家电网有限公司工程财务管理办法》（国家电网企管〔2023〕28号）第二章、《国家电网有限公司报废物资管理办法》（国家电网企管〔2025〕325号）第二章、《国家电网有限公司实物资源管理办法》（国家电网企管〔2022〕235号 ）第二章</t>
  </si>
  <si>
    <t>电网基建业务-26.拆旧物资处置控制-控制措施02</t>
  </si>
  <si>
    <r>
      <rPr>
        <sz val="10"/>
        <color rgb="FFFF0000"/>
        <rFont val="方正仿宋_GBK"/>
        <charset val="134"/>
      </rPr>
      <t>建设公司建管分公司、技经中心、财务部门、超高压变电公司运维检修部、超高压输电公司运维检修部</t>
    </r>
    <r>
      <rPr>
        <sz val="10"/>
        <rFont val="方正仿宋_GBK"/>
        <charset val="134"/>
      </rPr>
      <t xml:space="preserve">复核结算审定拆旧物资量与实际退库数量，对未提交拆除资产回收资料、应拆实交量存在重大偏差且无合理解释的，追究相关岗位责任。
</t>
    </r>
  </si>
  <si>
    <t>1.拆旧物资退库单；
2.工程拆旧工程量清单；
3.技术鉴定表；
4.固定资产报废审批表；
5.拆旧计划。</t>
  </si>
  <si>
    <r>
      <rPr>
        <strike/>
        <sz val="10"/>
        <rFont val="方正仿宋_GBK"/>
        <charset val="134"/>
      </rPr>
      <t>各级单位-物资部门-物资管理人员、各级单位-财务部门-工程财务人员</t>
    </r>
    <r>
      <rPr>
        <sz val="10"/>
        <rFont val="方正仿宋_GBK"/>
        <charset val="134"/>
      </rPr>
      <t xml:space="preserve">
</t>
    </r>
    <r>
      <rPr>
        <sz val="10"/>
        <color rgb="FFFF0000"/>
        <rFont val="方正仿宋_GBK"/>
        <charset val="134"/>
      </rPr>
      <t>建设公司-建管分公司-项目经理、
建设公司-技经中心-技经人员、
建设公司-财务部门-工程结算与决算财务人员；
超高压变电公司-运维检修部-实物资产管理专责、超高压输电公司-运维检修部-实物资产管理专责</t>
    </r>
  </si>
  <si>
    <t>五、结决算管理</t>
  </si>
  <si>
    <t>预留尾工工程审批</t>
  </si>
  <si>
    <t>预留尾工未规范审批管控，导致项目结决算、转资滞后，资产折旧计提延迟，公司成本减少。</t>
  </si>
  <si>
    <t>27.预留尾工时限与规模控制</t>
  </si>
  <si>
    <r>
      <rPr>
        <sz val="10"/>
        <rFont val="方正仿宋_GBK"/>
        <charset val="134"/>
      </rPr>
      <t>预留尾工工程量与建设期严格审批；持续跟踪处置遗留事项。</t>
    </r>
    <r>
      <rPr>
        <sz val="10"/>
        <color rgb="FFFF0000"/>
        <rFont val="方正仿宋_GBK"/>
        <charset val="134"/>
      </rPr>
      <t>明确必须完成的处置总时限，建立超期预警机制，实行“限时办结制”，持续跟踪处置遗留事项并纳入考核。</t>
    </r>
  </si>
  <si>
    <t>电网基建业务-27.预留尾工时限与规模控制-控制措施01</t>
  </si>
  <si>
    <t>建设公司建管分公司项目经理、技经中心技经人员针对尾工工程，工程结算中需明确预留事项、费用列支依据、预计完成时间，并经各二级单位建设部门审批同意（并严格履行分级审批机制）。尾工工程投资原则上不应超过项目批复概算总投资的5%；</t>
  </si>
  <si>
    <t>1.尾工审批单；
2.专项清理备案表。</t>
  </si>
  <si>
    <r>
      <rPr>
        <strike/>
        <sz val="10"/>
        <rFont val="方正仿宋_GBK"/>
        <charset val="134"/>
      </rPr>
      <t>各级单位-建设部门-项目经理、各级单位-建设部门-审批人员</t>
    </r>
    <r>
      <rPr>
        <sz val="10"/>
        <rFont val="方正仿宋_GBK"/>
        <charset val="134"/>
      </rPr>
      <t xml:space="preserve">
</t>
    </r>
    <r>
      <rPr>
        <sz val="10"/>
        <color rgb="FFFF0000"/>
        <rFont val="方正仿宋_GBK"/>
        <charset val="134"/>
      </rPr>
      <t>建设公司-建管分公司-项目经理、技经中心-技经人员</t>
    </r>
  </si>
  <si>
    <r>
      <rPr>
        <sz val="10"/>
        <rFont val="方正仿宋_GBK"/>
        <charset val="134"/>
      </rPr>
      <t xml:space="preserve">《国家电网有限公司输变电工程结算管理办法》（国家电网企管〔2019〕426号）第五章
</t>
    </r>
    <r>
      <rPr>
        <sz val="10"/>
        <color rgb="FFFF0000"/>
        <rFont val="方正仿宋_GBK"/>
        <charset val="134"/>
      </rPr>
      <t>《国家电网有限公司工程财务管理办法》（国网〔财/2〕351-2022号）</t>
    </r>
  </si>
  <si>
    <t>电网基建业务-27.预留尾工时限与规模控制-控制措施02</t>
  </si>
  <si>
    <t>建设公司建管分公司项目经理建立尾工清理机制，对临期项目开展预警，对超期项目追究相关岗位责任；</t>
  </si>
  <si>
    <t>1.尾工审批单；
2.尾工工程竣工结算；
3.专项清理备案表。</t>
  </si>
  <si>
    <t>《国家电网有限公司输变电工程结算管理办法》（国家电网企管〔2019〕426号）第五章</t>
  </si>
  <si>
    <t>电网基建业务-27.预留尾工时限与规模控制-控制措施03</t>
  </si>
  <si>
    <t>建设公司财务部门工程结算与决算财务人员建立尾工结算数据分析机制，加强尾工实际结算成本、概算等数据比对、分析。</t>
  </si>
  <si>
    <t>1.尾工审批单；
2.尾工工程决算报告；
3.专项清理备案表。</t>
  </si>
  <si>
    <t>工程结算编制与审核</t>
  </si>
  <si>
    <t>虚报工程量多结算工程款，导致工程成本不实，公司成本虚增及资金流失。</t>
  </si>
  <si>
    <t>28.工程量真实性、一致性管控</t>
  </si>
  <si>
    <t>工程结算工程量须与实际完工量、合同约定施工范围、变更签证核定内容完全一致，严禁虚增、重复申报工程量。</t>
  </si>
  <si>
    <t>电网基建业务-28.工程量真实性、一致性管控-控制措施01</t>
  </si>
  <si>
    <t>建设公司建管分公司项目经理、技经中心技经人员定期开展项目结算督查，核查施工图、设计变更及现场签证与实际工程量的一致性，对不一致的项目限期整改；</t>
  </si>
  <si>
    <t>1.协议（合同）；
2.结算审核报告。</t>
  </si>
  <si>
    <r>
      <rPr>
        <strike/>
        <sz val="10"/>
        <rFont val="方正仿宋_GBK"/>
        <charset val="134"/>
      </rPr>
      <t>各级单位-建设部门-技经人员、项目经理</t>
    </r>
    <r>
      <rPr>
        <sz val="10"/>
        <rFont val="方正仿宋_GBK"/>
        <charset val="134"/>
      </rPr>
      <t xml:space="preserve">
</t>
    </r>
    <r>
      <rPr>
        <sz val="10"/>
        <color rgb="FFFF0000"/>
        <rFont val="方正仿宋_GBK"/>
        <charset val="134"/>
      </rPr>
      <t>建设公司-建管分公司-项目经理、技经中心-技经人员</t>
    </r>
  </si>
  <si>
    <t>电网基建业务-28.工程量真实性、一致性管控-控制措施02</t>
  </si>
  <si>
    <t>建设公司建管分公司项目经理、技经中心技经人员定期对结算督查结果开展评价，将性质恶劣、频次较高、金额较大的施工单位及监理单位纳入黑名单。</t>
  </si>
  <si>
    <r>
      <rPr>
        <strike/>
        <sz val="10"/>
        <rFont val="方正仿宋_GBK"/>
        <charset val="134"/>
      </rPr>
      <t>各级单位-建设部门-项目经理、技经人员</t>
    </r>
    <r>
      <rPr>
        <sz val="10"/>
        <rFont val="方正仿宋_GBK"/>
        <charset val="134"/>
      </rPr>
      <t xml:space="preserve">
</t>
    </r>
    <r>
      <rPr>
        <sz val="10"/>
        <color rgb="FFFF0000"/>
        <rFont val="方正仿宋_GBK"/>
        <charset val="134"/>
      </rPr>
      <t>建设公司-建管分公司-项目经理、技经中心-技经人员</t>
    </r>
  </si>
  <si>
    <t>违反合同计价规则结算，导致工程结算金额有误，造成公司成本核算不实，产生资金支付风险。</t>
  </si>
  <si>
    <r>
      <rPr>
        <b/>
        <sz val="10"/>
        <rFont val="方正仿宋_GBK"/>
        <charset val="134"/>
      </rPr>
      <t>26.违反合同原则，计价规则结算：</t>
    </r>
    <r>
      <rPr>
        <sz val="10"/>
        <rFont val="方正仿宋_GBK"/>
        <charset val="134"/>
      </rPr>
      <t>存在用户工程全部外包，未按单项核算，合同收支管控台账不完整，项目总体盈利不明朗，存在资金少收多支风险；支付的劳务费与工程建设无关，不属于工程其他费用列支范围；安全文明施工费结算不合规；劳务考勤与实际不符、劳务分包项目考勤人员与分包人员花名册不一致；结算审核不严谨；未按照合同约定对服务进行考核等问题。</t>
    </r>
  </si>
  <si>
    <t>29.合同计价的合规性控制</t>
  </si>
  <si>
    <t>严格遵循合同约定的计价规则、费率标准及工程量计算口径，严禁擅自调整计价依据。</t>
  </si>
  <si>
    <t>电网基建业务-29.合同计价的合规性控制-控制措施01</t>
  </si>
  <si>
    <t>建设公司技经中心技经人员核查结算数据与合同条款、变更签证等原始资料的一致性；</t>
  </si>
  <si>
    <t>《国家电网有限公司输变电工程结算管理办法》（国家电网企管〔2019〕426号）第三章</t>
  </si>
  <si>
    <t>电网基建业务-29.合同计价的合规性控制-控制措施02</t>
  </si>
  <si>
    <t>建设公司技经中心技经人员门核查计价规则的执行情况，对违规结算项目责令整改并追溯责任。</t>
  </si>
  <si>
    <t>竣工结算不及时，导致工程成本确认滞后。</t>
  </si>
  <si>
    <r>
      <rPr>
        <b/>
        <sz val="10"/>
        <rFont val="方正仿宋_GBK"/>
        <charset val="134"/>
      </rPr>
      <t>27.提前或滞后办理竣工结算：</t>
    </r>
    <r>
      <rPr>
        <sz val="10"/>
        <rFont val="方正仿宋_GBK"/>
        <charset val="134"/>
      </rPr>
      <t>存在工程项目未实施/未完工/未验收提前结算；结算不及时等问题。</t>
    </r>
  </si>
  <si>
    <t>30.项目结算时效管控</t>
  </si>
  <si>
    <t>按照规定时限完成工程结算及结算资料移交。</t>
  </si>
  <si>
    <t>电网基建业务-30.项目结算时效管控-控制措施01</t>
  </si>
  <si>
    <t>建设公司技经中心技经人员制定结算资料清单，确保结算资料送审符合要求；</t>
  </si>
  <si>
    <t>《国家电网有限公司输变电工程结算管理办法》（国家电网企管〔2019〕426号）第四章</t>
  </si>
  <si>
    <t>电网基建业务-30.项目结算时效管控-控制措施02</t>
  </si>
  <si>
    <t>建设公司技经中心技经人员督促施工单位及时报送、确认已完工程量及对应资料，避免竣工后集中补资料；</t>
  </si>
  <si>
    <r>
      <rPr>
        <strike/>
        <sz val="10"/>
        <rFont val="方正仿宋_GBK"/>
        <charset val="134"/>
      </rPr>
      <t>各级单位-建设部门-项目经理</t>
    </r>
    <r>
      <rPr>
        <sz val="10"/>
        <rFont val="方正仿宋_GBK"/>
        <charset val="134"/>
      </rPr>
      <t xml:space="preserve">
</t>
    </r>
    <r>
      <rPr>
        <sz val="10"/>
        <color rgb="FFFF0000"/>
        <rFont val="方正仿宋_GBK"/>
        <charset val="134"/>
      </rPr>
      <t>建设公司-技经中心-技经人员</t>
    </r>
  </si>
  <si>
    <t>电网基建业务-30.项目结算时效管控-控制措施03</t>
  </si>
  <si>
    <t>建设公司建管分公司项目经理、技经中心技经人员启动资料预核查，督促施工单位及时补齐缺失要件；</t>
  </si>
  <si>
    <t>电网基建业务-30.项目结算时效管控-控制措施04</t>
  </si>
  <si>
    <t>建设公司建管分公司项目经理、技经中心技经人员监督考核结算不及时的项目。</t>
  </si>
  <si>
    <t>工程结算规范监督场景</t>
  </si>
  <si>
    <t>《国家电网有限公司输变电工程结算管理办法》（国家电网企管〔2019〕426号）第七章</t>
  </si>
  <si>
    <t>工程质保金支付</t>
  </si>
  <si>
    <t>质保金支付与合同约定不一致，引发资金支付风险。</t>
  </si>
  <si>
    <t>31.工程质保金支付合规性控制</t>
  </si>
  <si>
    <t>根据合同约定预留质保金，具备支付条件后及时支付。</t>
  </si>
  <si>
    <t>电网基建业务-31.工程质保金支付合规性控制-控制措施01</t>
  </si>
  <si>
    <t>建设公司建管项目分公司工程合同及投标管理人员确保在合同条款中不得限定仅使用现金质保金；</t>
  </si>
  <si>
    <t>1.协议（合同）；
2.保函或保险。</t>
  </si>
  <si>
    <r>
      <rPr>
        <strike/>
        <sz val="10"/>
        <rFont val="方正仿宋_GBK"/>
        <charset val="134"/>
      </rPr>
      <t>各级单位-建设部门-计划人员</t>
    </r>
    <r>
      <rPr>
        <sz val="10"/>
        <rFont val="方正仿宋_GBK"/>
        <charset val="134"/>
      </rPr>
      <t xml:space="preserve">
</t>
    </r>
    <r>
      <rPr>
        <sz val="10"/>
        <color rgb="FFFF0000"/>
        <rFont val="方正仿宋_GBK"/>
        <charset val="134"/>
      </rPr>
      <t>建设公司-建管项目分公司-工程合同及投标管理人员</t>
    </r>
  </si>
  <si>
    <t>电网基建业务-31.工程质保金支付合规性控制-控制措施02</t>
  </si>
  <si>
    <t>建设公司财务部门工程（核算）财务人员审核费用报账时，严格比照合同支付条款，确保保函、保险保证等质保金能够覆盖权益期间；</t>
  </si>
  <si>
    <t>1.智慧共享财务平台
2.数字化法治企业建设平台</t>
  </si>
  <si>
    <t>1.协议（合同）；
2.系统中项目竣工时间；
3.保函或保险。</t>
  </si>
  <si>
    <t>电网基建业务-31.工程质保金支付合规性控制-控制措施03</t>
  </si>
  <si>
    <t>建设公司建管分公司项目经理、技经中心技经人员对质量保证期届满且无争议的现金质保金，及时办理支付手续；</t>
  </si>
  <si>
    <t>1.协议（合同）；
2.系统中质保金支付时间；
3.系统中项目竣工时间；
4.质量保证金返还意见书；
5.保函或保险。</t>
  </si>
  <si>
    <r>
      <rPr>
        <strike/>
        <sz val="10"/>
        <rFont val="方正仿宋_GBK"/>
        <charset val="134"/>
      </rPr>
      <t>各级单位-建设部门-项目经理、各级单位-建设部门-计划人员</t>
    </r>
    <r>
      <rPr>
        <sz val="10"/>
        <rFont val="方正仿宋_GBK"/>
        <charset val="134"/>
      </rPr>
      <t xml:space="preserve">
</t>
    </r>
    <r>
      <rPr>
        <sz val="10"/>
        <color rgb="FFFF0000"/>
        <rFont val="方正仿宋_GBK"/>
        <charset val="134"/>
      </rPr>
      <t>建设公司-建管分公司-项目经理、技经中心-技经人员</t>
    </r>
  </si>
  <si>
    <t>电网基建业务-31.工程质保金支付合规性控制-控制措施04</t>
  </si>
  <si>
    <t>建设公司财务部门工程（核算）财务人员做好保险、保函台账管理及验真工作；</t>
  </si>
  <si>
    <t>电网基建业务-31.工程质保金支付合规性控制-控制措施05</t>
  </si>
  <si>
    <t>建设公司财务部门工程（核算）财务人员定期开展往来清理，确保到期质保金应清尽清，对新增逾期未支付的无争议质保金，追究相关岗位责任。</t>
  </si>
  <si>
    <t>工程竣工决算报告编制与审核</t>
  </si>
  <si>
    <t>工程竣工决算报告编制不及时，导致正式转资滞后，折旧计提不准确。</t>
  </si>
  <si>
    <t>32.工程竣工决算报告编制时效性管控</t>
  </si>
  <si>
    <t>在规定时限内完成竣工决算报告编制。</t>
  </si>
  <si>
    <t>电网基建业务-32.工程竣工决算报告编制时效性管控-控制措施01</t>
  </si>
  <si>
    <t>建设公司财务部门工程结算与决算财务人员建立决算时限预警机制，到达预警时点，系统自动向相关岗位推送预警信息；</t>
  </si>
  <si>
    <t>1.中台系统中工程竣工决算报告完成时间；
2.业务系统中工程项目竣工时间。</t>
  </si>
  <si>
    <r>
      <rPr>
        <strike/>
        <sz val="10"/>
        <rFont val="方正仿宋_GBK"/>
        <charset val="134"/>
      </rPr>
      <t>各级单位-财务部门-工程管理人员</t>
    </r>
    <r>
      <rPr>
        <sz val="10"/>
        <rFont val="方正仿宋_GBK"/>
        <charset val="134"/>
      </rPr>
      <t xml:space="preserve">
</t>
    </r>
    <r>
      <rPr>
        <sz val="10"/>
        <color rgb="FFFF0000"/>
        <rFont val="方正仿宋_GBK"/>
        <charset val="134"/>
      </rPr>
      <t>建设公司-财务部门-工程结算与决算财务人员</t>
    </r>
  </si>
  <si>
    <t>工程竣工决算报告编制时效性监督场景</t>
  </si>
  <si>
    <t>电网基建业务-32.工程竣工决算报告编制时效性管控-控制措施02</t>
  </si>
  <si>
    <t>建设公司财务部门工程结算与决算财务人员监督考核决算延误的项目。</t>
  </si>
  <si>
    <t>ERP系统
2.智慧共享财务平台</t>
  </si>
  <si>
    <t>工程竣工决算报告未履行分级审核审批管理，导致项目成本确认不准确。</t>
  </si>
  <si>
    <t>33.工程竣工决算分级审核控制</t>
  </si>
  <si>
    <t>严格分级审核审批，确保竣工决算金额准确。</t>
  </si>
  <si>
    <t>电网基建业务-33.工程竣工决算分级审核控制-控制措施01</t>
  </si>
  <si>
    <t>建设公司财务部门工程结算与决算财务人员执行分级审批标准化流程，流转完成后自动更新项目决算状态；</t>
  </si>
  <si>
    <t>1.竣工决算审核报告；
2.分级审核审批系统记录。</t>
  </si>
  <si>
    <r>
      <rPr>
        <strike/>
        <sz val="10"/>
        <rFont val="方正仿宋_GBK"/>
        <charset val="134"/>
      </rPr>
      <t>各级单位-财务部门-工程管理人员、各级单位-财务部门-审批人员</t>
    </r>
    <r>
      <rPr>
        <sz val="10"/>
        <rFont val="方正仿宋_GBK"/>
        <charset val="134"/>
      </rPr>
      <t xml:space="preserve">
</t>
    </r>
    <r>
      <rPr>
        <sz val="10"/>
        <color rgb="FFFF0000"/>
        <rFont val="方正仿宋_GBK"/>
        <charset val="134"/>
      </rPr>
      <t>建设公司-财务部门-工程结算与决算财务人员</t>
    </r>
  </si>
  <si>
    <t>工程决算分级审核审批管理监督场景</t>
  </si>
  <si>
    <t>电网基建业务-33.工程竣工决算分级审核控制-控制措施02</t>
  </si>
  <si>
    <t>建设公司财务部门工程结算与决算财务人员建立电子台账，由系统自动记录审核审批全流程操作痕迹，包括经办人、审核意见、审批时间等，支持审计追溯；</t>
  </si>
  <si>
    <t>1.分级审核审批系统记录。</t>
  </si>
  <si>
    <t>电网基建业务-33.工程竣工决算分级审核控制-控制措施03</t>
  </si>
  <si>
    <t>建设公司财务部门工程结算与决算财务人员对竣工决算金额与项目成本进行复核，确保二者一致。</t>
  </si>
  <si>
    <t>1.竣工决算审核报告；
2.项目成本支出明细账。</t>
  </si>
  <si>
    <t>投后管理</t>
  </si>
  <si>
    <t>投资项目后评价不及时、不规范，导致项目效益未充分发挥，存在投资风险。</t>
  </si>
  <si>
    <t>34.工程投后管理</t>
  </si>
  <si>
    <t>及时、规范开展工程后评价工作。</t>
  </si>
  <si>
    <t>电网基建业务-34.工程投后管理-控制措施01</t>
  </si>
  <si>
    <t>省公司发展部门投资管理人员归口管理公司固定资产投资项目后评价工作，负责制订项目后评价分析方法和指标体系，组织开展工程后评价报告编制、评审和验收工作；</t>
  </si>
  <si>
    <t>1.后评价报告。</t>
  </si>
  <si>
    <t>《国家电网有限公司投资管理规定》（国家电网企管〔2019〕425号）第七章</t>
  </si>
  <si>
    <t>电网基建业务-34.工程投后管理-控制措施02</t>
  </si>
  <si>
    <t>省公司发展部门投资管理人员按照专业分工，负责本专业固定资产投资项目后评价工作；</t>
  </si>
  <si>
    <t>2.后评价报告。</t>
  </si>
  <si>
    <t>电网基建业务-34.工程投后管理-控制措施03</t>
  </si>
  <si>
    <t>省公司发展部门投资管理人员组织开展本单位项目后评价，配合公司总部开展重大项目和重点专项工程后评价；</t>
  </si>
  <si>
    <t>3.后评价报告。</t>
  </si>
  <si>
    <t>电网基建业务-34.工程投后管理-控制措施04</t>
  </si>
  <si>
    <t>省公司发展部门投资管理人员结合项目运营情况，及时对风险隐患和整改措施进行总结，健全完善投资风险管理体系，提高抗风险能力。</t>
  </si>
  <si>
    <t>4.后评价报告。</t>
  </si>
  <si>
    <t>审核</t>
  </si>
  <si>
    <t>建设公司管理部门</t>
  </si>
  <si>
    <t>修改建议</t>
  </si>
  <si>
    <t>各级单位建立项目投资负面清单，项目管理部门人员全面审查项目政策合规性、地方政府信用等级、项目资金来源等，不得投资国家或地方政府限制类项目；</t>
  </si>
  <si>
    <r>
      <rPr>
        <strike/>
        <sz val="10"/>
        <rFont val="方正仿宋_GBK"/>
        <charset val="134"/>
      </rPr>
      <t xml:space="preserve">各级单位-发展部门-投资管理人员
</t>
    </r>
    <r>
      <rPr>
        <sz val="10"/>
        <color rgb="FFFF0000"/>
        <rFont val="方正仿宋_GBK"/>
        <charset val="134"/>
      </rPr>
      <t>省公司-发展部门-投资管理人员</t>
    </r>
  </si>
  <si>
    <t>省公司发展部审核</t>
  </si>
  <si>
    <t>省公司</t>
  </si>
  <si>
    <t>修改责任主体</t>
  </si>
  <si>
    <t>计划经营部</t>
  </si>
  <si>
    <t>各级单位发展部门负责确认可研估算采用行业定额标准；</t>
  </si>
  <si>
    <r>
      <rPr>
        <strike/>
        <sz val="10"/>
        <rFont val="方正仿宋_GBK"/>
        <charset val="134"/>
      </rPr>
      <t>各级单位-发展部门-可研核准管理人员</t>
    </r>
    <r>
      <rPr>
        <sz val="10"/>
        <rFont val="方正仿宋_GBK"/>
        <charset val="134"/>
      </rPr>
      <t xml:space="preserve">
</t>
    </r>
    <r>
      <rPr>
        <sz val="10"/>
        <color rgb="FFFF0000"/>
        <rFont val="方正仿宋_GBK"/>
        <charset val="134"/>
      </rPr>
      <t>省公司-发展部门-可研核准管理人员</t>
    </r>
  </si>
  <si>
    <t>各级单位经研院、所审核可研估算的量、价，确保行业标准“应采尽采”；</t>
  </si>
  <si>
    <r>
      <rPr>
        <strike/>
        <sz val="10"/>
        <rFont val="方正仿宋_GBK"/>
        <charset val="134"/>
      </rPr>
      <t>各级单位-经研院、所-技经人员</t>
    </r>
    <r>
      <rPr>
        <sz val="10"/>
        <rFont val="方正仿宋_GBK"/>
        <charset val="134"/>
      </rPr>
      <t xml:space="preserve">
</t>
    </r>
    <r>
      <rPr>
        <sz val="10"/>
        <color rgb="FFFF0000"/>
        <rFont val="方正仿宋_GBK"/>
        <charset val="134"/>
      </rPr>
      <t>省公司-发展部门-经研院-技经人员</t>
    </r>
  </si>
  <si>
    <r>
      <rPr>
        <strike/>
        <sz val="10"/>
        <rFont val="方正仿宋_GBK"/>
        <charset val="134"/>
      </rPr>
      <t>各级单位-发展部门-可研核准管理人员、各级单位-建设部门-计划人员、各级单位-财务部门-工程管理人员</t>
    </r>
    <r>
      <rPr>
        <sz val="10"/>
        <rFont val="方正仿宋_GBK"/>
        <charset val="134"/>
      </rPr>
      <t xml:space="preserve">
</t>
    </r>
    <r>
      <rPr>
        <sz val="10"/>
        <color rgb="FFFF0000"/>
        <rFont val="方正仿宋_GBK"/>
        <charset val="134"/>
      </rPr>
      <t>省公司-发展部门-可研核准管理人员、省公司-建设部门-技经、省公司-财务部门-工程财务人员
建设公司-财务部门-工程结算与决算管理人员</t>
    </r>
  </si>
  <si>
    <t>省公司建设/发展/财务部审核</t>
  </si>
  <si>
    <t>前期中心</t>
  </si>
  <si>
    <t>责任主体增加建设公司-财务部门-工程财务人员；决算数据也需要建设公司配合</t>
  </si>
  <si>
    <t>各级单位发展部门建立可研经济性评审、财务合规性审核流程，落实评审与校核责任；</t>
  </si>
  <si>
    <r>
      <rPr>
        <strike/>
        <sz val="10"/>
        <rFont val="方正仿宋_GBK"/>
        <charset val="134"/>
      </rPr>
      <t>各级单位-发展部门-可研核准管理人员、各级单位-经研院、所-技经人员</t>
    </r>
    <r>
      <rPr>
        <sz val="10"/>
        <rFont val="方正仿宋_GBK"/>
        <charset val="134"/>
      </rPr>
      <t xml:space="preserve">
</t>
    </r>
    <r>
      <rPr>
        <sz val="10"/>
        <color rgb="FFFF0000"/>
        <rFont val="方正仿宋_GBK"/>
        <charset val="134"/>
      </rPr>
      <t>省公司-发展部门-可研核准管理人员、各级单位-经研院、所-技经人员</t>
    </r>
  </si>
  <si>
    <t>省公司财务部审核</t>
  </si>
  <si>
    <t>新增了造价的要求</t>
  </si>
  <si>
    <t>修改控制措施，修改责任主体</t>
  </si>
  <si>
    <t>各级单位发展部门强化项目立项管理。</t>
  </si>
  <si>
    <t>各级单位财务部门参与前期费用计划审核，复核前期工作内容，范围内的项目纳入年度财务预算，超范围项目不允许立项；</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</si>
  <si>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省公司-财务部门-工程财务人员；建设公司-财务资产部-工程（前期）财务人员</t>
    </r>
  </si>
  <si>
    <t>各级单位财务部门对前期费用报账的一致性、合规性进行会计监督，审核前期费用报账内容是否与前期费用立项范围一致，超规模列支不允许报账及支付。</t>
  </si>
  <si>
    <t>/</t>
  </si>
  <si>
    <t>各级单位财务部门建立挂账超2年的前期费用项目预警机制；</t>
  </si>
  <si>
    <r>
      <rPr>
        <strike/>
        <sz val="10"/>
        <rFont val="方正仿宋_GBK"/>
        <charset val="134"/>
      </rPr>
      <t>各级单位-发展部门-前期规划人员</t>
    </r>
    <r>
      <rPr>
        <sz val="10"/>
        <rFont val="方正仿宋_GBK"/>
        <charset val="134"/>
      </rPr>
      <t xml:space="preserve">
</t>
    </r>
    <r>
      <rPr>
        <sz val="10"/>
        <color rgb="FFFF0000"/>
        <rFont val="方正仿宋_GBK"/>
        <charset val="134"/>
      </rPr>
      <t>各级单位-发展部门-前期规划人员-财务部门-工程财务人员；建设公司-前期管理中心-前期项目管理人员、计划经营部-综合计划人员、财务资产部-工程（前期）财务人员</t>
    </r>
  </si>
  <si>
    <t>省公司发展部/财务部审核</t>
  </si>
  <si>
    <t>各级单位发展部门负责将经可研评审后的项目纳入储备库；未获可研评审意见提前入库项目，建立“谁立项谁负责”机制，履行分级审批流程；</t>
  </si>
  <si>
    <r>
      <rPr>
        <strike/>
        <sz val="10"/>
        <rFont val="方正仿宋_GBK"/>
        <charset val="134"/>
      </rPr>
      <t xml:space="preserve">各级单位-发展部门-计划管理人员
</t>
    </r>
    <r>
      <rPr>
        <sz val="10"/>
        <color rgb="FFFF0000"/>
        <rFont val="方正仿宋_GBK"/>
        <charset val="134"/>
      </rPr>
      <t>省公司-发展部门-计划管理人员</t>
    </r>
  </si>
  <si>
    <r>
      <rPr>
        <strike/>
        <sz val="10"/>
        <rFont val="方正仿宋_GBK"/>
        <charset val="134"/>
      </rPr>
      <t>各级单位</t>
    </r>
    <r>
      <rPr>
        <sz val="10"/>
        <color rgb="FFFF0000"/>
        <rFont val="方正仿宋_GBK"/>
        <charset val="134"/>
      </rPr>
      <t>省公司</t>
    </r>
    <r>
      <rPr>
        <sz val="10"/>
        <rFont val="方正仿宋_GBK"/>
        <charset val="134"/>
      </rPr>
      <t xml:space="preserve">财务部门负责项目储备立项金额复核，建立投资计划与财务预算的复核机制，确保项目“有计划、有预算、有支出”。
</t>
    </r>
    <r>
      <rPr>
        <sz val="10"/>
        <color rgb="FFFF0000"/>
        <rFont val="方正仿宋_GBK"/>
        <charset val="134"/>
      </rPr>
      <t>建设公司计划经营部建立投资计划与财务预算的复核机制，确保项目“有计划、有预算、有支出”。</t>
    </r>
  </si>
  <si>
    <t>责任主体增加建设公司-财务部门-工程（预算）财务人员；省公司财务部根据单位规模下达总预算，将预算分解至具体项目、项目的实际预算管控和核对是建设公司财务人员职责。</t>
  </si>
  <si>
    <t>各级单位经研院、所建立“谁评审谁负责”机制，对初步设计概算的准确性、人材机费用标准合理性进行评审；</t>
  </si>
  <si>
    <t>省公司建设部审核</t>
  </si>
  <si>
    <t>各级单位建设部门比对估算与概算的合理性，开展监督评价；</t>
  </si>
  <si>
    <t>技经</t>
  </si>
  <si>
    <r>
      <rPr>
        <sz val="10"/>
        <rFont val="方正仿宋_GBK"/>
        <charset val="134"/>
      </rPr>
      <t>需调整概算时，各级单位建设部门严格履行项目概算调整审批流程。</t>
    </r>
    <r>
      <rPr>
        <sz val="10"/>
        <color rgb="FFFF0000"/>
        <rFont val="方正仿宋_GBK"/>
        <charset val="134"/>
      </rPr>
      <t>加强初设审查，逐项核验工程量、设备选型、材料规格。</t>
    </r>
  </si>
  <si>
    <r>
      <rPr>
        <strike/>
        <sz val="10"/>
        <rFont val="方正仿宋_GBK"/>
        <charset val="134"/>
      </rPr>
      <t>各级单位-建设部门-技经人员</t>
    </r>
    <r>
      <rPr>
        <sz val="10"/>
        <rFont val="方正仿宋_GBK"/>
        <charset val="134"/>
      </rPr>
      <t xml:space="preserve">
</t>
    </r>
    <r>
      <rPr>
        <sz val="10"/>
        <color rgb="FFFF0000"/>
        <rFont val="方正仿宋_GBK"/>
        <charset val="134"/>
      </rPr>
      <t>省公司-建设部门-技经人员；
省公司-财务部门-工程财务人员；
建设公司-建管分公司-项目经理、技经中心--技经人员、前期中心-前期管理人员、
建设公司-财务部-工程（预算）财务人员</t>
    </r>
  </si>
  <si>
    <t>责任主体为建设公司-财务部门-工程（预算）财务人员；将预算分解至具体项目、设置内控系数、项目的实际预算管控和核对是建设公司财务人员职责。</t>
  </si>
  <si>
    <t>各级单位财务部门复核预算与计划是否保持相对一致，年度实际财务支出控制在预算范围内。对执行项目与申报项目一致性开展校验，确保项目“有计划、有预算、有支出”。</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</si>
  <si>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省公司-财务部门-工程财务人员；建设公司-财务资产部-工程（预算）财务人员</t>
    </r>
  </si>
  <si>
    <t>9.施工合同合规性、时效性控制</t>
  </si>
  <si>
    <t>电网基建业务-9.施工合同合规性、时效性控制-控制措施01</t>
  </si>
  <si>
    <t>各级单位建设部门按招标结果按时签订合同（自中标通知书发出之日起三十日内），合同签订严格执行授权程序，不得越权签署不当合同。对经审批生效的合同，在数字化法治企业建设平台结构化注册，推送财务系统，确保付款条款清晰，强化履约过程管理；</t>
  </si>
  <si>
    <t>电网基建业务-9.施工合同合规性、时效性控制-控制措施02</t>
  </si>
  <si>
    <t>各级单位法律部门对合同条款合规性进行复核；</t>
  </si>
  <si>
    <t>综合部</t>
  </si>
  <si>
    <t>电网基建业务-9.施工合同合规性、时效性控制-控制措施03</t>
  </si>
  <si>
    <t>各级单位财务部门对合同付款条件进行复核；</t>
  </si>
  <si>
    <t>电网基建业务-9.施工合同合规性、时效性控制-控制措施04</t>
  </si>
  <si>
    <r>
      <rPr>
        <sz val="10"/>
        <rFont val="方正仿宋_GBK"/>
        <charset val="134"/>
      </rPr>
      <t>各级单位</t>
    </r>
    <r>
      <rPr>
        <strike/>
        <sz val="10"/>
        <rFont val="方正仿宋_GBK"/>
        <charset val="134"/>
      </rPr>
      <t>物资部门</t>
    </r>
    <r>
      <rPr>
        <sz val="10"/>
        <color rgb="FFFF0000"/>
        <rFont val="方正仿宋_GBK"/>
        <charset val="134"/>
      </rPr>
      <t>建设部门</t>
    </r>
    <r>
      <rPr>
        <sz val="10"/>
        <rFont val="方正仿宋_GBK"/>
        <charset val="134"/>
      </rPr>
      <t>对合同条款与合同招标文件进行复核。</t>
    </r>
  </si>
  <si>
    <t>建管</t>
  </si>
  <si>
    <t>10.对系统内总包单位转分包行为控制</t>
  </si>
  <si>
    <t>电网基建业务-10.对系统内总包单位转分包行为控制-控制措施01</t>
  </si>
  <si>
    <t>各级单位建设部门完善项目穿透机制，推行施工总包项目单项管理，确保建设单位项目与施工总包项目一一对应。严格执行分包审批备案，重点核查分包审批程序合规性，杜绝未经建设单位审批即分包的违规情形。</t>
  </si>
  <si>
    <t>电网基建业务-10.对系统内总包单位转分包行为控制-控制措施02</t>
  </si>
  <si>
    <t>各级单位建设部门加强施工业务外包合同管理，完善合同穿透机制，形成“总-分包”合同的关联关系，穿透形成建设单位、总包单位、分包单位的合同主体关联关系，对比总分合同金额及服务内容研判是否超比例、超范围分包。完善外包单位评价机制，对违规外包行为开展评价，建立负面清单。</t>
  </si>
  <si>
    <r>
      <rPr>
        <strike/>
        <sz val="10"/>
        <rFont val="方正仿宋_GBK"/>
        <charset val="134"/>
      </rPr>
      <t xml:space="preserve">各级单位-建设部门-项目经理
</t>
    </r>
    <r>
      <rPr>
        <sz val="10"/>
        <color rgb="FFFF0000"/>
        <rFont val="方正仿宋_GBK"/>
        <charset val="134"/>
      </rPr>
      <t>建设公司-建管分公司-项目经理、技经中心-技经人员
省公司-建设部-安全质量管理人员、省公司-安监部</t>
    </r>
  </si>
  <si>
    <t>电网基建业务-10.对系统内总包单位转分包行为控制-控制措施03</t>
  </si>
  <si>
    <t>各级单位建设部门完善人员穿透机制，重点核查进场作业人员的单位隶属关系及资质资格，确保进场人员信息与总包单位、分包单位备案信息完全一致。建立外包人员评价机制，对违规外包行为开展评价，建立黑名单。</t>
  </si>
  <si>
    <t>电网基建业务-10.对系统内总包单位转分包行为控制-控制措施04</t>
  </si>
  <si>
    <t>各级单位财务部门完善资金支付穿透机制，构建穿透洞察场景，通过项目、合同、人员对应关系，研判资金流向是否符合合同主体关联链路、分包单位与审批备案清单是否一致，研判是否超比例、超范围分包，研判农民工支付清单与备案作业人员是否一致。构建项目、合同、人员、资金关联闭环监督体系，确保分包活动真实、合规可控。</t>
  </si>
  <si>
    <t>财务</t>
  </si>
  <si>
    <t>电网基建业务-10.对系统内总包单位转分包行为控制-控制措施05</t>
  </si>
  <si>
    <t>各级单位建设部门强化考核评价，将农民工纠纷发生情况、工程按期完工情况等关键履约指标纳入考核体系，依据考核结果分级建立负面清单。将负面清单信息同步纳入物资部门供应商评价体系，对列入负面清单的单位，按规定采取限制投标、降低投标评分权重、取消投标资格等惩戒措施。</t>
  </si>
  <si>
    <t>11.农民工工资总包代发控制</t>
  </si>
  <si>
    <t>电网基建业务-11.农民工工资总包代发控制-控制措施01</t>
  </si>
  <si>
    <r>
      <rPr>
        <strike/>
        <sz val="10"/>
        <rFont val="方正仿宋_GBK"/>
        <charset val="134"/>
      </rPr>
      <t>各二级单位牵头部门要对照《保障农民工工资支付条例》，</t>
    </r>
    <r>
      <rPr>
        <sz val="10"/>
        <color rgb="FFFF0000"/>
        <rFont val="方正仿宋_GBK"/>
        <charset val="134"/>
      </rPr>
      <t>各单位对照《保障农民工工资支付条例》</t>
    </r>
    <r>
      <rPr>
        <sz val="10"/>
        <rFont val="方正仿宋_GBK"/>
        <charset val="134"/>
      </rPr>
      <t>，结合属地人社部门出台的农民工工资管理细则，建立本单位农民工工资管理制度</t>
    </r>
    <r>
      <rPr>
        <sz val="10"/>
        <color rgb="FFFF0000"/>
        <rFont val="方正仿宋_GBK"/>
        <charset val="134"/>
      </rPr>
      <t>保障机制</t>
    </r>
    <r>
      <rPr>
        <sz val="10"/>
        <rFont val="方正仿宋_GBK"/>
        <charset val="134"/>
      </rPr>
      <t>，明确总包代发、农民工工资专户的适用范围、开立标准与代发流程，强化制度保障。</t>
    </r>
  </si>
  <si>
    <t>电网基建业务-11.农民工工资总包代发控制-控制措施02</t>
  </si>
  <si>
    <t>各级单位建设部门监督总包单位明确农民工总包代发名单范围，确保人员完整性，严格履行农民工工资总包代发、实名制管理等；</t>
  </si>
  <si>
    <r>
      <rPr>
        <sz val="12"/>
        <rFont val="方正仿宋_GBK"/>
        <charset val="134"/>
      </rPr>
      <t>修改控制措施分类，修改责任主体，修改评价评率和范围，修改文件制度是否已要求和满足要求，</t>
    </r>
    <r>
      <rPr>
        <sz val="12"/>
        <color rgb="FFFF0000"/>
        <rFont val="方正仿宋_GBK"/>
        <charset val="134"/>
      </rPr>
      <t>删除文件制度</t>
    </r>
  </si>
  <si>
    <t>电网基建业务-11.农民工工资总包代发控制-控制措施03</t>
  </si>
  <si>
    <t>各级单位建设部门核查总包单位农民工工资支付表与银行卡信息、考勤表、ORM现场入场考勤人员、发放清册的一致性；若签字单人员与现场入场人员信息不符，第一时间组织项目管理单位提交书面材料，解释说明人员信息不符原因；</t>
  </si>
  <si>
    <t>电网基建业务-11.农民工工资总包代发控制-控制措施04</t>
  </si>
  <si>
    <t>各级单位建设部门根据合同约定，审核实际工程量，发起支付申请；</t>
  </si>
  <si>
    <r>
      <rPr>
        <strike/>
        <sz val="10"/>
        <rFont val="方正仿宋_GBK"/>
        <charset val="134"/>
      </rPr>
      <t>系统待建</t>
    </r>
    <r>
      <rPr>
        <sz val="10"/>
        <color rgb="FFFF0000"/>
        <rFont val="方正仿宋_GBK"/>
        <charset val="134"/>
      </rPr>
      <t>线下管控</t>
    </r>
  </si>
  <si>
    <r>
      <rPr>
        <strike/>
        <sz val="10"/>
        <rFont val="方正仿宋_GBK"/>
        <charset val="134"/>
      </rPr>
      <t>1.施工合同；
2.进度款报审表；
3.农民工工资支付表；
4.农民工考勤表。</t>
    </r>
    <r>
      <rPr>
        <sz val="10"/>
        <rFont val="方正仿宋_GBK"/>
        <charset val="134"/>
      </rPr>
      <t xml:space="preserve">
</t>
    </r>
    <r>
      <rPr>
        <sz val="10"/>
        <color rgb="FFFF0000"/>
        <rFont val="方正仿宋_GBK"/>
        <charset val="134"/>
      </rPr>
      <t>1.施工合同；
2.农民工工资支付表；
3.农民工考勤表。</t>
    </r>
  </si>
  <si>
    <t>修改控制措施分类，修改控制方式，修改控制系统，修改控制载体，修改责任主体</t>
  </si>
  <si>
    <t>电网基建业务-11.农民工工资总包代发控制-控制措施05</t>
  </si>
  <si>
    <r>
      <rPr>
        <sz val="10"/>
        <rFont val="方正仿宋_GBK"/>
        <charset val="134"/>
      </rPr>
      <t>各级单位</t>
    </r>
    <r>
      <rPr>
        <sz val="10"/>
        <color rgb="FFFF0000"/>
        <rFont val="方正仿宋_GBK"/>
        <charset val="134"/>
      </rPr>
      <t>项目管理部门与</t>
    </r>
    <r>
      <rPr>
        <sz val="10"/>
        <rFont val="方正仿宋_GBK"/>
        <charset val="134"/>
      </rPr>
      <t>财务部门审核农民工工资资金是否及时、按制度规定比例足额拨付到位、专户支出是否专款专用、支付手续是否符合完整性、规范性要求；</t>
    </r>
  </si>
  <si>
    <r>
      <rPr>
        <strike/>
        <sz val="10"/>
        <rFont val="方正仿宋_GBK"/>
        <charset val="134"/>
      </rPr>
      <t>线下管控</t>
    </r>
    <r>
      <rPr>
        <sz val="10"/>
        <rFont val="方正仿宋_GBK"/>
        <charset val="134"/>
      </rPr>
      <t xml:space="preserve">
</t>
    </r>
    <r>
      <rPr>
        <sz val="10"/>
        <color rgb="FFFF0000"/>
        <rFont val="方正仿宋_GBK"/>
        <charset val="134"/>
      </rPr>
      <t>系统待建</t>
    </r>
  </si>
  <si>
    <r>
      <rPr>
        <sz val="10"/>
        <rFont val="方正仿宋_GBK"/>
        <charset val="134"/>
      </rPr>
      <t xml:space="preserve">1.施工合同；
2.进度款报审表；
3.农民工工资支付表；
</t>
    </r>
    <r>
      <rPr>
        <sz val="10"/>
        <color rgb="FFFF0000"/>
        <rFont val="方正仿宋_GBK"/>
        <charset val="134"/>
      </rPr>
      <t>4.农民工考勤表。</t>
    </r>
  </si>
  <si>
    <r>
      <rPr>
        <strike/>
        <sz val="10"/>
        <rFont val="方正仿宋_GBK"/>
        <charset val="134"/>
      </rPr>
      <t>各级单位-财务部门-工程财务人员、各级单位-财务部门-审批人员</t>
    </r>
    <r>
      <rPr>
        <sz val="10"/>
        <rFont val="方正仿宋_GBK"/>
        <charset val="134"/>
      </rPr>
      <t xml:space="preserve">
</t>
    </r>
    <r>
      <rPr>
        <sz val="10"/>
        <color rgb="FFFF0000"/>
        <rFont val="方正仿宋_GBK"/>
        <charset val="134"/>
      </rPr>
      <t>建设公司-建管分公司-项目经理、技经中心-技经人员、财务部-工程（核算）财务人员</t>
    </r>
  </si>
  <si>
    <t>修改控制措施，修改控制措施分类，修改控制方式，修改控制系统，修改控制载体，修改责任主体</t>
  </si>
  <si>
    <t>修改控制措施，修改控制方式，修改控制系统，修改控制载体，修改责任主体</t>
  </si>
  <si>
    <t>电网基建业务-11.农民工工资总包代发控制-控制措施06</t>
  </si>
  <si>
    <t>各级单位财务部门负责抽查总承包单位农民工工资支付情况，履行监督职能。</t>
  </si>
  <si>
    <r>
      <rPr>
        <sz val="10"/>
        <rFont val="方正仿宋_GBK"/>
        <charset val="134"/>
      </rPr>
      <t xml:space="preserve">1.施工合同；
2.进度款报审表；
3.农民工工资支付表。
</t>
    </r>
    <r>
      <rPr>
        <strike/>
        <sz val="10"/>
        <rFont val="方正仿宋_GBK"/>
        <charset val="134"/>
      </rPr>
      <t>4.农民工考勤表。</t>
    </r>
  </si>
  <si>
    <t>修改控制措施分类，修改控制载体，修改责任主体</t>
  </si>
  <si>
    <t>12.项目开工合规性审核</t>
  </si>
  <si>
    <t>电网基建业务-12.项目开工合规性审核-控制措施01</t>
  </si>
  <si>
    <t>各级单位建设部门加强开工审批流程管理，开工管理要严格遵循“依法合规、分层报批”原则，项目开工前要完成行政审批手续，未经审批不得私自开工。</t>
  </si>
  <si>
    <t>耕地占用税管理</t>
  </si>
  <si>
    <t>临时耕地占用税缴纳不及时、复垦不及时造成损失、缴税责任主体控制不清</t>
  </si>
  <si>
    <t xml:space="preserve">临时耕地占用税缴纳规范性管控 </t>
  </si>
  <si>
    <t>及时规范缴税、按照要求完成复垦、“谁办理、谁缴纳”、明确无法退税责任主体。</t>
  </si>
  <si>
    <t>电网基建业务-临时耕地占用税缴纳规范性管控-控制措施</t>
  </si>
  <si>
    <t xml:space="preserve">各级建管单位建立临时用地专项台账，及时向出资单位申请资金缴纳税费；工程收尾阶段同步制定复垦实施方案，落实复垦整改标准，组织专业人员现场核查，确保复垦通过验收，对造成实际损失的及时进行账务处理；对复垦验收失败、无法收回的款项，单独登记台账备查，留存验收不合格证明、损失认定责任界定表等资料。  </t>
  </si>
  <si>
    <t>1.临时用地耕地占用税管理台账2.税款缴纳凭证             3.土地复垦实施方案         4.复垦现场验收报告、肯定验收不合格认定书、税款损失认定审批材料</t>
  </si>
  <si>
    <t>建设公司-建管分公司-项目经理、财务部-税务管理人员</t>
  </si>
  <si>
    <t>暂无制度</t>
  </si>
  <si>
    <t>财务部新增</t>
  </si>
  <si>
    <t xml:space="preserve">控制措施建议修改描述：各级建管单位建立临时用地专项台账，及时向出资单位申请资金缴纳税费；工程收尾阶段同步制定复垦实施方案，落实复垦整改标准，组织专业人员现场核查，确保复垦通过验收，对造成实际损失的及时进行账务处理；对复垦验收失败、无法收回的款项，单独登记台账备查，留存验收不合格证明、损失认定责任界定表等资料。   </t>
  </si>
  <si>
    <t>新增关键控制点</t>
  </si>
  <si>
    <t>新增关键控制点“临时耕地占用税缴纳规范性管控”</t>
  </si>
  <si>
    <t>13.设计变更与现场签证真实性审核控制</t>
  </si>
  <si>
    <t>电网基建业务-13.设计变更与现场签证真实性审核控制-控制措施01</t>
  </si>
  <si>
    <t>新增了隐蔽工程的核查。</t>
  </si>
  <si>
    <t>修改控制措施，修改控制载体，修改责任主体</t>
  </si>
  <si>
    <t>电网基建业务-13.设计变更与现场签证真实性审核控制-控制措施02</t>
  </si>
  <si>
    <t>电网基建业务-13.设计变更与现场签证真实性审核控制-控制措施03</t>
  </si>
  <si>
    <r>
      <rPr>
        <strike/>
        <sz val="10"/>
        <rFont val="方正仿宋_GBK"/>
        <charset val="134"/>
      </rPr>
      <t>各级单位建设部门</t>
    </r>
    <r>
      <rPr>
        <sz val="10"/>
        <color rgb="FFFF0000"/>
        <rFont val="方正仿宋_GBK"/>
        <charset val="134"/>
      </rPr>
      <t>建设公司</t>
    </r>
    <r>
      <rPr>
        <sz val="10"/>
        <rFont val="方正仿宋_GBK"/>
        <charset val="134"/>
      </rPr>
      <t>严格履行设计变更、</t>
    </r>
    <r>
      <rPr>
        <sz val="10"/>
        <color rgb="FFFF0000"/>
        <rFont val="方正仿宋_GBK"/>
        <charset val="134"/>
      </rPr>
      <t>现场签证</t>
    </r>
    <r>
      <rPr>
        <sz val="10"/>
        <rFont val="方正仿宋_GBK"/>
        <charset val="134"/>
      </rPr>
      <t>分级审批流程权限；</t>
    </r>
  </si>
  <si>
    <t>修改控制措施，修改责任主体，补充制度</t>
  </si>
  <si>
    <t>电网基建业务-13.设计变更与现场签证真实性审核控制-控制措施04</t>
  </si>
  <si>
    <r>
      <rPr>
        <strike/>
        <sz val="10"/>
        <rFont val="方正仿宋_GBK"/>
        <charset val="134"/>
      </rPr>
      <t>各级单位建设部门</t>
    </r>
    <r>
      <rPr>
        <sz val="10"/>
        <color rgb="FFFF0000"/>
        <rFont val="方正仿宋_GBK"/>
        <charset val="134"/>
      </rPr>
      <t>建设公司</t>
    </r>
    <r>
      <rPr>
        <sz val="10"/>
        <rFont val="方正仿宋_GBK"/>
        <charset val="134"/>
      </rPr>
      <t>分析设计变更频次、金额，对设计、施工、监理单位开展评价。</t>
    </r>
  </si>
  <si>
    <t>新增了将监理纳入评价</t>
  </si>
  <si>
    <t>14.物资现场到货与采购一致性控制</t>
  </si>
  <si>
    <t>电网基建业务-14.物资现场到货与采购一致性控制-控制措施01</t>
  </si>
  <si>
    <r>
      <rPr>
        <sz val="10"/>
        <rFont val="方正仿宋_GBK"/>
        <charset val="134"/>
      </rPr>
      <t>各级单位</t>
    </r>
    <r>
      <rPr>
        <strike/>
        <sz val="10"/>
        <rFont val="方正仿宋_GBK"/>
        <charset val="134"/>
      </rPr>
      <t>物资部门</t>
    </r>
    <r>
      <rPr>
        <sz val="10"/>
        <rFont val="方正仿宋_GBK"/>
        <charset val="134"/>
      </rPr>
      <t>建立供应商、建设管理单位项目经理、物资供应人员三方到货交接责任机制，确保物资现场到货与采购合同一致；物资实行“按需领用、实名登记”。</t>
    </r>
  </si>
  <si>
    <r>
      <rPr>
        <strike/>
        <sz val="10"/>
        <rFont val="方正仿宋_GBK"/>
        <charset val="134"/>
      </rPr>
      <t>各级单位-建设部门-项目经理、各级单位-物资部门-履约管理人员</t>
    </r>
    <r>
      <rPr>
        <sz val="10"/>
        <rFont val="方正仿宋_GBK"/>
        <charset val="134"/>
      </rPr>
      <t xml:space="preserve">
</t>
    </r>
    <r>
      <rPr>
        <sz val="10"/>
        <color rgb="FFFF0000"/>
        <rFont val="方正仿宋_GBK"/>
        <charset val="134"/>
      </rPr>
      <t>物资公司相关岗位</t>
    </r>
  </si>
  <si>
    <t>需物资公司配合，填写责任主体（甲供物资由省物资公司统一管理）</t>
  </si>
  <si>
    <t>物资公司</t>
  </si>
  <si>
    <t>电网基建业务-14.物资现场到货与采购一致性控制-控制措施02</t>
  </si>
  <si>
    <r>
      <rPr>
        <sz val="10"/>
        <color theme="1"/>
        <rFont val="方正仿宋_GBK"/>
        <charset val="134"/>
      </rPr>
      <t>各级单位</t>
    </r>
    <r>
      <rPr>
        <strike/>
        <sz val="10"/>
        <color theme="1"/>
        <rFont val="方正仿宋_GBK"/>
        <charset val="134"/>
      </rPr>
      <t>建设部门</t>
    </r>
    <r>
      <rPr>
        <sz val="10"/>
        <color theme="1"/>
        <rFont val="方正仿宋_GBK"/>
        <charset val="134"/>
      </rPr>
      <t>建立现场物资安全保管责任制，明确设备移交双方责任，依托实物ID赋码实现全流程线上跟踪；无实物ID物资建立线上虚拟台账，定期开展账实核对并留存核对记录；</t>
    </r>
  </si>
  <si>
    <r>
      <rPr>
        <strike/>
        <sz val="10"/>
        <rFont val="方正仿宋_GBK"/>
        <charset val="134"/>
      </rPr>
      <t>各级单位-建设部门-项目经理</t>
    </r>
    <r>
      <rPr>
        <sz val="10"/>
        <rFont val="方正仿宋_GBK"/>
        <charset val="134"/>
      </rPr>
      <t xml:space="preserve">
</t>
    </r>
    <r>
      <rPr>
        <sz val="10"/>
        <color rgb="FFFF0000"/>
        <rFont val="方正仿宋_GBK"/>
        <charset val="134"/>
      </rPr>
      <t>物资公司相关岗位</t>
    </r>
  </si>
  <si>
    <t>电网基建业务-14.物资现场到货与采购一致性控制-控制措施03</t>
  </si>
  <si>
    <r>
      <rPr>
        <sz val="10"/>
        <color theme="1"/>
        <rFont val="方正仿宋_GBK"/>
        <charset val="134"/>
      </rPr>
      <t>各级单位</t>
    </r>
    <r>
      <rPr>
        <strike/>
        <sz val="10"/>
        <color theme="1"/>
        <rFont val="方正仿宋_GBK"/>
        <charset val="134"/>
      </rPr>
      <t>建设部门</t>
    </r>
    <r>
      <rPr>
        <sz val="10"/>
        <color theme="1"/>
        <rFont val="方正仿宋_GBK"/>
        <charset val="134"/>
      </rPr>
      <t>建立现场物资盘点机制，定期组织开展实物台账一致性核查。落实盘点</t>
    </r>
    <r>
      <rPr>
        <sz val="10"/>
        <rFont val="方正仿宋_GBK"/>
        <charset val="134"/>
      </rPr>
      <t>人与保管人不相容岗位内控要求。</t>
    </r>
  </si>
  <si>
    <t>15.物资成本报账与现场实物到货一致性控制</t>
  </si>
  <si>
    <t>电网基建业务-15.物资成本报账与现场实物到货一致性控制-控制措施01</t>
  </si>
  <si>
    <t>各级单位财务部门对物资报账相关单据合规性、完整性进行复核核验。</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</si>
  <si>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物资公司相关岗位</t>
    </r>
  </si>
  <si>
    <t>16.施工成本报账与现场进度一致性控制</t>
  </si>
  <si>
    <t>电网基建业务-16.施工成本报账与现场进度一致性控制-控制措施01</t>
  </si>
  <si>
    <t>各级单位建设部门建立健全项目工程量与报账复核机制：
报账时，提供工程量清单、合同付款单等相关佐证材料，确保现场工作量与报账保持相对一致；
支付工程预付款时，审核是否开具收据或不征税普通发票，严禁提前确认工程成本；
审核进度款时，审核报审表与工程量清单进度一致，检查预付款扣回条款落实情况，按照合同约定在支付进度款时扣回预付款，确保进度款支付进度不超过合同约定。</t>
  </si>
  <si>
    <t>电网基建业务-16.施工成本报账与现场进度一致性控制-控制措施02</t>
  </si>
  <si>
    <t>各级单位财务部门对施工进度成本确认与合同履约台账的合规性进行复核核验，核实付款申请单的发票、合同及付款申请单中开票方、合同签订方与收款方一致性，确认款项支付严格按照合同约定执行。</t>
  </si>
  <si>
    <t>法人管理费管理</t>
  </si>
  <si>
    <t>施工成本报账其他费用-法人管理费管控</t>
  </si>
  <si>
    <t>电网基建业务-16.施工成本报账其他费用-法人管理费控制措施03</t>
  </si>
  <si>
    <t>法人管理费实行单个项目管控，所有费用须在经批准的项目概（估）算、年度预算范围内规范列支，前置审核费用报销的预算可用额度、列支范围和单据合规性，严控非生产性支出，确保预算不超支。</t>
  </si>
  <si>
    <t>1.法人管理费预算申报表
2.法人管理费结算表
3.合同执行情况表           4.投产关闭项目清单</t>
  </si>
  <si>
    <t>建设公司-财务部-工程（核算）财务人员</t>
  </si>
  <si>
    <t>《国网湖南省电力有限公司建设分公司关于制定规范输变电工程项目法人管理费使用与管理的实施意见的通知》（湘电建财〔2026〕2号）</t>
  </si>
  <si>
    <t>新增关键控制点“法人管理费”</t>
  </si>
  <si>
    <t>税务管理</t>
  </si>
  <si>
    <t>税务全流程管控缺位，出现申报逾期、税费退还滞后、印花税计提分摊错漏问题，引发税务风险。</t>
  </si>
  <si>
    <t>施工成本报账其他费用-税费管理</t>
  </si>
  <si>
    <t>精准识别电网基建项目各类涉税事项，依规完成申报缴纳、退税办理、印花税计提分摊全流程管理，保证税费足额按期清缴、合规退回，精准归集计入项目成本。</t>
  </si>
  <si>
    <t>电网基建业务-16.施工成本报账其他费用-税费管理04</t>
  </si>
  <si>
    <t>各单位建立“合同-项目-印花税”联动台账、登记合同名称、签订日期、所属项目、计税金额、分摊比列、完税凭证等。对于单体项目专用合同，应全额资本化对应工程成本；多项目分摊应以合同金额/工程量等为分摊技术，编制分摊计算表，作为入账依据，工程决算前开展涉税成本核查，对应合同台账、分摊表、完税凭证、项目成本确保四方数据一致。常态化开展税费自查复盘，强化与税务机关对接沟通，确保各项税费依法足额缴纳、合规退还，精准计入项目成本。</t>
  </si>
  <si>
    <t>1.工程应税合同管理台账     2.印花税分摊计算表         3.纳税申报表               4.完税证明</t>
  </si>
  <si>
    <t>建设公司-财务部-税务管理人员</t>
  </si>
  <si>
    <t>新增关键控制点“税费管理”</t>
  </si>
  <si>
    <t>17.长期挂账在建工程清理</t>
  </si>
  <si>
    <t>电网基建业务-17.长期挂账在建工程清理-控制措施01</t>
  </si>
  <si>
    <r>
      <rPr>
        <sz val="10"/>
        <rFont val="方正仿宋_GBK"/>
        <charset val="134"/>
      </rPr>
      <t>各级单位财务部门建立在建工程长期挂账预警机制，按《国网工程财务管理办法》规定，对6个月及以上无支出的在建工程提出停滞预警，对一年以上无支出的在建工程提出核销预警，</t>
    </r>
    <r>
      <rPr>
        <strike/>
        <sz val="10"/>
        <rFont val="方正仿宋_GBK"/>
        <charset val="134"/>
      </rPr>
      <t>并结合区域特点（东北长期封冻期）、项目类型（藏区环境保护）、季节特性（春节、迎峰度夏期间）等</t>
    </r>
    <r>
      <rPr>
        <sz val="10"/>
        <color rgb="FFFF0000"/>
        <rFont val="方正仿宋_GBK"/>
        <charset val="134"/>
      </rPr>
      <t>并结合区域特点季节特性（春节、迎峰度夏度冬、春雨季、防汛期间）等，</t>
    </r>
    <r>
      <rPr>
        <sz val="10"/>
        <rFont val="方正仿宋_GBK"/>
        <charset val="134"/>
      </rPr>
      <t>适当调整停滞预警和核销预警的时间；</t>
    </r>
  </si>
  <si>
    <t>电网基建业务-17.长期挂账在建工程清理-控制措施02</t>
  </si>
  <si>
    <t>各级单位建设部门对停滞预警及时反馈说明情况，对核销预警进行减值与核销评估并出具意见说明；</t>
  </si>
  <si>
    <t>电网基建业务-17.长期挂账在建工程清理-控制措施03</t>
  </si>
  <si>
    <t>各级单位建设部门结合减值与核销原因，建立减值与核销项目免责与追责机制。</t>
  </si>
  <si>
    <t>18.现场实际工程量与验收报告一致性控制</t>
  </si>
  <si>
    <t>电网基建业务-18.现场实际工程量与验收报告一致性控制-控制措施01</t>
  </si>
  <si>
    <t>各级单位建设部门规范验收流程，严格履行内部交叉验收机制，各级单位、监理单位、施工单位等多方联合开展验收，相互监督制约。</t>
  </si>
  <si>
    <r>
      <rPr>
        <strike/>
        <sz val="10"/>
        <rFont val="方正仿宋_GBK"/>
        <charset val="134"/>
      </rPr>
      <t>各级单位-建设部门-项目经理、各级单位-设备部门-设备资产管理人员</t>
    </r>
    <r>
      <rPr>
        <sz val="10"/>
        <rFont val="方正仿宋_GBK"/>
        <charset val="134"/>
      </rPr>
      <t xml:space="preserve">
</t>
    </r>
    <r>
      <rPr>
        <sz val="10"/>
        <color rgb="FFFF0000"/>
        <rFont val="方正仿宋_GBK"/>
        <charset val="134"/>
      </rPr>
      <t>建设公司-技术质量部-质量专责岗、
建管分公司-项目经理、
各级单位-设备部门-设备资产管理人员、技术质量部
超高压变电公司-运维检修部-生产准备专责、
超高压输电公司-运维检修部-生产准备专责</t>
    </r>
  </si>
  <si>
    <t>需要资产接收单位配合填写各责任主体</t>
  </si>
  <si>
    <t>技术质量部</t>
  </si>
  <si>
    <t>19.竣工资产移交闭环控制</t>
  </si>
  <si>
    <t>电网基建业务-19.竣工资产移交闭环控制-控制措施01</t>
  </si>
  <si>
    <t>各级单位建设部门、设备部门、资产使用保管部门及施工单位多部门联合确认检查实物四码与物资清册一致性，提交现场实物盘点确认清单；</t>
  </si>
  <si>
    <r>
      <rPr>
        <strike/>
        <sz val="10"/>
        <color theme="1"/>
        <rFont val="方正仿宋_GBK"/>
        <charset val="134"/>
      </rPr>
      <t>各级单位-建设部门-项目经理、各级单位-设备部门-设备资产管理人员、各级单位-资产使用保管部门-资产使用保管人员</t>
    </r>
    <r>
      <rPr>
        <sz val="10"/>
        <color theme="1"/>
        <rFont val="方正仿宋_GBK"/>
        <charset val="134"/>
      </rPr>
      <t xml:space="preserve">
</t>
    </r>
    <r>
      <rPr>
        <sz val="10"/>
        <color rgb="FFFF0000"/>
        <rFont val="方正仿宋_GBK"/>
        <charset val="134"/>
      </rPr>
      <t>建设公司-建管分公司-项目经理、请资产接收单位
超高压变电公司-运维检修部-生产准备专责、
超高压输电公司-运维检修部-生产准备专责</t>
    </r>
  </si>
  <si>
    <t>建管-超高压</t>
  </si>
  <si>
    <t>电网基建业务-19.竣工资产移交闭环控制-控制措施02</t>
  </si>
  <si>
    <t>各级单位设备部门建立资产卡片与设备台账关联一致性复核机制，确保工程项目资产建卡准确、完整。</t>
  </si>
  <si>
    <t>超高压</t>
  </si>
  <si>
    <t>20.工程成本暂估的真实性、准确性控制</t>
  </si>
  <si>
    <t>电网基建业务-20.工程成本暂估的真实性、准确性控制-控制措施01</t>
  </si>
  <si>
    <t>各级单位建设部门对暂估后成本低于概算75%或超概算仍进行暂估的，需履行相应审批程序；</t>
  </si>
  <si>
    <t>电网基建业务-20.工程成本暂估的真实性、准确性控制-控制措施02</t>
  </si>
  <si>
    <t>各级单位财务部门监督考核应暂估未暂估、虚假暂估的项目。</t>
  </si>
  <si>
    <t>各级单位-财务部门-工程财务人员</t>
  </si>
  <si>
    <t>21.暂估转资节点刚性控制</t>
  </si>
  <si>
    <t>电网基建业务-21.暂估转资节点刚性控制-控制措施01</t>
  </si>
  <si>
    <t>各级单位财务部门建立暂估时限预警机制，到达预警时点，系统自动向相关岗位推送预警信息，确保及时转资；</t>
  </si>
  <si>
    <r>
      <rPr>
        <strike/>
        <sz val="10"/>
        <rFont val="方正仿宋_GBK"/>
        <charset val="134"/>
      </rPr>
      <t>各级单位-建设部门-项目经理、各级单位-设备部门-设备资产管理人员、各级单位-财务部门-工程财务人员</t>
    </r>
    <r>
      <rPr>
        <sz val="10"/>
        <rFont val="方正仿宋_GBK"/>
        <charset val="134"/>
      </rPr>
      <t xml:space="preserve">
</t>
    </r>
    <r>
      <rPr>
        <sz val="10"/>
        <color rgb="FFFF0000"/>
        <rFont val="方正仿宋_GBK"/>
        <charset val="134"/>
      </rPr>
      <t>建设公司-建管中心-项目经理、技经中心-技经人员、财务部门-工程结算与决算财务人员</t>
    </r>
  </si>
  <si>
    <t>电网基建业务-21.暂估转资节点刚性控制-控制措施02</t>
  </si>
  <si>
    <t>各级单位业务部门及时提供工程竣工投运报告或投运批准书，以确定投产日。</t>
  </si>
  <si>
    <r>
      <rPr>
        <strike/>
        <sz val="10"/>
        <rFont val="方正仿宋_GBK"/>
        <charset val="134"/>
      </rPr>
      <t>各级单位-建设部门-项目经理</t>
    </r>
    <r>
      <rPr>
        <sz val="10"/>
        <rFont val="方正仿宋_GBK"/>
        <charset val="134"/>
      </rPr>
      <t xml:space="preserve">
</t>
    </r>
    <r>
      <rPr>
        <sz val="10"/>
        <color rgb="FFFF0000"/>
        <rFont val="方正仿宋_GBK"/>
        <charset val="134"/>
      </rPr>
      <t>建设公司-技术质量部-质量管理人员</t>
    </r>
  </si>
  <si>
    <t>电网基建业务-21.暂估转资节点刚性控制-控制措施03</t>
  </si>
  <si>
    <t>各级单位财务部门应在投运后30日内暂估转资，并监督考核转资延误的项目。</t>
  </si>
  <si>
    <t>22.已领未用物资退库控制</t>
  </si>
  <si>
    <t>电网基建业务-22.已领未用物资退库控制-控制措施01</t>
  </si>
  <si>
    <t>各级单位建设部门会同物资部门、设计单位与施工单位核对物资结余情况；</t>
  </si>
  <si>
    <r>
      <rPr>
        <strike/>
        <sz val="10"/>
        <color theme="1"/>
        <rFont val="方正仿宋_GBK"/>
        <charset val="134"/>
      </rPr>
      <t>各级单位-建设部门-项目经理、各级单位-物资部门-物资管理人员</t>
    </r>
    <r>
      <rPr>
        <sz val="10"/>
        <color theme="1"/>
        <rFont val="方正仿宋_GBK"/>
        <charset val="134"/>
      </rPr>
      <t xml:space="preserve">
</t>
    </r>
    <r>
      <rPr>
        <sz val="10"/>
        <color rgb="FFFF0000"/>
        <rFont val="方正仿宋_GBK"/>
        <charset val="134"/>
      </rPr>
      <t>建设公司-建管分公司-项目经理、物资公司-物资管理人员（请物资公司补充）</t>
    </r>
  </si>
  <si>
    <t>需要物资公司配合填写各责任主体</t>
  </si>
  <si>
    <t>电网基建业务-22.已领未用物资退库控制-控制措施02</t>
  </si>
  <si>
    <r>
      <rPr>
        <strike/>
        <sz val="10"/>
        <rFont val="方正仿宋_GBK"/>
        <charset val="134"/>
      </rPr>
      <t>各级单位财务部门比对出库物资、结算审定使用、结余物资退库的明细及数量，复核物资结余退库情况；</t>
    </r>
    <r>
      <rPr>
        <sz val="10"/>
        <color rgb="FFFF0000"/>
        <rFont val="方正仿宋_GBK"/>
        <charset val="134"/>
      </rPr>
      <t xml:space="preserve">
各级单位物资部门建立结余物资损失责任追究机制。投运后1个月内完成盘点，3个月内完成退库；决算前组织物资清理、资产盘点，确保账、卡、物一致。</t>
    </r>
  </si>
  <si>
    <t>电网基建业务-22.已领未用物资退库控制-控制措施03</t>
  </si>
  <si>
    <t>各级单位物资部门建立结余物资损失责任追究机制。</t>
  </si>
  <si>
    <t>23.拆旧物资处置控制</t>
  </si>
  <si>
    <t>电网基建业务-23.拆旧物资处置控制-控制措施01</t>
  </si>
  <si>
    <t>各级单位建设部门会同设备部门、设计单位与施工单位核对拆旧物资情况；</t>
  </si>
  <si>
    <t>1.拆旧物资退库单；
2.工程拆旧工程量清单；
3.技术鉴定表；
4.固定资产报废审批表；
5.拆旧物资现场清点表；
6.拆旧计划。</t>
  </si>
  <si>
    <r>
      <rPr>
        <strike/>
        <sz val="10"/>
        <rFont val="方正仿宋_GBK"/>
        <charset val="134"/>
      </rPr>
      <t>各级单位-建设部门-项目经理、各级单位-设备部门-设备资产管理人员</t>
    </r>
    <r>
      <rPr>
        <sz val="10"/>
        <rFont val="方正仿宋_GBK"/>
        <charset val="134"/>
      </rPr>
      <t xml:space="preserve">
</t>
    </r>
    <r>
      <rPr>
        <sz val="10"/>
        <color rgb="FFFF0000"/>
        <rFont val="方正仿宋_GBK"/>
        <charset val="134"/>
      </rPr>
      <t xml:space="preserve">建设公司-建管分公司-项目经理、各单位-设备部门-设备资产管理人员
超高压变电公司-运维检修部-实物资产管理专责、超高压输电公司-运维检修部-实物资产管理专责
</t>
    </r>
  </si>
  <si>
    <t>电网基建业务-23.拆旧物资处置控制-控制措施02</t>
  </si>
  <si>
    <r>
      <rPr>
        <sz val="10"/>
        <rFont val="方正仿宋_GBK"/>
        <charset val="134"/>
      </rPr>
      <t>各级单位</t>
    </r>
    <r>
      <rPr>
        <strike/>
        <sz val="10"/>
        <rFont val="方正仿宋_GBK"/>
        <charset val="134"/>
      </rPr>
      <t>物资部门</t>
    </r>
    <r>
      <rPr>
        <sz val="10"/>
        <color rgb="FFFF0000"/>
        <rFont val="方正仿宋_GBK"/>
        <charset val="134"/>
      </rPr>
      <t>建设部门</t>
    </r>
    <r>
      <rPr>
        <sz val="10"/>
        <rFont val="方正仿宋_GBK"/>
        <charset val="134"/>
      </rPr>
      <t xml:space="preserve">、财务部门复核结算审定拆旧物资量与实际退库数量，对未提交拆除资产回收资料、应拆实交量存在重大偏差且无合理解释的，追究相关岗位责任。
</t>
    </r>
  </si>
  <si>
    <r>
      <rPr>
        <strike/>
        <sz val="10"/>
        <rFont val="方正仿宋_GBK"/>
        <charset val="134"/>
      </rPr>
      <t>各级单位-物资部门-物资管理人员、各级单位-财务部门-工程财务人员</t>
    </r>
    <r>
      <rPr>
        <sz val="10"/>
        <rFont val="方正仿宋_GBK"/>
        <charset val="134"/>
      </rPr>
      <t xml:space="preserve">
</t>
    </r>
    <r>
      <rPr>
        <sz val="10"/>
        <color rgb="FFFF0000"/>
        <rFont val="方正仿宋_GBK"/>
        <charset val="134"/>
      </rPr>
      <t>建设公司-建管分公司-项目经理、
技经中心-技经人员、
建设公司-财务部门-工程结算与决算财务人员；
各单位-设备部门-设备资产管理人员
超高压变电公司-运维检修部-实物资产管理专责、超高压输电公司-运维检修部-实物资产管理专责</t>
    </r>
  </si>
  <si>
    <t>建管、财务部</t>
  </si>
  <si>
    <t>24.预留尾工时限与规模控制</t>
  </si>
  <si>
    <t>电网基建业务-24.预留尾工时限与规模控制-控制措施01</t>
  </si>
  <si>
    <t>针对尾工工程，工程结算中需明确预留事项、费用列支依据、预计完成时间，并经各二级单位建设部门审批同意（并严格履行分级审批机制）。尾工工程投资原则上不应超过项目批复概算总投资的5%；</t>
  </si>
  <si>
    <t>修改控制要求，修改责任主体，补充制度</t>
  </si>
  <si>
    <t>电网基建业务-24.预留尾工时限与规模控制-控制措施02</t>
  </si>
  <si>
    <t>各级单位建设部门建立尾工清理机制，对临期项目开展预警，对超期项目追究相关岗位责任；</t>
  </si>
  <si>
    <t>电网基建业务-24.预留尾工时限与规模控制-控制措施03</t>
  </si>
  <si>
    <t>各级单位财务部门建立尾工结算数据分析机制，加强尾工实际结算成本、概算等数据比对、分析。</t>
  </si>
  <si>
    <t>25.工程量真实性、一致性管控</t>
  </si>
  <si>
    <t>电网基建业务-25.工程量真实性、一致性管控-控制措施01</t>
  </si>
  <si>
    <t>各级单位建设部门定期开展项目结算督查，核查施工图、设计变更及现场签证与实际工程量的一致性，对不一致的项目限期整改；</t>
  </si>
  <si>
    <t>电网基建业务-25.工程量真实性、一致性管控-控制措施02</t>
  </si>
  <si>
    <t>各级单位建设部门定期对结算督查结果开展评价，将性质恶劣、频次较高、金额较大的施工单位及监理单位纳入黑名单。</t>
  </si>
  <si>
    <t>26.合同计价的合规性控制</t>
  </si>
  <si>
    <t>电网基建业务-26.合同计价的合规性控制-控制措施01</t>
  </si>
  <si>
    <t>各级单位建设部门核查结算数据与合同条款、变更签证等原始资料的一致性；</t>
  </si>
  <si>
    <t>电网基建业务-26.合同计价的合规性控制-控制措施02</t>
  </si>
  <si>
    <t>各级单位建设部门核查计价规则的执行情况，对违规结算项目责令整改并追溯责任。</t>
  </si>
  <si>
    <t>27.项目结算时效管控</t>
  </si>
  <si>
    <t>电网基建业务-27.项目结算时效管控-控制措施01</t>
  </si>
  <si>
    <t>各级单位建设部门制定结算资料清单，确保结算资料送审符合要求；</t>
  </si>
  <si>
    <t>电网基建业务-27.项目结算时效管控-控制措施02</t>
  </si>
  <si>
    <t>各级单位建设部门督促施工单位及时报送、确认已完工程量及对应资料，避免竣工后集中补资料；</t>
  </si>
  <si>
    <t>电网基建业务-27.项目结算时效管控-控制措施03</t>
  </si>
  <si>
    <t>各级单位建设部门启动资料预核查，督促施工单位及时补齐缺失要件；</t>
  </si>
  <si>
    <t>电网基建业务-27.项目结算时效管控-控制措施04</t>
  </si>
  <si>
    <t>各级单位建设部门监督考核结算不及时的项目。</t>
  </si>
  <si>
    <t>28.工程质保金支付合规性控制</t>
  </si>
  <si>
    <t>电网基建业务-28.工程质保金支付合规性控制-控制措施01</t>
  </si>
  <si>
    <t>各级单位建设部门确保在合同条款中不得限定仅使用现金质保金；</t>
  </si>
  <si>
    <t>电网基建业务-28.工程质保金支付合规性控制-控制措施02</t>
  </si>
  <si>
    <t>各级单位财务部门审核费用报账时，严格比照合同支付条款，确保保函、保险保证等质保金能够覆盖权益期间；</t>
  </si>
  <si>
    <t>电网基建业务-28.工程质保金支付合规性控制-控制措施03</t>
  </si>
  <si>
    <t>各级单位建设部门对质量保证期届满且无争议的现金质保金，及时办理支付手续；</t>
  </si>
  <si>
    <t>电网基建业务-28.工程质保金支付合规性控制-控制措施04</t>
  </si>
  <si>
    <t>各级单位财务部门做好保险、保函台账管理及验真工作；</t>
  </si>
  <si>
    <t>电网基建业务-28.工程质保金支付合规性控制-控制措施05</t>
  </si>
  <si>
    <t>各级单位财务部门定期开展往来清理，确保到期质保金应清尽清，对新增逾期未支付的无争议质保金，追究相关岗位责任。</t>
  </si>
  <si>
    <t>29.工程竣工决算报告编制时效性管控</t>
  </si>
  <si>
    <t>电网基建业务-29.工程竣工决算报告编制时效性管控-控制措施01</t>
  </si>
  <si>
    <t>各级单位财务部门建立决算时限预警机制，到达预警时点，系统自动向相关岗位推送预警信息；</t>
  </si>
  <si>
    <t>电网基建业务-29.工程竣工决算报告编制时效性管控-控制措施02</t>
  </si>
  <si>
    <t>各级单位财务部门监督考核决算延误的项目。</t>
  </si>
  <si>
    <t>30.工程竣工决算分级审核控制</t>
  </si>
  <si>
    <t>电网基建业务-30.工程竣工决算分级审核控制-控制措施01</t>
  </si>
  <si>
    <t>各级单位财务部门执行分级审批标准化流程，流转完成后自动更新项目决算状态；</t>
  </si>
  <si>
    <t>电网基建业务-30.工程竣工决算分级审核控制-控制措施02</t>
  </si>
  <si>
    <t>各级单位财务部门建立电子台账，由系统自动记录审核审批全流程操作痕迹，包括经办人、审核意见、审批时间等，支持审计追溯；</t>
  </si>
  <si>
    <t>电网基建业务-30.工程竣工决算分级审核控制-控制措施03</t>
  </si>
  <si>
    <t>各级单位财务部门对竣工决算金额与项目成本进行复核，确保二者一致。</t>
  </si>
  <si>
    <t>31.工程投后管理</t>
  </si>
  <si>
    <t>电网基建业务-31.工程投后管理-控制措施01</t>
  </si>
  <si>
    <t>各级单位发展部门归口管理公司固定资产投资项目后评价工作，负责制订项目后评价分析方法和指标体系，组织开展工程后评价报告编制、评审和验收工作；</t>
  </si>
  <si>
    <r>
      <rPr>
        <strike/>
        <sz val="10"/>
        <color theme="1"/>
        <rFont val="方正仿宋_GBK"/>
        <charset val="134"/>
      </rPr>
      <t>各级单位-发展部门-投资管理人员</t>
    </r>
    <r>
      <rPr>
        <sz val="10"/>
        <color theme="1"/>
        <rFont val="方正仿宋_GBK"/>
        <charset val="134"/>
      </rPr>
      <t xml:space="preserve">
</t>
    </r>
    <r>
      <rPr>
        <sz val="10"/>
        <color rgb="FFFF0000"/>
        <rFont val="方正仿宋_GBK"/>
        <charset val="134"/>
      </rPr>
      <t>省公司-发展部门-投资管理人员</t>
    </r>
  </si>
  <si>
    <t>电网基建业务-31.工程投后管理-控制措施02</t>
  </si>
  <si>
    <t>各级单位发展部门按照专业分工，负责本专业固定资产投资项目后评价工作；</t>
  </si>
  <si>
    <t>电网基建业务-31.工程投后管理-控制措施03</t>
  </si>
  <si>
    <t>各级单位发展部门组织开展本单位项目后评价，配合公司总部开展重大项目和重点专项工程后评价；</t>
  </si>
  <si>
    <t>电网基建业务-31.工程投后管理-控制措施04</t>
  </si>
  <si>
    <t>各级单位相关部门结合项目运营情况，及时对风险隐患和整改措施进行总结，健全完善投资风险管理体系，提高抗风险能力。</t>
  </si>
  <si>
    <t>物资、工程、服务招标限价管控</t>
  </si>
  <si>
    <t>电网基建业务-造价管控措施（新增）</t>
  </si>
  <si>
    <t>各级单位-物资部-招标采购人员；物资部-招标计划处-招标采购人员</t>
  </si>
  <si>
    <t>物资部</t>
  </si>
  <si>
    <t>财务部新增造价管控</t>
  </si>
  <si>
    <t>新增关键控制点“造价管控措施”</t>
  </si>
  <si>
    <t>属地费用入账不及时性、不合规性，以致成本信息失真，影响会计核算真实性。</t>
  </si>
  <si>
    <t>物资ECP2.0系统
ERP系统
数字化法治企业建设平台
智慧共享财务平台</t>
  </si>
  <si>
    <t>1.属地费用明细清单；
2.每月更新合同台账；
3.法人账套明细；
4.执行概算批复文件。</t>
  </si>
  <si>
    <t>建设公司-工程财务岗-技经人员-前期管理人员；属地公司-建设部-属地管理专责</t>
  </si>
  <si>
    <t>请财务部工程资产处把关</t>
  </si>
  <si>
    <t>前期中心、财务新增</t>
  </si>
  <si>
    <t>新增关键控制点“属地费用入账及时性和合规性审核”</t>
  </si>
  <si>
    <t>1、</t>
  </si>
  <si>
    <r>
      <rPr>
        <sz val="10"/>
        <rFont val="方正仿宋_GBK"/>
        <charset val="134"/>
      </rPr>
      <t>各级单位财务部门负责审核财务合规性，会签可研批复、确保严肃有效；</t>
    </r>
    <r>
      <rPr>
        <sz val="10"/>
        <color rgb="FFFF0000"/>
        <rFont val="方正仿宋_GBK"/>
        <charset val="134"/>
      </rPr>
      <t>审核过程中要深化内部价格库数据应用，借助智能评审工具分析比对项目造价水平，从严挡出不合理、高造价项目。编制设计前期考虑事项清单，提交经研院内审把关；建管、设计、属地、运维等多方联合现场踏勘，提前识别敏感区和重大风险点；充分调研同类工程造价水平，参考历史造价数据合理估列。</t>
    </r>
  </si>
  <si>
    <t>1、电网基建业务-3.可研经济性评审、财务合规性审核控制-控制措施02各级单位财务部门负责审核财务合规性，会签可研批复、确保严肃有效；审核过程中要深化内部价格库数据应用，借助智能评审工具分析比对项目造价水平，从严挡出不合理、高造价项目。编制设计前期考虑事项清单，提交经研院内审把关；建管、设计、属地、运维等多方联合现场踏勘，提前识别敏感区和重大风险点；充分调研同类工程造价水平，参考历史造价数据合理估列。
2、电网基建业务-6.储备项目合规性、金额准确性的审批控制-控制措施02各级单位财务部门负责项目储备立项金额复核，建立投资计划与财务预算的复核机制，确保项目“有计划、有预算、有支出”。
计划经营部建立投资计划与财务预算的复核机制，确保项目“有计划、有预算、有支出”。
3、电网基建业务-7.概算审核控制-控制措施03需调整概算时，各级单位建设部门严格履行项目概算调整审批流程。加强初设审查，逐项核验工程量、设备选型、材料规格；重点审查复杂地质、新型施工方式等高危环节方案可行性与投资匹配性；核定概算上限，确立投资“红线”；建安费限价对比清单总价下浮2%，勘察设计（非研设一体化）下浮15%，物资按上年度均价下浮5%。
4、电网基建业务-9.施工合同合规性、时效性控制-控制措施04各级单位物资部门各级单位建设部门对合同条款与合同招标文件进行复核。
5、电网基建业务-10.对系统内总包单位转分包行为控制-控制措施02各级单位建设部门加强施工业务外包合同管理，完善合同穿透机制，形成“总-分包”合同的关联关系，穿透形成建设单位、总包单位、分包单位的合同主体关联关系，对比总分合同金额及服务内容研判是否超比例、超范围分包。完善外包单位评价机制，对违规外包行为开展评价，建立负面清单。
6、电网基建业务-11.农民工工资总包代发控制-控制措施05各级单位项目管理部门与财务部门审核农民工工资资金是否及时、按制度规定比例足额拨付到位、专户支出是否专款专用、支付手续是否符合完整性、规范性要求；
7、电网基建业务-13.设计变更与现场签证真实性审核控制-控制措施01各级单位建设部门建立“谁鉴证谁负责”查勘机制，各级单位、施工单位、监理单位对现场进行查勘，并对查勘结果负责；
建设公司技经人员配合项目经理进行设计变更现场查勘，对合规性进行把关。
8、电网基建业务-13.设计变更与现场签证真实性审核控制-控制措施02各级单位建设部门建立“谁审批谁负责”复核机制，各级单位、施工单位、监理单位对查勘结果进行审批复核；建设公司技经人员负责审核设计变更、现场签证费用，对合规性进行把关。
9、电网基建业务-13.设计变更与现场签证真实性审核控制-控制措施03各级单位建设部门严格履行设计变更分级审批流程权限；
建设公司技经人员负责审核设计变更、现场签证费用，对合规性进行把关。
10、电网基建业务-14.物资现场到货与采购一致性控制-控制措施01各级单位物资部门建立供应商、建设管理单位项目经理、物资供应人员三方到货交接责任机制，确保物资现场到货与采购合同一致；物资实行“按需领用、实名登记”。
11、电网基建业务-14.物资现场到货与采购一致性控制-控制措施02各级单位建设部门建立现场物资安全保管责任制，明确设备移交双方责任，依托实物ID赋码实现全流程线上跟踪；无实物ID物资建立线上虚拟台账，定期开展账实核对并留存核对记录；
12、电网基建业务-14.物资现场到货与采购一致性控制-控制措施03各级单位建设部门建立现场物资盘点机制，定期组织开展实物台账一致性核查。落实盘点人与保管人不相容岗位内控要求。
13、电网基建业务-16.施工成本报账与现场进度一致性控制-控制措施01各级单位建设部门建立健全项目工程量与报账复核机制：
报账时，提供工程量清单、合同付款单等相关佐证材料，确保现场工作量与报账保持相对一致；
支付工程预付款时，审核是否开具收据或不征税普通发票，严禁提前确认工程成本；
审核进度款时，审核报审表与工程量清单进度一致，检查预付款扣回条款落实情况，按照合同约定在支付进度款时扣回预付款，确保进度款支付进度不超过合同约定。
建设公司技经人员对预付款、进度款报审费用及资料合规性进行审核，按照合同约定在支付进度款时扣回预付款，确保进度款支付进度不超过合同约定。
14、电网基建业务-17.长期挂账在建工程清理-控制措施01各级单位财务部门建立在建工程长期挂账预警机制，按《国网工程财务管理办法》规定，对6个月及以上无支出的在建工程提出停滞预警，对一年以上无支出的在建工程提出核销预警，并结合区域特点（东北长期封冻期）、项目类型（藏区环境保护）、季节特性（春节、迎峰度夏期间）等并结合区域特点季节特性（春节、迎峰度夏度冬、春雨季、防汛期间）等，适当调整停滞预警和核销预警的时间；
15、电网基建业务-20.工程成本暂估的真实性、准确性控制-控制措施01各级单位建设部门对暂估后成本低于概算75%或超概算仍进行暂估的，需履行相应审批程序；
建设公司技经人员定期开展建设工程成本分析，若存在工程成本超概算风险，及时组织上报并组织概算调整工作。竣工结算批复下达后及时完成项目成本入账。
16、电网基建业务-22.已领未用物资退库控制-控制措施02各级单位财务部门比对出库物资、结算审定使用、结余物资退库的明细及数量，复核物资结余退库情况；
各级单位物资部门建立结余物资损失责任追究机制。投运后1个月内完成盘点，3个月内完成退库；决算前组织物资清理、资产盘点，确保账、卡、物一致。
17、电网基建业务-23.拆旧物资处置控制-控制措施02各级单位物资部门建设部门、财务部门复核结算审定拆旧物资量与实际退库数量，对未提交拆除资产回收资料、应拆实交量存在重大偏差且无合理解释的，追究相关岗位责任。
建设公司技经人员负责接收、核验对拆旧物资移交不符要求单位的考核资料，配合协调相关责任单位缴纳考核金或扣减支付款，在工程竣工投产 110 天内向财务资产部提交考核资料、缴款凭证或扣款单。
18、电网基建业务-27.项目结算时效管控-控制措施03各级单位建设部门启动资料预核查，督促施工单位及时补齐缺失要件；
建设公司技经人员严格执行结算及时性要求，根据合同、协议条款，对未及时提交结算资料的参建单位进行监督考核。
19、电网基建业务-30.工程竣工决算分级审核控制-控制措施03各级单位财务部门对竣工决算金额与项目成本进行复核，确保二者一致。各级单位财务部门对竣工决算金额与项目成本进行复核，确保二者一致。强化过程跟踪审计和结算初审，推动审计监督关口前移。</t>
  </si>
  <si>
    <t>2、</t>
  </si>
  <si>
    <r>
      <rPr>
        <sz val="10"/>
        <rFont val="方正仿宋_GBK"/>
        <charset val="134"/>
      </rPr>
      <t xml:space="preserve">各级单位财务部门负责项目储备立项金额复核，建立投资计划与财务预算的复核机制，确保项目“有计划、有预算、有支出”。
</t>
    </r>
    <r>
      <rPr>
        <sz val="10"/>
        <color rgb="FFFF0000"/>
        <rFont val="方正仿宋_GBK"/>
        <charset val="134"/>
      </rPr>
      <t>计划经营部建立投资计划与财务预算的复核机制，确保项目“有计划、有预算、有支出”。</t>
    </r>
  </si>
  <si>
    <t>3、</t>
  </si>
  <si>
    <r>
      <rPr>
        <sz val="10"/>
        <rFont val="方正仿宋_GBK"/>
        <charset val="134"/>
      </rPr>
      <t>需调整概算时，各级单位建设部门严格履行项目概算调整审批流程。</t>
    </r>
    <r>
      <rPr>
        <sz val="10"/>
        <color rgb="FFFF0000"/>
        <rFont val="方正仿宋_GBK"/>
        <charset val="134"/>
      </rPr>
      <t>加强初设审查，逐项核验工程量、设备选型、材料规格；重点审查复杂地质、新型施工方式等高危环节方案可行性与投资匹配性；核定概算上限，确立投资“红线”；建安费限价对比清单总价下浮2%，勘察设计（非研设一体化）下浮15%，物资按上年度均价下浮5%。</t>
    </r>
  </si>
  <si>
    <t>4、</t>
  </si>
  <si>
    <r>
      <rPr>
        <strike/>
        <sz val="10"/>
        <rFont val="方正仿宋_GBK"/>
        <charset val="134"/>
      </rPr>
      <t>各级单位物资部门</t>
    </r>
    <r>
      <rPr>
        <sz val="10"/>
        <color rgb="FFFF0000"/>
        <rFont val="方正仿宋_GBK"/>
        <charset val="134"/>
      </rPr>
      <t>各级单位建设部门</t>
    </r>
    <r>
      <rPr>
        <sz val="10"/>
        <rFont val="方正仿宋_GBK"/>
        <charset val="134"/>
      </rPr>
      <t>对合同条款与合同招标文件进行复核。</t>
    </r>
  </si>
  <si>
    <t>5、</t>
  </si>
  <si>
    <t>6、</t>
  </si>
  <si>
    <r>
      <rPr>
        <strike/>
        <sz val="10"/>
        <rFont val="方正仿宋_GBK"/>
        <charset val="134"/>
      </rPr>
      <t>各级单位建设部门建立“谁鉴证谁负责”查勘机制，各级单位、施工单位、监理单位对现场进行查勘，并对查勘结果负责；</t>
    </r>
    <r>
      <rPr>
        <sz val="10"/>
        <color rgb="FFFF0000"/>
        <rFont val="方正仿宋_GBK"/>
        <charset val="134"/>
      </rPr>
      <t xml:space="preserve">
建设公司技经人员配合项目经理进行设计变更现场查勘，对合规性进行把关。</t>
    </r>
  </si>
  <si>
    <t>7、</t>
  </si>
  <si>
    <r>
      <rPr>
        <strike/>
        <sz val="10"/>
        <rFont val="方正仿宋_GBK"/>
        <charset val="134"/>
      </rPr>
      <t>各级单位建设部门建立“谁审批谁负责”复核机制，各级单位、施工单位、监理单位对查勘结果进行审批复核；</t>
    </r>
    <r>
      <rPr>
        <sz val="10"/>
        <color rgb="FFFF0000"/>
        <rFont val="方正仿宋_GBK"/>
        <charset val="134"/>
      </rPr>
      <t>建设公司技经人员负责审核设计变更、现场签证费用，对合规性进行把关。</t>
    </r>
  </si>
  <si>
    <t>8、</t>
  </si>
  <si>
    <r>
      <rPr>
        <strike/>
        <sz val="10"/>
        <rFont val="方正仿宋_GBK"/>
        <charset val="134"/>
      </rPr>
      <t>各级单位建设部门严格履行设计变更分级审批流程权限；</t>
    </r>
    <r>
      <rPr>
        <sz val="10"/>
        <color rgb="FFFF0000"/>
        <rFont val="方正仿宋_GBK"/>
        <charset val="134"/>
      </rPr>
      <t xml:space="preserve">
建设公司技经人员负责审核设计变更、现场签证费用，对合规性进行把关。</t>
    </r>
  </si>
  <si>
    <t>9、</t>
  </si>
  <si>
    <t>10、</t>
  </si>
  <si>
    <t>11、</t>
  </si>
  <si>
    <t>12、</t>
  </si>
  <si>
    <r>
      <rPr>
        <strike/>
        <sz val="10"/>
        <rFont val="方正仿宋_GBK"/>
        <charset val="134"/>
      </rPr>
      <t>各级单位建设部门建立健全项目工程量与报账复核机制：
报账时，提供工程量清单、合同付款单等相关佐证材料，确保现场工作量与报账保持相对一致；
支付工程预付款时，审核是否开具收据或不征税普通发票，严禁提前确认工程成本；
审核进度款时，审核报审表与工程量清单进度一致，检查预付款扣回条款落实情况，按照合同约定在支付进度款时扣回预付款，确保进度款支付进度不超过合同约定。</t>
    </r>
    <r>
      <rPr>
        <sz val="10"/>
        <color rgb="FFFF0000"/>
        <rFont val="方正仿宋_GBK"/>
        <charset val="134"/>
      </rPr>
      <t xml:space="preserve">
建设公司技经人员对预付款、进度款报审费用及资料合规性进行审核，按照合同约定在支付进度款时扣回预付款，确保进度款支付进度不超过合同约定。</t>
    </r>
  </si>
  <si>
    <t>13、</t>
  </si>
  <si>
    <t>14、</t>
  </si>
  <si>
    <r>
      <rPr>
        <strike/>
        <sz val="10"/>
        <rFont val="方正仿宋_GBK"/>
        <charset val="134"/>
      </rPr>
      <t>各级单位建设部门对暂估后成本低于概算75%或超概算仍进行暂估的，需履行相应审批程序；</t>
    </r>
    <r>
      <rPr>
        <sz val="10"/>
        <color rgb="FFFF0000"/>
        <rFont val="方正仿宋_GBK"/>
        <charset val="134"/>
      </rPr>
      <t xml:space="preserve">
建设公司技经人员定期开展建设工程成本分析，若存在工程成本超概算风险，及时组织上报并组织概算调整工作。竣工结算批复下达后及时完成项目成本入账。</t>
    </r>
  </si>
  <si>
    <t>15、</t>
  </si>
  <si>
    <t>16、</t>
  </si>
  <si>
    <r>
      <rPr>
        <sz val="10"/>
        <rFont val="方正仿宋_GBK"/>
        <charset val="134"/>
      </rPr>
      <t>各级单位</t>
    </r>
    <r>
      <rPr>
        <strike/>
        <sz val="10"/>
        <rFont val="方正仿宋_GBK"/>
        <charset val="134"/>
      </rPr>
      <t>物资部门</t>
    </r>
    <r>
      <rPr>
        <sz val="10"/>
        <color rgb="FFFF0000"/>
        <rFont val="方正仿宋_GBK"/>
        <charset val="134"/>
      </rPr>
      <t>建设部门</t>
    </r>
    <r>
      <rPr>
        <sz val="10"/>
        <rFont val="方正仿宋_GBK"/>
        <charset val="134"/>
      </rPr>
      <t xml:space="preserve">、财务部门复核结算审定拆旧物资量与实际退库数量，对未提交拆除资产回收资料、应拆实交量存在重大偏差且无合理解释的，追究相关岗位责任。
</t>
    </r>
    <r>
      <rPr>
        <sz val="10"/>
        <color rgb="FFFF0000"/>
        <rFont val="方正仿宋_GBK"/>
        <charset val="134"/>
      </rPr>
      <t>建设公司技经人员负责接收、核验对拆旧物资移交不符要求单位的考核资料，配合协调相关责任单位缴纳考核金或扣减支付款，在工程竣工投产 110 天内向财务资产部提交考核资料、缴款凭证或扣款单。</t>
    </r>
  </si>
  <si>
    <t>17、</t>
  </si>
  <si>
    <r>
      <rPr>
        <strike/>
        <sz val="10"/>
        <rFont val="方正仿宋_GBK"/>
        <charset val="134"/>
      </rPr>
      <t>各级单位建设部门启动资料预核查，督促施工单位及时补齐缺失要件；</t>
    </r>
    <r>
      <rPr>
        <sz val="10"/>
        <color rgb="FFFF0000"/>
        <rFont val="方正仿宋_GBK"/>
        <charset val="134"/>
      </rPr>
      <t xml:space="preserve">
建设公司技经人员严格执行结算及时性要求，根据合同、协议条款，对未及时提交结算资料的参建单位进行监督考核。</t>
    </r>
  </si>
  <si>
    <t>18、</t>
  </si>
  <si>
    <r>
      <rPr>
        <sz val="10"/>
        <rFont val="方正仿宋_GBK"/>
        <charset val="134"/>
      </rPr>
      <t>各级单位财务部门对竣工决算金额与项目成本进行复核，确保二者一致。</t>
    </r>
    <r>
      <rPr>
        <sz val="10"/>
        <color rgb="FFFF0000"/>
        <rFont val="方正仿宋_GBK"/>
        <charset val="134"/>
      </rPr>
      <t>各级单位财务部门对竣工决算金额与项目成本进行复核，确保二者一致。强化过程跟踪审计和结算初审，推动审计监督关口前移。</t>
    </r>
  </si>
  <si>
    <r>
      <rPr>
        <strike/>
        <sz val="10"/>
        <rFont val="方正仿宋_GBK"/>
        <charset val="134"/>
      </rPr>
      <t>建设公司-财务资产部-工程财务人员</t>
    </r>
    <r>
      <rPr>
        <sz val="10"/>
        <rFont val="方正仿宋_GBK"/>
        <charset val="134"/>
      </rPr>
      <t xml:space="preserve">
</t>
    </r>
    <r>
      <rPr>
        <sz val="10"/>
        <color rgb="FFFF0000"/>
        <rFont val="方正仿宋_GBK"/>
        <charset val="134"/>
      </rPr>
      <t>各级单位-财务部门-工程（前期）财务人员</t>
    </r>
  </si>
  <si>
    <r>
      <rPr>
        <strike/>
        <sz val="10"/>
        <rFont val="方正仿宋_GBK"/>
        <charset val="134"/>
      </rPr>
      <t>各级单位-经研院、所-技经人员</t>
    </r>
    <r>
      <rPr>
        <sz val="10"/>
        <rFont val="方正仿宋_GBK"/>
        <charset val="134"/>
      </rPr>
      <t xml:space="preserve">
</t>
    </r>
    <r>
      <rPr>
        <sz val="10"/>
        <color rgb="FFFF0000"/>
        <rFont val="方正仿宋_GBK"/>
        <charset val="134"/>
      </rPr>
      <t>省公司-经研院、所-技经人员</t>
    </r>
  </si>
  <si>
    <r>
      <rPr>
        <strike/>
        <sz val="10"/>
        <rFont val="方正仿宋_GBK"/>
        <charset val="134"/>
      </rPr>
      <t>各级单位-建设部门-技经人员</t>
    </r>
    <r>
      <rPr>
        <sz val="10"/>
        <rFont val="方正仿宋_GBK"/>
        <charset val="134"/>
      </rPr>
      <t xml:space="preserve">
</t>
    </r>
    <r>
      <rPr>
        <sz val="10"/>
        <color rgb="FFFF0000"/>
        <rFont val="方正仿宋_GBK"/>
        <charset val="134"/>
      </rPr>
      <t>建设公司--技经中心-技经人员</t>
    </r>
  </si>
  <si>
    <r>
      <rPr>
        <strike/>
        <sz val="10"/>
        <rFont val="方正仿宋_GBK"/>
        <charset val="134"/>
      </rPr>
      <t>各级单位-建设部门-技经人员</t>
    </r>
    <r>
      <rPr>
        <sz val="10"/>
        <rFont val="方正仿宋_GBK"/>
        <charset val="134"/>
      </rPr>
      <t xml:space="preserve">
</t>
    </r>
    <r>
      <rPr>
        <sz val="10"/>
        <color rgb="FFFF0000"/>
        <rFont val="方正仿宋_GBK"/>
        <charset val="134"/>
      </rPr>
      <t>省公司-建设部门-技经人员-财务部门-工程财务人员；建设公司-建管分公司-项目经理、技经中心--技经人员、前期中心-前期管理人员
财务部-工程（预算）财务人员</t>
    </r>
  </si>
  <si>
    <r>
      <rPr>
        <sz val="10"/>
        <rFont val="方正仿宋_GBK"/>
        <charset val="134"/>
      </rPr>
      <t>各级单位建设部门加强施工业务外包合同管理，完善合同穿透机制，形成“总-分包”合同的关联关系，穿透形成建设单位、总包单位、分包单位的合同主体关联关系，对比总分合同金额及服务内容研判是否超比例、超范围分包。</t>
    </r>
    <r>
      <rPr>
        <strike/>
        <sz val="10"/>
        <rFont val="方正仿宋_GBK"/>
        <charset val="134"/>
      </rPr>
      <t>完善外包单位评价机制，对违规外包行为开展评价，建立负面清单</t>
    </r>
    <r>
      <rPr>
        <sz val="10"/>
        <rFont val="方正仿宋_GBK"/>
        <charset val="134"/>
      </rPr>
      <t>。</t>
    </r>
  </si>
  <si>
    <r>
      <rPr>
        <strike/>
        <sz val="10"/>
        <rFont val="方正仿宋_GBK"/>
        <charset val="134"/>
      </rPr>
      <t xml:space="preserve">各级单位-建设部门-项目经理
建设公司-建管分公司-项目经理、技经中心-技经人员
</t>
    </r>
    <r>
      <rPr>
        <sz val="10"/>
        <color rgb="FFFF0000"/>
        <rFont val="方正仿宋_GBK"/>
        <charset val="134"/>
      </rPr>
      <t>省公司-建设部、省公司-安监部</t>
    </r>
  </si>
  <si>
    <r>
      <rPr>
        <strike/>
        <sz val="10"/>
        <rFont val="方正仿宋_GBK"/>
        <charset val="134"/>
      </rPr>
      <t>各二级单位牵头部门要对照《保障农民工工资支付条例》，</t>
    </r>
    <r>
      <rPr>
        <sz val="10"/>
        <color rgb="FFFF0000"/>
        <rFont val="方正仿宋_GBK"/>
        <charset val="134"/>
      </rPr>
      <t>各单位对照省公司《保障农民工工资支付条例》</t>
    </r>
    <r>
      <rPr>
        <sz val="10"/>
        <rFont val="方正仿宋_GBK"/>
        <charset val="134"/>
      </rPr>
      <t>，结合属地人社部门出台的农民工工资管理细则，建立本单位农民工工资管理制度</t>
    </r>
    <r>
      <rPr>
        <sz val="10"/>
        <color rgb="FFFF0000"/>
        <rFont val="方正仿宋_GBK"/>
        <charset val="134"/>
      </rPr>
      <t>保障机制</t>
    </r>
    <r>
      <rPr>
        <sz val="10"/>
        <rFont val="方正仿宋_GBK"/>
        <charset val="134"/>
      </rPr>
      <t>，明确总包代发、农民工工资专户的适用范围、开立标准与代发流程，强化制度保障。</t>
    </r>
  </si>
  <si>
    <r>
      <rPr>
        <strike/>
        <sz val="10"/>
        <rFont val="方正仿宋_GBK"/>
        <charset val="134"/>
      </rPr>
      <t>是</t>
    </r>
    <r>
      <rPr>
        <sz val="10"/>
        <color rgb="FFFF0000"/>
        <rFont val="方正仿宋_GBK"/>
        <charset val="134"/>
      </rPr>
      <t>否</t>
    </r>
  </si>
  <si>
    <t xml:space="preserve">1.临时用地耕地占用税管理台账2.税款缴纳凭证             3.土地复垦实施方案         4.复垦现场验收报告、肯定验收不合格认定书、税款损失认定审批材料          </t>
  </si>
  <si>
    <t>各级单位建设部门分析设计变更频次、金额，对设计、施工、监理单位开展评价。</t>
  </si>
  <si>
    <t>电网基建业务-13.设计变更与现场签证真实性审核控制-控制措施05</t>
  </si>
  <si>
    <t>变更签证线上审批，未批先干处罚1万元/次；落实四方签证制度，隐蔽工程多方联合现场测量、签字确认；临时占地费超标准部分由施工方自行承担，不得纳入结算；压实监理责任，将工程量核查纳入履职评价；推行“现场核量+资料审核”双控模式，结算前实测实量、逐项核验；实施“编审分离”与交叉复核，重点复核重大变更及易错项；竣工图未100%反映变更的不予结算；设计费、监理费支付与造价控制成效挂钩，超差按比例核减；依托智慧财务中台归集“四算”数据，发布预警清单；</t>
  </si>
  <si>
    <t xml:space="preserve">1. 可研估算书
2.初设概算表；
3.施工图预算书；
4.工程结算书；
5. 工程变更签证单；
6. 合同执行情况记录表；
7. 结算审核意见及报告；
8.财务决算报表；
9.决算审计报告
</t>
  </si>
  <si>
    <t>省公司-财务部</t>
  </si>
  <si>
    <t>国网湖南省电力有限公司建设分公司关于印发加强工程造价管控三年行动实施方案的通知（湘电建财〔2026〕7号）</t>
  </si>
  <si>
    <t>请财务部工程资产处增加造价管控内容</t>
  </si>
  <si>
    <t>有些施工过程管控在原有的版本里已有体现，建议不再重复设置，将造价的具体要求融入进去。</t>
  </si>
  <si>
    <t>新增控制措施</t>
  </si>
  <si>
    <r>
      <rPr>
        <strike/>
        <sz val="10"/>
        <rFont val="方正仿宋_GBK"/>
        <charset val="134"/>
      </rPr>
      <t>各级单位-建设部门-项目经理、各级单位-设备部门-设备资产管理人员</t>
    </r>
    <r>
      <rPr>
        <sz val="10"/>
        <rFont val="方正仿宋_GBK"/>
        <charset val="134"/>
      </rPr>
      <t xml:space="preserve">
</t>
    </r>
    <r>
      <rPr>
        <sz val="10"/>
        <color rgb="FFFF0000"/>
        <rFont val="方正仿宋_GBK"/>
        <charset val="134"/>
      </rPr>
      <t>建设公司-技术质量部-质量专责岗、
建管分公司-项目经理、
各级单位-设备部门-设备资产管理人员、技术质量部
超高压变电公司-运维检修部-生产准备专责</t>
    </r>
  </si>
  <si>
    <r>
      <rPr>
        <strike/>
        <sz val="10"/>
        <color theme="1"/>
        <rFont val="方正仿宋_GBK"/>
        <charset val="134"/>
      </rPr>
      <t>各级单位-建设部门-项目经理、各级单位-设备部门-设备资产管理人员、各级单位-资产使用保管部门-资产使用保管人员</t>
    </r>
    <r>
      <rPr>
        <sz val="10"/>
        <color theme="1"/>
        <rFont val="方正仿宋_GBK"/>
        <charset val="134"/>
      </rPr>
      <t xml:space="preserve">
</t>
    </r>
    <r>
      <rPr>
        <sz val="10"/>
        <color rgb="FFFF0000"/>
        <rFont val="方正仿宋_GBK"/>
        <charset val="134"/>
      </rPr>
      <t>建设公司-建管分公司-项目经理、请资产接收单位
超高压变电公司-运维检修部-生产准备专责</t>
    </r>
  </si>
  <si>
    <r>
      <rPr>
        <strike/>
        <sz val="10"/>
        <rFont val="方正仿宋_GBK"/>
        <charset val="134"/>
      </rPr>
      <t>各级单位-设备部门-设备资产管理人员</t>
    </r>
    <r>
      <rPr>
        <sz val="10"/>
        <color rgb="FFFF0000"/>
        <rFont val="方正仿宋_GBK"/>
        <charset val="134"/>
      </rPr>
      <t xml:space="preserve">
超高压变电公司-运维检修部-生产准备专责</t>
    </r>
  </si>
  <si>
    <r>
      <rPr>
        <strike/>
        <sz val="10"/>
        <rFont val="方正仿宋_GBK"/>
        <charset val="134"/>
      </rPr>
      <t>各级单位-建设部门-项目经理、各级单位-设备部门-设备资产管理人员、各级单位-财务部门-工程财务人员</t>
    </r>
    <r>
      <rPr>
        <sz val="10"/>
        <rFont val="方正仿宋_GBK"/>
        <charset val="134"/>
      </rPr>
      <t xml:space="preserve">
</t>
    </r>
    <r>
      <rPr>
        <sz val="10"/>
        <color rgb="FFFF0000"/>
        <rFont val="方正仿宋_GBK"/>
        <charset val="134"/>
      </rPr>
      <t>建设公司--技经中心-技经人员、建设公司-财务部门-工程结算与决算财务人员</t>
    </r>
  </si>
  <si>
    <r>
      <rPr>
        <strike/>
        <sz val="10"/>
        <color theme="1"/>
        <rFont val="方正仿宋_GBK"/>
        <charset val="134"/>
      </rPr>
      <t>各级单位-建设部门-项目经理、各级单位-物资部门-物资管理人员</t>
    </r>
    <r>
      <rPr>
        <sz val="10"/>
        <color theme="1"/>
        <rFont val="方正仿宋_GBK"/>
        <charset val="134"/>
      </rPr>
      <t xml:space="preserve">
</t>
    </r>
    <r>
      <rPr>
        <sz val="10"/>
        <color rgb="FFFF0000"/>
        <rFont val="方正仿宋_GBK"/>
        <charset val="134"/>
      </rPr>
      <t>建设公司-建管分公司-项目经理、各级单位-物资管理人员（请物资公司补充）</t>
    </r>
  </si>
  <si>
    <r>
      <rPr>
        <strike/>
        <sz val="10"/>
        <rFont val="方正仿宋_GBK"/>
        <charset val="134"/>
      </rPr>
      <t>各级单位-建设部门-项目经理、各级单位-设备部门-设备资产管理人员</t>
    </r>
    <r>
      <rPr>
        <sz val="10"/>
        <rFont val="方正仿宋_GBK"/>
        <charset val="134"/>
      </rPr>
      <t xml:space="preserve">
</t>
    </r>
    <r>
      <rPr>
        <sz val="10"/>
        <color rgb="FFFF0000"/>
        <rFont val="方正仿宋_GBK"/>
        <charset val="134"/>
      </rPr>
      <t>建设公司-建管分公司-项目经理、各单位-设备部门-设备资产管理人员
超高压变电公司-运维检修部-实物资产管理专责</t>
    </r>
  </si>
  <si>
    <r>
      <rPr>
        <strike/>
        <sz val="10"/>
        <rFont val="方正仿宋_GBK"/>
        <charset val="134"/>
      </rPr>
      <t>各级单位-物资部门-物资管理人员、各级单位-财务部门-工程财务人员</t>
    </r>
    <r>
      <rPr>
        <sz val="10"/>
        <rFont val="方正仿宋_GBK"/>
        <charset val="134"/>
      </rPr>
      <t xml:space="preserve">
</t>
    </r>
    <r>
      <rPr>
        <sz val="10"/>
        <color rgb="FFFF0000"/>
        <rFont val="方正仿宋_GBK"/>
        <charset val="134"/>
      </rPr>
      <t>建设公司-建管分公司-项目经理、
技经中心-技经人员、
建设公司-财务部门-工程结算与决算财务人员；
各单位-设备部门-设备资产管理人员
超高压变电公司-运维检修部-实物资产管理专责</t>
    </r>
  </si>
  <si>
    <t>电网基建业务-26.合同计价的合规性控制-控制措施03</t>
  </si>
  <si>
    <t>将不平衡报价列为重点审查项，在合同条款中增设风险规避条款；合同中明确变更签证审批流程、结算方式及违约处罚条款；</t>
  </si>
  <si>
    <t>开展二级专区物资、施工、服务招标采购时，要科学设定最高限价。施工、服务类招标采购必须设置最高限价。物资招标采购最高限价应设尽设，确有特殊原因未设置最高限价的，应出具说明材料履行审批手续。</t>
  </si>
  <si>
    <t>建设公司-工程财务岗-技经人员-前期管理人员；属地公司-工程。。。。（补充）</t>
  </si>
  <si>
    <t>保险管理</t>
  </si>
  <si>
    <t>未及时投保或投保信息、金额不准确，导致保险保障缺失，发生损失无法获得赔付。</t>
  </si>
  <si>
    <t>投保与信息审核</t>
  </si>
  <si>
    <t xml:space="preserve">
签订施工合同后，同步购置建安工程一切险，确保保险期间与施工合同工期一致，投保数据真实完整。</t>
  </si>
  <si>
    <t>电网基建业务-电网基建业务-保险管理-控制措施02</t>
  </si>
  <si>
    <t>财务部会同相关业务部门拟定年度投保方案，明确险种、费率、期限、责任和承保范围等，按规定报批。财务部会同专业部门确保报送的人员、车辆、设备资产等投保数据内容真实完整。</t>
  </si>
  <si>
    <t xml:space="preserve">
1.投保数据清册
2.施工合同
3.工程里程碑计划（开工、竣工投产时间）
4.工程概算批复</t>
  </si>
  <si>
    <t>建设公司-建管项目分公司-项目经理、财务资产部-保险管理岗</t>
  </si>
  <si>
    <t>《国网湖南省电力有限公司保险管理办法（试行）》（湘电公司财〔2023〕290号）第三章、第八条</t>
  </si>
  <si>
    <t>新增关键控制点“投保”</t>
  </si>
  <si>
    <t>工程建设工期延长导致保险期间届满后工程仍未竣工，出现保障空窗期，发生损失无法获得赔付。</t>
  </si>
  <si>
    <t>延保申请与审批</t>
  </si>
  <si>
    <t>工程未按期竣工时，应在保险期间届满前及时办理延期手续，确保保障连续。</t>
  </si>
  <si>
    <t>电网基建业务-电网基建业务-保险管理-控制措施03</t>
  </si>
  <si>
    <t>1.各单位应在保险期间届满前评估工程进度，若预计无法按期竣工，应至少提前30日书面通知保险经纪公司和财务部门，提出延保申请。
2.财务部会同建管项目建设公司审核延保申请，确认剩余工程量清单和延期原因，按分级授权权限审批后，报送保险公司办理延期手续。
3.建管项目分公司应建立延保台账，跟踪延保期限及保费缴纳情况，防止因延保过期导致保障中断。工程竣工后，及时办理保险责任终止手续。</t>
  </si>
  <si>
    <t>1. 工程进度计划
2. 延保申请函
3. 剩余工程量清单
4. 延保审批表
5. 延保台账
6. 保险到期预警记录</t>
  </si>
  <si>
    <t>《国网湖南省电力有限公司保险管理办法（试行）》（湘电公司财〔2023〕290号）第四章、第六条、第八条；保险行业惯例</t>
  </si>
  <si>
    <t>基建部、财务部</t>
  </si>
  <si>
    <t>1.发生保险事故未及时报案、未通过统一报案平台报案、未保护现场或施救不当，导致损失无法认定，理赔受阻。
2.定损过程中虚报损失或维修范围，导致骗保风险或资金流失。
3.理赔资金未规范使用，截留、私分或挪作他用。</t>
  </si>
  <si>
    <t>报案与现场管控 、定损与维修审核、理赔资金使用</t>
  </si>
  <si>
    <t>1.事故发生后48小时内报案，积极施救并保留现场证据。
2.定损清单与维修清单一致，维修范围与理赔范围一致。
3.理赔资金专项用于保险案件支出，余额及时清理。</t>
  </si>
  <si>
    <t>电网基建业务-电网基建业务-保险管理-控制措施04</t>
  </si>
  <si>
    <t>1.资产使用保管部门发生保险事故后应在48小时内通过统一报案平台报案，并报告财务部门，涉及第三者人身伤亡的同步报告法律部门。
2.资产使用保管部门应积极施救，保留相关记录和支出证明。施救导致无法保留现场的，应对损失现场、施救过程拍照或摄像取证。
3. 单个案件估损金额超过100万元的，应通知保险经纪公司参与现场查勘，开展资产公估。
4.各单位资产使用保管部门应根据现场受损情况，审核确认定损清单、维修清单，确保维修标的与定损、理赔标的一致。
5.应加强保险理赔资金的使用管理，不得发生与保险案件无关的支出，每季度末应清理保险理赔款余额。无对外支付事项的，余额必须结零。
6.财务部对撤案、零结和注销案件按权限审批。估损金额30万元及以上的，需报省公司财务部审批。</t>
  </si>
  <si>
    <t>1. 报案台账
2. 施救记录
3. 现场影像资料
4. 公估报告（如有）
5. 定损清单
6. 维修清单
7. 理赔资金台账
8. 余额清理记录</t>
  </si>
  <si>
    <t>《国网湖南省电力有限公司保险管理办法（试行）》（湘电公司财〔2023〕290号）第四章、第十七条、第二十三条、第三十二条、第三十五条、第六条、第八条</t>
  </si>
  <si>
    <r>
      <rPr>
        <strike/>
        <sz val="10"/>
        <rFont val="方正仿宋_GBK"/>
        <charset val="134"/>
      </rPr>
      <t>各级单位-发展部门-投资管理人员、各级单位-发展部门-审批人员</t>
    </r>
    <r>
      <rPr>
        <sz val="10"/>
        <rFont val="方正仿宋_GBK"/>
        <charset val="134"/>
      </rPr>
      <t xml:space="preserve">
</t>
    </r>
    <r>
      <rPr>
        <sz val="10"/>
        <color rgb="FFFF0000"/>
        <rFont val="方正仿宋_GBK"/>
        <charset val="134"/>
      </rPr>
      <t>省公司-发展部门-投资管理人员、建设公司-计划经营部-审批人员</t>
    </r>
  </si>
  <si>
    <r>
      <rPr>
        <strike/>
        <sz val="10"/>
        <rFont val="方正仿宋_GBK"/>
        <charset val="134"/>
      </rPr>
      <t>各级单位-发展部门-可研核准管理人员、各级单位-建设部门-计划人员、各级单位-财务部门-工程管理人员</t>
    </r>
    <r>
      <rPr>
        <sz val="10"/>
        <rFont val="方正仿宋_GBK"/>
        <charset val="134"/>
      </rPr>
      <t xml:space="preserve">
</t>
    </r>
    <r>
      <rPr>
        <sz val="10"/>
        <color rgb="FFFF0000"/>
        <rFont val="方正仿宋_GBK"/>
        <charset val="134"/>
      </rPr>
      <t>省公司-发展部门-可研核准管理人员、省公司-建设部门-技经、省公司-财务部门-工程财务人员</t>
    </r>
  </si>
  <si>
    <t>经营部</t>
  </si>
  <si>
    <r>
      <rPr>
        <sz val="10"/>
        <rFont val="方正仿宋_GBK"/>
        <charset val="134"/>
      </rPr>
      <t>各级单位财务部门负责审核财务合规性，会签可研批复、确保严肃有效；</t>
    </r>
    <r>
      <rPr>
        <sz val="10"/>
        <color rgb="FFFF0000"/>
        <rFont val="方正仿宋_GBK"/>
        <charset val="134"/>
      </rPr>
      <t>审核过程中要深化内部价格库数据应用，借助智能评审工具分析比对项目造价水平，从严挡出不合理、高造价项目。</t>
    </r>
  </si>
  <si>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省公司-财务部门-工程财务人员、建设公司-财务部门-工程财务人员</t>
    </r>
  </si>
  <si>
    <r>
      <rPr>
        <strike/>
        <sz val="10"/>
        <color theme="1"/>
        <rFont val="方正仿宋_GBK"/>
        <charset val="134"/>
      </rPr>
      <t>各级单位-发展部门-前期规划人员</t>
    </r>
    <r>
      <rPr>
        <sz val="10"/>
        <color theme="1"/>
        <rFont val="方正仿宋_GBK"/>
        <charset val="134"/>
      </rPr>
      <t xml:space="preserve">
</t>
    </r>
    <r>
      <rPr>
        <sz val="10"/>
        <color rgb="FFFF0000"/>
        <rFont val="方正仿宋_GBK"/>
        <charset val="134"/>
      </rPr>
      <t>省公司-发展部门-计划管理人员；建设公司-计划经营部-前期规划人员</t>
    </r>
  </si>
  <si>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省公司-财务部门-工程财务人员；建设公司-财务资产部-工程财务人员</t>
    </r>
  </si>
  <si>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建设公司-财务资产部-工程财务人员</t>
    </r>
  </si>
  <si>
    <r>
      <rPr>
        <strike/>
        <sz val="10"/>
        <rFont val="方正仿宋_GBK"/>
        <charset val="134"/>
      </rPr>
      <t>建设公司-财务资产部-工程财务人员</t>
    </r>
    <r>
      <rPr>
        <sz val="10"/>
        <rFont val="方正仿宋_GBK"/>
        <charset val="134"/>
      </rPr>
      <t xml:space="preserve">
</t>
    </r>
    <r>
      <rPr>
        <sz val="10"/>
        <color rgb="FFFF0000"/>
        <rFont val="方正仿宋_GBK"/>
        <charset val="134"/>
      </rPr>
      <t>各级单位-财务部门-工程财务人员</t>
    </r>
  </si>
  <si>
    <r>
      <rPr>
        <strike/>
        <sz val="10"/>
        <rFont val="方正仿宋_GBK"/>
        <charset val="134"/>
      </rPr>
      <t>各级单位-发展部门-前期规划人员</t>
    </r>
    <r>
      <rPr>
        <sz val="10"/>
        <rFont val="方正仿宋_GBK"/>
        <charset val="134"/>
      </rPr>
      <t xml:space="preserve">
</t>
    </r>
    <r>
      <rPr>
        <sz val="10"/>
        <color rgb="FFFF0000"/>
        <rFont val="方正仿宋_GBK"/>
        <charset val="134"/>
      </rPr>
      <t>各级单位-发展部门-前期规划人员-财务部门-工程财务人员；建设公司-前期管理中心-前期人员-计划经营部-审核人员-财务资产部-工程财务人员</t>
    </r>
  </si>
  <si>
    <t>各级单位财务部门负责项目储备立项金额复核，建立投资计划与财务预算的复核机制，确保项目“有计划、有预算、有支出”。</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</si>
  <si>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省公司-财务部门-工程财务人员</t>
    </r>
  </si>
  <si>
    <r>
      <rPr>
        <strike/>
        <sz val="10"/>
        <rFont val="方正仿宋_GBK"/>
        <charset val="134"/>
      </rPr>
      <t>各级单位-建设部门-技经人员</t>
    </r>
    <r>
      <rPr>
        <sz val="10"/>
        <rFont val="方正仿宋_GBK"/>
        <charset val="134"/>
      </rPr>
      <t xml:space="preserve">
</t>
    </r>
    <r>
      <rPr>
        <sz val="10"/>
        <color rgb="FFFF0000"/>
        <rFont val="方正仿宋_GBK"/>
        <charset val="134"/>
      </rPr>
      <t>建设公司-项目经理-技经人员</t>
    </r>
  </si>
  <si>
    <t>需调整概算时，各级单位建设部门严格履行项目概算调整审批流程。</t>
  </si>
  <si>
    <t>各级单位-建设部门-技经人员</t>
  </si>
  <si>
    <r>
      <rPr>
        <strike/>
        <sz val="10"/>
        <rFont val="方正仿宋_GBK"/>
        <charset val="134"/>
      </rPr>
      <t>各级单位-建设部门-技经人员</t>
    </r>
    <r>
      <rPr>
        <sz val="10"/>
        <rFont val="方正仿宋_GBK"/>
        <charset val="134"/>
      </rPr>
      <t xml:space="preserve">
</t>
    </r>
    <r>
      <rPr>
        <sz val="10"/>
        <color rgb="FFFF0000"/>
        <rFont val="方正仿宋_GBK"/>
        <charset val="134"/>
      </rPr>
      <t>省公司-建设部门-技经人员-财务部门-工程财务人员；建设公司-项目经理-技经人员-前期管理人员</t>
    </r>
  </si>
  <si>
    <r>
      <rPr>
        <strike/>
        <sz val="10"/>
        <rFont val="方正仿宋_GBK"/>
        <charset val="134"/>
      </rPr>
      <t>各级单位-建设部门-合同管理人员</t>
    </r>
    <r>
      <rPr>
        <sz val="10"/>
        <rFont val="方正仿宋_GBK"/>
        <charset val="134"/>
      </rPr>
      <t xml:space="preserve">
</t>
    </r>
    <r>
      <rPr>
        <sz val="10"/>
        <color rgb="FFFF0000"/>
        <rFont val="方正仿宋_GBK"/>
        <charset val="134"/>
      </rPr>
      <t>建设公司-合同管理人员</t>
    </r>
  </si>
  <si>
    <r>
      <rPr>
        <strike/>
        <sz val="10"/>
        <rFont val="方正仿宋_GBK"/>
        <charset val="134"/>
      </rPr>
      <t>各级单位-法规部门-法律合规人员</t>
    </r>
    <r>
      <rPr>
        <sz val="10"/>
        <rFont val="方正仿宋_GBK"/>
        <charset val="134"/>
      </rPr>
      <t xml:space="preserve">
</t>
    </r>
    <r>
      <rPr>
        <sz val="10"/>
        <color rgb="FFFF0000"/>
        <rFont val="方正仿宋_GBK"/>
        <charset val="134"/>
      </rPr>
      <t>建设公司-法律合规人员</t>
    </r>
  </si>
  <si>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建设公司-工程财务人员</t>
    </r>
  </si>
  <si>
    <t>各级单位建设部门对合同条款与合同招标文件进行复核。</t>
  </si>
  <si>
    <r>
      <rPr>
        <strike/>
        <sz val="10"/>
        <rFont val="方正仿宋_GBK"/>
        <charset val="134"/>
      </rPr>
      <t>各级单位-物资部门-物资管理人员</t>
    </r>
    <r>
      <rPr>
        <sz val="10"/>
        <rFont val="方正仿宋_GBK"/>
        <charset val="134"/>
      </rPr>
      <t xml:space="preserve">
</t>
    </r>
    <r>
      <rPr>
        <sz val="10"/>
        <color rgb="FFFF0000"/>
        <rFont val="方正仿宋_GBK"/>
        <charset val="134"/>
      </rPr>
      <t>建设公司-项目管理人员</t>
    </r>
  </si>
  <si>
    <r>
      <rPr>
        <strike/>
        <sz val="10"/>
        <rFont val="方正仿宋_GBK"/>
        <charset val="134"/>
      </rPr>
      <t>各二级单位-牵头部门-法律合规人员</t>
    </r>
    <r>
      <rPr>
        <sz val="10"/>
        <rFont val="方正仿宋_GBK"/>
        <charset val="134"/>
      </rPr>
      <t xml:space="preserve">
</t>
    </r>
    <r>
      <rPr>
        <sz val="10"/>
        <color rgb="FFFF0000"/>
        <rFont val="方正仿宋_GBK"/>
        <charset val="134"/>
      </rPr>
      <t>建设公司-项目经理-技经人员</t>
    </r>
  </si>
  <si>
    <r>
      <rPr>
        <strike/>
        <sz val="10"/>
        <rFont val="方正仿宋_GBK"/>
        <charset val="134"/>
      </rPr>
      <t>各级单位-建设部门-项目经理</t>
    </r>
    <r>
      <rPr>
        <sz val="10"/>
        <rFont val="方正仿宋_GBK"/>
        <charset val="134"/>
      </rPr>
      <t xml:space="preserve">
</t>
    </r>
    <r>
      <rPr>
        <sz val="10"/>
        <color rgb="FFFF0000"/>
        <rFont val="方正仿宋_GBK"/>
        <charset val="134"/>
      </rPr>
      <t>建设公司-项目经理-技经人员</t>
    </r>
  </si>
  <si>
    <t>修改控制措施分类，修改责任主体，修改评价评率和范围，修改文件制度是否已要求和满足要求，删除文件制度</t>
  </si>
  <si>
    <t>各级单位财务部门审核农民工工资资金是否及时、按制度规定比例足额拨付到位、专户支出是否专款专用、支付手续是否符合完整性、规范性要求；</t>
  </si>
  <si>
    <r>
      <rPr>
        <strike/>
        <sz val="10"/>
        <rFont val="方正仿宋_GBK"/>
        <charset val="134"/>
      </rPr>
      <t>各级单位-财务部门-工程财务人员、各级单位-财务部门-审批人员</t>
    </r>
    <r>
      <rPr>
        <sz val="10"/>
        <rFont val="方正仿宋_GBK"/>
        <charset val="134"/>
      </rPr>
      <t xml:space="preserve">
</t>
    </r>
    <r>
      <rPr>
        <sz val="10"/>
        <color rgb="FFFF0000"/>
        <rFont val="方正仿宋_GBK"/>
        <charset val="134"/>
      </rPr>
      <t>建设公司-项目经理-技经人员-工程财务人员</t>
    </r>
  </si>
  <si>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建设公司-财务部门-工程财务人员</t>
    </r>
  </si>
  <si>
    <r>
      <rPr>
        <strike/>
        <sz val="10"/>
        <rFont val="方正仿宋_GBK"/>
        <charset val="134"/>
      </rPr>
      <t>各级单位-建设部门-项目经理</t>
    </r>
    <r>
      <rPr>
        <sz val="10"/>
        <rFont val="方正仿宋_GBK"/>
        <charset val="134"/>
      </rPr>
      <t xml:space="preserve">
</t>
    </r>
    <r>
      <rPr>
        <sz val="10"/>
        <color rgb="FFFF0000"/>
        <rFont val="方正仿宋_GBK"/>
        <charset val="134"/>
      </rPr>
      <t>省公司-建设部门-建管管理人员；建设公司--项目经理-前期项目经理</t>
    </r>
  </si>
  <si>
    <t xml:space="preserve">1.垫付与资金拨付管控。各建管单位建立临时用地专项台账、应交税费及时向出资单位申请资金；
2.复垦验收前置管控。工程收尾阶段同步制定复垦实施方案，落实复垦整改标准，组织专业人员现场核查，确保复垦资料完善通过验收；造成实际损失的账务处理。
3.对复垦验收失败、无法收回得款项，单独登记台账备查，留存验收不合格证明、损失认定责任界定表等资料。   </t>
  </si>
  <si>
    <t>建设公司-建管项目分公司-项目经理-税务管理岗-工程财务人员</t>
  </si>
  <si>
    <r>
      <rPr>
        <sz val="10"/>
        <rFont val="方正仿宋_GBK"/>
        <charset val="134"/>
      </rPr>
      <t>各级单位建设部门建立“谁鉴证谁负责”查勘机制，各级单位、施工单位、监理单位对现场进行查勘，并对查勘结果负责；</t>
    </r>
    <r>
      <rPr>
        <sz val="10"/>
        <color rgb="FFFF0000"/>
        <rFont val="方正仿宋_GBK"/>
        <charset val="134"/>
      </rPr>
      <t>对隐蔽工程进行多方联合现场测量、签字确认。</t>
    </r>
  </si>
  <si>
    <r>
      <rPr>
        <strike/>
        <sz val="10"/>
        <rFont val="方正仿宋_GBK"/>
        <charset val="134"/>
      </rPr>
      <t>各级单位-建设部门-项目经理、各级单位-建设部门-审批人员</t>
    </r>
    <r>
      <rPr>
        <sz val="10"/>
        <rFont val="方正仿宋_GBK"/>
        <charset val="134"/>
      </rPr>
      <t xml:space="preserve">
</t>
    </r>
    <r>
      <rPr>
        <sz val="10"/>
        <color rgb="FFFF0000"/>
        <rFont val="方正仿宋_GBK"/>
        <charset val="134"/>
      </rPr>
      <t>建设公司--建设部门-项目经理-项目技经人员</t>
    </r>
  </si>
  <si>
    <t>各级单位建设部门建立“谁审批谁负责”复核机制，各级单位、施工单位、监理单位对查勘结果进行审批复核；</t>
  </si>
  <si>
    <r>
      <rPr>
        <sz val="10"/>
        <rFont val="方正仿宋_GBK"/>
        <charset val="134"/>
      </rPr>
      <t>各级单位建设部门严格履行设计变更</t>
    </r>
    <r>
      <rPr>
        <sz val="10"/>
        <color rgb="FFFF0000"/>
        <rFont val="方正仿宋_GBK"/>
        <charset val="134"/>
      </rPr>
      <t>和现场签证</t>
    </r>
    <r>
      <rPr>
        <sz val="10"/>
        <rFont val="方正仿宋_GBK"/>
        <charset val="134"/>
      </rPr>
      <t>分级审批流程权限。严禁以现场签证代替设计变更，严禁以升版图替代变更签证。</t>
    </r>
  </si>
  <si>
    <r>
      <rPr>
        <strike/>
        <sz val="10"/>
        <rFont val="方正仿宋_GBK"/>
        <charset val="134"/>
      </rPr>
      <t>各级单位-建设部门-项目经理</t>
    </r>
    <r>
      <rPr>
        <sz val="10"/>
        <rFont val="方正仿宋_GBK"/>
        <charset val="134"/>
      </rPr>
      <t xml:space="preserve">
</t>
    </r>
    <r>
      <rPr>
        <sz val="10"/>
        <color rgb="FFFF0000"/>
        <rFont val="方正仿宋_GBK"/>
        <charset val="134"/>
      </rPr>
      <t>建设公司--建设部门-项目经理-项目技经人员</t>
    </r>
  </si>
  <si>
    <r>
      <rPr>
        <sz val="10"/>
        <color theme="1"/>
        <rFont val="方正仿宋_GBK"/>
        <charset val="134"/>
      </rPr>
      <t>各级单位</t>
    </r>
    <r>
      <rPr>
        <strike/>
        <sz val="10"/>
        <color theme="1"/>
        <rFont val="方正仿宋_GBK"/>
        <charset val="134"/>
      </rPr>
      <t>物资部门</t>
    </r>
    <r>
      <rPr>
        <sz val="10"/>
        <rFont val="方正仿宋_GBK"/>
        <charset val="134"/>
      </rPr>
      <t>建立供应商、建设管理单位项目经理、物资供应人员三方到货交接责任机制，确保物资现场到货与采购合同一致；</t>
    </r>
  </si>
  <si>
    <t>电网基建业务-16.施工成本报账其他费用-法人管理费控制措施01</t>
  </si>
  <si>
    <t>建设公司-工程财务岗-技经人员</t>
  </si>
  <si>
    <t>电网基建业务-16.施工成本报账其他费用-税费管理01</t>
  </si>
  <si>
    <t>建设公司-税务管理岗</t>
  </si>
  <si>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建设公司-财务部门-工程财务人员-建管项目分公司-项目管理人员</t>
    </r>
  </si>
  <si>
    <r>
      <rPr>
        <strike/>
        <sz val="10"/>
        <rFont val="方正仿宋_GBK"/>
        <charset val="134"/>
      </rPr>
      <t>各级单位-建设部门-项目经理、各级单位-建设部门-审批人员</t>
    </r>
    <r>
      <rPr>
        <sz val="10"/>
        <rFont val="方正仿宋_GBK"/>
        <charset val="134"/>
      </rPr>
      <t xml:space="preserve">
</t>
    </r>
    <r>
      <rPr>
        <sz val="10"/>
        <color rgb="FFFF0000"/>
        <rFont val="方正仿宋_GBK"/>
        <charset val="134"/>
      </rPr>
      <t>建设公司-建管项目分公司-项目管理人人员</t>
    </r>
  </si>
  <si>
    <r>
      <rPr>
        <strike/>
        <sz val="10"/>
        <rFont val="方正仿宋_GBK"/>
        <charset val="134"/>
      </rPr>
      <t>各级单位-建设部门-项目经理</t>
    </r>
    <r>
      <rPr>
        <sz val="10"/>
        <rFont val="方正仿宋_GBK"/>
        <charset val="134"/>
      </rPr>
      <t xml:space="preserve">
</t>
    </r>
    <r>
      <rPr>
        <sz val="10"/>
        <color rgb="FFFF0000"/>
        <rFont val="方正仿宋_GBK"/>
        <charset val="134"/>
      </rPr>
      <t>建设公司-建管项目分公司-项目管理人人员</t>
    </r>
  </si>
  <si>
    <r>
      <rPr>
        <strike/>
        <sz val="10"/>
        <rFont val="方正仿宋_GBK"/>
        <charset val="134"/>
      </rPr>
      <t>各级单位-建设部门-项目经理、各级单位-设备部门-设备资产管理人员</t>
    </r>
    <r>
      <rPr>
        <sz val="10"/>
        <rFont val="方正仿宋_GBK"/>
        <charset val="134"/>
      </rPr>
      <t xml:space="preserve">
</t>
    </r>
    <r>
      <rPr>
        <sz val="10"/>
        <color rgb="FFFF0000"/>
        <rFont val="方正仿宋_GBK"/>
        <charset val="134"/>
      </rPr>
      <t>建设公司-技术质量部质量专责岗-项目经理、各级单位-设备部门-设备资产管理人员、技术质量部（超变/超输补充）</t>
    </r>
  </si>
  <si>
    <r>
      <rPr>
        <strike/>
        <sz val="10"/>
        <color theme="1"/>
        <rFont val="方正仿宋_GBK"/>
        <charset val="134"/>
      </rPr>
      <t>各级单位-建设部门-项目经理、各级单位-设备部门-设备资产管理人员、各级单位-资产使用保管部门-资产使用保管人员</t>
    </r>
    <r>
      <rPr>
        <sz val="10"/>
        <color theme="1"/>
        <rFont val="方正仿宋_GBK"/>
        <charset val="134"/>
      </rPr>
      <t xml:space="preserve">
</t>
    </r>
    <r>
      <rPr>
        <sz val="10"/>
        <color rgb="FFFF0000"/>
        <rFont val="方正仿宋_GBK"/>
        <charset val="134"/>
      </rPr>
      <t>建设公司-建管项目分公司-项目经理、请资产接收单位（超变/超输补充）</t>
    </r>
  </si>
  <si>
    <r>
      <rPr>
        <strike/>
        <sz val="10"/>
        <rFont val="方正仿宋_GBK"/>
        <charset val="134"/>
      </rPr>
      <t>各级单位-设备部门-设备资产管理人员</t>
    </r>
    <r>
      <rPr>
        <sz val="10"/>
        <color rgb="FFFF0000"/>
        <rFont val="方正仿宋_GBK"/>
        <charset val="134"/>
      </rPr>
      <t xml:space="preserve">
请资产接收单位（超变/超输补充）</t>
    </r>
  </si>
  <si>
    <r>
      <rPr>
        <strike/>
        <sz val="10"/>
        <rFont val="方正仿宋_GBK"/>
        <charset val="134"/>
      </rPr>
      <t>各级单位-建设部门-项目经理、技经人员、各级单位-建设部门-审批人员</t>
    </r>
    <r>
      <rPr>
        <sz val="10"/>
        <rFont val="方正仿宋_GBK"/>
        <charset val="134"/>
      </rPr>
      <t xml:space="preserve">
</t>
    </r>
    <r>
      <rPr>
        <sz val="10"/>
        <color rgb="FFFF0000"/>
        <rFont val="方正仿宋_GBK"/>
        <charset val="134"/>
      </rPr>
      <t>建设公司-项目经理-技经人员</t>
    </r>
  </si>
  <si>
    <r>
      <rPr>
        <strike/>
        <sz val="10"/>
        <rFont val="方正仿宋_GBK"/>
        <charset val="134"/>
      </rPr>
      <t>各级单位-建设部门-项目经理、各级单位-设备部门-设备资产管理人员、各级单位-财务部门-工程财务人员</t>
    </r>
    <r>
      <rPr>
        <sz val="10"/>
        <rFont val="方正仿宋_GBK"/>
        <charset val="134"/>
      </rPr>
      <t xml:space="preserve">
</t>
    </r>
    <r>
      <rPr>
        <sz val="10"/>
        <color rgb="FFFF0000"/>
        <rFont val="方正仿宋_GBK"/>
        <charset val="134"/>
      </rPr>
      <t>建设公司-项目技经人员-工程财务人员</t>
    </r>
  </si>
  <si>
    <r>
      <rPr>
        <strike/>
        <sz val="10"/>
        <color theme="1"/>
        <rFont val="方正仿宋_GBK"/>
        <charset val="134"/>
      </rPr>
      <t>各级单位-建设部门-项目经理、各级单位-物资部门-物资管理人员</t>
    </r>
    <r>
      <rPr>
        <sz val="10"/>
        <color theme="1"/>
        <rFont val="方正仿宋_GBK"/>
        <charset val="134"/>
      </rPr>
      <t xml:space="preserve">
</t>
    </r>
    <r>
      <rPr>
        <sz val="10"/>
        <color rgb="FFFF0000"/>
        <rFont val="方正仿宋_GBK"/>
        <charset val="134"/>
      </rPr>
      <t>建设公司-建设部门-项目经理、各级单位-物资管理人员（请物资公司补充）</t>
    </r>
  </si>
  <si>
    <t>各级单位财务部门比对出库物资、结算审定使用、结余物资退库的明细及数量，复核物资结余退库情况；</t>
  </si>
  <si>
    <r>
      <rPr>
        <strike/>
        <sz val="10"/>
        <rFont val="方正仿宋_GBK"/>
        <charset val="134"/>
      </rPr>
      <t>各级单位-物资部门-物资管理人员</t>
    </r>
    <r>
      <rPr>
        <sz val="10"/>
        <rFont val="方正仿宋_GBK"/>
        <charset val="134"/>
      </rPr>
      <t xml:space="preserve">
</t>
    </r>
    <r>
      <rPr>
        <sz val="10"/>
        <color rgb="FFFF0000"/>
        <rFont val="方正仿宋_GBK"/>
        <charset val="134"/>
      </rPr>
      <t>建设公司-建设部门-项目经理</t>
    </r>
  </si>
  <si>
    <r>
      <rPr>
        <strike/>
        <sz val="10"/>
        <rFont val="方正仿宋_GBK"/>
        <charset val="134"/>
      </rPr>
      <t>各级单位-建设部门-项目经理、各级单位-设备部门-设备资产管理人员</t>
    </r>
    <r>
      <rPr>
        <sz val="10"/>
        <rFont val="方正仿宋_GBK"/>
        <charset val="134"/>
      </rPr>
      <t xml:space="preserve">
</t>
    </r>
    <r>
      <rPr>
        <sz val="10"/>
        <color rgb="FFFF0000"/>
        <rFont val="方正仿宋_GBK"/>
        <charset val="134"/>
      </rPr>
      <t>建设公司-建设部门-项目经理、各单位-设备部门-设备资产管理人员（请超变/超输补充）</t>
    </r>
  </si>
  <si>
    <r>
      <rPr>
        <sz val="10"/>
        <rFont val="方正仿宋_GBK"/>
        <charset val="134"/>
      </rPr>
      <t>各级单位</t>
    </r>
    <r>
      <rPr>
        <strike/>
        <sz val="10"/>
        <rFont val="方正仿宋_GBK"/>
        <charset val="134"/>
      </rPr>
      <t>物资部门</t>
    </r>
    <r>
      <rPr>
        <sz val="10"/>
        <color rgb="FFFF0000"/>
        <rFont val="方正仿宋_GBK"/>
        <charset val="134"/>
      </rPr>
      <t>建设部门</t>
    </r>
    <r>
      <rPr>
        <sz val="10"/>
        <rFont val="方正仿宋_GBK"/>
        <charset val="134"/>
      </rPr>
      <t>、财务部门复核结算审定拆旧物资量与实际退库数量，对未提交拆除资产回收资料、应拆实交量存在重大偏差且无合理解释的，追究相关岗位责任。</t>
    </r>
  </si>
  <si>
    <r>
      <rPr>
        <strike/>
        <sz val="10"/>
        <rFont val="方正仿宋_GBK"/>
        <charset val="134"/>
      </rPr>
      <t>各级单位-物资部门-物资管理人员、各级单位-财务部门-工程财务人员</t>
    </r>
    <r>
      <rPr>
        <sz val="10"/>
        <rFont val="方正仿宋_GBK"/>
        <charset val="134"/>
      </rPr>
      <t xml:space="preserve">
</t>
    </r>
    <r>
      <rPr>
        <sz val="10"/>
        <color rgb="FFFF0000"/>
        <rFont val="方正仿宋_GBK"/>
        <charset val="134"/>
      </rPr>
      <t>建设公司-建设部门-项目经理-技经人员-工程财务人员；各单位-设备部门-设备资产管理人员（请超变/超输补充）</t>
    </r>
  </si>
  <si>
    <r>
      <rPr>
        <strike/>
        <sz val="10"/>
        <rFont val="方正仿宋_GBK"/>
        <charset val="134"/>
      </rPr>
      <t>各级单位-建设部门-项目经理、各级单位-建设部门-审批人员</t>
    </r>
    <r>
      <rPr>
        <sz val="10"/>
        <rFont val="方正仿宋_GBK"/>
        <charset val="134"/>
      </rPr>
      <t xml:space="preserve">
</t>
    </r>
    <r>
      <rPr>
        <sz val="10"/>
        <color rgb="FFFF0000"/>
        <rFont val="方正仿宋_GBK"/>
        <charset val="134"/>
      </rPr>
      <t>建设公司-项目经理-技经人员</t>
    </r>
  </si>
  <si>
    <r>
      <rPr>
        <strike/>
        <sz val="10"/>
        <rFont val="方正仿宋_GBK"/>
        <charset val="134"/>
      </rPr>
      <t>各级单位-财务部门-工程财务人员</t>
    </r>
    <r>
      <rPr>
        <sz val="10"/>
        <rFont val="方正仿宋_GBK"/>
        <charset val="134"/>
      </rPr>
      <t xml:space="preserve">
</t>
    </r>
    <r>
      <rPr>
        <sz val="10"/>
        <color rgb="FFFF0000"/>
        <rFont val="方正仿宋_GBK"/>
        <charset val="134"/>
      </rPr>
      <t>各级单位-财务部门-工程财务人员</t>
    </r>
  </si>
  <si>
    <r>
      <rPr>
        <strike/>
        <sz val="10"/>
        <rFont val="方正仿宋_GBK"/>
        <charset val="134"/>
      </rPr>
      <t>各级单位-建设部门-技经人员、项目经理</t>
    </r>
    <r>
      <rPr>
        <sz val="10"/>
        <rFont val="方正仿宋_GBK"/>
        <charset val="134"/>
      </rPr>
      <t xml:space="preserve">
</t>
    </r>
    <r>
      <rPr>
        <sz val="10"/>
        <color rgb="FFFF0000"/>
        <rFont val="方正仿宋_GBK"/>
        <charset val="134"/>
      </rPr>
      <t>建设公司-项目经理-技经人员</t>
    </r>
  </si>
  <si>
    <r>
      <rPr>
        <strike/>
        <sz val="10"/>
        <rFont val="方正仿宋_GBK"/>
        <charset val="134"/>
      </rPr>
      <t>各级单位-建设部门-项目经理、技经人员</t>
    </r>
    <r>
      <rPr>
        <sz val="10"/>
        <rFont val="方正仿宋_GBK"/>
        <charset val="134"/>
      </rPr>
      <t xml:space="preserve">
</t>
    </r>
    <r>
      <rPr>
        <sz val="10"/>
        <color rgb="FFFF0000"/>
        <rFont val="方正仿宋_GBK"/>
        <charset val="134"/>
      </rPr>
      <t>建设公司-项目经理-技经人员</t>
    </r>
  </si>
  <si>
    <r>
      <rPr>
        <strike/>
        <sz val="10"/>
        <rFont val="方正仿宋_GBK"/>
        <charset val="134"/>
      </rPr>
      <t>各级单位-建设部门-计划人员</t>
    </r>
    <r>
      <rPr>
        <sz val="10"/>
        <rFont val="方正仿宋_GBK"/>
        <charset val="134"/>
      </rPr>
      <t xml:space="preserve">
</t>
    </r>
    <r>
      <rPr>
        <sz val="10"/>
        <color rgb="FFFF0000"/>
        <rFont val="方正仿宋_GBK"/>
        <charset val="134"/>
      </rPr>
      <t>建设公司-建管项目分公司-合同管理岗</t>
    </r>
  </si>
  <si>
    <r>
      <rPr>
        <strike/>
        <sz val="10"/>
        <rFont val="方正仿宋_GBK"/>
        <charset val="134"/>
      </rPr>
      <t>各级单位-建设部门-项目经理、各级单位-建设部门-计划人员</t>
    </r>
    <r>
      <rPr>
        <sz val="10"/>
        <rFont val="方正仿宋_GBK"/>
        <charset val="134"/>
      </rPr>
      <t xml:space="preserve">
</t>
    </r>
    <r>
      <rPr>
        <sz val="10"/>
        <color rgb="FFFF0000"/>
        <rFont val="方正仿宋_GBK"/>
        <charset val="134"/>
      </rPr>
      <t>建设公司-项目经理-技经人员</t>
    </r>
  </si>
  <si>
    <r>
      <rPr>
        <strike/>
        <sz val="10"/>
        <rFont val="方正仿宋_GBK"/>
        <charset val="134"/>
      </rPr>
      <t>各级单位-财务部门-工程管理人员</t>
    </r>
    <r>
      <rPr>
        <sz val="10"/>
        <rFont val="方正仿宋_GBK"/>
        <charset val="134"/>
      </rPr>
      <t xml:space="preserve">
</t>
    </r>
    <r>
      <rPr>
        <sz val="10"/>
        <color rgb="FFFF0000"/>
        <rFont val="方正仿宋_GBK"/>
        <charset val="134"/>
      </rPr>
      <t>建设公司-财务部门-工程财务人员</t>
    </r>
  </si>
  <si>
    <r>
      <rPr>
        <strike/>
        <sz val="10"/>
        <rFont val="方正仿宋_GBK"/>
        <charset val="134"/>
      </rPr>
      <t>各级单位-财务部门-工程管理人员、各级单位-财务部门-审批人员</t>
    </r>
    <r>
      <rPr>
        <sz val="10"/>
        <rFont val="方正仿宋_GBK"/>
        <charset val="134"/>
      </rPr>
      <t xml:space="preserve">
</t>
    </r>
    <r>
      <rPr>
        <sz val="10"/>
        <color rgb="FFFF0000"/>
        <rFont val="方正仿宋_GBK"/>
        <charset val="134"/>
      </rPr>
      <t>建设公司-财务部门-工程财务人员</t>
    </r>
  </si>
  <si>
    <t>工程全过程造价管控</t>
  </si>
  <si>
    <t>工程造价全过程面临的各种经营风险</t>
  </si>
  <si>
    <t>可研估算编制与评审；初步设计评审与概算审查；最高投标限价编制与合同管理；变更签证、隐蔽工程验收、物资管理、监理履职；分部结算、现场核量、结算审查；决算编制与审计</t>
  </si>
  <si>
    <t>可研深度须满足投资决策要求，估算偏差率控制在合理范围；概算不得超估算，设计方案须经技术经济比选，限额设计落地；限价有依据、覆盖全口径；合同条款明确造价管控责任；编审分离，交叉复核；建筑、安装、设备、其他费用预算下达比例严格≤95%；招标最高限价或折扣率执行率100%；变更签证“先批后干”执行率100%；监理须全程参与现场核量；竣工图须100%反映变更；资产移交账实相符率100%；施工图预算与竣工结算偏差率≤5%；物资清理率100%；项目估（概）算与决算差异率控制在10%以内；同类型工程单位平均造价水平压降1%。</t>
  </si>
  <si>
    <t>编制设计前期考虑事项清单，提交经研院内审把关；建管、设计、属地、运维等多方联合现场踏勘，提前识别敏感区和重大风险点；充分调研同类工程造价水平，参考历史造价数据合理估列；加强初设审查，逐项核验工程量、设备选型、材料规格；重点审查复杂地质、新型施工方式等高危环节方案可行性与投资匹配性；核定概算上限，确立投资“红线”；建安费限价对比清单总价下浮2%，勘察设计（非研设一体化）下浮15%，物资按上年度均价下浮5%；将不平衡报价列为重点审查项，在合同条款中增设风险规避条款；合同中明确变更签证审批流程、结算方式及违约处罚条款；变更签证线上审批，未批先干处罚1万元/次；落实四方签证制度，隐蔽工程多方联合现场测量、签字确认；临时占地费超标准部分由施工方自行承担，不得纳入结算；物资实行“按需领用、实名登记”，投运后1个月内完成盘点，3个月内完成退库；压实监理责任，将工程量核查纳入履职评价；推行“现场核量+资料审核”双控模式，结算前实测实量、逐项核验；实施“编审分离”与交叉复核，重点复核重大变更及易错项；竣工图未100%反映变更的不予结算；设计费、监理费支付与造价控制成效挂钩，超差按比例核减；依托智慧财务中台归集“四算”数据，发布预警清单；强化过程跟踪审计和结算初审，推动审计监督关口前移；
决算前组织物资清理、资产盘点，确保账、卡、物一致。</t>
  </si>
  <si>
    <t>已将两性评审、招标限价进行拆分。有些施工过程管控在原有的版本里已有体现，建议不再重复设置，将造价的具体要求融入进去。</t>
  </si>
  <si>
    <t>新增造价管控</t>
  </si>
  <si>
    <t>保险管理-投保</t>
  </si>
  <si>
    <t>电网基建业务-12.电网基建业务-保险管理-控制措施02</t>
  </si>
  <si>
    <t>建设公司-建管项目分公司-保险管理人员-项目技经人员-财务资产部-保险管理岗</t>
  </si>
  <si>
    <t>保险管理-延保</t>
  </si>
  <si>
    <t>电网基建业务-12.电网基建业务-保险管理-控制措施03</t>
  </si>
  <si>
    <t>保险管理-出险报案与查勘</t>
  </si>
  <si>
    <t>电网基建业务-12.电网基建业务-保险管理-控制措施04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</si>
</sst>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1"/>
      <color theme="1"/>
      <name val="等线"/>
      <charset val="134"/>
      <scheme val="minor"/>
    </font>
    <font>
      <sz val="16"/>
      <name val="方正仿宋_GBK"/>
      <charset val="134"/>
    </font>
    <font>
      <sz val="16"/>
      <color rgb="FFFF0000"/>
      <name val="方正仿宋_GBK"/>
      <charset val="134"/>
    </font>
    <font>
      <b/>
      <sz val="16"/>
      <name val="方正仿宋_GBK"/>
      <charset val="134"/>
    </font>
    <font>
      <sz val="10"/>
      <name val="方正仿宋_GBK"/>
      <charset val="134"/>
    </font>
    <font>
      <sz val="12"/>
      <name val="方正仿宋_GBK"/>
      <charset val="134"/>
    </font>
    <font>
      <b/>
      <sz val="10"/>
      <name val="方正仿宋_GBK"/>
      <charset val="134"/>
    </font>
    <font>
      <b/>
      <sz val="10"/>
      <color theme="1"/>
      <name val="方正仿宋_GBK"/>
      <charset val="134"/>
    </font>
    <font>
      <strike/>
      <sz val="10"/>
      <name val="方正仿宋_GBK"/>
      <charset val="134"/>
    </font>
    <font>
      <sz val="10"/>
      <color theme="1"/>
      <name val="方正仿宋_GBK"/>
      <charset val="134"/>
    </font>
    <font>
      <strike/>
      <sz val="10"/>
      <color theme="1"/>
      <name val="方正仿宋_GBK"/>
      <charset val="134"/>
    </font>
    <font>
      <sz val="10"/>
      <color rgb="FFFF0000"/>
      <name val="方正仿宋_GBK"/>
      <charset val="134"/>
    </font>
    <font>
      <b/>
      <sz val="16"/>
      <color rgb="FFFF0000"/>
      <name val="方正仿宋_GBK"/>
      <charset val="134"/>
    </font>
    <font>
      <sz val="11"/>
      <color rgb="FFFF0000"/>
      <name val="等线"/>
      <charset val="134"/>
      <scheme val="minor"/>
    </font>
    <font>
      <b/>
      <sz val="10"/>
      <color rgb="FFFF0000"/>
      <name val="方正仿宋_GBK"/>
      <charset val="134"/>
    </font>
    <font>
      <sz val="12"/>
      <color rgb="FFFF0000"/>
      <name val="方正仿宋_GBK"/>
      <charset val="134"/>
    </font>
    <font>
      <sz val="11"/>
      <color rgb="FFFF0000"/>
      <name val="方正仿宋_GBK"/>
      <charset val="134"/>
    </font>
    <font>
      <sz val="8"/>
      <name val="方正仿宋_GBK"/>
      <charset val="134"/>
    </font>
    <font>
      <b/>
      <sz val="14"/>
      <color rgb="FF000000"/>
      <name val="微软雅黑"/>
      <charset val="134"/>
    </font>
    <font>
      <sz val="14"/>
      <color rgb="FF000000"/>
      <name val="微软雅黑"/>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10"/>
      <name val="Times New Roman"/>
      <charset val="134"/>
    </font>
    <font>
      <sz val="14"/>
      <color rgb="FF2D529F"/>
      <name val="微软雅黑"/>
      <charset val="134"/>
    </font>
    <font>
      <b/>
      <sz val="9"/>
      <name val="宋体"/>
      <charset val="134"/>
    </font>
    <font>
      <sz val="9"/>
      <name val="宋体"/>
      <charset val="134"/>
    </font>
  </fonts>
  <fills count="48">
    <fill>
      <patternFill patternType="none"/>
    </fill>
    <fill>
      <patternFill patternType="gray125"/>
    </fill>
    <fill>
      <patternFill patternType="solid">
        <fgColor theme="9" tint="0.6"/>
        <bgColor indexed="64"/>
      </patternFill>
    </fill>
    <fill>
      <patternFill patternType="solid">
        <fgColor theme="4" tint="0.8"/>
        <bgColor indexed="64"/>
      </patternFill>
    </fill>
    <fill>
      <patternFill patternType="solid">
        <fgColor rgb="FFFF0000"/>
        <bgColor indexed="64"/>
      </patternFill>
    </fill>
    <fill>
      <patternFill patternType="solid">
        <fgColor theme="0"/>
        <bgColor indexed="64"/>
      </patternFill>
    </fill>
    <fill>
      <patternFill patternType="solid">
        <fgColor theme="9" tint="0.4"/>
        <bgColor indexed="64"/>
      </patternFill>
    </fill>
    <fill>
      <patternFill patternType="solid">
        <fgColor rgb="FFFFFF00"/>
        <bgColor indexed="64"/>
      </patternFill>
    </fill>
    <fill>
      <patternFill patternType="solid">
        <fgColor theme="5" tint="0.4"/>
        <bgColor indexed="64"/>
      </patternFill>
    </fill>
    <fill>
      <patternFill patternType="solid">
        <fgColor theme="4" tint="0.4"/>
        <bgColor indexed="64"/>
      </patternFill>
    </fill>
    <fill>
      <patternFill patternType="solid">
        <fgColor rgb="FF92D050"/>
        <bgColor indexed="64"/>
      </patternFill>
    </fill>
    <fill>
      <patternFill patternType="solid">
        <fgColor theme="2" tint="-0.25"/>
        <bgColor indexed="64"/>
      </patternFill>
    </fill>
    <fill>
      <patternFill patternType="solid">
        <fgColor theme="0" tint="-0.35"/>
        <bgColor indexed="64"/>
      </patternFill>
    </fill>
    <fill>
      <patternFill patternType="solid">
        <fgColor theme="6" tint="0.4"/>
        <bgColor indexed="64"/>
      </patternFill>
    </fill>
    <fill>
      <patternFill patternType="solid">
        <fgColor rgb="FFFFC000"/>
        <bgColor indexed="64"/>
      </patternFill>
    </fill>
    <fill>
      <patternFill patternType="solid">
        <fgColor theme="5" tint="0.8"/>
        <bgColor indexed="64"/>
      </patternFill>
    </fill>
    <fill>
      <patternFill patternType="solid">
        <fgColor theme="4" tint="0.799554429761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7" borderId="12"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3" applyNumberFormat="0" applyFill="0" applyAlignment="0" applyProtection="0">
      <alignment vertical="center"/>
    </xf>
    <xf numFmtId="0" fontId="30" fillId="0" borderId="13" applyNumberFormat="0" applyFill="0" applyAlignment="0" applyProtection="0">
      <alignment vertical="center"/>
    </xf>
    <xf numFmtId="0" fontId="31" fillId="0" borderId="14" applyNumberFormat="0" applyFill="0" applyAlignment="0" applyProtection="0">
      <alignment vertical="center"/>
    </xf>
    <xf numFmtId="0" fontId="31" fillId="0" borderId="0" applyNumberFormat="0" applyFill="0" applyBorder="0" applyAlignment="0" applyProtection="0">
      <alignment vertical="center"/>
    </xf>
    <xf numFmtId="0" fontId="32" fillId="18" borderId="15" applyNumberFormat="0" applyAlignment="0" applyProtection="0">
      <alignment vertical="center"/>
    </xf>
    <xf numFmtId="0" fontId="33" fillId="19" borderId="16" applyNumberFormat="0" applyAlignment="0" applyProtection="0">
      <alignment vertical="center"/>
    </xf>
    <xf numFmtId="0" fontId="34" fillId="19" borderId="15" applyNumberFormat="0" applyAlignment="0" applyProtection="0">
      <alignment vertical="center"/>
    </xf>
    <xf numFmtId="0" fontId="35" fillId="20" borderId="17" applyNumberFormat="0" applyAlignment="0" applyProtection="0">
      <alignment vertical="center"/>
    </xf>
    <xf numFmtId="0" fontId="36" fillId="0" borderId="18" applyNumberFormat="0" applyFill="0" applyAlignment="0" applyProtection="0">
      <alignment vertical="center"/>
    </xf>
    <xf numFmtId="0" fontId="37" fillId="0" borderId="19" applyNumberFormat="0" applyFill="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2" fillId="37" borderId="0" applyNumberFormat="0" applyBorder="0" applyAlignment="0" applyProtection="0">
      <alignment vertical="center"/>
    </xf>
    <xf numFmtId="0" fontId="42" fillId="38" borderId="0" applyNumberFormat="0" applyBorder="0" applyAlignment="0" applyProtection="0">
      <alignment vertical="center"/>
    </xf>
    <xf numFmtId="0" fontId="41" fillId="39" borderId="0" applyNumberFormat="0" applyBorder="0" applyAlignment="0" applyProtection="0">
      <alignment vertical="center"/>
    </xf>
    <xf numFmtId="0" fontId="41" fillId="40" borderId="0" applyNumberFormat="0" applyBorder="0" applyAlignment="0" applyProtection="0">
      <alignment vertical="center"/>
    </xf>
    <xf numFmtId="0" fontId="42" fillId="41" borderId="0" applyNumberFormat="0" applyBorder="0" applyAlignment="0" applyProtection="0">
      <alignment vertical="center"/>
    </xf>
    <xf numFmtId="0" fontId="42" fillId="42" borderId="0" applyNumberFormat="0" applyBorder="0" applyAlignment="0" applyProtection="0">
      <alignment vertical="center"/>
    </xf>
    <xf numFmtId="0" fontId="41" fillId="43" borderId="0" applyNumberFormat="0" applyBorder="0" applyAlignment="0" applyProtection="0">
      <alignment vertical="center"/>
    </xf>
    <xf numFmtId="0" fontId="41" fillId="44" borderId="0" applyNumberFormat="0" applyBorder="0" applyAlignment="0" applyProtection="0">
      <alignment vertical="center"/>
    </xf>
    <xf numFmtId="0" fontId="42" fillId="45" borderId="0" applyNumberFormat="0" applyBorder="0" applyAlignment="0" applyProtection="0">
      <alignment vertical="center"/>
    </xf>
    <xf numFmtId="0" fontId="42" fillId="46" borderId="0" applyNumberFormat="0" applyBorder="0" applyAlignment="0" applyProtection="0">
      <alignment vertical="center"/>
    </xf>
    <xf numFmtId="0" fontId="41" fillId="47" borderId="0" applyNumberFormat="0" applyBorder="0" applyAlignment="0" applyProtection="0">
      <alignment vertical="center"/>
    </xf>
    <xf numFmtId="0" fontId="43" fillId="0" borderId="0">
      <alignment vertical="center"/>
    </xf>
    <xf numFmtId="0" fontId="0" fillId="0" borderId="0"/>
  </cellStyleXfs>
  <cellXfs count="193">
    <xf numFmtId="0" fontId="0" fillId="0" borderId="0" xfId="0"/>
    <xf numFmtId="0" fontId="1" fillId="0" borderId="1" xfId="50" applyFont="1" applyFill="1" applyBorder="1" applyAlignment="1">
      <alignment horizontal="center" vertical="center"/>
    </xf>
    <xf numFmtId="0" fontId="0" fillId="0" borderId="0" xfId="0" applyFill="1"/>
    <xf numFmtId="0" fontId="2" fillId="0" borderId="1" xfId="50" applyFont="1" applyFill="1" applyBorder="1" applyAlignment="1">
      <alignment horizontal="center" vertical="center"/>
    </xf>
    <xf numFmtId="0" fontId="1" fillId="0" borderId="1" xfId="50" applyFont="1" applyFill="1" applyBorder="1" applyAlignment="1">
      <alignment horizontal="center" vertical="center" wrapText="1"/>
    </xf>
    <xf numFmtId="0" fontId="3" fillId="0" borderId="1" xfId="50" applyFont="1" applyFill="1" applyBorder="1" applyAlignment="1">
      <alignment horizontal="center" vertical="center" wrapText="1"/>
    </xf>
    <xf numFmtId="0" fontId="4" fillId="2" borderId="1" xfId="50" applyFont="1" applyFill="1" applyBorder="1" applyAlignment="1">
      <alignment horizontal="center" vertical="center" wrapText="1"/>
    </xf>
    <xf numFmtId="0" fontId="5" fillId="0" borderId="1" xfId="50" applyFont="1" applyFill="1" applyBorder="1" applyAlignment="1">
      <alignment horizontal="center" vertical="center" wrapText="1"/>
    </xf>
    <xf numFmtId="0" fontId="2" fillId="3" borderId="1" xfId="50" applyFont="1" applyFill="1" applyBorder="1" applyAlignment="1">
      <alignment horizontal="center" vertical="center"/>
    </xf>
    <xf numFmtId="0" fontId="3" fillId="0" borderId="0" xfId="50" applyFont="1" applyFill="1" applyAlignment="1">
      <alignment horizontal="center" vertical="center"/>
    </xf>
    <xf numFmtId="0" fontId="3" fillId="0" borderId="0" xfId="50" applyFont="1" applyFill="1" applyAlignment="1">
      <alignment horizontal="center" vertical="center" wrapText="1"/>
    </xf>
    <xf numFmtId="0" fontId="6" fillId="0" borderId="1" xfId="50" applyFont="1" applyFill="1" applyBorder="1" applyAlignment="1">
      <alignment horizontal="center" vertical="center" wrapText="1"/>
    </xf>
    <xf numFmtId="0" fontId="6" fillId="4" borderId="1" xfId="50" applyFont="1" applyFill="1" applyBorder="1" applyAlignment="1">
      <alignment horizontal="center" vertical="center" wrapText="1"/>
    </xf>
    <xf numFmtId="0" fontId="7" fillId="0" borderId="1" xfId="50" applyFont="1" applyFill="1" applyBorder="1" applyAlignment="1">
      <alignment horizontal="center" vertical="center" wrapText="1"/>
    </xf>
    <xf numFmtId="0" fontId="6"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6" fillId="0" borderId="1" xfId="0" applyFont="1" applyFill="1" applyBorder="1" applyAlignment="1" applyProtection="1">
      <alignment horizontal="left" vertical="center" wrapText="1"/>
      <protection locked="0"/>
    </xf>
    <xf numFmtId="0" fontId="4" fillId="5" borderId="1" xfId="5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4" fillId="0" borderId="1" xfId="50" applyFont="1" applyFill="1" applyBorder="1" applyAlignment="1">
      <alignment horizontal="center" vertical="center" wrapText="1"/>
    </xf>
    <xf numFmtId="0" fontId="4" fillId="0" borderId="1" xfId="0" applyFont="1" applyFill="1" applyBorder="1" applyAlignment="1" applyProtection="1">
      <alignment horizontal="left" vertical="center" wrapText="1"/>
      <protection locked="0"/>
    </xf>
    <xf numFmtId="0" fontId="8" fillId="7" borderId="1" xfId="0" applyFont="1" applyFill="1" applyBorder="1" applyAlignment="1">
      <alignment horizontal="center" vertical="center" wrapText="1"/>
    </xf>
    <xf numFmtId="0" fontId="9" fillId="7" borderId="1" xfId="50" applyFont="1" applyFill="1" applyBorder="1" applyAlignment="1">
      <alignment horizontal="left" vertical="center"/>
    </xf>
    <xf numFmtId="0" fontId="8"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4" fillId="0" borderId="1" xfId="0" applyFont="1" applyFill="1" applyBorder="1" applyAlignment="1">
      <alignment horizontal="center" vertical="center"/>
    </xf>
    <xf numFmtId="0" fontId="8" fillId="0"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9" borderId="1" xfId="50" applyFont="1" applyFill="1" applyBorder="1" applyAlignment="1">
      <alignment horizontal="left" vertical="center" wrapText="1"/>
    </xf>
    <xf numFmtId="0" fontId="4" fillId="9" borderId="1" xfId="50" applyFont="1" applyFill="1" applyBorder="1" applyAlignment="1">
      <alignment horizontal="left" vertical="center"/>
    </xf>
    <xf numFmtId="0" fontId="8" fillId="0" borderId="1" xfId="50" applyFont="1" applyFill="1" applyBorder="1" applyAlignment="1">
      <alignment horizontal="left" vertical="center" wrapText="1"/>
    </xf>
    <xf numFmtId="0" fontId="4" fillId="0" borderId="1" xfId="50" applyFont="1" applyFill="1" applyBorder="1" applyAlignment="1">
      <alignment horizontal="center" vertical="center"/>
    </xf>
    <xf numFmtId="0" fontId="4" fillId="0" borderId="1" xfId="50" applyFont="1" applyFill="1" applyBorder="1" applyAlignment="1">
      <alignment horizontal="left" vertical="center" wrapText="1"/>
    </xf>
    <xf numFmtId="0" fontId="4" fillId="0" borderId="1" xfId="0"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protection locked="0"/>
    </xf>
    <xf numFmtId="0" fontId="8" fillId="0" borderId="1" xfId="0" applyFont="1" applyFill="1" applyBorder="1" applyAlignment="1" applyProtection="1">
      <alignment horizontal="center" vertical="center"/>
      <protection locked="0"/>
    </xf>
    <xf numFmtId="0" fontId="4" fillId="0" borderId="2"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1" xfId="49" applyFont="1" applyFill="1" applyBorder="1" applyAlignment="1" applyProtection="1">
      <alignment horizontal="left" vertical="center" wrapText="1"/>
      <protection locked="0"/>
    </xf>
    <xf numFmtId="0" fontId="4" fillId="0" borderId="1" xfId="49" applyFont="1" applyFill="1" applyBorder="1" applyAlignment="1">
      <alignment horizontal="center" vertical="center" wrapText="1"/>
    </xf>
    <xf numFmtId="0" fontId="4" fillId="0" borderId="1" xfId="49" applyFont="1" applyFill="1" applyBorder="1" applyAlignment="1">
      <alignment horizontal="center" vertical="center"/>
    </xf>
    <xf numFmtId="0" fontId="11" fillId="0" borderId="1" xfId="0" applyFont="1" applyFill="1" applyBorder="1" applyAlignment="1">
      <alignment horizontal="left" vertical="center" wrapText="1"/>
    </xf>
    <xf numFmtId="0" fontId="11" fillId="0" borderId="1" xfId="49" applyFont="1" applyFill="1" applyBorder="1" applyAlignment="1" applyProtection="1">
      <alignment horizontal="left" vertical="center" wrapText="1"/>
      <protection locked="0"/>
    </xf>
    <xf numFmtId="0" fontId="11" fillId="0" borderId="1" xfId="50" applyFont="1" applyFill="1" applyBorder="1" applyAlignment="1">
      <alignment horizontal="center" vertical="center" wrapText="1"/>
    </xf>
    <xf numFmtId="0" fontId="11" fillId="0" borderId="1" xfId="49" applyFont="1" applyFill="1" applyBorder="1" applyAlignment="1">
      <alignment horizontal="center" vertical="center" wrapText="1"/>
    </xf>
    <xf numFmtId="0" fontId="8" fillId="0" borderId="1" xfId="49" applyFont="1" applyFill="1" applyBorder="1" applyAlignment="1">
      <alignment horizontal="center" vertical="center" wrapText="1"/>
    </xf>
    <xf numFmtId="0" fontId="4" fillId="10" borderId="1" xfId="50" applyFont="1" applyFill="1" applyBorder="1" applyAlignment="1">
      <alignment horizontal="center" vertical="center"/>
    </xf>
    <xf numFmtId="0" fontId="11" fillId="10" borderId="1" xfId="50" applyFont="1" applyFill="1" applyBorder="1" applyAlignment="1">
      <alignment horizontal="center" vertical="center" wrapText="1"/>
    </xf>
    <xf numFmtId="0" fontId="9" fillId="11"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1" borderId="3" xfId="0" applyFont="1" applyFill="1" applyBorder="1" applyAlignment="1">
      <alignment horizontal="center" vertical="center" wrapText="1"/>
    </xf>
    <xf numFmtId="0" fontId="6" fillId="0" borderId="1" xfId="0" applyFont="1" applyFill="1" applyBorder="1" applyAlignment="1">
      <alignment vertical="center" wrapText="1"/>
    </xf>
    <xf numFmtId="0" fontId="6" fillId="0" borderId="2"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4" fillId="11" borderId="4"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11" fillId="0" borderId="1" xfId="0" applyFont="1" applyFill="1" applyBorder="1" applyAlignment="1" applyProtection="1">
      <alignment horizontal="left" vertical="center" wrapText="1"/>
      <protection locked="0"/>
    </xf>
    <xf numFmtId="0" fontId="11" fillId="0" borderId="2" xfId="0" applyFont="1" applyFill="1" applyBorder="1" applyAlignment="1">
      <alignment vertical="center" wrapText="1"/>
    </xf>
    <xf numFmtId="0" fontId="11" fillId="0" borderId="1" xfId="0" applyFont="1" applyFill="1" applyBorder="1" applyAlignment="1">
      <alignment horizontal="center" vertical="center"/>
    </xf>
    <xf numFmtId="0" fontId="1" fillId="0" borderId="2" xfId="50" applyFont="1" applyFill="1" applyBorder="1" applyAlignment="1">
      <alignment horizontal="center" vertical="center"/>
    </xf>
    <xf numFmtId="0" fontId="5" fillId="0" borderId="2" xfId="5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2" fillId="0" borderId="1" xfId="50" applyFont="1" applyFill="1" applyBorder="1" applyAlignment="1">
      <alignment horizontal="center" vertical="center" wrapText="1"/>
    </xf>
    <xf numFmtId="0" fontId="2" fillId="0" borderId="1" xfId="50" applyFont="1" applyFill="1" applyBorder="1" applyAlignment="1">
      <alignment horizontal="center" vertical="center" wrapText="1"/>
    </xf>
    <xf numFmtId="0" fontId="0" fillId="0" borderId="1" xfId="0" applyFill="1" applyBorder="1"/>
    <xf numFmtId="0" fontId="13" fillId="3" borderId="0" xfId="0" applyFont="1" applyFill="1"/>
    <xf numFmtId="0" fontId="6" fillId="0" borderId="4"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9" fillId="12" borderId="1" xfId="5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10" fillId="10" borderId="1" xfId="50" applyFont="1" applyFill="1" applyBorder="1" applyAlignment="1">
      <alignment horizontal="center" vertical="center" wrapText="1"/>
    </xf>
    <xf numFmtId="0" fontId="4" fillId="13" borderId="1" xfId="5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11" fillId="2" borderId="1" xfId="50" applyFont="1" applyFill="1" applyBorder="1" applyAlignment="1">
      <alignment horizontal="center" vertical="center" wrapText="1"/>
    </xf>
    <xf numFmtId="0" fontId="15" fillId="0" borderId="1" xfId="50" applyFont="1" applyFill="1" applyBorder="1" applyAlignment="1">
      <alignment horizontal="center" vertical="center" wrapText="1"/>
    </xf>
    <xf numFmtId="0" fontId="16" fillId="0" borderId="1" xfId="50" applyFont="1" applyFill="1" applyBorder="1" applyAlignment="1">
      <alignment horizontal="center" vertical="center" wrapText="1"/>
    </xf>
    <xf numFmtId="0" fontId="11" fillId="0" borderId="1" xfId="0" applyFont="1" applyFill="1" applyBorder="1" applyAlignment="1">
      <alignment horizontal="justify" vertical="center" wrapText="1"/>
    </xf>
    <xf numFmtId="0" fontId="11" fillId="0" borderId="2" xfId="0" applyFont="1" applyFill="1" applyBorder="1" applyAlignment="1">
      <alignment horizontal="center" vertical="center" wrapText="1"/>
    </xf>
    <xf numFmtId="0" fontId="11" fillId="0" borderId="1" xfId="49" applyFont="1" applyFill="1" applyBorder="1" applyAlignment="1">
      <alignment horizontal="center" vertical="center"/>
    </xf>
    <xf numFmtId="0" fontId="11" fillId="0" borderId="3" xfId="0" applyFont="1" applyFill="1" applyBorder="1" applyAlignment="1">
      <alignment horizontal="center" vertical="center" wrapText="1"/>
    </xf>
    <xf numFmtId="0" fontId="1" fillId="0" borderId="0" xfId="50" applyFont="1" applyFill="1" applyBorder="1" applyAlignment="1">
      <alignment horizontal="center" vertical="center"/>
    </xf>
    <xf numFmtId="0" fontId="2" fillId="0" borderId="0" xfId="50" applyFont="1" applyFill="1" applyBorder="1" applyAlignment="1">
      <alignment horizontal="center" vertical="center"/>
    </xf>
    <xf numFmtId="0" fontId="5" fillId="0" borderId="5" xfId="50" applyFont="1" applyFill="1" applyBorder="1" applyAlignment="1">
      <alignment horizontal="center" vertical="center" wrapText="1"/>
    </xf>
    <xf numFmtId="0" fontId="5" fillId="0" borderId="0" xfId="50" applyFont="1" applyFill="1" applyBorder="1" applyAlignment="1">
      <alignment horizontal="center" vertical="center" wrapText="1"/>
    </xf>
    <xf numFmtId="0" fontId="5" fillId="0" borderId="6" xfId="50" applyFont="1" applyFill="1" applyBorder="1" applyAlignment="1">
      <alignment horizontal="center" vertical="center" wrapText="1"/>
    </xf>
    <xf numFmtId="0" fontId="4" fillId="0" borderId="5" xfId="50" applyFont="1" applyFill="1" applyBorder="1" applyAlignment="1">
      <alignment horizontal="center" vertical="center" wrapText="1"/>
    </xf>
    <xf numFmtId="0" fontId="1" fillId="0" borderId="5" xfId="50" applyFont="1" applyFill="1" applyBorder="1" applyAlignment="1">
      <alignment horizontal="center" vertical="center" wrapText="1"/>
    </xf>
    <xf numFmtId="0" fontId="9" fillId="0" borderId="1" xfId="0" applyFont="1" applyFill="1" applyBorder="1" applyAlignment="1">
      <alignment horizontal="left" vertical="center" wrapText="1"/>
    </xf>
    <xf numFmtId="0" fontId="1" fillId="0" borderId="5" xfId="50" applyFont="1" applyFill="1" applyBorder="1" applyAlignment="1">
      <alignment horizontal="center" vertical="center"/>
    </xf>
    <xf numFmtId="0" fontId="17"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4" fillId="0" borderId="1" xfId="50" applyFont="1" applyFill="1" applyBorder="1" applyAlignment="1">
      <alignment horizontal="left" vertical="center"/>
    </xf>
    <xf numFmtId="0" fontId="8" fillId="7" borderId="1" xfId="50" applyFont="1" applyFill="1" applyBorder="1" applyAlignment="1">
      <alignment horizontal="left" vertical="center" wrapText="1"/>
    </xf>
    <xf numFmtId="0" fontId="4" fillId="14" borderId="1" xfId="0" applyFont="1" applyFill="1" applyBorder="1" applyAlignment="1">
      <alignment horizontal="left" vertical="center" wrapText="1"/>
    </xf>
    <xf numFmtId="0" fontId="8" fillId="14" borderId="1" xfId="0" applyFont="1" applyFill="1" applyBorder="1" applyAlignment="1">
      <alignment horizontal="center" vertical="center" wrapText="1"/>
    </xf>
    <xf numFmtId="0" fontId="4" fillId="14" borderId="1" xfId="0" applyFont="1" applyFill="1" applyBorder="1" applyAlignment="1" applyProtection="1">
      <alignment horizontal="center" vertical="center" wrapText="1"/>
      <protection locked="0"/>
    </xf>
    <xf numFmtId="0" fontId="4" fillId="14" borderId="1" xfId="50" applyFont="1" applyFill="1" applyBorder="1" applyAlignment="1">
      <alignment horizontal="center" vertical="center"/>
    </xf>
    <xf numFmtId="0" fontId="8" fillId="14" borderId="1" xfId="0" applyFont="1" applyFill="1" applyBorder="1" applyAlignment="1" applyProtection="1">
      <alignment horizontal="center" vertical="center"/>
      <protection locked="0"/>
    </xf>
    <xf numFmtId="0" fontId="8" fillId="14" borderId="1" xfId="0" applyFont="1" applyFill="1" applyBorder="1" applyAlignment="1" applyProtection="1">
      <alignment horizontal="center" vertical="center" wrapText="1"/>
      <protection locked="0"/>
    </xf>
    <xf numFmtId="0" fontId="4" fillId="0" borderId="2" xfId="0" applyFont="1" applyFill="1" applyBorder="1" applyAlignment="1" applyProtection="1">
      <alignment horizontal="center" vertical="center" wrapText="1"/>
      <protection locked="0"/>
    </xf>
    <xf numFmtId="0" fontId="4" fillId="0" borderId="3" xfId="0" applyFont="1" applyFill="1" applyBorder="1" applyAlignment="1" applyProtection="1">
      <alignment horizontal="center" vertical="center" wrapText="1"/>
      <protection locked="0"/>
    </xf>
    <xf numFmtId="0" fontId="8" fillId="7" borderId="1" xfId="0" applyFont="1" applyFill="1" applyBorder="1" applyAlignment="1" applyProtection="1">
      <alignment horizontal="center" vertical="center" wrapText="1"/>
      <protection locked="0"/>
    </xf>
    <xf numFmtId="0" fontId="4" fillId="0" borderId="4" xfId="0" applyFont="1" applyFill="1" applyBorder="1" applyAlignment="1" applyProtection="1">
      <alignment horizontal="center" vertical="center" wrapText="1"/>
      <protection locked="0"/>
    </xf>
    <xf numFmtId="0" fontId="11" fillId="7" borderId="1" xfId="49" applyFont="1" applyFill="1" applyBorder="1" applyAlignment="1">
      <alignment horizontal="center" vertical="center" wrapText="1"/>
    </xf>
    <xf numFmtId="0" fontId="8" fillId="7" borderId="1" xfId="49" applyFont="1" applyFill="1" applyBorder="1" applyAlignment="1">
      <alignment horizontal="center" vertical="center" wrapText="1"/>
    </xf>
    <xf numFmtId="0" fontId="15" fillId="0" borderId="0" xfId="5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9" fillId="0" borderId="1" xfId="5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5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1" fillId="0" borderId="0" xfId="50" applyFont="1" applyFill="1" applyBorder="1" applyAlignment="1">
      <alignment horizontal="center" vertical="center" wrapText="1"/>
    </xf>
    <xf numFmtId="0" fontId="3" fillId="0" borderId="0" xfId="50" applyFont="1" applyFill="1" applyBorder="1" applyAlignment="1">
      <alignment horizontal="center" vertical="center" wrapText="1"/>
    </xf>
    <xf numFmtId="0" fontId="4" fillId="0" borderId="0" xfId="50" applyFont="1" applyFill="1" applyBorder="1" applyAlignment="1">
      <alignment horizontal="center" vertical="center" wrapText="1"/>
    </xf>
    <xf numFmtId="0" fontId="8" fillId="15" borderId="1" xfId="0" applyFont="1" applyFill="1" applyBorder="1" applyAlignment="1">
      <alignment horizontal="left" vertical="center" wrapText="1"/>
    </xf>
    <xf numFmtId="0" fontId="2" fillId="15" borderId="0" xfId="50" applyFont="1" applyFill="1" applyBorder="1" applyAlignment="1">
      <alignment horizontal="center" vertical="center"/>
    </xf>
    <xf numFmtId="0" fontId="4" fillId="15" borderId="1" xfId="0" applyFont="1" applyFill="1" applyBorder="1" applyAlignment="1">
      <alignment horizontal="left" vertical="center" wrapText="1"/>
    </xf>
    <xf numFmtId="0" fontId="4" fillId="15" borderId="1" xfId="0" applyFont="1" applyFill="1" applyBorder="1" applyAlignment="1" applyProtection="1">
      <alignment horizontal="center" vertical="center"/>
      <protection locked="0"/>
    </xf>
    <xf numFmtId="0" fontId="4" fillId="15" borderId="1" xfId="0" applyFont="1" applyFill="1" applyBorder="1" applyAlignment="1" applyProtection="1">
      <alignment horizontal="center" vertical="center" wrapText="1"/>
      <protection locked="0"/>
    </xf>
    <xf numFmtId="0" fontId="10" fillId="14" borderId="1" xfId="50" applyFont="1" applyFill="1" applyBorder="1" applyAlignment="1">
      <alignment horizontal="center" vertical="center" wrapText="1"/>
    </xf>
    <xf numFmtId="0" fontId="5" fillId="14" borderId="1" xfId="50" applyFont="1" applyFill="1" applyBorder="1" applyAlignment="1">
      <alignment horizontal="center" vertical="center" wrapText="1"/>
    </xf>
    <xf numFmtId="0" fontId="2" fillId="0" borderId="1" xfId="50" applyFont="1" applyFill="1" applyBorder="1" applyAlignment="1" applyProtection="1">
      <alignment horizontal="center" vertical="center"/>
      <protection locked="0"/>
    </xf>
    <xf numFmtId="0" fontId="3" fillId="0" borderId="1" xfId="50" applyFont="1" applyFill="1" applyBorder="1" applyAlignment="1">
      <alignment horizontal="center" vertical="center"/>
    </xf>
    <xf numFmtId="0" fontId="6" fillId="0" borderId="1" xfId="0" applyFont="1" applyFill="1" applyBorder="1" applyAlignment="1" applyProtection="1">
      <alignment horizontal="center" vertical="center" wrapText="1"/>
      <protection locked="0"/>
    </xf>
    <xf numFmtId="0" fontId="11" fillId="0" borderId="1" xfId="0" applyFont="1" applyFill="1" applyBorder="1" applyAlignment="1" applyProtection="1">
      <alignment horizontal="center" vertical="center" wrapText="1"/>
      <protection locked="0"/>
    </xf>
    <xf numFmtId="0" fontId="8" fillId="0" borderId="1" xfId="0" applyFont="1" applyFill="1" applyBorder="1" applyAlignment="1" applyProtection="1">
      <alignment horizontal="left" vertical="center" wrapText="1"/>
      <protection locked="0"/>
    </xf>
    <xf numFmtId="0" fontId="14" fillId="0" borderId="1" xfId="0" applyNumberFormat="1" applyFont="1" applyFill="1" applyBorder="1" applyAlignment="1" applyProtection="1">
      <alignment horizontal="center" vertical="center" wrapText="1"/>
      <protection locked="0"/>
    </xf>
    <xf numFmtId="0" fontId="14" fillId="0" borderId="1" xfId="0" applyFont="1" applyFill="1" applyBorder="1" applyAlignment="1" applyProtection="1">
      <alignment horizontal="center" vertical="center" wrapText="1"/>
      <protection locked="0"/>
    </xf>
    <xf numFmtId="0" fontId="11" fillId="0" borderId="1" xfId="0" applyNumberFormat="1" applyFont="1" applyFill="1" applyBorder="1" applyAlignment="1" applyProtection="1">
      <alignment horizontal="center" vertical="center" wrapText="1"/>
      <protection locked="0"/>
    </xf>
    <xf numFmtId="0" fontId="11" fillId="0" borderId="1" xfId="0" applyNumberFormat="1" applyFont="1" applyFill="1" applyBorder="1" applyAlignment="1" applyProtection="1">
      <alignment horizontal="left" vertical="center" wrapText="1"/>
      <protection locked="0"/>
    </xf>
    <xf numFmtId="0" fontId="14" fillId="0" borderId="1" xfId="0" applyNumberFormat="1" applyFont="1" applyFill="1" applyBorder="1" applyAlignment="1" applyProtection="1">
      <alignment vertical="center" wrapText="1"/>
      <protection locked="0"/>
    </xf>
    <xf numFmtId="0" fontId="11" fillId="0" borderId="1" xfId="0" applyFont="1" applyFill="1" applyBorder="1" applyAlignment="1" applyProtection="1">
      <alignment vertical="center" wrapText="1"/>
      <protection locked="0"/>
    </xf>
    <xf numFmtId="0" fontId="11" fillId="0" borderId="1" xfId="50" applyNumberFormat="1" applyFont="1" applyFill="1" applyBorder="1" applyAlignment="1" applyProtection="1">
      <alignment horizontal="center" vertical="center" wrapText="1"/>
      <protection locked="0"/>
    </xf>
    <xf numFmtId="0" fontId="11" fillId="0" borderId="1" xfId="49" applyNumberFormat="1" applyFont="1" applyFill="1" applyBorder="1" applyAlignment="1" applyProtection="1">
      <alignment horizontal="center" vertical="center" wrapText="1"/>
      <protection locked="0"/>
    </xf>
    <xf numFmtId="0" fontId="11" fillId="0" borderId="1" xfId="0" applyNumberFormat="1" applyFont="1" applyFill="1" applyBorder="1" applyAlignment="1" applyProtection="1">
      <alignment horizontal="center" vertical="center"/>
      <protection locked="0"/>
    </xf>
    <xf numFmtId="0" fontId="1" fillId="0" borderId="0" xfId="50" applyFont="1" applyFill="1" applyBorder="1" applyAlignment="1" applyProtection="1">
      <alignment horizontal="center" vertical="center"/>
      <protection locked="0"/>
    </xf>
    <xf numFmtId="0" fontId="11" fillId="0" borderId="1" xfId="50" applyFont="1" applyFill="1" applyBorder="1" applyAlignment="1" applyProtection="1">
      <alignment horizontal="center" vertical="center" wrapText="1"/>
      <protection locked="0"/>
    </xf>
    <xf numFmtId="0" fontId="11" fillId="0" borderId="1" xfId="0" applyFont="1" applyFill="1" applyBorder="1" applyAlignment="1" applyProtection="1">
      <alignment horizontal="center" vertical="center"/>
      <protection locked="0"/>
    </xf>
    <xf numFmtId="0" fontId="1" fillId="0" borderId="0" xfId="50" applyFont="1" applyFill="1" applyBorder="1" applyAlignment="1">
      <alignment horizontal="left" vertical="center"/>
    </xf>
    <xf numFmtId="0" fontId="1" fillId="0" borderId="0" xfId="50" applyFont="1" applyFill="1" applyBorder="1" applyAlignment="1">
      <alignment horizontal="left" vertical="center" wrapText="1"/>
    </xf>
    <xf numFmtId="0" fontId="1" fillId="0" borderId="0" xfId="50" applyFont="1" applyFill="1" applyBorder="1" applyAlignment="1">
      <alignment vertical="center"/>
    </xf>
    <xf numFmtId="0" fontId="1" fillId="2" borderId="0" xfId="50" applyFont="1" applyFill="1" applyBorder="1" applyAlignment="1">
      <alignment vertical="center"/>
    </xf>
    <xf numFmtId="0" fontId="3" fillId="6" borderId="2" xfId="50" applyFont="1" applyFill="1" applyBorder="1" applyAlignment="1">
      <alignment horizontal="center" vertical="center" wrapText="1"/>
    </xf>
    <xf numFmtId="0" fontId="3" fillId="6" borderId="1" xfId="50" applyFont="1" applyFill="1" applyBorder="1" applyAlignment="1">
      <alignment horizontal="center" vertical="center" wrapText="1"/>
    </xf>
    <xf numFmtId="0" fontId="3" fillId="6" borderId="7" xfId="50" applyFont="1" applyFill="1" applyBorder="1" applyAlignment="1">
      <alignment horizontal="center" vertical="center" wrapText="1"/>
    </xf>
    <xf numFmtId="0" fontId="3" fillId="6" borderId="8" xfId="50" applyFont="1" applyFill="1" applyBorder="1" applyAlignment="1">
      <alignment horizontal="center" vertical="center" wrapText="1"/>
    </xf>
    <xf numFmtId="0" fontId="3" fillId="6" borderId="5" xfId="50" applyFont="1" applyFill="1" applyBorder="1" applyAlignment="1">
      <alignment horizontal="center" vertical="center" wrapText="1"/>
    </xf>
    <xf numFmtId="0" fontId="3" fillId="6" borderId="9" xfId="50" applyFont="1" applyFill="1" applyBorder="1" applyAlignment="1">
      <alignment horizontal="center" vertical="center" wrapText="1"/>
    </xf>
    <xf numFmtId="0" fontId="3" fillId="6" borderId="10" xfId="50" applyFont="1" applyFill="1" applyBorder="1" applyAlignment="1">
      <alignment horizontal="center" vertical="center" wrapText="1"/>
    </xf>
    <xf numFmtId="0" fontId="3" fillId="0" borderId="7" xfId="50" applyFont="1" applyFill="1" applyBorder="1" applyAlignment="1">
      <alignment horizontal="center" vertical="center" wrapText="1"/>
    </xf>
    <xf numFmtId="0" fontId="3" fillId="6" borderId="4" xfId="50" applyFont="1" applyFill="1" applyBorder="1" applyAlignment="1">
      <alignment horizontal="center" vertical="center" wrapText="1"/>
    </xf>
    <xf numFmtId="0" fontId="18" fillId="6" borderId="1" xfId="0" applyFont="1" applyFill="1" applyBorder="1" applyAlignment="1">
      <alignment horizontal="center" vertical="center" wrapText="1"/>
    </xf>
    <xf numFmtId="0" fontId="3" fillId="0" borderId="11" xfId="5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50"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xf>
    <xf numFmtId="0" fontId="3" fillId="0" borderId="1" xfId="0" applyFont="1" applyFill="1" applyBorder="1" applyAlignment="1">
      <alignment horizontal="justify" vertical="center" wrapText="1"/>
    </xf>
    <xf numFmtId="0" fontId="19"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0" fillId="0" borderId="0" xfId="0" applyAlignment="1">
      <alignment horizontal="center"/>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2" fillId="0" borderId="1" xfId="0" applyFont="1" applyBorder="1" applyAlignment="1">
      <alignment horizontal="center"/>
    </xf>
    <xf numFmtId="0" fontId="21" fillId="16" borderId="2" xfId="0" applyFont="1" applyFill="1" applyBorder="1" applyAlignment="1">
      <alignment horizontal="center" vertical="center" wrapText="1"/>
    </xf>
    <xf numFmtId="0" fontId="21" fillId="16" borderId="1" xfId="0" applyFont="1" applyFill="1" applyBorder="1" applyAlignment="1">
      <alignment horizontal="left" vertical="center" wrapText="1"/>
    </xf>
    <xf numFmtId="0" fontId="22" fillId="16" borderId="2" xfId="0" applyFont="1" applyFill="1" applyBorder="1" applyAlignment="1">
      <alignment horizontal="center" vertical="center"/>
    </xf>
    <xf numFmtId="0" fontId="21" fillId="16" borderId="4" xfId="0" applyFont="1" applyFill="1" applyBorder="1" applyAlignment="1">
      <alignment horizontal="center" vertical="center" wrapText="1"/>
    </xf>
    <xf numFmtId="0" fontId="22" fillId="16" borderId="4" xfId="0" applyFont="1" applyFill="1" applyBorder="1" applyAlignment="1">
      <alignment horizontal="center" vertical="center"/>
    </xf>
    <xf numFmtId="0" fontId="21" fillId="16" borderId="1" xfId="0" applyFont="1" applyFill="1" applyBorder="1" applyAlignment="1">
      <alignment horizontal="center" vertical="center" wrapText="1"/>
    </xf>
    <xf numFmtId="0" fontId="23" fillId="16" borderId="1" xfId="0" applyFont="1" applyFill="1" applyBorder="1" applyAlignment="1">
      <alignment horizontal="left" vertical="center" wrapText="1"/>
    </xf>
    <xf numFmtId="0" fontId="22" fillId="16" borderId="3" xfId="0" applyFont="1" applyFill="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s>
  <tableStyles count="0" defaultTableStyle="TableStyleMedium2" defaultPivotStyle="PivotStyleLight16"/>
  <colors>
    <mruColors>
      <color rgb="00FFFF00"/>
      <color rgb="00000000"/>
      <color rgb="00FF0000"/>
      <color rgb="00FFC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0517505" cy="40957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2585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47215"/>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8326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851660" y="1847215"/>
          <a:ext cx="12395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191760" y="1847215"/>
          <a:ext cx="14922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6944995"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234440" y="1843405"/>
          <a:ext cx="29972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6354445" y="184340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8145780"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420745" y="1847215"/>
          <a:ext cx="151066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2835910" y="184340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14015"/>
          <a:ext cx="137477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0863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55600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835785" y="2914015"/>
          <a:ext cx="1306195" cy="64198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1851660" y="2997835"/>
          <a:ext cx="123444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170170" y="2914015"/>
          <a:ext cx="16192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223510" y="29978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223510" y="3268980"/>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223510" y="35439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223510" y="3815715"/>
          <a:ext cx="151828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528445" y="2322195"/>
          <a:ext cx="3232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091815" y="232219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4931410"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6684645"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7950835" y="2322195"/>
          <a:ext cx="194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6705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9375775" y="1847215"/>
          <a:ext cx="100520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9151620" y="2322195"/>
          <a:ext cx="2235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21030" y="1582420"/>
          <a:ext cx="539750" cy="55118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267585" y="1582420"/>
          <a:ext cx="471170" cy="55118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5753735" y="1582420"/>
          <a:ext cx="471170" cy="55118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859155" y="273748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468880" y="273367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5982335" y="272923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9224010" y="3816350"/>
          <a:ext cx="1268730" cy="551180"/>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68261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403975"/>
          <a:ext cx="16617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24002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360295" y="6403975"/>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462145" y="6403975"/>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6632575" y="6403975"/>
          <a:ext cx="16668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5791835" y="640016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3693160" y="640016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345690" y="7470775"/>
          <a:ext cx="1609090"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413000" y="7565390"/>
          <a:ext cx="14795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487545" y="747077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4540885" y="7565390"/>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851660" y="6878955"/>
          <a:ext cx="5080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395414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12457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12381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8734425" y="6403975"/>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8299450" y="6878955"/>
          <a:ext cx="43434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49575" y="6139180"/>
          <a:ext cx="471170" cy="55118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027295" y="6139180"/>
          <a:ext cx="527685" cy="55118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119755" y="7290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288915"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6654800" y="7470775"/>
          <a:ext cx="163004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6707505" y="7565390"/>
          <a:ext cx="152209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7406640"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023860" y="6400165"/>
          <a:ext cx="2679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228840" y="6139180"/>
          <a:ext cx="471170" cy="55118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9224010" y="8373110"/>
          <a:ext cx="1268730" cy="551180"/>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9847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568940"/>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404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1985645" y="10568940"/>
          <a:ext cx="184594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381500" y="1056894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6562725" y="1056894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5711190" y="10564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56870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047240" y="11635740"/>
          <a:ext cx="173799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114550" y="11726545"/>
          <a:ext cx="159385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374515" y="11635740"/>
          <a:ext cx="166243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427855" y="11726545"/>
          <a:ext cx="155448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459230" y="11043920"/>
          <a:ext cx="5264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3832225" y="11043920"/>
          <a:ext cx="5492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044565" y="11043920"/>
          <a:ext cx="518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288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8664575" y="10568940"/>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8157210" y="11043920"/>
          <a:ext cx="50736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706370" y="10300335"/>
          <a:ext cx="471170" cy="55118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58080" y="10300335"/>
          <a:ext cx="539750" cy="55118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2955290" y="11455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198110"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114550" y="12272010"/>
          <a:ext cx="15938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427855" y="12272010"/>
          <a:ext cx="155448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6574155" y="1163574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6627495" y="11726545"/>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7375525"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6627495" y="12272010"/>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790194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37400" y="10300335"/>
          <a:ext cx="471170" cy="55118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9154795" y="12538075"/>
          <a:ext cx="1286510" cy="551180"/>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053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3611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273300" y="14775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6456045" y="14775180"/>
          <a:ext cx="16713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358640"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783080"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3867785"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021070" y="15250160"/>
          <a:ext cx="4343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495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8669655" y="14775180"/>
          <a:ext cx="15754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8128000" y="15250160"/>
          <a:ext cx="54165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584198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592199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24535" y="14506575"/>
          <a:ext cx="509905" cy="55118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95377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445260" y="1477073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6518275" y="1584198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6570980" y="15921990"/>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01205" y="14506575"/>
          <a:ext cx="471170" cy="55118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736346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7876540" y="14770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6570980" y="16483965"/>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9154795" y="16744315"/>
          <a:ext cx="1286510" cy="551180"/>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26006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781746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273300"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6511925"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358640"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601720" y="1897697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285365" y="20048220"/>
          <a:ext cx="1555115" cy="13042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337435" y="201282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385310" y="2004822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438650" y="2012823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78308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3867785"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02107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770126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8641080" y="18981420"/>
          <a:ext cx="161798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105775" y="19456400"/>
          <a:ext cx="53530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836545" y="18712815"/>
          <a:ext cx="471170" cy="55118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58080" y="18712815"/>
          <a:ext cx="539750" cy="55118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082290" y="1986788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198110" y="19863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337435" y="2040318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337435" y="206743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337435" y="20949920"/>
          <a:ext cx="1449705" cy="3314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5678805" y="1897697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9154795" y="20950555"/>
          <a:ext cx="1286510" cy="551180"/>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301875" y="24836755"/>
          <a:ext cx="155765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354580" y="249205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354580" y="2519172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354580" y="254666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354580" y="25738455"/>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28269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2385020"/>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29044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656272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39229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623310"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407535" y="2483675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460240" y="24920575"/>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783080" y="2424493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268180"/>
          <a:ext cx="10492740" cy="41814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869565" y="23505160"/>
          <a:ext cx="471170" cy="55118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46650" y="23505160"/>
          <a:ext cx="539750" cy="55118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086100" y="2465641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219700"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8664575" y="23769955"/>
          <a:ext cx="1646555" cy="94869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5722620" y="2376614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6592570" y="24836755"/>
          <a:ext cx="155765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6645910" y="24920575"/>
          <a:ext cx="144970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32320" y="23505160"/>
          <a:ext cx="471170" cy="55118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7404735"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7907655"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6600190" y="20882610"/>
          <a:ext cx="3810" cy="577088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7683500" y="21965285"/>
          <a:ext cx="3810" cy="360362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8753475" y="23035260"/>
          <a:ext cx="3810" cy="146431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9154795" y="25775920"/>
          <a:ext cx="1286510" cy="551180"/>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7373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6930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3684905" y="28094940"/>
          <a:ext cx="13061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234440" y="28090495"/>
          <a:ext cx="260985"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494790" y="28569920"/>
          <a:ext cx="3727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4991100"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6814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8929370" y="28094940"/>
          <a:ext cx="14103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8555990" y="28569920"/>
          <a:ext cx="37274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17220" y="27826335"/>
          <a:ext cx="481965" cy="55118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29241750"/>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2966021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772160" y="28981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433060" y="28094940"/>
          <a:ext cx="135636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6789420" y="28569920"/>
          <a:ext cx="391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1812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007550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3660140" y="29161740"/>
          <a:ext cx="13779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3703320" y="29241750"/>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398770" y="29161740"/>
          <a:ext cx="13906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3703320" y="2966021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3703320" y="3007550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1868170"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1851660" y="29161740"/>
          <a:ext cx="143129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1889760"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1889760"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322195" y="27826335"/>
          <a:ext cx="471170" cy="55118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2977515"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52603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16661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5849620" y="27826335"/>
          <a:ext cx="471170" cy="55118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6483350" y="28090495"/>
          <a:ext cx="3060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07885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117340" y="27826335"/>
          <a:ext cx="471170" cy="55118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4729480"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32054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242945"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5456555" y="29241750"/>
          <a:ext cx="1332865"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5456555" y="29891355"/>
          <a:ext cx="1332865"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219315"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219315"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607300" y="27826335"/>
          <a:ext cx="471170" cy="55118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8241030" y="28090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783653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9154795" y="30064075"/>
          <a:ext cx="1286510" cy="551180"/>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1579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2301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1137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2991485" y="32301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5793740" y="32301180"/>
          <a:ext cx="161290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316730" y="32296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783080"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4585335"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1021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8379460" y="32301180"/>
          <a:ext cx="186563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7406640" y="32776160"/>
          <a:ext cx="97218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595370" y="32032575"/>
          <a:ext cx="471170" cy="55118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09690" y="32032575"/>
          <a:ext cx="471170" cy="55118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131050" y="32296735"/>
          <a:ext cx="27559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008630" y="33367980"/>
          <a:ext cx="15938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061970" y="33447990"/>
          <a:ext cx="147066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061970" y="34097595"/>
          <a:ext cx="147066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379349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5796280" y="33367980"/>
          <a:ext cx="161036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5849620" y="33447990"/>
          <a:ext cx="153924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5849620" y="34097595"/>
          <a:ext cx="153924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664972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9154795" y="34270315"/>
          <a:ext cx="1286510" cy="551180"/>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ZHUOMIANWENJIAN\&#35885;&#25935;20260427%20%20%20%20%201708\20260611&#28246;&#21335;&#30465;&#20844;&#21496;&#39118;&#38505;&#30697;&#38453;&#22521;&#35757;&#26448;&#26009;-&#26032;\1.&#39118;&#25511;&#30697;&#38453;-&#21556;6.28&#21457;\1.&#39118;&#25511;&#30697;&#38453;\&#30697;&#38453;&#39564;&#25910;\&#31532;&#19968;&#25209;&#65288;&#33258;&#24314;&#65289;\&#31532;&#19968;&#25209;&#30697;&#38453;&#24046;&#24322;&#24773;&#20917;&#65288;&#19982;0629&#29256;&#26412;&#26680;&#23545;&#65289;0707\&#31532;&#19968;&#25209;&#39118;&#25511;&#30697;&#38453;&#65288;&#24212;&#29992;&#29256;0629&#65289;\&#26032;-03&#39118;&#25511;&#30697;&#38453;-35&#21315;&#20239;-750&#21315;&#20239;&#30005;&#32593;&#22522;&#243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HUOMIANWENJIAN\&#35885;&#25935;20260427%20%20%20%20%201708\20260611&#28246;&#21335;&#30465;&#20844;&#21496;&#39118;&#38505;&#30697;&#38453;&#22521;&#35757;&#26448;&#26009;-&#26032;\1.&#39118;&#25511;&#30697;&#38453;-&#21556;6.28&#21457;\1.&#39118;&#25511;&#30697;&#38453;\&#30697;&#38453;&#39564;&#25910;\&#31532;&#19968;&#25209;&#65288;&#33258;&#24314;&#65289;\&#31532;&#19968;&#25209;&#30697;&#38453;&#21508;&#21333;&#20301;&#36739;&#20856;&#35774;&#30697;&#38453;&#30340;&#21464;&#21270;0717\&#30830;&#35748;&#30465;&#20844;&#21496;&#29256;&#26412;&#19979;&#21457;&#21508;&#35797;&#28857;&#21333;&#20301;\03&#39118;&#25511;&#30697;&#38453;-500&#21315;&#20239;-750&#21315;&#20239;&#30005;&#32593;&#22522;&#24314;&#65288;&#24314;&#35774;&#20844;&#21496;&#26631;&#35760;&#29256;&#26412;&#65289;7.2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业务流程"/>
      <sheetName val="流程图"/>
      <sheetName val="意见建议"/>
      <sheetName val="35千伏-750千伏电网基建"/>
      <sheetName val="WpsReserved_CellImgList"/>
    </sheetNames>
    <sheetDataSet>
      <sheetData sheetId="0"/>
      <sheetData sheetId="1"/>
      <sheetData sheetId="2"/>
      <sheetData sheetId="3">
        <row r="4">
          <cell r="A4" t="str">
            <v>35千伏-750千伏电网基建项目</v>
          </cell>
          <cell r="B4" t="str">
            <v>一、项目前期管理</v>
          </cell>
          <cell r="C4" t="str">
            <v>资金资产安全</v>
          </cell>
          <cell r="D4" t="str">
            <v>投资授权权限</v>
          </cell>
          <cell r="E4" t="str">
            <v>违规投资禁止类、特别监管类项目，违反投资政策，造成投资风险。</v>
          </cell>
        </row>
        <row r="4">
          <cell r="G4" t="str">
            <v>1.严格禁止类、特别监管类项目投资决策审批</v>
          </cell>
          <cell r="H4" t="str">
            <v>严禁投资禁止类项目，严格履行特别监管类项目投资决策审批流程</v>
          </cell>
          <cell r="I4" t="str">
            <v>电网基建业务-1.严格禁止类、特别监管类项目投资决策审批-控制措施01</v>
          </cell>
          <cell r="J4" t="str">
            <v>各级单位建立项目投资负面清单，项目管理部门人员全面审查项目政策合规性、地方政府信用等级、项目资金来源等，不得投资国家或地方政府限制类项目；</v>
          </cell>
        </row>
        <row r="4">
          <cell r="R4" t="str">
            <v>√</v>
          </cell>
        </row>
        <row r="4">
          <cell r="T4" t="str">
            <v>线下管控</v>
          </cell>
        </row>
        <row r="4">
          <cell r="V4" t="str">
            <v>1.项目投资负面清单。</v>
          </cell>
          <cell r="W4" t="str">
            <v>各级单位-发展部门-投资管理人员</v>
          </cell>
          <cell r="X4" t="str">
            <v>每年</v>
          </cell>
          <cell r="Y4" t="str">
            <v>抽查</v>
          </cell>
        </row>
        <row r="4">
          <cell r="AA4" t="str">
            <v>每年</v>
          </cell>
          <cell r="AB4" t="str">
            <v>抽查</v>
          </cell>
        </row>
        <row r="4">
          <cell r="AD4" t="str">
            <v>投资规划监督场景</v>
          </cell>
          <cell r="AE4" t="str">
            <v>每年</v>
          </cell>
        </row>
        <row r="4">
          <cell r="AH4" t="str">
            <v>是</v>
          </cell>
          <cell r="AI4" t="str">
            <v>是</v>
          </cell>
          <cell r="AJ4" t="str">
            <v>《国家电网有限公司投资管理规定》（国家电网企管〔2019〕425号）第五章</v>
          </cell>
          <cell r="AK4" t="str">
            <v>国网发展部</v>
          </cell>
        </row>
        <row r="5">
          <cell r="I5" t="str">
            <v>电网基建业务-1.严格禁止类、特别监管类项目投资决策审批-控制措施02</v>
          </cell>
          <cell r="J5" t="str">
            <v>针对特别监管类项目应履行提级审批程序，各级单位不得绕过审批程序违规投资。</v>
          </cell>
        </row>
        <row r="5">
          <cell r="L5" t="str">
            <v>√</v>
          </cell>
        </row>
        <row r="5">
          <cell r="T5" t="str">
            <v>系统已建</v>
          </cell>
          <cell r="U5" t="str">
            <v>网上电网</v>
          </cell>
          <cell r="V5" t="str">
            <v>1.项目投资负面清单。</v>
          </cell>
          <cell r="W5" t="str">
            <v>各级单位-发展部门-投资管理人员、各级单位-发展部门-审批人员</v>
          </cell>
          <cell r="X5" t="str">
            <v>每年</v>
          </cell>
          <cell r="Y5" t="str">
            <v>抽查</v>
          </cell>
        </row>
        <row r="5">
          <cell r="AA5" t="str">
            <v>每年</v>
          </cell>
          <cell r="AB5" t="str">
            <v>抽查</v>
          </cell>
        </row>
        <row r="5">
          <cell r="AD5" t="str">
            <v>投资规划监督场景</v>
          </cell>
          <cell r="AE5" t="str">
            <v>每年</v>
          </cell>
        </row>
        <row r="5">
          <cell r="AH5" t="str">
            <v>是</v>
          </cell>
          <cell r="AI5" t="str">
            <v>是</v>
          </cell>
          <cell r="AJ5" t="str">
            <v>《国家电网有限公司投资管理规定》（国家电网企管〔2019〕425号）第五章</v>
          </cell>
        </row>
        <row r="6">
          <cell r="C6" t="str">
            <v>资金资产安全</v>
          </cell>
          <cell r="D6" t="str">
            <v>可行性研究设计与审查</v>
          </cell>
          <cell r="E6" t="str">
            <v>估算方法和依据不合理，导致投资估算与实际投入相差较大，造成资金占用、资源错配。</v>
          </cell>
        </row>
        <row r="6">
          <cell r="G6" t="str">
            <v>2.可研报告（估算）准确性、完整性审核控制</v>
          </cell>
          <cell r="H6" t="str">
            <v>投资项目可研估算编制的依据和方法合理准确。</v>
          </cell>
          <cell r="I6" t="str">
            <v>电网基建业务-2.可研报告（估算）准确性、完整性审核控制-控制措施01</v>
          </cell>
          <cell r="J6" t="str">
            <v>各级单位发展部门负责确认可研估算采用行业定额标准；</v>
          </cell>
        </row>
        <row r="6">
          <cell r="N6" t="str">
            <v>√</v>
          </cell>
        </row>
        <row r="6">
          <cell r="T6" t="str">
            <v>线下管控</v>
          </cell>
        </row>
        <row r="6">
          <cell r="V6" t="str">
            <v>1.可研估算。</v>
          </cell>
          <cell r="W6" t="str">
            <v>各级单位-发展部门-可研核准管理人员</v>
          </cell>
          <cell r="X6" t="str">
            <v>每年</v>
          </cell>
          <cell r="Y6" t="str">
            <v>抽查</v>
          </cell>
        </row>
        <row r="6">
          <cell r="AA6" t="str">
            <v>每年</v>
          </cell>
          <cell r="AB6" t="str">
            <v>抽查</v>
          </cell>
        </row>
        <row r="6">
          <cell r="AD6" t="str">
            <v>造价管理数据常态化分析监督场景</v>
          </cell>
          <cell r="AE6" t="str">
            <v>每月</v>
          </cell>
        </row>
        <row r="6">
          <cell r="AH6" t="str">
            <v>是</v>
          </cell>
          <cell r="AI6" t="str">
            <v>是</v>
          </cell>
          <cell r="AJ6" t="str">
            <v>《国家电网有限公司电网项目可行性研究工作管理办法》（国家电网企管〔2021〕64号）第五章</v>
          </cell>
          <cell r="AK6" t="str">
            <v>国网发展部</v>
          </cell>
        </row>
        <row r="7">
          <cell r="I7" t="str">
            <v>电网基建业务-2.可研报告（估算）准确性、完整性审核控制-控制措施02</v>
          </cell>
          <cell r="J7" t="str">
            <v>各级单位经研院、所审核可研估算的量、价，确保行业标准“应采尽采”；</v>
          </cell>
        </row>
        <row r="7">
          <cell r="N7" t="str">
            <v>√</v>
          </cell>
        </row>
        <row r="7">
          <cell r="T7" t="str">
            <v>线下管控</v>
          </cell>
        </row>
        <row r="7">
          <cell r="V7" t="str">
            <v>1.可研估算。</v>
          </cell>
          <cell r="W7" t="str">
            <v>各级单位-经研院、所-技经人员</v>
          </cell>
          <cell r="X7" t="str">
            <v>每年</v>
          </cell>
          <cell r="Y7" t="str">
            <v>抽查</v>
          </cell>
        </row>
        <row r="7">
          <cell r="AA7" t="str">
            <v>每年</v>
          </cell>
          <cell r="AB7" t="str">
            <v>抽查</v>
          </cell>
        </row>
        <row r="7">
          <cell r="AD7" t="str">
            <v>造价管理数据常态化分析监督场景</v>
          </cell>
          <cell r="AE7" t="str">
            <v>每月</v>
          </cell>
        </row>
        <row r="7">
          <cell r="AH7" t="str">
            <v>是</v>
          </cell>
          <cell r="AI7" t="str">
            <v>是</v>
          </cell>
          <cell r="AJ7" t="str">
            <v>《国家电网有限公司电网项目可行性研究工作管理办法》（国家电网企管〔2021〕64号）第五章</v>
          </cell>
          <cell r="AK7" t="str">
            <v>国网发展部</v>
          </cell>
        </row>
        <row r="8">
          <cell r="I8" t="str">
            <v>电网基建业务-2.可研报告（估算）准确性、完整性审核控制-控制措施03</v>
          </cell>
          <cell r="J8" t="str">
            <v>加强“估、概、预、结、决”等数据比对、评价，由建设部门牵头负责概算、预算及结算部分，发展部门负责估算部分，财务部门负责决算部分。</v>
          </cell>
        </row>
        <row r="8">
          <cell r="S8" t="str">
            <v>√</v>
          </cell>
          <cell r="T8" t="str">
            <v>线下管控</v>
          </cell>
        </row>
        <row r="8">
          <cell r="V8" t="str">
            <v>1.可研估算。</v>
          </cell>
          <cell r="W8" t="str">
            <v>各级单位-发展部门-可研核准管理人员、各级单位-建设部门-计划人员、各级单位-财务部门-工程管理人员</v>
          </cell>
          <cell r="X8" t="str">
            <v>每年</v>
          </cell>
          <cell r="Y8" t="str">
            <v>抽查</v>
          </cell>
        </row>
        <row r="8">
          <cell r="AA8" t="str">
            <v>每年</v>
          </cell>
          <cell r="AB8" t="str">
            <v>抽查</v>
          </cell>
        </row>
        <row r="8">
          <cell r="AD8" t="str">
            <v>造价管理数据常态化分析监督场景</v>
          </cell>
          <cell r="AE8" t="str">
            <v>每季度</v>
          </cell>
        </row>
        <row r="8">
          <cell r="AH8" t="str">
            <v>是</v>
          </cell>
          <cell r="AI8" t="str">
            <v>是</v>
          </cell>
          <cell r="AJ8" t="str">
            <v>《国家电网有限公司电网项目可行性研究工作管理办法》（国家电网企管〔2021〕64号）第五章</v>
          </cell>
          <cell r="AK8" t="str">
            <v>国网基建部、国网发展部</v>
          </cell>
        </row>
        <row r="9">
          <cell r="E9" t="str">
            <v>未充分评估投资项目的可行性和经济性，导致技术方案无法实施、可研估算不合理。</v>
          </cell>
        </row>
        <row r="9">
          <cell r="G9" t="str">
            <v>3.可研经济性评审、财务合规性审核控制</v>
          </cell>
          <cell r="H9" t="str">
            <v>建立并严格执行可研经济性评审与财务合规性审核流程。</v>
          </cell>
          <cell r="I9" t="str">
            <v>电网基建业务-3.可研经济性评审、财务合规性审核控制-控制措施01</v>
          </cell>
          <cell r="J9" t="str">
            <v>各级单位发展部门建立可研经济性评审、财务合规性审核流程，落实评审与校核责任；</v>
          </cell>
        </row>
        <row r="9">
          <cell r="N9" t="str">
            <v>√</v>
          </cell>
        </row>
        <row r="9">
          <cell r="S9" t="str">
            <v>√</v>
          </cell>
          <cell r="T9" t="str">
            <v>线下管控</v>
          </cell>
        </row>
        <row r="9">
          <cell r="V9" t="str">
            <v>1.可行性研究报告；
2.经研院或评审单位出具的可研评审意见文件或评审意见；                
3.发展部门出具的可研批复文件及财务部会签意见。</v>
          </cell>
          <cell r="W9" t="str">
            <v>各级单位-发展部门-可研核准管理人员、各级单位-经研院、所-技经人员</v>
          </cell>
          <cell r="X9" t="str">
            <v>每年</v>
          </cell>
          <cell r="Y9" t="str">
            <v>抽查</v>
          </cell>
        </row>
        <row r="9">
          <cell r="AA9" t="str">
            <v>每年</v>
          </cell>
          <cell r="AB9" t="str">
            <v>抽查</v>
          </cell>
        </row>
        <row r="9">
          <cell r="AD9" t="str">
            <v>可研评审规则库监督场景</v>
          </cell>
          <cell r="AE9" t="str">
            <v>每月</v>
          </cell>
        </row>
        <row r="9">
          <cell r="AH9" t="str">
            <v>是</v>
          </cell>
          <cell r="AI9" t="str">
            <v>是</v>
          </cell>
          <cell r="AJ9" t="str">
            <v>《国家电网有限公司电网项目可行性研究工作管理办法》（国家电网企管〔2021〕64号）第五章</v>
          </cell>
          <cell r="AK9" t="str">
            <v>国网发展部</v>
          </cell>
        </row>
        <row r="10">
          <cell r="I10" t="str">
            <v>电网基建业务-3.可研经济性评审、财务合规性审核控制-控制措施02</v>
          </cell>
          <cell r="J10" t="str">
            <v>各级单位财务部门负责审核财务合规性，会签可研批复、确保严肃有效；</v>
          </cell>
        </row>
        <row r="10">
          <cell r="N10" t="str">
            <v>√</v>
          </cell>
        </row>
        <row r="10">
          <cell r="Q10" t="str">
            <v>√</v>
          </cell>
        </row>
        <row r="10">
          <cell r="S10" t="str">
            <v>√</v>
          </cell>
          <cell r="T10" t="str">
            <v>系统已建</v>
          </cell>
          <cell r="U10" t="str">
            <v>办公公文系统</v>
          </cell>
          <cell r="V10" t="str">
            <v>1.可行性研究报告；
2.经研院或评审单位出具的可研评审意见文件或评审意见；                
3.发展部门出具的可研批复文件及财务部会签意见。</v>
          </cell>
          <cell r="W10" t="str">
            <v>各级单位-财务部门-工程财务人员</v>
          </cell>
          <cell r="X10" t="str">
            <v>每年</v>
          </cell>
          <cell r="Y10" t="str">
            <v>抽查</v>
          </cell>
        </row>
        <row r="10">
          <cell r="AA10" t="str">
            <v>每年</v>
          </cell>
          <cell r="AB10" t="str">
            <v>抽查</v>
          </cell>
        </row>
        <row r="10">
          <cell r="AD10" t="str">
            <v>可研评审规则库监督场景</v>
          </cell>
          <cell r="AE10" t="str">
            <v>每月</v>
          </cell>
        </row>
        <row r="10">
          <cell r="AH10" t="str">
            <v>是</v>
          </cell>
          <cell r="AI10" t="str">
            <v>是</v>
          </cell>
          <cell r="AJ10" t="str">
            <v>《国家电网有限公司电网项目可行性研究工作管理办法》（国家电网企管〔2021〕64号）第五章</v>
          </cell>
          <cell r="AK10" t="str">
            <v>国网财务部</v>
          </cell>
        </row>
        <row r="11">
          <cell r="I11" t="str">
            <v>电网基建业务-3.可研经济性评审、财务合规性审核控制-控制措施03</v>
          </cell>
          <cell r="J11" t="str">
            <v>各级单位发展部门强化项目立项管理。</v>
          </cell>
        </row>
        <row r="11">
          <cell r="N11" t="str">
            <v>√</v>
          </cell>
        </row>
        <row r="11">
          <cell r="T11" t="str">
            <v>线下管控</v>
          </cell>
        </row>
        <row r="11">
          <cell r="V11" t="str">
            <v>1.可行性研究报告；
2.经研院或评审单位出具的可研评审意见文件或评审意见；                
3.发展部门出具的可研批复文件及财务部会签意见。</v>
          </cell>
          <cell r="W11" t="str">
            <v>各级单位-发展部门-可研核准管理人员</v>
          </cell>
          <cell r="X11" t="str">
            <v>每年</v>
          </cell>
          <cell r="Y11" t="str">
            <v>抽查</v>
          </cell>
        </row>
        <row r="11">
          <cell r="AA11" t="str">
            <v>每年</v>
          </cell>
          <cell r="AB11" t="str">
            <v>抽查</v>
          </cell>
        </row>
        <row r="11">
          <cell r="AD11" t="str">
            <v>可研评审规则库监督场景</v>
          </cell>
          <cell r="AE11" t="str">
            <v>每月</v>
          </cell>
        </row>
        <row r="11">
          <cell r="AH11" t="str">
            <v>是</v>
          </cell>
          <cell r="AI11" t="str">
            <v>是</v>
          </cell>
          <cell r="AJ11" t="str">
            <v>《国家电网有限公司电网项目可行性研究工作管理办法》（国家电网企管〔2021〕64号）第五章</v>
          </cell>
          <cell r="AK11" t="str">
            <v>国网发展部</v>
          </cell>
        </row>
        <row r="12">
          <cell r="A12" t="str">
            <v>35千伏-750千伏电网基建项目</v>
          </cell>
          <cell r="B12" t="str">
            <v>一、项目前期管理</v>
          </cell>
          <cell r="C12" t="str">
            <v>会计信息真实完整</v>
          </cell>
          <cell r="D12" t="str">
            <v>项目前期费用确认</v>
          </cell>
          <cell r="E12" t="str">
            <v>前期费用列支与预规、公司及行业规定前期费用项目不符，导致前期费用超范围或超规模列支。</v>
          </cell>
        </row>
        <row r="12">
          <cell r="G12" t="str">
            <v>4.前期费用列支范围、规模审核控制</v>
          </cell>
          <cell r="H12" t="str">
            <v>前期费用列支与管理办法约定的前期工作内容一致。</v>
          </cell>
          <cell r="I12" t="str">
            <v>电网基建业务-4.前期费用列支范围、规模审核控制-控制措施01</v>
          </cell>
          <cell r="J12" t="str">
            <v>各级单位发展部门负责编制项目前期费用计划，项目前期费用应以规划、前期计划或估算为依据，严禁无依据列支，规划或前期计划外项目创建前期费用项目需履行分级审批流程；</v>
          </cell>
        </row>
        <row r="12">
          <cell r="L12" t="str">
            <v>√</v>
          </cell>
        </row>
        <row r="12">
          <cell r="T12" t="str">
            <v>系统已建</v>
          </cell>
          <cell r="U12" t="str">
            <v>1.ERP系统
2.智慧共享财务平台
3.网上电网</v>
          </cell>
          <cell r="V12" t="str">
            <v>1.系统审批记录；
2.前期费用入账明细；
3.合同执行情况；
4.前期项目计划文件。</v>
          </cell>
          <cell r="W12" t="str">
            <v>各级单位-发展部门-前期规划人员</v>
          </cell>
          <cell r="X12" t="str">
            <v>每年</v>
          </cell>
          <cell r="Y12" t="str">
            <v>抽查</v>
          </cell>
        </row>
        <row r="12">
          <cell r="AA12" t="str">
            <v>每年</v>
          </cell>
          <cell r="AB12" t="str">
            <v>抽查</v>
          </cell>
        </row>
        <row r="12">
          <cell r="AD12" t="str">
            <v>前期费用监督场景</v>
          </cell>
          <cell r="AE12" t="str">
            <v>每月</v>
          </cell>
        </row>
        <row r="12">
          <cell r="AH12" t="str">
            <v>是</v>
          </cell>
          <cell r="AI12" t="str">
            <v>是</v>
          </cell>
          <cell r="AJ12" t="str">
            <v>《国家电网有限公司电网项目前期工作管理办法》（国家电网企管〔2022〕578号）第三章</v>
          </cell>
          <cell r="AK12" t="str">
            <v>国网发展部</v>
          </cell>
        </row>
        <row r="13">
          <cell r="I13" t="str">
            <v>电网基建业务-4.前期费用列支范围、规模审核控制-控制措施02</v>
          </cell>
          <cell r="J13" t="str">
            <v>各级单位财务部门参与前期费用计划审核，复核前期工作内容，范围内的项目纳入年度财务预算，超范围项目不允许立项；</v>
          </cell>
        </row>
        <row r="13">
          <cell r="L13" t="str">
            <v>√</v>
          </cell>
        </row>
        <row r="13">
          <cell r="Q13" t="str">
            <v>√</v>
          </cell>
        </row>
        <row r="13">
          <cell r="T13" t="str">
            <v>系统待建</v>
          </cell>
          <cell r="U13" t="str">
            <v>1.智慧共享财务平台
2.网上电网</v>
          </cell>
          <cell r="V13" t="str">
            <v>1.系统审批记录；
2.前期费用入账明细；
3.前期项目计划文件。</v>
          </cell>
          <cell r="W13" t="str">
            <v>各级单位-财务部门-工程财务人员</v>
          </cell>
          <cell r="X13" t="str">
            <v>每年</v>
          </cell>
          <cell r="Y13" t="str">
            <v>抽查</v>
          </cell>
        </row>
        <row r="13">
          <cell r="AA13" t="str">
            <v>每年</v>
          </cell>
          <cell r="AB13" t="str">
            <v>抽查</v>
          </cell>
        </row>
        <row r="13">
          <cell r="AH13" t="str">
            <v>是</v>
          </cell>
          <cell r="AI13" t="str">
            <v>是</v>
          </cell>
          <cell r="AJ13" t="str">
            <v>《国家电网有限公司电网项目前期工作管理办法》（国家电网企管〔2022〕578号）第三章、《国家电网有限公司全面预算管理办法》（ 国网（财/2）375-2026（通用））第三章</v>
          </cell>
          <cell r="AK13" t="str">
            <v>国网财务部</v>
          </cell>
        </row>
        <row r="14">
          <cell r="I14" t="str">
            <v>电网基建业务-4.前期费用列支范围、规模审核控制-控制措施03</v>
          </cell>
          <cell r="J14" t="str">
            <v>各级单位财务部门对前期费用报账的一致性、合规性进行会计监督，审核前期费用报账内容是否与前期费用立项范围一致，超规模列支不允许报账及支付。</v>
          </cell>
        </row>
        <row r="14">
          <cell r="O14" t="str">
            <v>√</v>
          </cell>
          <cell r="P14" t="str">
            <v>√</v>
          </cell>
          <cell r="Q14" t="str">
            <v>√</v>
          </cell>
        </row>
        <row r="14">
          <cell r="T14" t="str">
            <v>系统待建</v>
          </cell>
          <cell r="U14" t="str">
            <v>智慧共享财务平台</v>
          </cell>
          <cell r="V14" t="str">
            <v>1.系统审批记录；
2.前期费用入账明细；
3.凭证附件-合同执行情况；
4.前期项目计划文件。</v>
          </cell>
          <cell r="W14" t="str">
            <v>各级单位-财务部门-工程财务人员</v>
          </cell>
          <cell r="X14" t="str">
            <v>每年</v>
          </cell>
          <cell r="Y14" t="str">
            <v>抽查</v>
          </cell>
        </row>
        <row r="14">
          <cell r="AA14" t="str">
            <v>每年</v>
          </cell>
          <cell r="AB14" t="str">
            <v>抽查</v>
          </cell>
        </row>
        <row r="14">
          <cell r="AH14" t="str">
            <v>是</v>
          </cell>
          <cell r="AI14" t="str">
            <v>是</v>
          </cell>
          <cell r="AJ14" t="str">
            <v>《国家电网有限公司工程财务管理办法》（国家电网企管〔2023〕28号）第五章</v>
          </cell>
        </row>
        <row r="15">
          <cell r="E15" t="str">
            <v>前期费用长期挂账未及时清理，导致公司投资损失的可能性增加。</v>
          </cell>
        </row>
        <row r="15">
          <cell r="G15" t="str">
            <v>5.长期挂账前期费用清理</v>
          </cell>
          <cell r="H15" t="str">
            <v>严控2年以上前期费用规模。</v>
          </cell>
          <cell r="I15" t="str">
            <v>电网基建业务-5.长期挂账前期费用清理-控制措施01</v>
          </cell>
          <cell r="J15" t="str">
            <v>各级单位财务部门建立挂账超2年的前期费用项目预警机制；</v>
          </cell>
        </row>
        <row r="15">
          <cell r="Q15" t="str">
            <v>√</v>
          </cell>
        </row>
        <row r="15">
          <cell r="T15" t="str">
            <v>系统已建</v>
          </cell>
          <cell r="U15" t="str">
            <v>智慧共享财务平台</v>
          </cell>
          <cell r="V15" t="str">
            <v>1.2年以上前期费用计划管理部门备案证明。</v>
          </cell>
          <cell r="W15" t="str">
            <v>各级单位-财务部门-工程财务人员</v>
          </cell>
          <cell r="X15" t="str">
            <v>每半年</v>
          </cell>
          <cell r="Y15" t="str">
            <v>全量检查</v>
          </cell>
        </row>
        <row r="15">
          <cell r="AA15" t="str">
            <v>每年</v>
          </cell>
          <cell r="AB15" t="str">
            <v>抽查</v>
          </cell>
        </row>
        <row r="15">
          <cell r="AD15" t="str">
            <v>2年以上前期费用监督场景</v>
          </cell>
          <cell r="AE15" t="str">
            <v>每月</v>
          </cell>
        </row>
        <row r="15">
          <cell r="AH15" t="str">
            <v>是</v>
          </cell>
          <cell r="AI15" t="str">
            <v>是</v>
          </cell>
          <cell r="AJ15" t="str">
            <v>《国家电网有限公司工程财务管理办法》（国家电网企管〔2023〕28号）第五章</v>
          </cell>
          <cell r="AK15" t="str">
            <v>国网财务部</v>
          </cell>
        </row>
        <row r="16">
          <cell r="I16" t="str">
            <v>电网基建业务-5.长期挂账前期费用清理-控制措施02</v>
          </cell>
          <cell r="J16" t="str">
            <v>各级单位发展部门健全前期费用核销流程。规划内项目取消，前期费用项目采取按批核销方式；规划内项目推迟，前期费用项目核销结合实际情况履行逐项分级审批；规划外异常项目，前期费用项目核销履行逐项分级审批，并建立“谁立项谁负责”问责机制。</v>
          </cell>
        </row>
        <row r="16">
          <cell r="L16" t="str">
            <v>√</v>
          </cell>
        </row>
        <row r="16">
          <cell r="T16" t="str">
            <v>线下管控</v>
          </cell>
        </row>
        <row r="16">
          <cell r="V16" t="str">
            <v>1.2年以上前期费用计划管理部门备案证明；
2.前期费用核销审批手续。</v>
          </cell>
          <cell r="W16" t="str">
            <v>各级单位-发展部门-前期规划人员</v>
          </cell>
          <cell r="X16" t="str">
            <v>每半年</v>
          </cell>
          <cell r="Y16" t="str">
            <v>全量检查</v>
          </cell>
        </row>
        <row r="16">
          <cell r="AA16" t="str">
            <v>每年</v>
          </cell>
          <cell r="AB16" t="str">
            <v>抽查</v>
          </cell>
        </row>
        <row r="16">
          <cell r="AH16" t="str">
            <v>是</v>
          </cell>
          <cell r="AI16" t="str">
            <v>是</v>
          </cell>
          <cell r="AJ16" t="str">
            <v>《国家电网有限公司工程财务管理办法》（国家电网企管〔2023〕28号）第五章第二十九条</v>
          </cell>
          <cell r="AK16" t="str">
            <v>国网发展部</v>
          </cell>
        </row>
        <row r="17">
          <cell r="B17" t="str">
            <v>二、项目立项管理</v>
          </cell>
          <cell r="C17" t="str">
            <v>资金资产安全</v>
          </cell>
          <cell r="D17" t="str">
            <v>项目储备及立项</v>
          </cell>
          <cell r="E17" t="str">
            <v>项目立项依据不足，造成经济损失。</v>
          </cell>
          <cell r="F17" t="str">
            <v>30.项目立项管理不规范：存在虚列项目、重复立项、违规拆分项目规避招标、项目可研编制不规范，模板套用、内容一致，不能准确反应估算造价等问题。</v>
          </cell>
          <cell r="G17" t="str">
            <v>6.储备项目合规性、金额准确性的审批控制</v>
          </cell>
          <cell r="H17" t="str">
            <v>未完成可研的项目不应纳入储备库立项。</v>
          </cell>
          <cell r="I17" t="str">
            <v>电网基建业务-6.储备项目合规性、金额准确性的审批控制-控制措施01</v>
          </cell>
          <cell r="J17" t="str">
            <v>各级单位发展部门负责将经可研评审后的项目纳入储备库；未获可研评审意见提前入库项目，建立“谁立项谁负责”机制，履行分级审批流程；</v>
          </cell>
        </row>
        <row r="17">
          <cell r="L17" t="str">
            <v>√</v>
          </cell>
        </row>
        <row r="17">
          <cell r="T17" t="str">
            <v>系统已建</v>
          </cell>
          <cell r="U17" t="str">
            <v>网上电网</v>
          </cell>
          <cell r="V17" t="str">
            <v>1.可研评审系统审批记录；
2.投资计划文件；
3.储备库的储备项目记录（中台-项目预算管理）。</v>
          </cell>
          <cell r="W17" t="str">
            <v>各级单位-发展部门-计划管理人员</v>
          </cell>
          <cell r="X17" t="str">
            <v>每年</v>
          </cell>
          <cell r="Y17" t="str">
            <v>抽查</v>
          </cell>
        </row>
        <row r="17">
          <cell r="AA17" t="str">
            <v>每年</v>
          </cell>
          <cell r="AB17" t="str">
            <v>抽查</v>
          </cell>
        </row>
        <row r="17">
          <cell r="AD17" t="str">
            <v>项目储备监督场景</v>
          </cell>
          <cell r="AE17" t="str">
            <v>每月</v>
          </cell>
        </row>
        <row r="17">
          <cell r="AH17" t="str">
            <v>是</v>
          </cell>
          <cell r="AI17" t="str">
            <v>是</v>
          </cell>
          <cell r="AJ17" t="str">
            <v>《国家电网有限公司投资管理规定》（国家电网企管〔2019〕425号）第五章第二十三条</v>
          </cell>
          <cell r="AK17" t="str">
            <v>国网发展部</v>
          </cell>
        </row>
        <row r="18">
          <cell r="I18" t="str">
            <v>电网基建业务-6.储备项目合规性、金额准确性的审批控制-控制措施02</v>
          </cell>
          <cell r="J18" t="str">
            <v>各级单位财务部门负责项目储备立项金额复核，建立投资计划与财务预算的复核机制，确保项目“有计划、有预算、有支出”。</v>
          </cell>
        </row>
        <row r="18">
          <cell r="N18" t="str">
            <v>√</v>
          </cell>
        </row>
        <row r="18">
          <cell r="Q18" t="str">
            <v>√</v>
          </cell>
        </row>
        <row r="18">
          <cell r="T18" t="str">
            <v>系统已建</v>
          </cell>
          <cell r="U18" t="str">
            <v>ERP系统</v>
          </cell>
          <cell r="V18" t="str">
            <v>1.投资计划文件；
2.储备库的储备项目记录（中台-项目预算管理）。</v>
          </cell>
          <cell r="W18" t="str">
            <v>各级单位-财务部门-工程财务人员</v>
          </cell>
          <cell r="X18" t="str">
            <v>每年</v>
          </cell>
          <cell r="Y18" t="str">
            <v>抽查</v>
          </cell>
        </row>
        <row r="18">
          <cell r="AA18" t="str">
            <v>每年</v>
          </cell>
          <cell r="AB18" t="str">
            <v>抽查</v>
          </cell>
        </row>
        <row r="18">
          <cell r="AH18" t="str">
            <v>是</v>
          </cell>
          <cell r="AI18" t="str">
            <v>是</v>
          </cell>
          <cell r="AJ18" t="str">
            <v>《国家电网有限公司投资管理规定》（国家电网企管〔2019〕425号）第五章第二十三条</v>
          </cell>
          <cell r="AK18" t="str">
            <v>国网财务部</v>
          </cell>
        </row>
        <row r="19">
          <cell r="A19" t="str">
            <v>35千伏-750千伏电网基建项目</v>
          </cell>
          <cell r="B19" t="str">
            <v>二、项目立项管理</v>
          </cell>
          <cell r="C19" t="str">
            <v>资金资产安全</v>
          </cell>
          <cell r="D19" t="str">
            <v>项目初设评审与批复</v>
          </cell>
          <cell r="E19" t="str">
            <v>概算深度不足，影响项目整体资金规划和投资效益。</v>
          </cell>
          <cell r="F19" t="str">
            <v>33.设计履职不到位：存在应设计未设计、部分现场实际情况与竣工图纸不符、设计人员变更未履行审批手续、设计单位未考虑现场实际情况导致费用增加或超概算等问题。
39.设计深度不足：存在概算造价不准确，资金结余率超规定的20%；因可研深度不足造成重大变更，增加工程造价造成计划大幅调增等问题。</v>
          </cell>
          <cell r="G19" t="str">
            <v>7.概算审核控制</v>
          </cell>
          <cell r="H19" t="str">
            <v>概算应满足资金规划、施工招标及成本管控需求。</v>
          </cell>
          <cell r="I19" t="str">
            <v>电网基建业务-7.概算审核控制-控制措施01</v>
          </cell>
          <cell r="J19" t="str">
            <v>各级单位经研院、所建立“谁评审谁负责”机制，对初步设计概算的准确性、人材机费用标准合理性进行评审；</v>
          </cell>
        </row>
        <row r="19">
          <cell r="L19" t="str">
            <v>√</v>
          </cell>
        </row>
        <row r="19">
          <cell r="S19" t="str">
            <v>√</v>
          </cell>
          <cell r="T19" t="str">
            <v>线下管控</v>
          </cell>
        </row>
        <row r="19">
          <cell r="V19" t="str">
            <v>1.初步设计概算文件；
2.可研批复估算文件。</v>
          </cell>
          <cell r="W19" t="str">
            <v>各级单位-经研院、所-技经人员</v>
          </cell>
          <cell r="X19" t="str">
            <v>每年</v>
          </cell>
          <cell r="Y19" t="str">
            <v>抽查</v>
          </cell>
        </row>
        <row r="19">
          <cell r="AA19" t="str">
            <v>每年</v>
          </cell>
          <cell r="AB19" t="str">
            <v>抽查</v>
          </cell>
        </row>
        <row r="19">
          <cell r="AH19" t="str">
            <v>是</v>
          </cell>
          <cell r="AI19" t="str">
            <v>是</v>
          </cell>
          <cell r="AJ19" t="str">
            <v>《国家电网有限公司输变电工程初步设计审批管理办法》（国家电网企管〔2021〕89号）第二章第四十六条</v>
          </cell>
          <cell r="AK19" t="str">
            <v>国网基建部</v>
          </cell>
        </row>
        <row r="20">
          <cell r="I20" t="str">
            <v>电网基建业务-7.概算审核控制-控制措施02</v>
          </cell>
          <cell r="J20" t="str">
            <v>各级单位建设部门比对估算与概算的合理性，开展监督评价；</v>
          </cell>
        </row>
        <row r="20">
          <cell r="L20" t="str">
            <v>√</v>
          </cell>
        </row>
        <row r="20">
          <cell r="N20" t="str">
            <v>√</v>
          </cell>
        </row>
        <row r="20">
          <cell r="Q20" t="str">
            <v>√</v>
          </cell>
        </row>
        <row r="20">
          <cell r="T20" t="str">
            <v>系统待建</v>
          </cell>
          <cell r="U20" t="str">
            <v>e基建2.0平台</v>
          </cell>
          <cell r="V20" t="str">
            <v>1.初步设计概算文件；
2.可研批复估算文件；
3.年度综合计划；
4.概算调整审批文件。</v>
          </cell>
          <cell r="W20" t="str">
            <v>各级单位-建设部门-技经人员</v>
          </cell>
          <cell r="X20" t="str">
            <v>每年</v>
          </cell>
          <cell r="Y20" t="str">
            <v>抽查</v>
          </cell>
        </row>
        <row r="20">
          <cell r="AA20" t="str">
            <v>每年</v>
          </cell>
          <cell r="AB20" t="str">
            <v>抽查</v>
          </cell>
        </row>
        <row r="20">
          <cell r="AH20" t="str">
            <v>是</v>
          </cell>
          <cell r="AI20" t="str">
            <v>是</v>
          </cell>
          <cell r="AJ20" t="str">
            <v>《国家电网有限公司输变电工程初步设计审批管理办法》（国家电网企管〔2021〕89号）第二章第六条</v>
          </cell>
          <cell r="AK20" t="str">
            <v>国网基建部</v>
          </cell>
        </row>
        <row r="21">
          <cell r="I21" t="str">
            <v>电网基建业务-7.概算审核控制-控制措施03</v>
          </cell>
          <cell r="J21" t="str">
            <v>需调整概算时，各级单位建设部门严格履行项目概算调整审批流程。</v>
          </cell>
        </row>
        <row r="21">
          <cell r="L21" t="str">
            <v>√</v>
          </cell>
        </row>
        <row r="21">
          <cell r="N21" t="str">
            <v>√</v>
          </cell>
        </row>
        <row r="21">
          <cell r="T21" t="str">
            <v>系统已建</v>
          </cell>
          <cell r="U21" t="str">
            <v>e基建2.0平台</v>
          </cell>
          <cell r="V21" t="str">
            <v>1.初步设计概算文件；
2.可研批复估算文件；
3.年度综合计划；
4.概算调整审批文件。</v>
          </cell>
          <cell r="W21" t="str">
            <v>各级单位-建设部门-技经人员</v>
          </cell>
          <cell r="X21" t="str">
            <v>每年</v>
          </cell>
          <cell r="Y21" t="str">
            <v>抽查</v>
          </cell>
        </row>
        <row r="21">
          <cell r="AA21" t="str">
            <v>每年</v>
          </cell>
          <cell r="AB21" t="str">
            <v>抽查</v>
          </cell>
        </row>
        <row r="21">
          <cell r="AD21" t="str">
            <v>初设管理监督场景</v>
          </cell>
          <cell r="AE21" t="str">
            <v>每月</v>
          </cell>
        </row>
        <row r="21">
          <cell r="AH21" t="str">
            <v>是</v>
          </cell>
          <cell r="AI21" t="str">
            <v>否</v>
          </cell>
          <cell r="AJ21" t="str">
            <v>《国家电网有限公司输变电工程初步设计审批管理办法》（国家电网企管〔2021〕89号）第六章第五十一条</v>
          </cell>
          <cell r="AK21" t="str">
            <v>国网基建部</v>
          </cell>
        </row>
        <row r="22">
          <cell r="C22" t="str">
            <v>会计信息真实完整</v>
          </cell>
          <cell r="D22" t="str">
            <v>项目投资预算编制与管控</v>
          </cell>
          <cell r="E22" t="str">
            <v>工程预算超项目计划，导致项目支出超计划，造成工程成本不可控。</v>
          </cell>
        </row>
        <row r="22">
          <cell r="G22" t="str">
            <v>8.工程计划与预算的规模控制</v>
          </cell>
          <cell r="H22" t="str">
            <v>年度财务支出预算与年度投资计划保持相对一致。</v>
          </cell>
          <cell r="I22" t="str">
            <v>电网基建业务-8.工程计划与预算的规模控制-控制措施01</v>
          </cell>
          <cell r="J22" t="str">
            <v>各级单位建设部门提交的工程财务支出预算、投资计划要严格控制在概算范围内。负责审核执行项目与申报项目是否保持一致，严禁随意替换。</v>
          </cell>
        </row>
        <row r="22">
          <cell r="N22" t="str">
            <v>√</v>
          </cell>
        </row>
        <row r="22">
          <cell r="Q22" t="str">
            <v>√</v>
          </cell>
        </row>
        <row r="22">
          <cell r="T22" t="str">
            <v>系统已建</v>
          </cell>
          <cell r="U22" t="str">
            <v>智慧共享财务平台</v>
          </cell>
          <cell r="V22" t="str">
            <v>1.项目预算表；
2.年度投资计划。</v>
          </cell>
          <cell r="W22" t="str">
            <v>各级单位-建设部门-技经人员</v>
          </cell>
          <cell r="X22" t="str">
            <v>每半年</v>
          </cell>
          <cell r="Y22" t="str">
            <v>抽查</v>
          </cell>
        </row>
        <row r="22">
          <cell r="AA22" t="str">
            <v>每年</v>
          </cell>
          <cell r="AB22" t="str">
            <v>抽查</v>
          </cell>
        </row>
        <row r="22">
          <cell r="AD22" t="str">
            <v>工程预算内控系数监督场景</v>
          </cell>
          <cell r="AE22" t="str">
            <v>每月</v>
          </cell>
        </row>
        <row r="22">
          <cell r="AH22" t="str">
            <v>是</v>
          </cell>
          <cell r="AI22" t="str">
            <v>是</v>
          </cell>
          <cell r="AJ22" t="str">
            <v>《国家电网有限公司全面预算管理办法》（国家电网企管[2020]763号）第六章第三十五条</v>
          </cell>
          <cell r="AK22" t="str">
            <v>国网财务部</v>
          </cell>
        </row>
        <row r="23">
          <cell r="I23" t="str">
            <v>电网基建业务-8.工程计划与预算的规模控制-控制措施02</v>
          </cell>
          <cell r="J23" t="str">
            <v>各级单位财务部门复核预算与计划是否保持相对一致，年度实际财务支出控制在预算范围内。对执行项目与申报项目一致性开展校验，确保项目“有计划、有预算、有支出”。</v>
          </cell>
        </row>
        <row r="23">
          <cell r="N23" t="str">
            <v>√</v>
          </cell>
        </row>
        <row r="23">
          <cell r="Q23" t="str">
            <v>√</v>
          </cell>
        </row>
        <row r="23">
          <cell r="T23" t="str">
            <v>系统已建</v>
          </cell>
          <cell r="U23" t="str">
            <v>智慧共享财务平台</v>
          </cell>
          <cell r="V23" t="str">
            <v>1.项目预算表；
2.年度投资计划。</v>
          </cell>
          <cell r="W23" t="str">
            <v>各级单位-财务部门-工程财务人员</v>
          </cell>
          <cell r="X23" t="str">
            <v>每半年</v>
          </cell>
          <cell r="Y23" t="str">
            <v>抽查</v>
          </cell>
        </row>
        <row r="23">
          <cell r="AA23" t="str">
            <v>每年</v>
          </cell>
          <cell r="AB23" t="str">
            <v>抽查</v>
          </cell>
        </row>
        <row r="23">
          <cell r="AD23" t="str">
            <v>工程预算内控系数监督场景</v>
          </cell>
          <cell r="AE23" t="str">
            <v>每月</v>
          </cell>
        </row>
        <row r="23">
          <cell r="AH23" t="str">
            <v>是</v>
          </cell>
          <cell r="AI23" t="str">
            <v>是</v>
          </cell>
          <cell r="AJ23" t="str">
            <v>《国家电网有限公司全面预算管理办法》（国家电网企管[2020]763号）第六章第三十五条</v>
          </cell>
        </row>
        <row r="24">
          <cell r="B24" t="str">
            <v>三、项目实施管理</v>
          </cell>
          <cell r="C24" t="str">
            <v>资金资产安全</v>
          </cell>
          <cell r="D24" t="str">
            <v>项目合同签订</v>
          </cell>
          <cell r="E24" t="str">
            <v>合同条款背离招投标文件、超越合同授权范围不当签署合同、合同签订流程倒置，导致合同履约风险。</v>
          </cell>
        </row>
        <row r="24">
          <cell r="G24" t="str">
            <v>9.施工合同合规性、时效性控制</v>
          </cell>
          <cell r="H24" t="str">
            <v>签订的合同合法、有效。</v>
          </cell>
          <cell r="I24" t="str">
            <v>电网基建业务-9.施工合同合规性、时效性控制-控制措施01</v>
          </cell>
          <cell r="J24" t="str">
            <v>各级单位建设部门按招标结果按时签订合同（自中标通知书发出之日起三十日内），合同签订严格执行授权程序，不得越权签署不当合同。对经审批生效的合同，在数字化法治企业建设平台结构化注册，推送财务系统，确保付款条款清晰，强化履约过程管理；</v>
          </cell>
        </row>
        <row r="24">
          <cell r="L24" t="str">
            <v>√</v>
          </cell>
        </row>
        <row r="24">
          <cell r="O24" t="str">
            <v>√</v>
          </cell>
        </row>
        <row r="24">
          <cell r="T24" t="str">
            <v>系统已建</v>
          </cell>
          <cell r="U24" t="str">
            <v>ECP2.0、数字化法治企业建设平台</v>
          </cell>
          <cell r="V24" t="str">
            <v>1.施工合同；
2.招投标文件、中标通知书；
3.委托授权书。</v>
          </cell>
          <cell r="W24" t="str">
            <v>各级单位-建设部门-合同管理人员</v>
          </cell>
          <cell r="X24" t="str">
            <v>每年</v>
          </cell>
          <cell r="Y24" t="str">
            <v>抽查</v>
          </cell>
        </row>
        <row r="24">
          <cell r="AA24" t="str">
            <v>每年</v>
          </cell>
          <cell r="AB24" t="str">
            <v>抽查</v>
          </cell>
        </row>
        <row r="24">
          <cell r="AD24" t="str">
            <v>合同按时签订监督场景</v>
          </cell>
          <cell r="AE24" t="str">
            <v>每月</v>
          </cell>
        </row>
        <row r="24">
          <cell r="AH24" t="str">
            <v>是</v>
          </cell>
          <cell r="AI24" t="str">
            <v>是</v>
          </cell>
          <cell r="AJ24" t="str">
            <v>《国家电网有限公司合同管理办法》（国家电网企管〔2020〕832号）第一章第六条</v>
          </cell>
          <cell r="AK24" t="str">
            <v>国网法律部</v>
          </cell>
        </row>
        <row r="25">
          <cell r="I25" t="str">
            <v>电网基建业务-9.施工合同合规性、时效性控制-控制措施02</v>
          </cell>
          <cell r="J25" t="str">
            <v>各级单位法律部门对合同条款合规性进行复核；</v>
          </cell>
        </row>
        <row r="25">
          <cell r="L25" t="str">
            <v>√</v>
          </cell>
        </row>
        <row r="25">
          <cell r="O25" t="str">
            <v>√</v>
          </cell>
        </row>
        <row r="25">
          <cell r="T25" t="str">
            <v>线下管控</v>
          </cell>
        </row>
        <row r="25">
          <cell r="V25" t="str">
            <v>1.施工合同；
2.招投标文件、中标通知书；
3.委托授权书。</v>
          </cell>
          <cell r="W25" t="str">
            <v>各级单位-法规部门-法律合规人员</v>
          </cell>
          <cell r="X25" t="str">
            <v>每年</v>
          </cell>
          <cell r="Y25" t="str">
            <v>抽查</v>
          </cell>
        </row>
        <row r="25">
          <cell r="AA25" t="str">
            <v>每年</v>
          </cell>
          <cell r="AB25" t="str">
            <v>抽查</v>
          </cell>
        </row>
        <row r="25">
          <cell r="AH25" t="str">
            <v>是</v>
          </cell>
          <cell r="AI25" t="str">
            <v>是</v>
          </cell>
          <cell r="AJ25" t="str">
            <v>《国家电网有限公司合同管理办法》（国家电网企管〔2020〕832号）第一章第五条</v>
          </cell>
          <cell r="AK25" t="str">
            <v>国网基建部、国网法律部、国网财务部、国网物资部</v>
          </cell>
        </row>
        <row r="26">
          <cell r="I26" t="str">
            <v>电网基建业务-9.施工合同合规性、时效性控制-控制措施03</v>
          </cell>
          <cell r="J26" t="str">
            <v>各级单位财务部门对合同付款条件进行复核；</v>
          </cell>
        </row>
        <row r="26">
          <cell r="L26" t="str">
            <v>√</v>
          </cell>
        </row>
        <row r="26">
          <cell r="O26" t="str">
            <v>√</v>
          </cell>
        </row>
        <row r="26">
          <cell r="T26" t="str">
            <v>线下管控</v>
          </cell>
        </row>
        <row r="26">
          <cell r="V26" t="str">
            <v>1.施工合同；
2.招投标文件、中标通知书；
3.委托授权书。</v>
          </cell>
          <cell r="W26" t="str">
            <v>各级单位-财务部门-工程财务人员</v>
          </cell>
          <cell r="X26" t="str">
            <v>每年</v>
          </cell>
          <cell r="Y26" t="str">
            <v>抽查</v>
          </cell>
        </row>
        <row r="26">
          <cell r="AA26" t="str">
            <v>每年</v>
          </cell>
          <cell r="AB26" t="str">
            <v>抽查</v>
          </cell>
        </row>
        <row r="26">
          <cell r="AH26" t="str">
            <v>是</v>
          </cell>
          <cell r="AI26" t="str">
            <v>是</v>
          </cell>
          <cell r="AJ26" t="str">
            <v>《国家电网有限公司合同管理办法》（国家电网企管〔2020〕832号）第一章第七条</v>
          </cell>
        </row>
        <row r="27">
          <cell r="I27" t="str">
            <v>电网基建业务-9.施工合同合规性、时效性控制-控制措施04</v>
          </cell>
          <cell r="J27" t="str">
            <v>各级单位物资部门对合同条款与合同招标文件进行复核。</v>
          </cell>
        </row>
        <row r="27">
          <cell r="L27" t="str">
            <v>√</v>
          </cell>
        </row>
        <row r="27">
          <cell r="O27" t="str">
            <v>√</v>
          </cell>
        </row>
        <row r="27">
          <cell r="T27" t="str">
            <v>线下管控</v>
          </cell>
        </row>
        <row r="27">
          <cell r="V27" t="str">
            <v>1.施工合同；
2.招投标文件、中标通知书；
3.委托授权书。</v>
          </cell>
          <cell r="W27" t="str">
            <v>各级单位-物资部门-物资管理人员</v>
          </cell>
          <cell r="X27" t="str">
            <v>每年</v>
          </cell>
          <cell r="Y27" t="str">
            <v>抽查</v>
          </cell>
        </row>
        <row r="27">
          <cell r="AA27" t="str">
            <v>每年</v>
          </cell>
          <cell r="AB27" t="str">
            <v>抽查</v>
          </cell>
        </row>
        <row r="27">
          <cell r="AH27" t="str">
            <v>是</v>
          </cell>
          <cell r="AI27" t="str">
            <v>是</v>
          </cell>
          <cell r="AJ27" t="str">
            <v>《国家电网有限公司合同管理办法》（国家电网企管〔2020〕832号）第一章第八条</v>
          </cell>
        </row>
        <row r="28">
          <cell r="A28" t="str">
            <v>35千伏-750千伏电网基建项目</v>
          </cell>
          <cell r="B28" t="str">
            <v>三、项目实施管理</v>
          </cell>
          <cell r="C28" t="str">
            <v>资金资产安全</v>
          </cell>
          <cell r="D28" t="str">
            <v>项目合同签订</v>
          </cell>
          <cell r="E28" t="str">
            <v>违规转分包，向不具备资质的单位和个人分包施工，导致工程无法按期完工或停工，引发资产损失风险。</v>
          </cell>
          <cell r="F28" t="str">
            <v>22.违法、违规转分包：存在工程项目整体转包、肢解分包；勘察设计业务转包；未经建设单位同意违规分包；工程主体违规专业分包；超合同约定比例分包；以劳务分包之名行专业分包之实；层层转包、分包；项目以包代管等问题。</v>
          </cell>
          <cell r="G28" t="str">
            <v>10.对系统内总包单位转分包行为控制</v>
          </cell>
          <cell r="H28" t="str">
            <v>对系统内电网基建施工总分包业务完善“项目、合同、人员、资金”四维穿透控制机制。</v>
          </cell>
          <cell r="I28" t="str">
            <v>电网基建业务-10.对系统内总包单位转分包行为控制-控制措施01</v>
          </cell>
          <cell r="J28" t="str">
            <v>各级单位建设部门完善项目穿透机制，推行施工总包项目单项管理，确保建设单位项目与施工总包项目一一对应。严格执行分包审批备案，重点核查分包审批程序合规性，杜绝未经建设单位审批即分包的违规情形。</v>
          </cell>
        </row>
        <row r="28">
          <cell r="O28" t="str">
            <v>√</v>
          </cell>
        </row>
        <row r="28">
          <cell r="T28" t="str">
            <v>系统待建</v>
          </cell>
          <cell r="U28" t="str">
            <v>1.e基建2.0平台
2.数字化法治企业建设平台</v>
          </cell>
          <cell r="V28" t="str">
            <v>1.施工承包合同；
2.分包备案资料（建设单位分包审批资料、已备案的外包合同等）。</v>
          </cell>
          <cell r="W28" t="str">
            <v>各级单位-建设部门-项目经理</v>
          </cell>
          <cell r="X28" t="str">
            <v>每年</v>
          </cell>
          <cell r="Y28" t="str">
            <v>抽查</v>
          </cell>
        </row>
        <row r="28">
          <cell r="AA28" t="str">
            <v>每年</v>
          </cell>
          <cell r="AB28" t="str">
            <v>抽查</v>
          </cell>
        </row>
        <row r="28">
          <cell r="AH28" t="str">
            <v>是</v>
          </cell>
          <cell r="AI28" t="str">
            <v>是</v>
          </cell>
          <cell r="AJ28" t="str">
            <v>《国家电网有限公司业务外包安全监督管理办法》（国家电网企管〔2023〕55 号）第四章第二十条第五章二十九条、《国家电网有限公司输变电施工业务外包合规管理办法》（国家电网企管[2025]432号）第七章第二十八条</v>
          </cell>
          <cell r="AK28" t="str">
            <v>国网基建部、国网财务部</v>
          </cell>
        </row>
        <row r="29">
          <cell r="I29" t="str">
            <v>电网基建业务-10.对系统内总包单位转分包行为控制-控制措施02</v>
          </cell>
          <cell r="J29" t="str">
            <v>各级单位建设部门加强施工业务外包合同管理，完善合同穿透机制，形成“总-分包”合同的关联关系，穿透形成建设单位、总包单位、分包单位的合同主体关联关系，对比总分合同金额及服务内容研判是否超比例、超范围分包。完善外包单位评价机制，对违规外包行为开展评价，建立负面清单。</v>
          </cell>
        </row>
        <row r="29">
          <cell r="O29" t="str">
            <v>√</v>
          </cell>
        </row>
        <row r="29">
          <cell r="S29" t="str">
            <v>√</v>
          </cell>
          <cell r="T29" t="str">
            <v>系统待建</v>
          </cell>
          <cell r="U29" t="str">
            <v>1.e基建2.0平台
2.数字化法治企业建设平台</v>
          </cell>
          <cell r="V29" t="str">
            <v>1.施工承包合同；
2.分包备案资料（建设单位分包审批资料、已备案的外包合同等）。</v>
          </cell>
          <cell r="W29" t="str">
            <v>各级单位-建设部门-项目经理</v>
          </cell>
          <cell r="X29" t="str">
            <v>每年</v>
          </cell>
          <cell r="Y29" t="str">
            <v>抽查</v>
          </cell>
        </row>
        <row r="29">
          <cell r="AA29" t="str">
            <v>每年</v>
          </cell>
          <cell r="AB29" t="str">
            <v>抽查</v>
          </cell>
        </row>
        <row r="29">
          <cell r="AH29" t="str">
            <v>是</v>
          </cell>
          <cell r="AI29" t="str">
            <v>是</v>
          </cell>
          <cell r="AJ29" t="str">
            <v>《国家电网有限公司业务外包安全监督管理办法》（国家电网企管〔2023〕55 号）第四章第二十条第五章二十九条、《国家电网有限公司输变电施工业务外包合规管理办法》（国家电网企管[2025]432号）第七章第二十八条</v>
          </cell>
        </row>
        <row r="30">
          <cell r="I30" t="str">
            <v>电网基建业务-10.对系统内总包单位转分包行为控制-控制措施03</v>
          </cell>
          <cell r="J30" t="str">
            <v>各级单位建设部门完善人员穿透机制，重点核查进场作业人员的单位隶属关系及资质资格，确保进场人员信息与总包单位、分包单位备案信息完全一致。建立外包人员评价机制，对违规外包行为开展评价，建立黑名单。</v>
          </cell>
        </row>
        <row r="30">
          <cell r="O30" t="str">
            <v>√</v>
          </cell>
        </row>
        <row r="30">
          <cell r="S30" t="str">
            <v>√</v>
          </cell>
          <cell r="T30" t="str">
            <v>线下管控</v>
          </cell>
        </row>
        <row r="30">
          <cell r="V30" t="str">
            <v>1.施工承包合同；
2.分包备案资料（建设单位分包审批资料、已备案的外包合同等）；
3.人员备案信息、进场记录信息。</v>
          </cell>
          <cell r="W30" t="str">
            <v>各级单位-建设部门-项目经理</v>
          </cell>
          <cell r="X30" t="str">
            <v>每年</v>
          </cell>
          <cell r="Y30" t="str">
            <v>抽查</v>
          </cell>
        </row>
        <row r="30">
          <cell r="AA30" t="str">
            <v>每年</v>
          </cell>
          <cell r="AB30" t="str">
            <v>抽查</v>
          </cell>
        </row>
        <row r="30">
          <cell r="AH30" t="str">
            <v>是</v>
          </cell>
          <cell r="AI30" t="str">
            <v>是</v>
          </cell>
          <cell r="AJ30" t="str">
            <v>《国家电网有限公司业务外包安全监督管理办法》（国家电网企管〔2023〕55 号）第四章第二十条第五章二十九条、《国家电网有限公司输变电施工业务外包合规管理办法》（国家电网企管[2025]432号）第七章第二十八条</v>
          </cell>
        </row>
        <row r="31">
          <cell r="I31" t="str">
            <v>电网基建业务-10.对系统内总包单位转分包行为控制-控制措施04</v>
          </cell>
          <cell r="J31" t="str">
            <v>各级单位财务部门完善资金支付穿透机制，构建穿透洞察场景，通过项目、合同、人员对应关系，研判资金流向是否符合合同主体关联链路、分包单位与审批备案清单是否一致，研判是否超比例、超范围分包，研判农民工支付清单与备案作业人员是否一致。构建项目、合同、人员、资金关联闭环监督体系，确保分包活动真实、合规可控。</v>
          </cell>
        </row>
        <row r="31">
          <cell r="L31" t="str">
            <v>√</v>
          </cell>
          <cell r="M31" t="str">
            <v>√</v>
          </cell>
        </row>
        <row r="31">
          <cell r="O31" t="str">
            <v>√</v>
          </cell>
          <cell r="P31" t="str">
            <v>√</v>
          </cell>
          <cell r="Q31" t="str">
            <v>√</v>
          </cell>
        </row>
        <row r="31">
          <cell r="T31" t="str">
            <v>系统待建</v>
          </cell>
          <cell r="U31" t="str">
            <v>1.e基建2.0平台
2.数字化法治企业建设平台
3.智慧共享平台</v>
          </cell>
          <cell r="V31" t="str">
            <v>1.施工承包合同；
2.资金支付记录。</v>
          </cell>
          <cell r="W31" t="str">
            <v>各级单位-财务部门-工程财务人员</v>
          </cell>
          <cell r="X31" t="str">
            <v>每年</v>
          </cell>
          <cell r="Y31" t="str">
            <v>抽查</v>
          </cell>
        </row>
        <row r="31">
          <cell r="AA31" t="str">
            <v>每年</v>
          </cell>
          <cell r="AB31" t="str">
            <v>抽查</v>
          </cell>
        </row>
        <row r="31">
          <cell r="AH31" t="str">
            <v>是</v>
          </cell>
          <cell r="AI31" t="str">
            <v>是</v>
          </cell>
          <cell r="AJ31" t="str">
            <v>《国家电网有限公司业务外包安全监督管理办法》（国家电网企管〔2023〕55 号）第四章第二十条第五章二十九条、《国家电网有限公司输变电施工业务外包合规管理办法》（国家电网企管[2025]432号）第七章第二十八条</v>
          </cell>
        </row>
        <row r="32">
          <cell r="I32" t="str">
            <v>电网基建业务-10.对系统内总包单位转分包行为控制-控制措施05</v>
          </cell>
          <cell r="J32" t="str">
            <v>各级单位建设部门强化考核评价，将农民工纠纷发生情况、工程按期完工情况等关键履约指标纳入考核体系，依据考核结果分级建立负面清单。将负面清单信息同步纳入物资部门供应商评价体系，对列入负面清单的单位，按规定采取限制投标、降低投标评分权重、取消投标资格等惩戒措施。</v>
          </cell>
        </row>
        <row r="32">
          <cell r="P32" t="str">
            <v>√</v>
          </cell>
          <cell r="Q32" t="str">
            <v>√</v>
          </cell>
        </row>
        <row r="32">
          <cell r="S32" t="str">
            <v>√</v>
          </cell>
          <cell r="T32" t="str">
            <v>线下管控</v>
          </cell>
        </row>
        <row r="32">
          <cell r="V32" t="str">
            <v>1.施工承包合同；
2.分包备案资料（建设单位分包审批资料、已备案的外包合同等）；
3.人员备案信息、进场记录信息；
4.资金支付记录。</v>
          </cell>
          <cell r="W32" t="str">
            <v>各级单位-建设部门-项目经理</v>
          </cell>
          <cell r="X32" t="str">
            <v>每年</v>
          </cell>
          <cell r="Y32" t="str">
            <v>抽查</v>
          </cell>
        </row>
        <row r="32">
          <cell r="AA32" t="str">
            <v>每年</v>
          </cell>
          <cell r="AB32" t="str">
            <v>抽查</v>
          </cell>
        </row>
        <row r="32">
          <cell r="AH32" t="str">
            <v>是</v>
          </cell>
          <cell r="AI32" t="str">
            <v>是</v>
          </cell>
          <cell r="AJ32" t="str">
            <v>《国家电网有限公司业务外包安全监督管理办法》（国家电网企管〔2023〕55 号）第四章第二十条第五章二十九条、《国家电网有限公司输变电施工业务外包合规管理办法》（国家电网企管[2025]432号）第七章第二十八条</v>
          </cell>
        </row>
        <row r="33">
          <cell r="C33" t="str">
            <v>资金资产安全</v>
          </cell>
          <cell r="D33" t="str">
            <v>工程资金支付</v>
          </cell>
          <cell r="E33" t="str">
            <v>农民工工资支付不及时，增加资金风险、劳资纠纷风险，引发法律处罚及舆情维稳风险。</v>
          </cell>
          <cell r="F33" t="str">
            <v>40.未按规定支付农民工工资：存在未使用农民工工资账户支付工资；未及时支付农民工工资；农民工工资支付依据不足等问题。</v>
          </cell>
          <cell r="G33" t="str">
            <v>11.农民工工资总包代发控制</v>
          </cell>
          <cell r="H33" t="str">
            <v>农民工工资按时合规发放。</v>
          </cell>
          <cell r="I33" t="str">
            <v>电网基建业务-11.农民工工资总包代发控制-控制措施01</v>
          </cell>
          <cell r="J33" t="str">
            <v>各二级单位牵头部门要对照《保障农民工工资支付条例》，结合属地人社部门出台的农民工工资管理细则，制定本单位农民工工资管理制度，明确总包代发、农民工工资专户的适用范围、开立标准与代发流程，强化制度保障。</v>
          </cell>
        </row>
        <row r="33">
          <cell r="T33" t="str">
            <v>线下管控</v>
          </cell>
        </row>
        <row r="33">
          <cell r="W33" t="str">
            <v>各二级单位-牵头部门-法律合规人员</v>
          </cell>
        </row>
        <row r="33">
          <cell r="AH33" t="str">
            <v>否</v>
          </cell>
          <cell r="AI33" t="str">
            <v>否</v>
          </cell>
        </row>
        <row r="33">
          <cell r="AK33" t="str">
            <v>国网基建部、国网财务部</v>
          </cell>
        </row>
        <row r="34">
          <cell r="A34" t="str">
            <v>35千伏-750千伏电网基建项目</v>
          </cell>
          <cell r="B34" t="str">
            <v>三、项目实施管理</v>
          </cell>
          <cell r="C34" t="str">
            <v>资金资产安全</v>
          </cell>
          <cell r="D34" t="str">
            <v>工程资金支付</v>
          </cell>
          <cell r="E34" t="str">
            <v>农民工工资支付不及时，增加资金风险、劳资纠纷风险，引发法律处罚及舆情维稳风险。</v>
          </cell>
          <cell r="F34" t="str">
            <v>40.未按规定支付农民工工资：存在未使用农民工工资账户支付工资；未及时支付农民工工资；农民工工资支付依据不足等问题。</v>
          </cell>
          <cell r="G34" t="str">
            <v>11.农民工工资总包代发控制</v>
          </cell>
          <cell r="H34" t="str">
            <v>农民工工资按时合规发放。</v>
          </cell>
          <cell r="I34" t="str">
            <v>电网基建业务-11.农民工工资总包代发控制-控制措施02</v>
          </cell>
          <cell r="J34" t="str">
            <v>各级单位建设部门监督总包单位明确农民工总包代发名单范围，确保人员完整性，严格履行农民工工资总包代发、实名制管理等；</v>
          </cell>
        </row>
        <row r="34">
          <cell r="M34" t="str">
            <v>√</v>
          </cell>
        </row>
        <row r="34">
          <cell r="T34" t="str">
            <v>线下管控</v>
          </cell>
        </row>
        <row r="34">
          <cell r="V34" t="str">
            <v>1.施工合同；
2.农民工工资支付表；
3.农民工考勤表。</v>
          </cell>
          <cell r="W34" t="str">
            <v>各级单位-建设部门-项目经理</v>
          </cell>
          <cell r="X34" t="str">
            <v>每年</v>
          </cell>
          <cell r="Y34" t="str">
            <v>抽查</v>
          </cell>
        </row>
        <row r="34">
          <cell r="AA34" t="str">
            <v>每年</v>
          </cell>
          <cell r="AB34" t="str">
            <v>抽查</v>
          </cell>
        </row>
        <row r="34">
          <cell r="AH34" t="str">
            <v>是</v>
          </cell>
          <cell r="AI34" t="str">
            <v>是</v>
          </cell>
          <cell r="AJ34" t="str">
            <v>《国家电网有限公司关于保障输变电工程建设农民工工资支付的通知》(国家电网基建〔2020〕151号)第二章第三章第四章</v>
          </cell>
          <cell r="AK34" t="str">
            <v>国网基建部、国网财务部</v>
          </cell>
        </row>
        <row r="35">
          <cell r="I35" t="str">
            <v>电网基建业务-11.农民工工资总包代发控制-控制措施03</v>
          </cell>
          <cell r="J35" t="str">
            <v>各级单位建设部门核查总包单位农民工工资支付表与银行卡信息、考勤表、ORM现场入场考勤人员、发放清册的一致性；若签字单人员与现场入场人员信息不符，第一时间组织项目管理单位提交书面材料，解释说明人员信息不符原因；</v>
          </cell>
        </row>
        <row r="35">
          <cell r="M35" t="str">
            <v>√</v>
          </cell>
        </row>
        <row r="35">
          <cell r="T35" t="str">
            <v>线下管控</v>
          </cell>
        </row>
        <row r="35">
          <cell r="V35" t="str">
            <v>1.施工合同；
2.农民工工资支付表；
3.农民工考勤表。</v>
          </cell>
          <cell r="W35" t="str">
            <v>各级单位-建设部门-项目经理</v>
          </cell>
          <cell r="X35" t="str">
            <v>每年</v>
          </cell>
          <cell r="Y35" t="str">
            <v>抽查</v>
          </cell>
        </row>
        <row r="35">
          <cell r="AA35" t="str">
            <v>每年</v>
          </cell>
          <cell r="AB35" t="str">
            <v>抽查</v>
          </cell>
        </row>
        <row r="35">
          <cell r="AH35" t="str">
            <v>是</v>
          </cell>
          <cell r="AI35" t="str">
            <v>是</v>
          </cell>
          <cell r="AJ35" t="str">
            <v>《国家电网有限公司关于保障输变电工程建设农民工工资支付的通知》(国家电网基建〔2020〕151号)第二章第三章第四章</v>
          </cell>
        </row>
        <row r="36">
          <cell r="I36" t="str">
            <v>电网基建业务-11.农民工工资总包代发控制-控制措施04</v>
          </cell>
          <cell r="J36" t="str">
            <v>各级单位建设部门根据合同约定，审核实际工程量，发起支付申请；</v>
          </cell>
        </row>
        <row r="36">
          <cell r="T36" t="str">
            <v>系统待建</v>
          </cell>
          <cell r="U36" t="str">
            <v>1.e基建2.0平台
2.数字化法治企业建设平台</v>
          </cell>
          <cell r="V36" t="str">
            <v>1.施工合同；
2.进度款报审表；
3.农民工工资支付表；
4.农民工考勤表。</v>
          </cell>
          <cell r="W36" t="str">
            <v>各级单位-建设部门-项目经理</v>
          </cell>
          <cell r="X36" t="str">
            <v>每年</v>
          </cell>
          <cell r="Y36" t="str">
            <v>抽查</v>
          </cell>
        </row>
        <row r="36">
          <cell r="AA36" t="str">
            <v>每年</v>
          </cell>
          <cell r="AB36" t="str">
            <v>抽查</v>
          </cell>
        </row>
        <row r="36">
          <cell r="AH36" t="str">
            <v>是</v>
          </cell>
          <cell r="AI36" t="str">
            <v>是</v>
          </cell>
          <cell r="AJ36" t="str">
            <v>《国家电网有限公司关于保障输变电工程建设农民工工资支付的通知》(国家电网基建〔2020〕151号)第二章第三章第四章</v>
          </cell>
        </row>
        <row r="37">
          <cell r="I37" t="str">
            <v>电网基建业务-11.农民工工资总包代发控制-控制措施05</v>
          </cell>
          <cell r="J37" t="str">
            <v>各级单位财务部门审核农民工工资资金是否及时、按制度规定比例足额拨付到位、专户支出是否专款专用、支付手续是否符合完整性、规范性要求；</v>
          </cell>
        </row>
        <row r="37">
          <cell r="O37" t="str">
            <v>√</v>
          </cell>
        </row>
        <row r="37">
          <cell r="Q37" t="str">
            <v>√</v>
          </cell>
        </row>
        <row r="37">
          <cell r="T37" t="str">
            <v>线下管控</v>
          </cell>
        </row>
        <row r="37">
          <cell r="V37" t="str">
            <v>1.施工合同；
2.进度款报审表；
3.农民工工资支付表。</v>
          </cell>
          <cell r="W37" t="str">
            <v>各级单位-财务部门-工程财务人员、各级单位-财务部门-审批人员</v>
          </cell>
          <cell r="X37" t="str">
            <v>每年</v>
          </cell>
          <cell r="Y37" t="str">
            <v>抽查</v>
          </cell>
        </row>
        <row r="37">
          <cell r="AA37" t="str">
            <v>每年</v>
          </cell>
          <cell r="AB37" t="str">
            <v>抽查</v>
          </cell>
        </row>
        <row r="37">
          <cell r="AH37" t="str">
            <v>是</v>
          </cell>
          <cell r="AI37" t="str">
            <v>是</v>
          </cell>
          <cell r="AJ37" t="str">
            <v>《国家电网有限公司关于保障输变电工程建设农民工工资支付的通知》(国家电网基建〔2020〕151号)第二章第三章第四章</v>
          </cell>
        </row>
        <row r="38">
          <cell r="I38" t="str">
            <v>电网基建业务-11.农民工工资总包代发控制-控制措施06</v>
          </cell>
          <cell r="J38" t="str">
            <v>各级单位财务部门负责抽查总承包单位农民工工资支付情况，履行监督职能。</v>
          </cell>
        </row>
        <row r="38">
          <cell r="Q38" t="str">
            <v>√</v>
          </cell>
        </row>
        <row r="38">
          <cell r="T38" t="str">
            <v>线下管控</v>
          </cell>
        </row>
        <row r="38">
          <cell r="V38" t="str">
            <v>1.施工合同；
2.进度款报审表；
3.农民工工资支付表；
4.农民工考勤表。</v>
          </cell>
          <cell r="W38" t="str">
            <v>各级单位-财务部门-工程财务人员</v>
          </cell>
          <cell r="X38" t="str">
            <v>每年</v>
          </cell>
          <cell r="Y38" t="str">
            <v>抽查</v>
          </cell>
        </row>
        <row r="38">
          <cell r="AA38" t="str">
            <v>每年</v>
          </cell>
          <cell r="AB38" t="str">
            <v>抽查</v>
          </cell>
        </row>
        <row r="38">
          <cell r="AH38" t="str">
            <v>是</v>
          </cell>
          <cell r="AI38" t="str">
            <v>是</v>
          </cell>
          <cell r="AJ38" t="str">
            <v>《国家电网有限公司关于保障输变电工程建设农民工工资支付的通知》(国家电网基建〔2020〕151号)第二章第三章第四章</v>
          </cell>
        </row>
        <row r="39">
          <cell r="C39" t="str">
            <v>资金资产安全</v>
          </cell>
          <cell r="D39" t="str">
            <v>项目开工</v>
          </cell>
          <cell r="E39" t="str">
            <v>项目违规开工，未批先建，导致面临行政处罚或承担违规风险。</v>
          </cell>
        </row>
        <row r="39">
          <cell r="G39" t="str">
            <v>12.项目开工合规性审核</v>
          </cell>
          <cell r="H39" t="str">
            <v>确保项目在取得全部行政许可后方可开工，杜绝未批先建行为，确保项目建设的合规性。</v>
          </cell>
          <cell r="I39" t="str">
            <v>电网基建业务-12.项目开工合规性审核-控制措施01</v>
          </cell>
          <cell r="J39" t="str">
            <v>各级单位建设部门加强开工审批流程管理，开工管理要严格遵循“依法合规、分层报批”原则，项目开工前要完成行政审批手续，未经审批不得私自开工。</v>
          </cell>
        </row>
        <row r="39">
          <cell r="L39" t="str">
            <v>√</v>
          </cell>
          <cell r="M39" t="str">
            <v>√</v>
          </cell>
        </row>
        <row r="39">
          <cell r="T39" t="str">
            <v>线下管控</v>
          </cell>
        </row>
        <row r="39">
          <cell r="V39" t="str">
            <v>1.项目核准文件；
2.建设工程（市政工程）规划许可证（按需）；
3.国有土地划拨决定书或建设用地批准书（按需）。</v>
          </cell>
          <cell r="W39" t="str">
            <v>各级单位-建设部门-项目经理</v>
          </cell>
          <cell r="X39" t="str">
            <v>每年</v>
          </cell>
          <cell r="Y39" t="str">
            <v>抽查</v>
          </cell>
        </row>
        <row r="39">
          <cell r="AA39" t="str">
            <v>每年</v>
          </cell>
          <cell r="AB39" t="str">
            <v>抽查</v>
          </cell>
        </row>
        <row r="39">
          <cell r="AH39" t="str">
            <v>是</v>
          </cell>
          <cell r="AI39" t="str">
            <v>是</v>
          </cell>
          <cell r="AJ39" t="str">
            <v>《国家电网有限公司输变电工程进度计划管理办法》（国家电网企管〔2019〕426号）第四章第十八、十九条</v>
          </cell>
          <cell r="AK39" t="str">
            <v>国网基建部</v>
          </cell>
        </row>
        <row r="40">
          <cell r="A40" t="str">
            <v>35千伏-750千伏电网基建项目</v>
          </cell>
          <cell r="B40" t="str">
            <v>三、项目实施管理</v>
          </cell>
          <cell r="C40" t="str">
            <v>资金资产安全</v>
          </cell>
          <cell r="D40" t="str">
            <v>项目设计变更与审批</v>
          </cell>
          <cell r="E40" t="str">
            <v>违规肢解、拆分设计变更，或虚假设计变更、现场签证等，导致工程量不实，施工费结算出现偏差，造成成本增加损失。</v>
          </cell>
          <cell r="F40" t="str">
            <v>25.结算不准确，多结算工程款：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
29.工程变更管理不规范：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v>
          </cell>
          <cell r="G40" t="str">
            <v>13.设计变更与现场签证真实性审核控制</v>
          </cell>
          <cell r="H40" t="str">
            <v>设计变更、现场签证与现场工程量一致。</v>
          </cell>
          <cell r="I40" t="str">
            <v>电网基建业务-13.设计变更与现场签证真实性审核控制-控制措施01</v>
          </cell>
          <cell r="J40" t="str">
            <v>各级单位建设部门建立“谁鉴证谁负责”查勘机制，各级单位、施工单位、监理单位对现场进行查勘，并对查勘结果负责；</v>
          </cell>
        </row>
        <row r="40">
          <cell r="L40" t="str">
            <v>√</v>
          </cell>
          <cell r="M40" t="str">
            <v>√</v>
          </cell>
        </row>
        <row r="40">
          <cell r="T40" t="str">
            <v>线下管控</v>
          </cell>
        </row>
        <row r="40">
          <cell r="V40" t="str">
            <v>1.设计及现场变更汇总表。</v>
          </cell>
          <cell r="W40" t="str">
            <v>各级单位-建设部门-项目经理、各级单位-建设部门-审批人员</v>
          </cell>
          <cell r="X40" t="str">
            <v>每年</v>
          </cell>
          <cell r="Y40" t="str">
            <v>抽查</v>
          </cell>
        </row>
        <row r="40">
          <cell r="AA40" t="str">
            <v>每年</v>
          </cell>
          <cell r="AB40" t="str">
            <v>抽查</v>
          </cell>
        </row>
        <row r="40">
          <cell r="AH40" t="str">
            <v>是</v>
          </cell>
          <cell r="AI40" t="str">
            <v>是</v>
          </cell>
          <cell r="AJ40" t="str">
            <v>《国家电网有限公司输变电工程进度计划管理办法》（国家电网企管〔2019〕426号）第二章第十一条</v>
          </cell>
          <cell r="AK40" t="str">
            <v>国网基建部</v>
          </cell>
        </row>
        <row r="41">
          <cell r="I41" t="str">
            <v>电网基建业务-13.设计变更与现场签证真实性审核控制-控制措施02</v>
          </cell>
          <cell r="J41" t="str">
            <v>各级单位建设部门建立“谁审批谁负责”复核机制，各级单位、施工单位、监理单位对查勘结果进行审批复核；</v>
          </cell>
        </row>
        <row r="41">
          <cell r="L41" t="str">
            <v>√</v>
          </cell>
          <cell r="M41" t="str">
            <v>√</v>
          </cell>
        </row>
        <row r="41">
          <cell r="T41" t="str">
            <v>线下管控</v>
          </cell>
        </row>
        <row r="41">
          <cell r="V41" t="str">
            <v>1.设计及现场变更汇总表；
2.设计变更审批单；
3.现场签证审批单。</v>
          </cell>
          <cell r="W41" t="str">
            <v>各级单位-建设部门-项目经理、各级单位-建设部门-审批人员</v>
          </cell>
          <cell r="X41" t="str">
            <v>每年</v>
          </cell>
          <cell r="Y41" t="str">
            <v>抽查</v>
          </cell>
        </row>
        <row r="41">
          <cell r="AA41" t="str">
            <v>每年</v>
          </cell>
          <cell r="AB41" t="str">
            <v>抽查</v>
          </cell>
        </row>
        <row r="41">
          <cell r="AH41" t="str">
            <v>是</v>
          </cell>
          <cell r="AI41" t="str">
            <v>是</v>
          </cell>
          <cell r="AJ41" t="str">
            <v>《国家电网有限公司输变电工程进度计划管理办法》（国家电网企管〔2019〕426号）第二章第十一条</v>
          </cell>
        </row>
        <row r="42">
          <cell r="I42" t="str">
            <v>电网基建业务-13.设计变更与现场签证真实性审核控制-控制措施03</v>
          </cell>
          <cell r="J42" t="str">
            <v>各级单位建设部门严格履行设计变更分级审批流程权限；</v>
          </cell>
        </row>
        <row r="42">
          <cell r="L42" t="str">
            <v>√</v>
          </cell>
          <cell r="M42" t="str">
            <v>√</v>
          </cell>
        </row>
        <row r="42">
          <cell r="T42" t="str">
            <v>系统已建</v>
          </cell>
          <cell r="U42" t="str">
            <v>e基建2.0平台</v>
          </cell>
          <cell r="V42" t="str">
            <v>1.设计及现场变更汇总表；
2.设计变更审批单；
3.现场签证审批单。</v>
          </cell>
          <cell r="W42" t="str">
            <v>各级单位-建设部门-项目经理、各级单位-建设部门-审批人员</v>
          </cell>
          <cell r="X42" t="str">
            <v>每年</v>
          </cell>
          <cell r="Y42" t="str">
            <v>抽查</v>
          </cell>
        </row>
        <row r="42">
          <cell r="AA42" t="str">
            <v>每年</v>
          </cell>
          <cell r="AB42" t="str">
            <v>抽查</v>
          </cell>
        </row>
        <row r="42">
          <cell r="AH42" t="str">
            <v>是</v>
          </cell>
          <cell r="AI42" t="str">
            <v>是</v>
          </cell>
          <cell r="AJ42" t="str">
            <v>《国家电网有限公司输变电工程进度计划管理办法》（国家电网企管〔2019〕426号）第二章第十一条</v>
          </cell>
        </row>
        <row r="43">
          <cell r="I43" t="str">
            <v>电网基建业务-13.设计变更与现场签证真实性审核控制-控制措施04</v>
          </cell>
          <cell r="J43" t="str">
            <v>各级单位建设部门分析设计变更频次、金额，对设计、施工、监理单位开展评价。</v>
          </cell>
        </row>
        <row r="43">
          <cell r="L43" t="str">
            <v>√</v>
          </cell>
          <cell r="M43" t="str">
            <v>√</v>
          </cell>
        </row>
        <row r="43">
          <cell r="S43" t="str">
            <v>√</v>
          </cell>
          <cell r="T43" t="str">
            <v>线下管控</v>
          </cell>
        </row>
        <row r="43">
          <cell r="V43" t="str">
            <v>1.设计及现场变更汇总表；
2.设计变更审批单；
3.现场签证审批单。</v>
          </cell>
          <cell r="W43" t="str">
            <v>各级单位-建设部门-项目经理</v>
          </cell>
          <cell r="X43" t="str">
            <v>每年</v>
          </cell>
          <cell r="Y43" t="str">
            <v>抽查</v>
          </cell>
        </row>
        <row r="43">
          <cell r="AA43" t="str">
            <v>每年</v>
          </cell>
          <cell r="AB43" t="str">
            <v>抽查</v>
          </cell>
        </row>
        <row r="43">
          <cell r="AH43" t="str">
            <v>是</v>
          </cell>
          <cell r="AI43" t="str">
            <v>是</v>
          </cell>
          <cell r="AJ43" t="str">
            <v>《国家电网有限公司输变电工程进度计划管理办法》（国家电网企管〔2019〕426号）第二章第十一条</v>
          </cell>
        </row>
        <row r="44">
          <cell r="C44" t="str">
            <v>资金资产安全</v>
          </cell>
          <cell r="D44" t="str">
            <v>物资到货交接</v>
          </cell>
          <cell r="E44" t="str">
            <v>物资现场到货与物资采购不符，物资短缺、​规格错误或质量不达标，需二次采购，导致工程延误、成本增加。</v>
          </cell>
          <cell r="F44" t="str">
            <v>24.项目质量管控不严：存在混凝土检测等乙供材试验不规范、乙供材未经检测即在工程中使用；未按批复规模/施工图/设计要求施工等问题。</v>
          </cell>
          <cell r="G44" t="str">
            <v>14.物资现场到货与采购一致性控制</v>
          </cell>
          <cell r="H44" t="str">
            <v>明确到货交接、现场保管及设备移交全流程责任。</v>
          </cell>
          <cell r="I44" t="str">
            <v>电网基建业务-14.物资现场到货与采购一致性控制-控制措施01</v>
          </cell>
          <cell r="J44" t="str">
            <v>各级单位物资部门建立供应商、建设管理单位项目经理、物资供应人员三方到货交接责任机制，确保物资现场到货与采购合同一致；</v>
          </cell>
        </row>
        <row r="44">
          <cell r="M44" t="str">
            <v>√</v>
          </cell>
        </row>
        <row r="44">
          <cell r="O44" t="str">
            <v>√</v>
          </cell>
        </row>
        <row r="44">
          <cell r="R44" t="str">
            <v>√</v>
          </cell>
        </row>
        <row r="44">
          <cell r="T44" t="str">
            <v>系统已建</v>
          </cell>
          <cell r="U44" t="str">
            <v>绿色现代数智供应链平台</v>
          </cell>
          <cell r="V44" t="str">
            <v>1.ERP物资货物交接单；
2.经法系统物资合同；
3.项目物资需求单。</v>
          </cell>
          <cell r="W44" t="str">
            <v>各级单位-建设部门-项目经理、各级单位-物资部门-履约管理人员</v>
          </cell>
          <cell r="X44" t="str">
            <v>每年</v>
          </cell>
          <cell r="Y44" t="str">
            <v>抽查</v>
          </cell>
        </row>
        <row r="44">
          <cell r="AA44" t="str">
            <v>每年</v>
          </cell>
          <cell r="AB44" t="str">
            <v>抽查</v>
          </cell>
        </row>
        <row r="44">
          <cell r="AD44" t="str">
            <v>物资到货交接监督场景</v>
          </cell>
          <cell r="AE44" t="str">
            <v>每月</v>
          </cell>
        </row>
        <row r="44">
          <cell r="AH44" t="str">
            <v>是</v>
          </cell>
          <cell r="AI44" t="str">
            <v>是</v>
          </cell>
          <cell r="AJ44" t="str">
            <v>《国家电网有限公司实物资源管理办法》（国家电网企管〔2022〕235号）第三章</v>
          </cell>
          <cell r="AK44" t="str">
            <v>国网基建部、国网物资部</v>
          </cell>
        </row>
        <row r="45">
          <cell r="I45" t="str">
            <v>电网基建业务-14.物资现场到货与采购一致性控制-控制措施02</v>
          </cell>
          <cell r="J45" t="str">
            <v>各级单位建设部门建立现场物资安全保管责任制，明确设备移交双方责任，依托实物ID赋码实现全流程线上跟踪；无实物ID物资建立线上虚拟台账，定期开展账实核对并留存核对记录；</v>
          </cell>
        </row>
        <row r="45">
          <cell r="R45" t="str">
            <v>√</v>
          </cell>
        </row>
        <row r="45">
          <cell r="T45" t="str">
            <v>线下管控</v>
          </cell>
        </row>
        <row r="45">
          <cell r="V45" t="str">
            <v>1.ERP物资到货交接单；
2.经法系统物资合同；
3.项目物资需求单；
4.入库单；
5.物资结算资料。</v>
          </cell>
          <cell r="W45" t="str">
            <v>各级单位-建设部门-项目经理</v>
          </cell>
          <cell r="X45" t="str">
            <v>每年</v>
          </cell>
          <cell r="Y45" t="str">
            <v>抽查</v>
          </cell>
        </row>
        <row r="45">
          <cell r="AA45" t="str">
            <v>每年</v>
          </cell>
          <cell r="AB45" t="str">
            <v>抽查</v>
          </cell>
        </row>
        <row r="45">
          <cell r="AH45" t="str">
            <v>是</v>
          </cell>
          <cell r="AI45" t="str">
            <v>是</v>
          </cell>
          <cell r="AJ45" t="str">
            <v>《国家电网有限公司实物资源管理办法》（国家电网企管〔2022〕235号 ）第三章</v>
          </cell>
          <cell r="AK45" t="str">
            <v>国网基建部</v>
          </cell>
        </row>
        <row r="46">
          <cell r="I46" t="str">
            <v>电网基建业务-14.物资现场到货与采购一致性控制-控制措施03</v>
          </cell>
          <cell r="J46" t="str">
            <v>各级单位建设部门建立现场物资盘点机制，定期组织开展实物台账一致性核查。落实盘点人与保管人不相容岗位内控要求。</v>
          </cell>
          <cell r="K46" t="str">
            <v>√</v>
          </cell>
        </row>
        <row r="46">
          <cell r="R46" t="str">
            <v>√</v>
          </cell>
        </row>
        <row r="46">
          <cell r="T46" t="str">
            <v>线下管控</v>
          </cell>
        </row>
        <row r="46">
          <cell r="V46" t="str">
            <v>1.ERP物资到货交接单；
2.经法系统物资合同；
3.项目物资需求单；
4.入库单；
5.物资结算资料。</v>
          </cell>
          <cell r="W46" t="str">
            <v>各级单位-建设部门-项目经理</v>
          </cell>
          <cell r="X46" t="str">
            <v>每年</v>
          </cell>
          <cell r="Y46" t="str">
            <v>抽查</v>
          </cell>
        </row>
        <row r="46">
          <cell r="AA46" t="str">
            <v>每年</v>
          </cell>
          <cell r="AB46" t="str">
            <v>抽查</v>
          </cell>
        </row>
        <row r="46">
          <cell r="AH46" t="str">
            <v>是</v>
          </cell>
          <cell r="AI46" t="str">
            <v>是</v>
          </cell>
          <cell r="AJ46" t="str">
            <v>《国家电网有限公司实物资源管理办法》（国家电网企管〔2022〕235号 ）第三章</v>
          </cell>
        </row>
        <row r="47">
          <cell r="A47" t="str">
            <v>35千伏-750千伏电网基建项目</v>
          </cell>
          <cell r="B47" t="str">
            <v>三、项目实施管理</v>
          </cell>
          <cell r="C47" t="str">
            <v>资金资产安全</v>
          </cell>
          <cell r="D47" t="str">
            <v>物资成本确认</v>
          </cell>
          <cell r="E47" t="str">
            <v>提前确认项目物资成本，导致项目物资采购成本与现场实际到货不一致，虚增成本费用。</v>
          </cell>
        </row>
        <row r="47">
          <cell r="G47" t="str">
            <v>15.物资成本报账与现场实物到货一致性控制</v>
          </cell>
          <cell r="H47" t="str">
            <v>物资成本报账与现场实际到货一致。</v>
          </cell>
          <cell r="I47" t="str">
            <v>电网基建业务-15.物资成本报账与现场实物到货一致性控制-控制措施01</v>
          </cell>
          <cell r="J47" t="str">
            <v>各级单位财务部门对物资报账相关单据合规性、完整性进行复核核验。</v>
          </cell>
        </row>
        <row r="47">
          <cell r="M47" t="str">
            <v>√</v>
          </cell>
        </row>
        <row r="47">
          <cell r="Q47" t="str">
            <v>√</v>
          </cell>
          <cell r="R47" t="str">
            <v>√</v>
          </cell>
        </row>
        <row r="47">
          <cell r="T47" t="str">
            <v>线下管控</v>
          </cell>
        </row>
        <row r="47">
          <cell r="V47" t="str">
            <v>1.物资款支付报审表；
2.出入库单；
3.采购合同；
4.现场验收签收单。</v>
          </cell>
          <cell r="W47" t="str">
            <v>各级单位-财务部门-工程财务人员</v>
          </cell>
          <cell r="X47" t="str">
            <v>每年</v>
          </cell>
          <cell r="Y47" t="str">
            <v>抽查</v>
          </cell>
        </row>
        <row r="47">
          <cell r="AA47" t="str">
            <v>每年</v>
          </cell>
          <cell r="AB47" t="str">
            <v>抽查</v>
          </cell>
        </row>
        <row r="47">
          <cell r="AH47" t="str">
            <v>是</v>
          </cell>
          <cell r="AI47" t="str">
            <v>是</v>
          </cell>
          <cell r="AJ47" t="str">
            <v>《国家电网有限公司工程财务管理办法》（国家电网企管〔2023〕28号）第二章</v>
          </cell>
          <cell r="AK47" t="str">
            <v>国网财务部</v>
          </cell>
        </row>
        <row r="48">
          <cell r="C48" t="str">
            <v>会计信息真实完整</v>
          </cell>
          <cell r="D48" t="str">
            <v>工程成本核算确认</v>
          </cell>
          <cell r="E48" t="str">
            <v>提前确认项目建设成本，导致项目建设成本与工程现场进度不匹配，虚增成本费用。</v>
          </cell>
          <cell r="F48" t="str">
            <v>23.项目进度计划管控不到位：存在工程开工延迟、未按期完工、未按期投产；工程项目竣工后仍进行施工计划作业；工程项目竣工后仍有物资出库；新能源接网配套项目建设推进不及时等问题。</v>
          </cell>
          <cell r="G48" t="str">
            <v>16.施工成本报账与现场进度一致性控制</v>
          </cell>
          <cell r="H48" t="str">
            <v>施工成本报账与现场进度一致。</v>
          </cell>
          <cell r="I48" t="str">
            <v>电网基建业务-16.施工成本报账与现场进度一致性控制-控制措施01</v>
          </cell>
          <cell r="J48" t="str">
            <v>各级单位建设部门建立健全项目工程量与报账复核机制：
报账时，提供工程量清单、合同付款单等相关佐证材料，确保现场工作量与报账保持相对一致；
支付工程预付款时，审核是否开具收据或不征税普通发票，严禁提前确认工程成本；
审核进度款时，审核报审表与工程量清单进度一致，检查预付款扣回条款落实情况，按照合同约定在支付进度款时扣回预付款，确保进度款支付进度不超过合同约定。</v>
          </cell>
        </row>
        <row r="48">
          <cell r="M48" t="str">
            <v>√</v>
          </cell>
        </row>
        <row r="48">
          <cell r="O48" t="str">
            <v>√</v>
          </cell>
        </row>
        <row r="48">
          <cell r="T48" t="str">
            <v>系统待建</v>
          </cell>
          <cell r="U48" t="str">
            <v>1.ERP系统
2.e基建2.0平台
3.智慧共享财务平台</v>
          </cell>
          <cell r="V48" t="str">
            <v>1.进度款报审表；
2.工程量清单；
3.发票；
4.合同；
5.里程碑计划月报。</v>
          </cell>
          <cell r="W48" t="str">
            <v>各级单位-建设部门-项目经理</v>
          </cell>
          <cell r="X48" t="str">
            <v>每年</v>
          </cell>
          <cell r="Y48" t="str">
            <v>抽查</v>
          </cell>
        </row>
        <row r="48">
          <cell r="AA48" t="str">
            <v>每年</v>
          </cell>
          <cell r="AB48" t="str">
            <v>抽查</v>
          </cell>
        </row>
        <row r="48">
          <cell r="AH48" t="str">
            <v>是</v>
          </cell>
          <cell r="AI48" t="str">
            <v>是</v>
          </cell>
          <cell r="AJ48" t="str">
            <v>《国家电网有限公司工程财务管理办法》（国家电网企管〔2023〕28号）第二章</v>
          </cell>
          <cell r="AK48" t="str">
            <v>国网基建部</v>
          </cell>
        </row>
        <row r="49">
          <cell r="I49" t="str">
            <v>电网基建业务-16.施工成本报账与现场进度一致性控制-控制措施02</v>
          </cell>
          <cell r="J49" t="str">
            <v>各级单位财务部门对施工进度成本确认与合同履约台账的合规性进行复核核验，核实付款申请单的发票、合同及付款申请单中开票方、合同签订方与收款方一致性，确认款项支付严格按照合同约定执行。</v>
          </cell>
        </row>
        <row r="49">
          <cell r="M49" t="str">
            <v>√</v>
          </cell>
        </row>
        <row r="49">
          <cell r="O49" t="str">
            <v>√</v>
          </cell>
        </row>
        <row r="49">
          <cell r="Q49" t="str">
            <v>√</v>
          </cell>
        </row>
        <row r="49">
          <cell r="T49" t="str">
            <v>系统已建</v>
          </cell>
          <cell r="U49" t="str">
            <v>1.ERP系统
2.智慧共享财务平台</v>
          </cell>
          <cell r="V49" t="str">
            <v>1.进度款报审表；
2.工程量清单；
3.发票；
4.合同。</v>
          </cell>
          <cell r="W49" t="str">
            <v>各级单位-财务部门-工程财务人员</v>
          </cell>
          <cell r="X49" t="str">
            <v>每年</v>
          </cell>
          <cell r="Y49" t="str">
            <v>抽查</v>
          </cell>
        </row>
        <row r="49">
          <cell r="AA49" t="str">
            <v>每年</v>
          </cell>
          <cell r="AB49" t="str">
            <v>抽查</v>
          </cell>
        </row>
        <row r="49">
          <cell r="AD49" t="str">
            <v>施工成本报账与现场进度一致性监督场景</v>
          </cell>
          <cell r="AE49" t="str">
            <v>每月</v>
          </cell>
        </row>
        <row r="49">
          <cell r="AH49" t="str">
            <v>是</v>
          </cell>
          <cell r="AI49" t="str">
            <v>是</v>
          </cell>
          <cell r="AJ49" t="str">
            <v>《国家电网有限公司工程财务管理办法》（国家电网企管〔2023〕28号）第二章</v>
          </cell>
          <cell r="AK49" t="str">
            <v>国网财务部</v>
          </cell>
        </row>
        <row r="50">
          <cell r="C50" t="str">
            <v>资金资产安全</v>
          </cell>
          <cell r="D50" t="str">
            <v>项目施工工期管理</v>
          </cell>
          <cell r="E50" t="str">
            <v>项目进度计划管控不到位，未按期完工、投产，导致项目经济效益下降，造成资金长期占用。</v>
          </cell>
        </row>
        <row r="50">
          <cell r="G50" t="str">
            <v>17.长期挂账在建工程清理</v>
          </cell>
          <cell r="H50" t="str">
            <v>做好在建工程工期进度管控和价值管理。</v>
          </cell>
          <cell r="I50" t="str">
            <v>电网基建业务-17.长期挂账在建工程清理-控制措施01</v>
          </cell>
          <cell r="J50" t="str">
            <v>各级单位财务部门建立在建工程长期挂账预警机制，按《国网工程财务管理办法》规定，对6个月及以上无支出的在建工程提出停滞预警，对一年以上无支出的在建工程提出核销预警，并结合区域特点（东北长期封冻期）、项目类型（藏区环境保护）、季节特性（春节、迎峰度夏期间）等，适当调整停滞预警和核销预警的时间；</v>
          </cell>
        </row>
        <row r="50">
          <cell r="Q50" t="str">
            <v>√</v>
          </cell>
        </row>
        <row r="50">
          <cell r="T50" t="str">
            <v>系统待建</v>
          </cell>
          <cell r="U50" t="str">
            <v>智慧共享财务平台</v>
          </cell>
          <cell r="V50" t="str">
            <v>1.近一年项目成本支出明细；
2.在建工程明细。</v>
          </cell>
          <cell r="W50" t="str">
            <v>各级单位-财务部门-工程财务人员</v>
          </cell>
          <cell r="X50" t="str">
            <v>每年</v>
          </cell>
          <cell r="Y50" t="str">
            <v>抽查</v>
          </cell>
        </row>
        <row r="50">
          <cell r="AA50" t="str">
            <v>每年</v>
          </cell>
          <cell r="AB50" t="str">
            <v>抽查</v>
          </cell>
        </row>
        <row r="50">
          <cell r="AH50" t="str">
            <v>是</v>
          </cell>
          <cell r="AI50" t="str">
            <v>是</v>
          </cell>
          <cell r="AJ50" t="str">
            <v>《国家电网有限公司工程财务管理办法》（国家电网企管〔2023〕28号）第五章</v>
          </cell>
          <cell r="AK50" t="str">
            <v>国网基建部、国网财务部</v>
          </cell>
        </row>
        <row r="51">
          <cell r="I51" t="str">
            <v>电网基建业务-17.长期挂账在建工程清理-控制措施02</v>
          </cell>
          <cell r="J51" t="str">
            <v>各级单位建设部门对停滞预警及时反馈说明情况，对核销预警进行减值与核销评估并出具意见说明；</v>
          </cell>
        </row>
        <row r="51">
          <cell r="T51" t="str">
            <v>线下管控</v>
          </cell>
        </row>
        <row r="51">
          <cell r="V51" t="str">
            <v>1.减值与核销评估意见。</v>
          </cell>
          <cell r="W51" t="str">
            <v>各级单位-建设部门-项目经理、各级单位-建设部门-审批人员</v>
          </cell>
          <cell r="X51" t="str">
            <v>每年</v>
          </cell>
          <cell r="Y51" t="str">
            <v>抽查</v>
          </cell>
        </row>
        <row r="51">
          <cell r="AA51" t="str">
            <v>每年</v>
          </cell>
          <cell r="AB51" t="str">
            <v>抽查</v>
          </cell>
        </row>
        <row r="51">
          <cell r="AH51" t="str">
            <v>是</v>
          </cell>
          <cell r="AI51" t="str">
            <v>是</v>
          </cell>
          <cell r="AJ51" t="str">
            <v>《国家电网有限公司工程财务管理办法》（国家电网企管〔2023〕28号）第五章</v>
          </cell>
        </row>
        <row r="52">
          <cell r="I52" t="str">
            <v>电网基建业务-17.长期挂账在建工程清理-控制措施03</v>
          </cell>
          <cell r="J52" t="str">
            <v>各级单位建设部门结合减值与核销原因，建立减值与核销项目免责与追责机制。</v>
          </cell>
        </row>
        <row r="52">
          <cell r="T52" t="str">
            <v>线下管控</v>
          </cell>
        </row>
        <row r="52">
          <cell r="V52" t="str">
            <v>1.减值与核销评估意见。</v>
          </cell>
          <cell r="W52" t="str">
            <v>各级单位-建设部门-项目经理</v>
          </cell>
          <cell r="X52" t="str">
            <v>每年</v>
          </cell>
          <cell r="Y52" t="str">
            <v>抽查</v>
          </cell>
        </row>
        <row r="52">
          <cell r="AA52" t="str">
            <v>每年</v>
          </cell>
          <cell r="AB52" t="str">
            <v>抽查</v>
          </cell>
        </row>
        <row r="52">
          <cell r="AH52" t="str">
            <v>是</v>
          </cell>
          <cell r="AI52" t="str">
            <v>否</v>
          </cell>
          <cell r="AJ52" t="str">
            <v>《国家电网有限公司工程财务管理办法》（国家电网企管〔2023〕28号）第五章、《国家电网有限公司违规经营投资责任追究实施办法（试行）》（国家电网办〔2019〕32号）第三章</v>
          </cell>
        </row>
        <row r="53">
          <cell r="A53" t="str">
            <v>35千伏-750千伏电网基建项目</v>
          </cell>
          <cell r="B53" t="str">
            <v>四、竣工验收转资</v>
          </cell>
          <cell r="C53" t="str">
            <v>资金资产安全</v>
          </cell>
          <cell r="D53" t="str">
            <v>项目竣工验收</v>
          </cell>
          <cell r="E53" t="str">
            <v>工程未开工、未完工虚假验收，导致项目提前结决算，产生资金支付风险。</v>
          </cell>
          <cell r="F53" t="str">
            <v>36.工程验收管理不规范：存在未完工提前办理验收；隐蔽工程验收管理不规范；项目竣工验收直接将单位工程质量竣工验收记录作为工程竣工验收报告；项目竣工验收缺少验收报告、设备材料合格证、出厂试验报告等资料等问题。</v>
          </cell>
          <cell r="G53" t="str">
            <v>18.现场实际工程量与验收报告一致性控制</v>
          </cell>
          <cell r="H53" t="str">
            <v>现场实际工程量与验收报告一致。</v>
          </cell>
          <cell r="I53" t="str">
            <v>电网基建业务-18.现场实际工程量与验收报告一致性控制-控制措施01</v>
          </cell>
          <cell r="J53" t="str">
            <v>各级单位建设部门规范验收流程，严格履行内部交叉验收机制，各级单位、监理单位、施工单位等多方联合开展验收，相互监督制约。</v>
          </cell>
        </row>
        <row r="53">
          <cell r="M53" t="str">
            <v>√</v>
          </cell>
        </row>
        <row r="53">
          <cell r="R53" t="str">
            <v>√</v>
          </cell>
        </row>
        <row r="53">
          <cell r="T53" t="str">
            <v>线下管控</v>
          </cell>
        </row>
        <row r="53">
          <cell r="V53" t="str">
            <v>1.竣工验收报告；
2.启动带电运行令；
3.业务系统开、竣工信息；
4.合同（含中标通知书）；
5.成本入账时间。</v>
          </cell>
          <cell r="W53" t="str">
            <v>各级单位-建设部门-项目经理、各级单位-设备部门-设备资产管理人员</v>
          </cell>
          <cell r="X53" t="str">
            <v>每年</v>
          </cell>
          <cell r="Y53" t="str">
            <v>抽查</v>
          </cell>
        </row>
        <row r="53">
          <cell r="AA53" t="str">
            <v>每年</v>
          </cell>
          <cell r="AB53" t="str">
            <v>抽查</v>
          </cell>
        </row>
        <row r="53">
          <cell r="AH53" t="str">
            <v>是</v>
          </cell>
          <cell r="AI53" t="str">
            <v>是</v>
          </cell>
          <cell r="AJ53" t="str">
            <v>《国家电网有限公司输变电工程业主项目部管理办法》（国家电网企管〔2019〕296号）第四章</v>
          </cell>
          <cell r="AK53" t="str">
            <v>国网基建部</v>
          </cell>
        </row>
        <row r="54">
          <cell r="C54" t="str">
            <v>资金资产安全</v>
          </cell>
          <cell r="D54" t="str">
            <v>项目现场资产盘点</v>
          </cell>
          <cell r="E54" t="str">
            <v>资产卡片、设备清单与现场实物不符，导致账、卡、物不一致，造成资产流失。</v>
          </cell>
        </row>
        <row r="54">
          <cell r="G54" t="str">
            <v>19.竣工资产移交闭环控制</v>
          </cell>
          <cell r="H54" t="str">
            <v>资产卡片、设备清单与现场实物一致。</v>
          </cell>
          <cell r="I54" t="str">
            <v>电网基建业务-19.竣工资产移交闭环控制-控制措施01</v>
          </cell>
          <cell r="J54" t="str">
            <v>各级单位建设部门、设备部门、资产使用保管部门及施工单位多部门联合确认检查实物四码与物资清册一致性，提交现场实物盘点确认清单；</v>
          </cell>
        </row>
        <row r="54">
          <cell r="R54" t="str">
            <v>√</v>
          </cell>
        </row>
        <row r="54">
          <cell r="T54" t="str">
            <v>线下管控</v>
          </cell>
        </row>
        <row r="54">
          <cell r="V54" t="str">
            <v>1.物资清册；
2.现场盘点清单。</v>
          </cell>
          <cell r="W54" t="str">
            <v>各级单位-建设部门-项目经理、各级单位-设备部门-设备资产管理人员、各级单位-资产使用保管部门-资产使用保管人员</v>
          </cell>
          <cell r="X54" t="str">
            <v>每年</v>
          </cell>
          <cell r="Y54" t="str">
            <v>抽查</v>
          </cell>
        </row>
        <row r="54">
          <cell r="AA54" t="str">
            <v>每年</v>
          </cell>
          <cell r="AB54" t="str">
            <v>抽查</v>
          </cell>
        </row>
        <row r="54">
          <cell r="AH54" t="str">
            <v>是</v>
          </cell>
          <cell r="AI54" t="str">
            <v>是</v>
          </cell>
          <cell r="AJ54" t="str">
            <v>《国家电网有限公司电网实物资产管理规定》（国家电网企管〔2019〕429号）第二章第九条、《国家电网有限公司基建项目管理规定》（国家电网企管〔2019〕426号）第二章</v>
          </cell>
          <cell r="AK54" t="str">
            <v>国网基建部、国网设备部</v>
          </cell>
        </row>
        <row r="55">
          <cell r="I55" t="str">
            <v>电网基建业务-19.竣工资产移交闭环控制-控制措施02</v>
          </cell>
          <cell r="J55" t="str">
            <v>各级单位设备部门建立资产卡片与设备台账关联一致性复核机制，确保工程项目资产建卡准确、完整。</v>
          </cell>
        </row>
        <row r="55">
          <cell r="R55" t="str">
            <v>√</v>
          </cell>
        </row>
        <row r="55">
          <cell r="T55" t="str">
            <v>系统已建</v>
          </cell>
          <cell r="U55" t="str">
            <v>1.PMS3.0系统
2.ERP系统
3.智慧共享财务平台</v>
          </cell>
          <cell r="V55" t="str">
            <v>1.物资清册；
2.现场盘点清单。</v>
          </cell>
          <cell r="W55" t="str">
            <v>各级单位-设备部门-设备资产管理人员</v>
          </cell>
          <cell r="X55" t="str">
            <v>每年</v>
          </cell>
          <cell r="Y55" t="str">
            <v>抽查</v>
          </cell>
        </row>
        <row r="55">
          <cell r="AA55" t="str">
            <v>每年</v>
          </cell>
          <cell r="AB55" t="str">
            <v>抽查</v>
          </cell>
        </row>
        <row r="55">
          <cell r="AD55" t="str">
            <v>设备资产台账、卡片一致性监督场景</v>
          </cell>
          <cell r="AE55" t="str">
            <v>每月</v>
          </cell>
        </row>
        <row r="55">
          <cell r="AH55" t="str">
            <v>是</v>
          </cell>
          <cell r="AI55" t="str">
            <v>是</v>
          </cell>
          <cell r="AJ55" t="str">
            <v>《国家电网有限公司电网实物资产管理规定》（国家电网企管〔2019〕429号）第二章</v>
          </cell>
          <cell r="AK55" t="str">
            <v>国网设备部</v>
          </cell>
        </row>
        <row r="56">
          <cell r="C56" t="str">
            <v>会计信息真实完整</v>
          </cell>
          <cell r="D56" t="str">
            <v>工程成本暂估确认</v>
          </cell>
          <cell r="E56" t="str">
            <v>暂估成本费用测算不合理，导致工程暂估成本虚增虚减，造成折旧成本数据有误。</v>
          </cell>
        </row>
        <row r="56">
          <cell r="G56" t="str">
            <v>20.工程成本暂估的真实性、准确性控制</v>
          </cell>
          <cell r="H56" t="str">
            <v>暂估工程成本符合工程实际情况，原则上不低于概算数75%。</v>
          </cell>
          <cell r="I56" t="str">
            <v>电网基建业务-20.工程成本暂估的真实性、准确性控制-控制措施01</v>
          </cell>
          <cell r="J56" t="str">
            <v>各级单位建设部门对暂估后成本低于概算75%或超概算仍进行暂估的，需履行相应审批程序；</v>
          </cell>
        </row>
        <row r="56">
          <cell r="O56" t="str">
            <v>√</v>
          </cell>
        </row>
        <row r="56">
          <cell r="T56" t="str">
            <v>系统已建</v>
          </cell>
          <cell r="U56" t="str">
            <v>1.ERP系统
2.智慧共享财务平台</v>
          </cell>
          <cell r="V56" t="str">
            <v>1.工程项目整体成本入账金额；
2.暂估工程成本明细表。</v>
          </cell>
          <cell r="W56" t="str">
            <v>各级单位-建设部门-项目经理、技经人员、各级单位-建设部门-审批人员</v>
          </cell>
          <cell r="X56" t="str">
            <v>每年</v>
          </cell>
          <cell r="Y56" t="str">
            <v>抽查</v>
          </cell>
        </row>
        <row r="56">
          <cell r="AA56" t="str">
            <v>每年</v>
          </cell>
          <cell r="AB56" t="str">
            <v>抽查</v>
          </cell>
        </row>
        <row r="56">
          <cell r="AD56" t="str">
            <v>工程成本入账率监督场景</v>
          </cell>
          <cell r="AE56" t="str">
            <v>每月</v>
          </cell>
        </row>
        <row r="56">
          <cell r="AH56" t="str">
            <v>是</v>
          </cell>
          <cell r="AI56" t="str">
            <v>否</v>
          </cell>
          <cell r="AJ56" t="str">
            <v>《国家电网有限公司工程财务管理办法》（国家电网企管〔2023〕28号）第七章</v>
          </cell>
          <cell r="AK56" t="str">
            <v>国网基建部、国网财务部</v>
          </cell>
        </row>
        <row r="57">
          <cell r="I57" t="str">
            <v>电网基建业务-20.工程成本暂估的真实性、准确性控制-控制措施02</v>
          </cell>
          <cell r="J57" t="str">
            <v>各级单位财务部门监督考核应暂估未暂估、虚假暂估的项目。</v>
          </cell>
        </row>
        <row r="57">
          <cell r="Q57" t="str">
            <v>√</v>
          </cell>
        </row>
        <row r="57">
          <cell r="T57" t="str">
            <v>线下管控</v>
          </cell>
        </row>
        <row r="57">
          <cell r="V57" t="str">
            <v>1.工程项目整体成本入账金额；
2.暂估工程成本明细表。</v>
          </cell>
          <cell r="W57" t="str">
            <v>各级单位-财务部门-工程财务人员</v>
          </cell>
          <cell r="X57" t="str">
            <v>每年</v>
          </cell>
          <cell r="Y57" t="str">
            <v>抽查</v>
          </cell>
        </row>
        <row r="57">
          <cell r="AA57" t="str">
            <v>每年</v>
          </cell>
          <cell r="AB57" t="str">
            <v>抽查</v>
          </cell>
        </row>
        <row r="57">
          <cell r="AH57" t="str">
            <v>是</v>
          </cell>
          <cell r="AI57" t="str">
            <v>是</v>
          </cell>
          <cell r="AJ57" t="str">
            <v>《国家电网有限公司工程财务管理办法》（国家电网企管〔2023〕28号）第六章</v>
          </cell>
          <cell r="AK57" t="str">
            <v>国网财务部</v>
          </cell>
        </row>
        <row r="58">
          <cell r="C58" t="str">
            <v>会计信息真实完整</v>
          </cell>
          <cell r="D58" t="str">
            <v>工程暂估转资</v>
          </cell>
          <cell r="E58" t="str">
            <v>未及时完成暂估转资流程，有效资产及折旧未能及时足额计增，导致成本减少。</v>
          </cell>
        </row>
        <row r="58">
          <cell r="G58" t="str">
            <v>21.暂估转资节点刚性控制</v>
          </cell>
          <cell r="H58" t="str">
            <v>单项工程达到预计使用状态后的30天内完成转资。</v>
          </cell>
          <cell r="I58" t="str">
            <v>电网基建业务-21.暂估转资节点刚性控制-控制措施01</v>
          </cell>
          <cell r="J58" t="str">
            <v>各级单位财务部门建立暂估时限预警机制，到达预警时点，系统自动向相关岗位推送预警信息，确保及时转资；</v>
          </cell>
        </row>
        <row r="58">
          <cell r="Q58" t="str">
            <v>√</v>
          </cell>
          <cell r="R58" t="str">
            <v>√</v>
          </cell>
        </row>
        <row r="58">
          <cell r="T58" t="str">
            <v>系统已建</v>
          </cell>
          <cell r="U58" t="str">
            <v>ERP系统</v>
          </cell>
          <cell r="V58" t="str">
            <v>1.系统中工程转资时间；
2.竣工投运资料。</v>
          </cell>
          <cell r="W58" t="str">
            <v>各级单位-建设部门-项目经理、各级单位-设备部门-设备资产管理人员、各级单位-财务部门-工程财务人员</v>
          </cell>
          <cell r="X58" t="str">
            <v>每月</v>
          </cell>
          <cell r="Y58" t="str">
            <v>全量检查</v>
          </cell>
        </row>
        <row r="58">
          <cell r="AA58" t="str">
            <v>每年</v>
          </cell>
          <cell r="AB58" t="str">
            <v>抽查</v>
          </cell>
        </row>
        <row r="58">
          <cell r="AD58" t="str">
            <v>暂估转资时效性监督场景</v>
          </cell>
          <cell r="AE58" t="str">
            <v>每月</v>
          </cell>
        </row>
        <row r="58">
          <cell r="AH58" t="str">
            <v>是</v>
          </cell>
          <cell r="AI58" t="str">
            <v>是</v>
          </cell>
          <cell r="AJ58" t="str">
            <v>《国家电网有限公司工程财务管理办法》（国家电网企管〔2023〕28号）第六章</v>
          </cell>
          <cell r="AK58" t="str">
            <v>国网财务部</v>
          </cell>
        </row>
        <row r="59">
          <cell r="I59" t="str">
            <v>电网基建业务-21.暂估转资节点刚性控制-控制措施02</v>
          </cell>
          <cell r="J59" t="str">
            <v>各级单位业务部门及时提供工程竣工投运报告或投运批准书，以确定投产日。</v>
          </cell>
        </row>
        <row r="59">
          <cell r="T59" t="str">
            <v>线下管控</v>
          </cell>
        </row>
        <row r="59">
          <cell r="V59" t="str">
            <v>1.系统中工程转资时间；
2.竣工投运资料（竣工投运报告或投运批准书）。</v>
          </cell>
          <cell r="W59" t="str">
            <v>各级单位-建设部门-项目经理</v>
          </cell>
          <cell r="X59" t="str">
            <v>每月</v>
          </cell>
          <cell r="Y59" t="str">
            <v>全量检查</v>
          </cell>
        </row>
        <row r="59">
          <cell r="AA59" t="str">
            <v>每年</v>
          </cell>
          <cell r="AB59" t="str">
            <v>抽查</v>
          </cell>
        </row>
        <row r="59">
          <cell r="AH59" t="str">
            <v>是</v>
          </cell>
          <cell r="AI59" t="str">
            <v>否</v>
          </cell>
          <cell r="AJ59" t="str">
            <v>《国家电网有限公司工程财务管理办法》（国家电网企管〔2023〕28号）第七章</v>
          </cell>
          <cell r="AK59" t="str">
            <v>国网基建部</v>
          </cell>
        </row>
        <row r="60">
          <cell r="I60" t="str">
            <v>电网基建业务-21.暂估转资节点刚性控制-控制措施03</v>
          </cell>
          <cell r="J60" t="str">
            <v>各级单位财务部门应在投运后30日内暂估转资，并监督考核转资延误的项目。</v>
          </cell>
        </row>
        <row r="60">
          <cell r="Q60" t="str">
            <v>√</v>
          </cell>
        </row>
        <row r="60">
          <cell r="T60" t="str">
            <v>线下管控</v>
          </cell>
        </row>
        <row r="60">
          <cell r="V60" t="str">
            <v>1.系统中工程转资时间；
2.竣工投运资料（竣工投运报告或投运批准书）。</v>
          </cell>
          <cell r="W60" t="str">
            <v>各级单位-财务部门-工程财务人员</v>
          </cell>
          <cell r="X60" t="str">
            <v>每月</v>
          </cell>
          <cell r="Y60" t="str">
            <v>全量检查</v>
          </cell>
        </row>
        <row r="60">
          <cell r="AA60" t="str">
            <v>每年</v>
          </cell>
          <cell r="AB60" t="str">
            <v>抽查</v>
          </cell>
        </row>
        <row r="60">
          <cell r="AH60" t="str">
            <v>是</v>
          </cell>
          <cell r="AI60" t="str">
            <v>是</v>
          </cell>
          <cell r="AJ60" t="str">
            <v>《国家电网有限公司工程财务管理办法》（国家电网企管〔2023〕28号）第七章</v>
          </cell>
          <cell r="AK60" t="str">
            <v>国网财务部</v>
          </cell>
        </row>
        <row r="61">
          <cell r="A61" t="str">
            <v>35千伏-750千伏电网基建项目</v>
          </cell>
          <cell r="B61" t="str">
            <v>四、竣工验收转资</v>
          </cell>
          <cell r="C61" t="str">
            <v>资金资产安全</v>
          </cell>
          <cell r="D61" t="str">
            <v>结余物资管理</v>
          </cell>
          <cell r="E61" t="str">
            <v>工程结余物资未及时办理退库手续、移交实物，导致资产流失、账实不符。</v>
          </cell>
          <cell r="F61" t="str">
            <v>28.工程结余物资未退库：存在应退库结余物资遗失；结余物资多次在ERP系统中领退，实物不交接，造成账实不符；施工单位未足额移交结余物资；甲供物资未足额退库；已竣工且完成结算审核，仍有部分物资未办理退库手续等问题。</v>
          </cell>
          <cell r="G61" t="str">
            <v>22.已领未用物资退库控制</v>
          </cell>
          <cell r="H61" t="str">
            <v>已领未用物资及时办理退库手续及实物移交。</v>
          </cell>
          <cell r="I61" t="str">
            <v>电网基建业务-22.已领未用物资退库控制-控制措施01</v>
          </cell>
          <cell r="J61" t="str">
            <v>各级单位建设部门会同物资部门、设计单位与施工单位核对物资结余情况；</v>
          </cell>
        </row>
        <row r="61">
          <cell r="R61" t="str">
            <v>√</v>
          </cell>
        </row>
        <row r="61">
          <cell r="T61" t="str">
            <v>线下管控</v>
          </cell>
        </row>
        <row r="61">
          <cell r="V61" t="str">
            <v>1.物资领用清单；
2.物资耗用清单；
3.工程物资退库单；
4.转储申请单。</v>
          </cell>
          <cell r="W61" t="str">
            <v>各级单位-建设部门-项目经理、各级单位-物资部门-物资管理人员</v>
          </cell>
          <cell r="X61" t="str">
            <v>每年</v>
          </cell>
          <cell r="Y61" t="str">
            <v>抽查</v>
          </cell>
        </row>
        <row r="61">
          <cell r="AA61" t="str">
            <v>每年</v>
          </cell>
          <cell r="AB61" t="str">
            <v>抽查</v>
          </cell>
        </row>
        <row r="61">
          <cell r="AH61" t="str">
            <v>是</v>
          </cell>
          <cell r="AI61" t="str">
            <v>是</v>
          </cell>
          <cell r="AJ61" t="str">
            <v>《国家电网有限公司基建项目管理规定》（国家电网企管〔2019〕426号）第四章、《国家电网有限公司实物资源管理办法》（国家电网企管〔2022〕235号 ）第三章</v>
          </cell>
          <cell r="AK61" t="str">
            <v>国网基建部、国网财务部</v>
          </cell>
        </row>
        <row r="62">
          <cell r="I62" t="str">
            <v>电网基建业务-22.已领未用物资退库控制-控制措施02</v>
          </cell>
          <cell r="J62" t="str">
            <v>各级单位财务部门比对出库物资、结算审定使用、结余物资退库的明细及数量，复核物资结余退库情况；</v>
          </cell>
        </row>
        <row r="62">
          <cell r="Q62" t="str">
            <v>√</v>
          </cell>
          <cell r="R62" t="str">
            <v>√</v>
          </cell>
        </row>
        <row r="62">
          <cell r="T62" t="str">
            <v>线下管控</v>
          </cell>
        </row>
        <row r="62">
          <cell r="V62" t="str">
            <v>1.物资领用清单；
2.物资耗用清单；
3.工程物资核对表。</v>
          </cell>
          <cell r="W62" t="str">
            <v>各级单位-财务部门-工程财务人员</v>
          </cell>
          <cell r="X62" t="str">
            <v>每年</v>
          </cell>
          <cell r="Y62" t="str">
            <v>抽查</v>
          </cell>
        </row>
        <row r="62">
          <cell r="AA62" t="str">
            <v>每年</v>
          </cell>
          <cell r="AB62" t="str">
            <v>抽查</v>
          </cell>
        </row>
        <row r="62">
          <cell r="AH62" t="str">
            <v>是</v>
          </cell>
          <cell r="AI62" t="str">
            <v>是</v>
          </cell>
        </row>
        <row r="63">
          <cell r="I63" t="str">
            <v>电网基建业务-22.已领未用物资退库控制-控制措施03</v>
          </cell>
          <cell r="J63" t="str">
            <v>各级单位物资部门建立结余物资损失责任追究机制。</v>
          </cell>
        </row>
        <row r="63">
          <cell r="R63" t="str">
            <v>√</v>
          </cell>
        </row>
        <row r="63">
          <cell r="T63" t="str">
            <v>线下管控</v>
          </cell>
        </row>
        <row r="63">
          <cell r="V63" t="str">
            <v>1.物资领用清单；
2.物资耗用清单；
3.工程物资退库单；
4.转储申请单。</v>
          </cell>
          <cell r="W63" t="str">
            <v>各级单位-物资部门-物资管理人员</v>
          </cell>
          <cell r="X63" t="str">
            <v>每年</v>
          </cell>
          <cell r="Y63" t="str">
            <v>抽查</v>
          </cell>
        </row>
        <row r="63">
          <cell r="AA63" t="str">
            <v>每年</v>
          </cell>
          <cell r="AB63" t="str">
            <v>抽查</v>
          </cell>
        </row>
        <row r="63">
          <cell r="AH63" t="str">
            <v>是</v>
          </cell>
          <cell r="AI63" t="str">
            <v>是</v>
          </cell>
          <cell r="AJ63" t="str">
            <v>《国家电网公司输变电工程业主项目部管理办法》（国家电网企管〔2019〕296号）第二章、《国家电网有限公司实物资源管理办法》（国家电网企管〔2022〕235号）第二章、《国家电网有限公司违规经营投资责任追究实施办法（试行）》（国家电网办〔2019〕32号）第三章</v>
          </cell>
        </row>
        <row r="64">
          <cell r="C64" t="str">
            <v>资金资产安全</v>
          </cell>
          <cell r="D64" t="str">
            <v>拆旧物资管理</v>
          </cell>
          <cell r="E64" t="str">
            <v>工程拆旧物资未及时、准确办理退库或者报废手续，形成账外资产或“小金库”，造成资产流失。</v>
          </cell>
        </row>
        <row r="64">
          <cell r="G64" t="str">
            <v>23.拆旧物资处置控制</v>
          </cell>
          <cell r="H64" t="str">
            <v>工程拆旧资产及时办理退库手续及实物移交。</v>
          </cell>
          <cell r="I64" t="str">
            <v>电网基建业务-23.拆旧物资处置控制-控制措施01</v>
          </cell>
          <cell r="J64" t="str">
            <v>各级单位建设部门会同设备部门、设计单位与施工单位核对拆旧物资情况；</v>
          </cell>
        </row>
        <row r="64">
          <cell r="R64" t="str">
            <v>√</v>
          </cell>
        </row>
        <row r="64">
          <cell r="T64" t="str">
            <v>线下管控</v>
          </cell>
        </row>
        <row r="64">
          <cell r="V64" t="str">
            <v>1.拆旧物资退库单；
2.工程拆旧工程量清单；
3.技术鉴定表；
4.固定资产报废审批表；
5.拆旧物资现场清点表；
6.拆旧计划。</v>
          </cell>
          <cell r="W64" t="str">
            <v>各级单位-建设部门-项目经理、各级单位-设备部门-设备资产管理人员</v>
          </cell>
          <cell r="X64" t="str">
            <v>每年</v>
          </cell>
          <cell r="Y64" t="str">
            <v>抽查</v>
          </cell>
        </row>
        <row r="64">
          <cell r="AA64" t="str">
            <v>每年</v>
          </cell>
          <cell r="AB64" t="str">
            <v>抽查</v>
          </cell>
        </row>
        <row r="64">
          <cell r="AH64" t="str">
            <v>是</v>
          </cell>
          <cell r="AI64" t="str">
            <v>是</v>
          </cell>
          <cell r="AJ64" t="str">
            <v>《国家电网有限公司工程财务管理办法》（国家电网企管〔2023〕28号）第二章、《国家电网有限公司报废物资管理办法》（国家电网企管〔2025〕325号）第二章、《国家电网有限公司实物资源管理办法》（国家电网企管〔2022〕235号 ）第二章</v>
          </cell>
          <cell r="AK64" t="str">
            <v>国网基建部、国网财务部</v>
          </cell>
        </row>
        <row r="65">
          <cell r="I65" t="str">
            <v>电网基建业务-23.拆旧物资处置控制-控制措施02</v>
          </cell>
          <cell r="J65" t="str">
            <v>各级单位物资部门、财务部门复核结算审定拆旧物资量与实际退库数量，对未提交拆除资产回收资料、应拆实交量存在重大偏差且无合理解释的，追究相关岗位责任。</v>
          </cell>
        </row>
        <row r="65">
          <cell r="Q65" t="str">
            <v>√</v>
          </cell>
          <cell r="R65" t="str">
            <v>√</v>
          </cell>
        </row>
        <row r="65">
          <cell r="T65" t="str">
            <v>线下管控</v>
          </cell>
        </row>
        <row r="65">
          <cell r="V65" t="str">
            <v>1.拆旧物资退库单；
2.工程拆旧工程量清单；
3.技术鉴定表；
4.固定资产报废审批表；
5.拆旧计划。</v>
          </cell>
          <cell r="W65" t="str">
            <v>各级单位-物资部门-物资管理人员、各级单位-财务部门-工程财务人员</v>
          </cell>
        </row>
        <row r="66">
          <cell r="B66" t="str">
            <v>五、结决算管理</v>
          </cell>
          <cell r="C66" t="str">
            <v>资金资产安全</v>
          </cell>
          <cell r="D66" t="str">
            <v>预留尾工工程审批</v>
          </cell>
          <cell r="E66" t="str">
            <v>预留尾工未规范审批管控，导致项目结决算、转资滞后，资产折旧计提延迟，公司成本减少。</v>
          </cell>
        </row>
        <row r="66">
          <cell r="G66" t="str">
            <v>24.预留尾工时限与规模控制</v>
          </cell>
          <cell r="H66" t="str">
            <v>预留尾工工程量与建设期严格审批；持续跟踪处置遗留事项。</v>
          </cell>
          <cell r="I66" t="str">
            <v>电网基建业务-24.预留尾工时限与规模控制-控制措施01</v>
          </cell>
          <cell r="J66" t="str">
            <v>针对尾工工程，工程结算中需明确预留事项、费用列支依据、预计完成时间，并经各二级单位建设部门审批同意（并严格履行分级审批机制）。尾工工程投资原则上不应超过项目批复概算总投资的5%；</v>
          </cell>
        </row>
        <row r="66">
          <cell r="L66" t="str">
            <v>√</v>
          </cell>
        </row>
        <row r="66">
          <cell r="T66" t="str">
            <v>线下管控</v>
          </cell>
        </row>
        <row r="66">
          <cell r="V66" t="str">
            <v>1.尾工审批单；
2.专项清理备案表。</v>
          </cell>
          <cell r="W66" t="str">
            <v>各级单位-建设部门-项目经理、各级单位-建设部门-审批人员</v>
          </cell>
          <cell r="X66" t="str">
            <v>每年</v>
          </cell>
          <cell r="Y66" t="str">
            <v>抽查</v>
          </cell>
        </row>
        <row r="66">
          <cell r="AA66" t="str">
            <v>每年</v>
          </cell>
          <cell r="AB66" t="str">
            <v>抽查</v>
          </cell>
        </row>
        <row r="66">
          <cell r="AH66" t="str">
            <v>是</v>
          </cell>
          <cell r="AI66" t="str">
            <v>是</v>
          </cell>
          <cell r="AJ66" t="str">
            <v>《国家电网有限公司输变电工程结算管理办法》（国家电网企管〔2019〕426号）第五章</v>
          </cell>
          <cell r="AK66" t="str">
            <v>国网基建部、国网财务部</v>
          </cell>
        </row>
        <row r="67">
          <cell r="I67" t="str">
            <v>电网基建业务-24.预留尾工时限与规模控制-控制措施02</v>
          </cell>
          <cell r="J67" t="str">
            <v>各级单位建设部门建立尾工清理机制，对临期项目开展预警，对超期项目追究相关岗位责任；</v>
          </cell>
        </row>
        <row r="67">
          <cell r="T67" t="str">
            <v>线下管控</v>
          </cell>
        </row>
        <row r="67">
          <cell r="V67" t="str">
            <v>1.尾工审批单；
2.尾工工程竣工结算；
3.专项清理备案表。</v>
          </cell>
          <cell r="W67" t="str">
            <v>各级单位-建设部门-项目经理</v>
          </cell>
          <cell r="X67" t="str">
            <v>每年</v>
          </cell>
          <cell r="Y67" t="str">
            <v>抽查</v>
          </cell>
        </row>
        <row r="67">
          <cell r="AA67" t="str">
            <v>每年</v>
          </cell>
          <cell r="AB67" t="str">
            <v>抽查</v>
          </cell>
        </row>
        <row r="67">
          <cell r="AH67" t="str">
            <v>是</v>
          </cell>
          <cell r="AI67" t="str">
            <v>是</v>
          </cell>
          <cell r="AJ67" t="str">
            <v>《国家电网有限公司输变电工程结算管理办法》（国家电网企管〔2019〕426号）第五章</v>
          </cell>
        </row>
        <row r="68">
          <cell r="I68" t="str">
            <v>电网基建业务-24.预留尾工时限与规模控制-控制措施03</v>
          </cell>
          <cell r="J68" t="str">
            <v>各级单位财务部门建立尾工结算数据分析机制，加强尾工实际结算成本、概算等数据比对、分析。</v>
          </cell>
        </row>
        <row r="68">
          <cell r="Q68" t="str">
            <v>√</v>
          </cell>
        </row>
        <row r="68">
          <cell r="T68" t="str">
            <v>线下管控</v>
          </cell>
        </row>
        <row r="68">
          <cell r="V68" t="str">
            <v>1.尾工审批单；
2.尾工工程决算报告；
3.专项清理备案表。</v>
          </cell>
          <cell r="W68" t="str">
            <v>各级单位-财务部门-工程财务人员</v>
          </cell>
          <cell r="X68" t="str">
            <v>每年</v>
          </cell>
          <cell r="Y68" t="str">
            <v>抽查</v>
          </cell>
        </row>
        <row r="68">
          <cell r="AA68" t="str">
            <v>每年</v>
          </cell>
          <cell r="AB68" t="str">
            <v>抽查</v>
          </cell>
        </row>
        <row r="68">
          <cell r="AH68" t="str">
            <v>是</v>
          </cell>
          <cell r="AI68" t="str">
            <v>是</v>
          </cell>
          <cell r="AJ68" t="str">
            <v>《国家电网有限公司输变电工程结算管理办法》（国家电网企管〔2019〕426号）第五章</v>
          </cell>
        </row>
        <row r="69">
          <cell r="A69" t="str">
            <v>35千伏-750千伏电网基建项目</v>
          </cell>
          <cell r="B69" t="str">
            <v>五、结决算管理</v>
          </cell>
          <cell r="C69" t="str">
            <v>资金资产安全</v>
          </cell>
          <cell r="D69" t="str">
            <v>工程结算编制与审核</v>
          </cell>
          <cell r="E69" t="str">
            <v>虚报工程量多结算工程款，导致工程成本不实，公司成本虚增及资金流失。</v>
          </cell>
        </row>
        <row r="69">
          <cell r="G69" t="str">
            <v>25.工程量真实性、一致性管控</v>
          </cell>
          <cell r="H69" t="str">
            <v>工程结算工程量须与实际完工量、合同约定施工范围、变更签证核定内容完全一致，严禁虚增、重复申报工程量。</v>
          </cell>
          <cell r="I69" t="str">
            <v>电网基建业务-25.工程量真实性、一致性管控-控制措施01</v>
          </cell>
          <cell r="J69" t="str">
            <v>各级单位建设部门定期开展项目结算督查，核查施工图、设计变更及现场签证与实际工程量的一致性，对不一致的项目限期整改；</v>
          </cell>
        </row>
        <row r="69">
          <cell r="M69" t="str">
            <v>√</v>
          </cell>
        </row>
        <row r="69">
          <cell r="T69" t="str">
            <v>线下管控</v>
          </cell>
        </row>
        <row r="69">
          <cell r="V69" t="str">
            <v>1.协议（合同）；
2.结算审核报告。</v>
          </cell>
          <cell r="W69" t="str">
            <v>各级单位-建设部门-技经人员、项目经理</v>
          </cell>
          <cell r="X69" t="str">
            <v>每年</v>
          </cell>
          <cell r="Y69" t="str">
            <v>抽查</v>
          </cell>
        </row>
        <row r="69">
          <cell r="AA69" t="str">
            <v>每年</v>
          </cell>
          <cell r="AB69" t="str">
            <v>抽查</v>
          </cell>
        </row>
        <row r="69">
          <cell r="AH69" t="str">
            <v>是</v>
          </cell>
          <cell r="AI69" t="str">
            <v>是</v>
          </cell>
          <cell r="AJ69" t="str">
            <v>《国家电网有限公司输变电工程结算管理办法》（国家电网企管〔2019〕426号）第五章</v>
          </cell>
          <cell r="AK69" t="str">
            <v>国网基建部</v>
          </cell>
        </row>
        <row r="70">
          <cell r="I70" t="str">
            <v>电网基建业务-25.工程量真实性、一致性管控-控制措施02</v>
          </cell>
          <cell r="J70" t="str">
            <v>各级单位建设部门定期对结算督查结果开展评价，将性质恶劣、频次较高、金额较大的施工单位及监理单位纳入黑名单。</v>
          </cell>
        </row>
        <row r="70">
          <cell r="S70" t="str">
            <v>√</v>
          </cell>
          <cell r="T70" t="str">
            <v>线下管控</v>
          </cell>
        </row>
        <row r="70">
          <cell r="V70" t="str">
            <v>1.协议（合同）；
2.结算审核报告。</v>
          </cell>
          <cell r="W70" t="str">
            <v>各级单位-建设部门-项目经理、技经人员</v>
          </cell>
          <cell r="X70" t="str">
            <v>每年</v>
          </cell>
          <cell r="Y70" t="str">
            <v>抽查</v>
          </cell>
        </row>
        <row r="70">
          <cell r="AA70" t="str">
            <v>每年</v>
          </cell>
          <cell r="AB70" t="str">
            <v>抽查</v>
          </cell>
        </row>
        <row r="70">
          <cell r="AH70" t="str">
            <v>是</v>
          </cell>
          <cell r="AI70" t="str">
            <v>是</v>
          </cell>
          <cell r="AJ70" t="str">
            <v>《国家电网有限公司输变电工程结算管理办法》（国家电网企管〔2019〕426号）第五章</v>
          </cell>
        </row>
        <row r="71">
          <cell r="E71" t="str">
            <v>违反合同计价规则结算，导致工程结算金额有误，造成公司成本核算不实，产生资金支付风险。</v>
          </cell>
          <cell r="F71" t="str">
            <v>26.违反合同原则，计价规则结算：存在用户工程全部外包，未按单项核算，合同收支管控台账不完整，项目总体盈利不明朗，存在资金少收多支风险；支付的劳务费与工程建设无关，不属于工程其他费用列支范围；安全文明施工费结算不合规；劳务考勤与实际不符、劳务分包项目考勤人员与分包人员花名册不一致；结算审核不严谨；未按照合同约定对服务进行考核等问题。</v>
          </cell>
          <cell r="G71" t="str">
            <v>26.合同计价的合规性控制</v>
          </cell>
          <cell r="H71" t="str">
            <v>严格遵循合同约定的计价规则、费率标准及工程量计算口径，严禁擅自调整计价依据。</v>
          </cell>
          <cell r="I71" t="str">
            <v>电网基建业务-26.合同计价的合规性控制-控制措施01</v>
          </cell>
          <cell r="J71" t="str">
            <v>各级单位建设部门核查结算数据与合同条款、变更签证等原始资料的一致性；</v>
          </cell>
        </row>
        <row r="71">
          <cell r="M71" t="str">
            <v>√</v>
          </cell>
        </row>
        <row r="71">
          <cell r="O71" t="str">
            <v>√</v>
          </cell>
        </row>
        <row r="71">
          <cell r="R71" t="str">
            <v>√</v>
          </cell>
        </row>
        <row r="71">
          <cell r="T71" t="str">
            <v>线下管控</v>
          </cell>
        </row>
        <row r="71">
          <cell r="V71" t="str">
            <v>1.协议（合同）；
2.结算审核报告。</v>
          </cell>
          <cell r="W71" t="str">
            <v>各级单位-建设部门-技经人员</v>
          </cell>
          <cell r="X71" t="str">
            <v>每年</v>
          </cell>
          <cell r="Y71" t="str">
            <v>抽查</v>
          </cell>
        </row>
        <row r="71">
          <cell r="AA71" t="str">
            <v>每年</v>
          </cell>
          <cell r="AB71" t="str">
            <v>抽查</v>
          </cell>
        </row>
        <row r="71">
          <cell r="AH71" t="str">
            <v>是</v>
          </cell>
          <cell r="AI71" t="str">
            <v>是</v>
          </cell>
          <cell r="AJ71" t="str">
            <v>《国家电网有限公司输变电工程结算管理办法》（国家电网企管〔2019〕426号）第三章</v>
          </cell>
          <cell r="AK71" t="str">
            <v>国网基建部</v>
          </cell>
        </row>
        <row r="72">
          <cell r="I72" t="str">
            <v>电网基建业务-26.合同计价的合规性控制-控制措施02</v>
          </cell>
          <cell r="J72" t="str">
            <v>各级单位建设部门核查计价规则的执行情况，对违规结算项目责令整改并追溯责任。</v>
          </cell>
        </row>
        <row r="72">
          <cell r="M72" t="str">
            <v>√</v>
          </cell>
        </row>
        <row r="72">
          <cell r="O72" t="str">
            <v>√</v>
          </cell>
        </row>
        <row r="72">
          <cell r="R72" t="str">
            <v>√</v>
          </cell>
          <cell r="S72" t="str">
            <v>√</v>
          </cell>
          <cell r="T72" t="str">
            <v>线下管控</v>
          </cell>
        </row>
        <row r="72">
          <cell r="V72" t="str">
            <v>1.协议（合同）；
2.结算审核报告。</v>
          </cell>
          <cell r="W72" t="str">
            <v>各级单位-建设部门-技经人员</v>
          </cell>
          <cell r="X72" t="str">
            <v>每年</v>
          </cell>
          <cell r="Y72" t="str">
            <v>抽查</v>
          </cell>
        </row>
        <row r="72">
          <cell r="AA72" t="str">
            <v>每年</v>
          </cell>
          <cell r="AB72" t="str">
            <v>抽查</v>
          </cell>
        </row>
        <row r="72">
          <cell r="AH72" t="str">
            <v>是</v>
          </cell>
          <cell r="AI72" t="str">
            <v>是</v>
          </cell>
          <cell r="AJ72" t="str">
            <v>《国家电网有限公司输变电工程结算管理办法》（国家电网企管〔2019〕426号）第三章</v>
          </cell>
        </row>
        <row r="73">
          <cell r="E73" t="str">
            <v>竣工结算不及时，导致工程成本确认滞后。</v>
          </cell>
          <cell r="F73" t="str">
            <v>27.提前或滞后办理竣工结算：存在工程项目未实施/未完工/未验收提前结算；结算不及时等问题。</v>
          </cell>
          <cell r="G73" t="str">
            <v>27.项目结算时效管控</v>
          </cell>
          <cell r="H73" t="str">
            <v>按照规定时限完成工程结算及结算资料移交。</v>
          </cell>
          <cell r="I73" t="str">
            <v>电网基建业务-27.项目结算时效管控-控制措施01</v>
          </cell>
          <cell r="J73" t="str">
            <v>各级单位建设部门制定结算资料清单，确保结算资料送审符合要求；</v>
          </cell>
        </row>
        <row r="73">
          <cell r="O73" t="str">
            <v>√</v>
          </cell>
        </row>
        <row r="73">
          <cell r="T73" t="str">
            <v>线下管控</v>
          </cell>
        </row>
        <row r="73">
          <cell r="V73" t="str">
            <v>1.协议（合同）；
2.结算审核报告。</v>
          </cell>
          <cell r="W73" t="str">
            <v>各级单位-建设部门-技经人员</v>
          </cell>
          <cell r="X73" t="str">
            <v>每半年</v>
          </cell>
          <cell r="Y73" t="str">
            <v>抽查</v>
          </cell>
        </row>
        <row r="73">
          <cell r="AA73" t="str">
            <v>每年</v>
          </cell>
          <cell r="AB73" t="str">
            <v>抽查</v>
          </cell>
        </row>
        <row r="73">
          <cell r="AH73" t="str">
            <v>是</v>
          </cell>
          <cell r="AI73" t="str">
            <v>是</v>
          </cell>
          <cell r="AJ73" t="str">
            <v>《国家电网有限公司输变电工程结算管理办法》（国家电网企管〔2019〕426号）第四章</v>
          </cell>
          <cell r="AK73" t="str">
            <v>国网基建部</v>
          </cell>
        </row>
        <row r="74">
          <cell r="I74" t="str">
            <v>电网基建业务-27.项目结算时效管控-控制措施02</v>
          </cell>
          <cell r="J74" t="str">
            <v>各级单位建设部门督促施工单位及时报送、确认已完工程量及对应资料，避免竣工后集中补资料；</v>
          </cell>
        </row>
        <row r="74">
          <cell r="O74" t="str">
            <v>√</v>
          </cell>
        </row>
        <row r="74">
          <cell r="T74" t="str">
            <v>线下管控</v>
          </cell>
        </row>
        <row r="74">
          <cell r="V74" t="str">
            <v>1.协议（合同）；
2.结算审核报告。</v>
          </cell>
          <cell r="W74" t="str">
            <v>各级单位-建设部门-项目经理</v>
          </cell>
          <cell r="X74" t="str">
            <v>每半年</v>
          </cell>
          <cell r="Y74" t="str">
            <v>抽查</v>
          </cell>
        </row>
        <row r="74">
          <cell r="AA74" t="str">
            <v>每年</v>
          </cell>
          <cell r="AB74" t="str">
            <v>抽查</v>
          </cell>
        </row>
        <row r="74">
          <cell r="AH74" t="str">
            <v>是</v>
          </cell>
          <cell r="AI74" t="str">
            <v>是</v>
          </cell>
          <cell r="AJ74" t="str">
            <v>《国家电网有限公司输变电工程结算管理办法》（国家电网企管〔2019〕426号）第四章</v>
          </cell>
        </row>
        <row r="75">
          <cell r="I75" t="str">
            <v>电网基建业务-27.项目结算时效管控-控制措施03</v>
          </cell>
          <cell r="J75" t="str">
            <v>各级单位建设部门启动资料预核查，督促施工单位及时补齐缺失要件；</v>
          </cell>
        </row>
        <row r="75">
          <cell r="O75" t="str">
            <v>√</v>
          </cell>
        </row>
        <row r="75">
          <cell r="T75" t="str">
            <v>线下管控</v>
          </cell>
        </row>
        <row r="75">
          <cell r="V75" t="str">
            <v>1.协议（合同）；
2.结算审核报告。</v>
          </cell>
          <cell r="W75" t="str">
            <v>各级单位-建设部门-项目经理、技经人员</v>
          </cell>
          <cell r="X75" t="str">
            <v>每半年</v>
          </cell>
          <cell r="Y75" t="str">
            <v>抽查</v>
          </cell>
        </row>
        <row r="75">
          <cell r="AA75" t="str">
            <v>每年</v>
          </cell>
          <cell r="AB75" t="str">
            <v>抽查</v>
          </cell>
        </row>
        <row r="75">
          <cell r="AH75" t="str">
            <v>是</v>
          </cell>
          <cell r="AI75" t="str">
            <v>是</v>
          </cell>
          <cell r="AJ75" t="str">
            <v>《国家电网有限公司输变电工程结算管理办法》（国家电网企管〔2019〕426号）第四章</v>
          </cell>
        </row>
        <row r="76">
          <cell r="I76" t="str">
            <v>电网基建业务-27.项目结算时效管控-控制措施04</v>
          </cell>
          <cell r="J76" t="str">
            <v>各级单位建设部门监督考核结算不及时的项目。</v>
          </cell>
        </row>
        <row r="76">
          <cell r="S76" t="str">
            <v>√</v>
          </cell>
          <cell r="T76" t="str">
            <v>系统已建</v>
          </cell>
          <cell r="U76" t="str">
            <v>e基建2.0平台</v>
          </cell>
          <cell r="V76" t="str">
            <v>1.协议（合同）；
2.结算审核报告。</v>
          </cell>
          <cell r="W76" t="str">
            <v>各级单位-建设部门-技经人员</v>
          </cell>
          <cell r="X76" t="str">
            <v>每半年</v>
          </cell>
          <cell r="Y76" t="str">
            <v>抽查</v>
          </cell>
        </row>
        <row r="76">
          <cell r="AA76" t="str">
            <v>每年</v>
          </cell>
          <cell r="AB76" t="str">
            <v>抽查</v>
          </cell>
        </row>
        <row r="76">
          <cell r="AD76" t="str">
            <v>工程结算规范监督场景</v>
          </cell>
          <cell r="AE76" t="str">
            <v>每月</v>
          </cell>
        </row>
        <row r="76">
          <cell r="AH76" t="str">
            <v>是</v>
          </cell>
          <cell r="AI76" t="str">
            <v>是</v>
          </cell>
          <cell r="AJ76" t="str">
            <v>《国家电网有限公司输变电工程结算管理办法》（国家电网企管〔2019〕426号）第七章</v>
          </cell>
          <cell r="AK76" t="str">
            <v>国网基建部</v>
          </cell>
        </row>
        <row r="77">
          <cell r="A77" t="str">
            <v>35千伏-750千伏电网基建项目</v>
          </cell>
          <cell r="B77" t="str">
            <v>五、结决算管理</v>
          </cell>
          <cell r="C77" t="str">
            <v>资金资产安全</v>
          </cell>
          <cell r="D77" t="str">
            <v>工程质保金支付</v>
          </cell>
          <cell r="E77" t="str">
            <v>质保金支付与合同约定不一致，引发资金支付风险。</v>
          </cell>
        </row>
        <row r="77">
          <cell r="G77" t="str">
            <v>28.工程质保金支付合规性控制</v>
          </cell>
          <cell r="H77" t="str">
            <v>根据合同约定预留质保金，具备支付条件后及时支付。</v>
          </cell>
          <cell r="I77" t="str">
            <v>电网基建业务-28.工程质保金支付合规性控制-控制措施01</v>
          </cell>
          <cell r="J77" t="str">
            <v>各级单位建设部门确保在合同条款中不得限定仅使用现金质保金；</v>
          </cell>
        </row>
        <row r="77">
          <cell r="O77" t="str">
            <v>√</v>
          </cell>
        </row>
        <row r="77">
          <cell r="T77" t="str">
            <v>线下管控</v>
          </cell>
        </row>
        <row r="77">
          <cell r="V77" t="str">
            <v>1.协议（合同）；
2.保函或保险。</v>
          </cell>
          <cell r="W77" t="str">
            <v>各级单位-建设部门-计划人员</v>
          </cell>
          <cell r="X77" t="str">
            <v>每半年</v>
          </cell>
          <cell r="Y77" t="str">
            <v>抽查</v>
          </cell>
        </row>
        <row r="77">
          <cell r="AA77" t="str">
            <v>每年</v>
          </cell>
          <cell r="AB77" t="str">
            <v>抽查</v>
          </cell>
        </row>
        <row r="77">
          <cell r="AH77" t="str">
            <v>是</v>
          </cell>
          <cell r="AI77" t="str">
            <v>是</v>
          </cell>
          <cell r="AJ77" t="str">
            <v>《国家电网有限公司工程财务管理办法》（国家电网企管〔2023〕28号）第五章</v>
          </cell>
          <cell r="AK77" t="str">
            <v>国网基建部、国网财务部</v>
          </cell>
        </row>
        <row r="78">
          <cell r="I78" t="str">
            <v>电网基建业务-28.工程质保金支付合规性控制-控制措施02</v>
          </cell>
          <cell r="J78" t="str">
            <v>各级单位财务部门审核费用报账时，严格比照合同支付条款，确保保函、保险保证等质保金能够覆盖权益期间；</v>
          </cell>
        </row>
        <row r="78">
          <cell r="O78" t="str">
            <v>√</v>
          </cell>
          <cell r="P78" t="str">
            <v>√</v>
          </cell>
          <cell r="Q78" t="str">
            <v>√</v>
          </cell>
        </row>
        <row r="78">
          <cell r="T78" t="str">
            <v>系统待建</v>
          </cell>
          <cell r="U78" t="str">
            <v>1.智慧共享财务平台
2.数字化法治企业建设平台</v>
          </cell>
          <cell r="V78" t="str">
            <v>1.协议（合同）；
2.系统中项目竣工时间；
3.保函或保险。</v>
          </cell>
          <cell r="W78" t="str">
            <v>各级单位-财务部门-工程财务人员</v>
          </cell>
          <cell r="X78" t="str">
            <v>每半年</v>
          </cell>
          <cell r="Y78" t="str">
            <v>抽查</v>
          </cell>
        </row>
        <row r="78">
          <cell r="AA78" t="str">
            <v>每年</v>
          </cell>
          <cell r="AB78" t="str">
            <v>抽查</v>
          </cell>
        </row>
        <row r="78">
          <cell r="AH78" t="str">
            <v>是</v>
          </cell>
          <cell r="AI78" t="str">
            <v>否</v>
          </cell>
          <cell r="AJ78" t="str">
            <v>《国家电网有限公司工程财务管理办法》（国家电网企管〔2023〕28号）第五章</v>
          </cell>
        </row>
        <row r="79">
          <cell r="I79" t="str">
            <v>电网基建业务-28.工程质保金支付合规性控制-控制措施03</v>
          </cell>
          <cell r="J79" t="str">
            <v>各级单位建设部门对质量保证期届满且无争议的现金质保金，及时办理支付手续；</v>
          </cell>
        </row>
        <row r="79">
          <cell r="O79" t="str">
            <v>√</v>
          </cell>
        </row>
        <row r="79">
          <cell r="T79" t="str">
            <v>线下管控</v>
          </cell>
        </row>
        <row r="79">
          <cell r="V79" t="str">
            <v>1.协议（合同）；
2.系统中质保金支付时间；
3.系统中项目竣工时间；
4.质量保证金返还意见书；
5.保函或保险。</v>
          </cell>
          <cell r="W79" t="str">
            <v>各级单位-建设部门-项目经理、各级单位-建设部门-计划人员</v>
          </cell>
          <cell r="X79" t="str">
            <v>每半年</v>
          </cell>
          <cell r="Y79" t="str">
            <v>抽查</v>
          </cell>
        </row>
        <row r="79">
          <cell r="AA79" t="str">
            <v>每年</v>
          </cell>
          <cell r="AB79" t="str">
            <v>抽查</v>
          </cell>
        </row>
        <row r="79">
          <cell r="AH79" t="str">
            <v>是</v>
          </cell>
          <cell r="AI79" t="str">
            <v>否</v>
          </cell>
          <cell r="AJ79" t="str">
            <v>《国家电网有限公司工程财务管理办法》（国家电网企管〔2023〕28号）第五章</v>
          </cell>
        </row>
        <row r="80">
          <cell r="I80" t="str">
            <v>电网基建业务-28.工程质保金支付合规性控制-控制措施04</v>
          </cell>
          <cell r="J80" t="str">
            <v>各级单位财务部门做好保险、保函台账管理及验真工作；</v>
          </cell>
        </row>
        <row r="80">
          <cell r="O80" t="str">
            <v>√</v>
          </cell>
        </row>
        <row r="80">
          <cell r="Q80" t="str">
            <v>√</v>
          </cell>
        </row>
        <row r="80">
          <cell r="T80" t="str">
            <v>线下管控</v>
          </cell>
        </row>
        <row r="80">
          <cell r="V80" t="str">
            <v>1.协议（合同）；
2.保函或保险。</v>
          </cell>
          <cell r="W80" t="str">
            <v>各级单位-财务部门-工程财务人员</v>
          </cell>
          <cell r="X80" t="str">
            <v>每半年</v>
          </cell>
          <cell r="Y80" t="str">
            <v>抽查</v>
          </cell>
        </row>
        <row r="80">
          <cell r="AA80" t="str">
            <v>每年</v>
          </cell>
          <cell r="AB80" t="str">
            <v>抽查</v>
          </cell>
        </row>
        <row r="80">
          <cell r="AH80" t="str">
            <v>是</v>
          </cell>
          <cell r="AI80" t="str">
            <v>否</v>
          </cell>
          <cell r="AJ80" t="str">
            <v>《国家电网有限公司工程财务管理办法》（国家电网企管〔2023〕28号）第五章</v>
          </cell>
        </row>
        <row r="81">
          <cell r="I81" t="str">
            <v>电网基建业务-28.工程质保金支付合规性控制-控制措施05</v>
          </cell>
          <cell r="J81" t="str">
            <v>各级单位财务部门定期开展往来清理，确保到期质保金应清尽清，对新增逾期未支付的无争议质保金，追究相关岗位责任。</v>
          </cell>
        </row>
        <row r="81">
          <cell r="O81" t="str">
            <v>√</v>
          </cell>
          <cell r="P81" t="str">
            <v>√</v>
          </cell>
          <cell r="Q81" t="str">
            <v>√</v>
          </cell>
        </row>
        <row r="81">
          <cell r="T81" t="str">
            <v>线下管控</v>
          </cell>
        </row>
        <row r="81">
          <cell r="V81" t="str">
            <v>1.协议（合同）；
2.系统中质保金支付时间；
3.系统中项目竣工时间；
4.质量保证金返还意见书；
5.保函或保险。</v>
          </cell>
          <cell r="W81" t="str">
            <v>各级单位-财务部门-工程财务人员</v>
          </cell>
          <cell r="X81" t="str">
            <v>每半年</v>
          </cell>
          <cell r="Y81" t="str">
            <v>抽查</v>
          </cell>
        </row>
        <row r="81">
          <cell r="AA81" t="str">
            <v>每年</v>
          </cell>
          <cell r="AB81" t="str">
            <v>抽查</v>
          </cell>
        </row>
        <row r="81">
          <cell r="AH81" t="str">
            <v>是</v>
          </cell>
          <cell r="AI81" t="str">
            <v>否</v>
          </cell>
          <cell r="AJ81" t="str">
            <v>《国家电网有限公司工程财务管理办法》（国家电网企管〔2023〕28号）第五章</v>
          </cell>
        </row>
        <row r="82">
          <cell r="C82" t="str">
            <v>会计信息真实完整</v>
          </cell>
          <cell r="D82" t="str">
            <v>工程竣工决算报告编制与审核</v>
          </cell>
          <cell r="E82" t="str">
            <v>工程竣工决算报告编制不及时，导致正式转资滞后，折旧计提不准确。</v>
          </cell>
        </row>
        <row r="82">
          <cell r="G82" t="str">
            <v>29.工程竣工决算报告编制时效性管控</v>
          </cell>
          <cell r="H82" t="str">
            <v>在规定时限内完成竣工决算报告编制。</v>
          </cell>
          <cell r="I82" t="str">
            <v>电网基建业务-29.工程竣工决算报告编制时效性管控-控制措施01</v>
          </cell>
          <cell r="J82" t="str">
            <v>各级单位财务部门建立决算时限预警机制，到达预警时点，系统自动向相关岗位推送预警信息；</v>
          </cell>
        </row>
        <row r="82">
          <cell r="Q82" t="str">
            <v>√</v>
          </cell>
        </row>
        <row r="82">
          <cell r="T82" t="str">
            <v>系统已建</v>
          </cell>
          <cell r="U82" t="str">
            <v>1.ERP系统
2.智慧共享财务平台</v>
          </cell>
          <cell r="V82" t="str">
            <v>1.中台系统中工程竣工决算报告完成时间；
2.业务系统中工程项目竣工时间。</v>
          </cell>
          <cell r="W82" t="str">
            <v>各级单位-财务部门-工程管理人员</v>
          </cell>
          <cell r="X82" t="str">
            <v>每月</v>
          </cell>
          <cell r="Y82" t="str">
            <v>全量检查</v>
          </cell>
        </row>
        <row r="82">
          <cell r="AA82" t="str">
            <v>每年</v>
          </cell>
          <cell r="AB82" t="str">
            <v>抽查</v>
          </cell>
        </row>
        <row r="82">
          <cell r="AD82" t="str">
            <v>工程竣工决算报告编制时效性监督场景</v>
          </cell>
          <cell r="AE82" t="str">
            <v>每月</v>
          </cell>
        </row>
        <row r="82">
          <cell r="AH82" t="str">
            <v>是</v>
          </cell>
          <cell r="AI82" t="str">
            <v>是</v>
          </cell>
          <cell r="AJ82" t="str">
            <v>《国家电网有限公司工程财务管理办法》（国家电网企管〔2023〕28号）第七章</v>
          </cell>
          <cell r="AK82" t="str">
            <v>国网财务部</v>
          </cell>
        </row>
        <row r="83">
          <cell r="I83" t="str">
            <v>电网基建业务-29.工程竣工决算报告编制时效性管控-控制措施02</v>
          </cell>
          <cell r="J83" t="str">
            <v>各级单位财务部门监督考核决算延误的项目。</v>
          </cell>
        </row>
        <row r="83">
          <cell r="Q83" t="str">
            <v>√</v>
          </cell>
        </row>
        <row r="83">
          <cell r="T83" t="str">
            <v>系统已建</v>
          </cell>
          <cell r="U83" t="str">
            <v>ERP系统
2.智慧共享财务平台</v>
          </cell>
          <cell r="V83" t="str">
            <v>1.中台系统中工程竣工决算报告完成时间；
2.业务系统中工程项目竣工时间。</v>
          </cell>
          <cell r="W83" t="str">
            <v>各级单位-财务部门-工程管理人员</v>
          </cell>
          <cell r="X83" t="str">
            <v>每月</v>
          </cell>
          <cell r="Y83" t="str">
            <v>全量检查</v>
          </cell>
        </row>
        <row r="83">
          <cell r="AA83" t="str">
            <v>每年</v>
          </cell>
          <cell r="AB83" t="str">
            <v>抽查</v>
          </cell>
        </row>
        <row r="83">
          <cell r="AD83" t="str">
            <v>工程竣工决算报告编制时效性监督场景</v>
          </cell>
          <cell r="AE83" t="str">
            <v>每月</v>
          </cell>
        </row>
        <row r="83">
          <cell r="AH83" t="str">
            <v>是</v>
          </cell>
          <cell r="AI83" t="str">
            <v>是</v>
          </cell>
          <cell r="AJ83" t="str">
            <v>《国家电网有限公司工程财务管理办法》（国家电网企管〔2023〕28号）第七章</v>
          </cell>
        </row>
        <row r="84">
          <cell r="A84" t="str">
            <v>35千伏-750千伏电网基建项目</v>
          </cell>
          <cell r="B84" t="str">
            <v>五、结决算管理</v>
          </cell>
          <cell r="C84" t="str">
            <v>会计信息真实完整</v>
          </cell>
          <cell r="D84" t="str">
            <v>工程竣工决算报告编制与审核</v>
          </cell>
          <cell r="E84" t="str">
            <v>工程竣工决算报告未履行分级审核审批管理，导致项目成本确认不准确。</v>
          </cell>
        </row>
        <row r="84">
          <cell r="G84" t="str">
            <v>30.工程竣工决算分级审核控制</v>
          </cell>
          <cell r="H84" t="str">
            <v>严格分级审核审批，确保竣工决算金额准确。</v>
          </cell>
          <cell r="I84" t="str">
            <v>电网基建业务-30.工程竣工决算分级审核控制-控制措施01</v>
          </cell>
          <cell r="J84" t="str">
            <v>各级单位财务部门执行分级审批标准化流程，流转完成后自动更新项目决算状态；</v>
          </cell>
        </row>
        <row r="84">
          <cell r="L84" t="str">
            <v>√</v>
          </cell>
        </row>
        <row r="84">
          <cell r="Q84" t="str">
            <v>√</v>
          </cell>
        </row>
        <row r="84">
          <cell r="T84" t="str">
            <v>系统已建</v>
          </cell>
          <cell r="U84" t="str">
            <v>智慧共享财务平台</v>
          </cell>
          <cell r="V84" t="str">
            <v>1.竣工决算审核报告；
2.分级审核审批系统记录。</v>
          </cell>
          <cell r="W84" t="str">
            <v>各级单位-财务部门-工程管理人员、各级单位-财务部门-审批人员</v>
          </cell>
          <cell r="X84" t="str">
            <v>每月</v>
          </cell>
          <cell r="Y84" t="str">
            <v>全量检查</v>
          </cell>
        </row>
        <row r="84">
          <cell r="AA84" t="str">
            <v>每年</v>
          </cell>
          <cell r="AB84" t="str">
            <v>抽查</v>
          </cell>
        </row>
        <row r="84">
          <cell r="AD84" t="str">
            <v>工程决算分级审核审批管理监督场景</v>
          </cell>
          <cell r="AE84" t="str">
            <v>每月</v>
          </cell>
        </row>
        <row r="84">
          <cell r="AH84" t="str">
            <v>是</v>
          </cell>
          <cell r="AI84" t="str">
            <v>是</v>
          </cell>
          <cell r="AJ84" t="str">
            <v>《国家电网有限公司工程财务管理办法》（国家电网企管〔2023〕28号）第七章</v>
          </cell>
          <cell r="AK84" t="str">
            <v>国网财务部</v>
          </cell>
        </row>
        <row r="85">
          <cell r="I85" t="str">
            <v>电网基建业务-30.工程竣工决算分级审核控制-控制措施02</v>
          </cell>
          <cell r="J85" t="str">
            <v>各级单位财务部门建立电子台账，由系统自动记录审核审批全流程操作痕迹，包括经办人、审核意见、审批时间等，支持审计追溯；</v>
          </cell>
        </row>
        <row r="85">
          <cell r="L85" t="str">
            <v>√</v>
          </cell>
        </row>
        <row r="85">
          <cell r="Q85" t="str">
            <v>√</v>
          </cell>
        </row>
        <row r="85">
          <cell r="T85" t="str">
            <v>系统已建</v>
          </cell>
          <cell r="U85" t="str">
            <v>智慧共享财务平台</v>
          </cell>
          <cell r="V85" t="str">
            <v>1.分级审核审批系统记录。</v>
          </cell>
          <cell r="W85" t="str">
            <v>各级单位-财务部门-工程管理人员、各级单位-财务部门-审批人员</v>
          </cell>
          <cell r="X85" t="str">
            <v>每月</v>
          </cell>
          <cell r="Y85" t="str">
            <v>全量检查</v>
          </cell>
        </row>
        <row r="85">
          <cell r="AA85" t="str">
            <v>每年</v>
          </cell>
          <cell r="AB85" t="str">
            <v>抽查</v>
          </cell>
        </row>
        <row r="85">
          <cell r="AD85" t="str">
            <v>工程决算分级审核审批管理监督场景</v>
          </cell>
          <cell r="AE85" t="str">
            <v>每月</v>
          </cell>
        </row>
        <row r="85">
          <cell r="AH85" t="str">
            <v>是</v>
          </cell>
          <cell r="AI85" t="str">
            <v>是</v>
          </cell>
          <cell r="AJ85" t="str">
            <v>《国家电网有限公司工程财务管理办法》（国家电网企管〔2023〕28号）第七章</v>
          </cell>
        </row>
        <row r="86">
          <cell r="I86" t="str">
            <v>电网基建业务-30.工程竣工决算分级审核控制-控制措施03</v>
          </cell>
          <cell r="J86" t="str">
            <v>各级单位财务部门对竣工决算金额与项目成本进行复核，确保二者一致。</v>
          </cell>
        </row>
        <row r="86">
          <cell r="Q86" t="str">
            <v>√</v>
          </cell>
        </row>
        <row r="86">
          <cell r="T86" t="str">
            <v>系统待建</v>
          </cell>
          <cell r="U86" t="str">
            <v>智慧共享财务平台</v>
          </cell>
          <cell r="V86" t="str">
            <v>1.竣工决算审核报告；
2.项目成本支出明细账。</v>
          </cell>
          <cell r="W86" t="str">
            <v>各级单位-财务部门-工程管理人员</v>
          </cell>
          <cell r="X86" t="str">
            <v>每月</v>
          </cell>
          <cell r="Y86" t="str">
            <v>全量检查</v>
          </cell>
        </row>
        <row r="86">
          <cell r="AA86" t="str">
            <v>每年</v>
          </cell>
          <cell r="AB86" t="str">
            <v>抽查</v>
          </cell>
        </row>
        <row r="86">
          <cell r="AH86" t="str">
            <v>是</v>
          </cell>
          <cell r="AI86" t="str">
            <v>是</v>
          </cell>
          <cell r="AJ86" t="str">
            <v>《国家电网有限公司工程财务管理办法》（国家电网企管〔2023〕28号）第七章</v>
          </cell>
        </row>
        <row r="87">
          <cell r="C87" t="str">
            <v>会计信息真实完整</v>
          </cell>
          <cell r="D87" t="str">
            <v>投后管理</v>
          </cell>
          <cell r="E87" t="str">
            <v>投资项目后评价不及时、不规范，导致项目效益未充分发挥，存在投资风险。</v>
          </cell>
        </row>
        <row r="87">
          <cell r="G87" t="str">
            <v>31.工程投后管理</v>
          </cell>
          <cell r="H87" t="str">
            <v>及时、规范开展工程后评价工作。</v>
          </cell>
          <cell r="I87" t="str">
            <v>电网基建业务-31.工程投后管理-控制措施01</v>
          </cell>
          <cell r="J87" t="str">
            <v>各级单位发展部门归口管理公司固定资产投资项目后评价工作，负责制订项目后评价分析方法和指标体系，组织开展工程后评价报告编制、评审和验收工作；</v>
          </cell>
        </row>
        <row r="87">
          <cell r="L87" t="str">
            <v>√</v>
          </cell>
        </row>
        <row r="87">
          <cell r="S87" t="str">
            <v>√</v>
          </cell>
          <cell r="T87" t="str">
            <v>线下管控</v>
          </cell>
        </row>
        <row r="87">
          <cell r="V87" t="str">
            <v>1.后评价报告。</v>
          </cell>
          <cell r="W87" t="str">
            <v>各级单位-发展部门-投资管理人员</v>
          </cell>
          <cell r="X87" t="str">
            <v>每年</v>
          </cell>
          <cell r="Y87" t="str">
            <v>抽查</v>
          </cell>
        </row>
        <row r="87">
          <cell r="AA87" t="str">
            <v>每年</v>
          </cell>
          <cell r="AB87" t="str">
            <v>抽查</v>
          </cell>
        </row>
        <row r="87">
          <cell r="AH87" t="str">
            <v>是</v>
          </cell>
          <cell r="AI87" t="str">
            <v>是</v>
          </cell>
          <cell r="AJ87" t="str">
            <v>《国家电网有限公司投资管理规定》（国家电网企管〔2019〕425号）第七章</v>
          </cell>
          <cell r="AK87" t="str">
            <v>国网发展部</v>
          </cell>
        </row>
        <row r="88">
          <cell r="I88" t="str">
            <v>电网基建业务-31.工程投后管理-控制措施02</v>
          </cell>
          <cell r="J88" t="str">
            <v>各级单位发展部门按照专业分工，负责本专业固定资产投资项目后评价工作；</v>
          </cell>
        </row>
        <row r="88">
          <cell r="L88" t="str">
            <v>√</v>
          </cell>
        </row>
        <row r="88">
          <cell r="S88" t="str">
            <v>√</v>
          </cell>
          <cell r="T88" t="str">
            <v>线下管控</v>
          </cell>
        </row>
        <row r="88">
          <cell r="V88" t="str">
            <v>2.后评价报告。</v>
          </cell>
          <cell r="W88" t="str">
            <v>各级单位-发展部门-投资管理人员</v>
          </cell>
          <cell r="X88" t="str">
            <v>每年</v>
          </cell>
          <cell r="Y88" t="str">
            <v>抽查</v>
          </cell>
        </row>
        <row r="88">
          <cell r="AA88" t="str">
            <v>每年</v>
          </cell>
          <cell r="AB88" t="str">
            <v>抽查</v>
          </cell>
        </row>
        <row r="88">
          <cell r="AH88" t="str">
            <v>是</v>
          </cell>
          <cell r="AI88" t="str">
            <v>是</v>
          </cell>
          <cell r="AJ88" t="str">
            <v>《国家电网有限公司投资管理规定》（国家电网企管〔2019〕425号）第七章</v>
          </cell>
        </row>
        <row r="89">
          <cell r="I89" t="str">
            <v>电网基建业务-31.工程投后管理-控制措施03</v>
          </cell>
          <cell r="J89" t="str">
            <v>各级单位发展部门组织开展本单位项目后评价，配合公司总部开展重大项目和重点专项工程后评价；</v>
          </cell>
        </row>
        <row r="89">
          <cell r="L89" t="str">
            <v>√</v>
          </cell>
        </row>
        <row r="89">
          <cell r="S89" t="str">
            <v>√</v>
          </cell>
          <cell r="T89" t="str">
            <v>线下管控</v>
          </cell>
        </row>
        <row r="89">
          <cell r="V89" t="str">
            <v>3.后评价报告。</v>
          </cell>
          <cell r="W89" t="str">
            <v>各级单位-发展部门-投资管理人员</v>
          </cell>
          <cell r="X89" t="str">
            <v>每年</v>
          </cell>
          <cell r="Y89" t="str">
            <v>抽查</v>
          </cell>
        </row>
        <row r="89">
          <cell r="AA89" t="str">
            <v>每年</v>
          </cell>
          <cell r="AB89" t="str">
            <v>抽查</v>
          </cell>
        </row>
        <row r="89">
          <cell r="AH89" t="str">
            <v>是</v>
          </cell>
          <cell r="AI89" t="str">
            <v>是</v>
          </cell>
          <cell r="AJ89" t="str">
            <v>《国家电网有限公司投资管理规定》（国家电网企管〔2019〕425号）第七章</v>
          </cell>
        </row>
        <row r="90">
          <cell r="I90" t="str">
            <v>电网基建业务-31.工程投后管理-控制措施04</v>
          </cell>
          <cell r="J90" t="str">
            <v>各级单位相关部门结合项目运营情况，及时对风险隐患和整改措施进行总结，健全完善投资风险管理体系，提高抗风险能力。</v>
          </cell>
        </row>
        <row r="90">
          <cell r="L90" t="str">
            <v>√</v>
          </cell>
        </row>
        <row r="90">
          <cell r="S90" t="str">
            <v>√</v>
          </cell>
          <cell r="T90" t="str">
            <v>线下管控</v>
          </cell>
        </row>
        <row r="90">
          <cell r="V90" t="str">
            <v>4.后评价报告。</v>
          </cell>
          <cell r="W90" t="str">
            <v>各级单位-发展部门-投资管理人员</v>
          </cell>
          <cell r="X90" t="str">
            <v>每年</v>
          </cell>
          <cell r="Y90" t="str">
            <v>抽查</v>
          </cell>
        </row>
        <row r="90">
          <cell r="AA90" t="str">
            <v>每年</v>
          </cell>
          <cell r="AB90" t="str">
            <v>抽查</v>
          </cell>
        </row>
        <row r="90">
          <cell r="AH90" t="str">
            <v>是</v>
          </cell>
          <cell r="AI90" t="str">
            <v>是</v>
          </cell>
          <cell r="AJ90" t="str">
            <v>《国家电网有限公司投资管理规定》（国家电网企管〔2019〕425号）第七章</v>
          </cell>
        </row>
      </sheetData>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业务流程"/>
      <sheetName val="流程图"/>
      <sheetName val="意见建议"/>
      <sheetName val="500千伏-750千伏电网基建"/>
      <sheetName val="35千伏-750千伏电网基建（核对过程） (2)"/>
      <sheetName val="WpsReserved_CellImgList"/>
    </sheetNames>
    <sheetDataSet>
      <sheetData sheetId="0"/>
      <sheetData sheetId="1"/>
      <sheetData sheetId="2"/>
      <sheetData sheetId="3">
        <row r="4">
          <cell r="A4" t="str">
            <v>35千伏-750千伏电网基建项目</v>
          </cell>
          <cell r="B4" t="str">
            <v>一、项目前期管理</v>
          </cell>
          <cell r="C4" t="str">
            <v>资金资产安全</v>
          </cell>
          <cell r="D4" t="str">
            <v>投资授权权限</v>
          </cell>
          <cell r="E4" t="str">
            <v>违规投资禁止类、特别监管类项目，违反投资政策，造成投资风险。</v>
          </cell>
        </row>
        <row r="4">
          <cell r="G4" t="str">
            <v>1.严格禁止类、特别监管类项目投资决策审批</v>
          </cell>
          <cell r="H4" t="str">
            <v>严禁投资禁止类项目，严格履行特别监管类项目投资决策审批流程</v>
          </cell>
          <cell r="I4" t="str">
            <v>电网基建业务-1.严格禁止类、特别监管类项目投资决策审批-控制措施01</v>
          </cell>
          <cell r="J4" t="str">
            <v>各级单位建立项目投资负面清单，项目管理部门人员全面审查项目政策合规性、地方政府信用等级、项目资金来源等，不得投资国家或地方政府限制类项目；</v>
          </cell>
        </row>
        <row r="4">
          <cell r="R4" t="str">
            <v>√</v>
          </cell>
        </row>
        <row r="4">
          <cell r="T4" t="str">
            <v>线下管控</v>
          </cell>
        </row>
        <row r="4">
          <cell r="V4" t="str">
            <v>1.项目投资负面清单。</v>
          </cell>
          <cell r="W4" t="str">
            <v>各级单位-发展部门-投资管理人员
省公司-发展部门-投资管理人员</v>
          </cell>
          <cell r="X4" t="str">
            <v>每年</v>
          </cell>
          <cell r="Y4" t="str">
            <v>抽查</v>
          </cell>
        </row>
        <row r="4">
          <cell r="AA4" t="str">
            <v>每年</v>
          </cell>
          <cell r="AB4" t="str">
            <v>抽查</v>
          </cell>
        </row>
        <row r="4">
          <cell r="AD4" t="str">
            <v>投资规划监督场景</v>
          </cell>
          <cell r="AE4" t="str">
            <v>每年</v>
          </cell>
        </row>
        <row r="4">
          <cell r="AH4" t="str">
            <v>是</v>
          </cell>
          <cell r="AI4" t="str">
            <v>是</v>
          </cell>
          <cell r="AJ4" t="str">
            <v>《国家电网有限公司投资管理规定》（国家电网企管〔2019〕425号）第五章</v>
          </cell>
          <cell r="AK4" t="str">
            <v>国网发展部</v>
          </cell>
        </row>
        <row r="5">
          <cell r="I5" t="str">
            <v>电网基建业务-1.严格禁止类、特别监管类项目投资决策审批-控制措施02</v>
          </cell>
          <cell r="J5" t="str">
            <v>针对特别监管类项目应履行提级审批程序，各级单位不得绕过审批程序违规投资。</v>
          </cell>
        </row>
        <row r="5">
          <cell r="L5" t="str">
            <v>√</v>
          </cell>
        </row>
        <row r="5">
          <cell r="T5" t="str">
            <v>系统已建</v>
          </cell>
          <cell r="U5" t="str">
            <v>网上电网</v>
          </cell>
          <cell r="V5" t="str">
            <v>1.项目投资负面清单。</v>
          </cell>
          <cell r="W5" t="str">
            <v>各级单位-发展部门-投资管理人员、各级单位-发展部门-审批人员
省公司-发展部门-投资管理人员、建设公司-计划经营部-综合计划人员</v>
          </cell>
          <cell r="X5" t="str">
            <v>每年</v>
          </cell>
          <cell r="Y5" t="str">
            <v>抽查</v>
          </cell>
        </row>
        <row r="5">
          <cell r="AA5" t="str">
            <v>每年</v>
          </cell>
          <cell r="AB5" t="str">
            <v>抽查</v>
          </cell>
        </row>
        <row r="5">
          <cell r="AD5" t="str">
            <v>投资规划监督场景</v>
          </cell>
          <cell r="AE5" t="str">
            <v>每年</v>
          </cell>
        </row>
        <row r="5">
          <cell r="AH5" t="str">
            <v>是</v>
          </cell>
          <cell r="AI5" t="str">
            <v>是</v>
          </cell>
          <cell r="AJ5" t="str">
            <v>《国家电网有限公司投资管理规定》（国家电网企管〔2019〕425号）第五章</v>
          </cell>
        </row>
        <row r="6">
          <cell r="C6" t="str">
            <v>资金资产安全</v>
          </cell>
          <cell r="D6" t="str">
            <v>可行性研究设计与审查</v>
          </cell>
          <cell r="E6" t="str">
            <v>估算方法和依据不合理，导致投资估算与实际投入相差较大，造成资金占用、资源错配。</v>
          </cell>
        </row>
        <row r="6">
          <cell r="G6" t="str">
            <v>2.可研报告（估算）准确性、完整性审核控制</v>
          </cell>
          <cell r="H6" t="str">
            <v>投资项目可研估算编制的依据和方法合理准确。</v>
          </cell>
          <cell r="I6" t="str">
            <v>电网基建业务-2.可研报告（估算）准确性、完整性审核控制-控制措施01</v>
          </cell>
          <cell r="J6" t="str">
            <v>各级单位发展部门负责确认可研估算采用行业定额标准；</v>
          </cell>
        </row>
        <row r="6">
          <cell r="N6" t="str">
            <v>√</v>
          </cell>
        </row>
        <row r="6">
          <cell r="T6" t="str">
            <v>线下管控</v>
          </cell>
        </row>
        <row r="6">
          <cell r="V6" t="str">
            <v>1.可研估算。</v>
          </cell>
          <cell r="W6" t="str">
            <v>各级单位-发展部门-可研核准管理人员
省公司-发展部门-可研核准管理人员</v>
          </cell>
          <cell r="X6" t="str">
            <v>每年</v>
          </cell>
          <cell r="Y6" t="str">
            <v>抽查</v>
          </cell>
        </row>
        <row r="6">
          <cell r="AA6" t="str">
            <v>每年</v>
          </cell>
          <cell r="AB6" t="str">
            <v>抽查</v>
          </cell>
        </row>
        <row r="6">
          <cell r="AD6" t="str">
            <v>造价管理数据常态化分析监督场景</v>
          </cell>
          <cell r="AE6" t="str">
            <v>每月</v>
          </cell>
        </row>
        <row r="6">
          <cell r="AH6" t="str">
            <v>是</v>
          </cell>
          <cell r="AI6" t="str">
            <v>是</v>
          </cell>
          <cell r="AJ6" t="str">
            <v>《国家电网有限公司电网项目可行性研究工作管理办法》（国家电网企管〔2021〕64号）第五章</v>
          </cell>
          <cell r="AK6" t="str">
            <v>国网发展部</v>
          </cell>
        </row>
        <row r="7">
          <cell r="I7" t="str">
            <v>电网基建业务-2.可研报告（估算）准确性、完整性审核控制-控制措施02</v>
          </cell>
          <cell r="J7" t="str">
            <v>各级单位经研院、所审核可研估算的量、价，确保行业标准“应采尽采”；</v>
          </cell>
        </row>
        <row r="7">
          <cell r="N7" t="str">
            <v>√</v>
          </cell>
        </row>
        <row r="7">
          <cell r="T7" t="str">
            <v>线下管控</v>
          </cell>
        </row>
        <row r="7">
          <cell r="V7" t="str">
            <v>1.可研估算。</v>
          </cell>
          <cell r="W7" t="str">
            <v>各级单位-经研院、所-技经人员
省公司-发展部门-经研院-技经人员</v>
          </cell>
          <cell r="X7" t="str">
            <v>每年</v>
          </cell>
          <cell r="Y7" t="str">
            <v>抽查</v>
          </cell>
        </row>
        <row r="7">
          <cell r="AA7" t="str">
            <v>每年</v>
          </cell>
          <cell r="AB7" t="str">
            <v>抽查</v>
          </cell>
        </row>
        <row r="7">
          <cell r="AD7" t="str">
            <v>造价管理数据常态化分析监督场景</v>
          </cell>
          <cell r="AE7" t="str">
            <v>每月</v>
          </cell>
        </row>
        <row r="7">
          <cell r="AH7" t="str">
            <v>是</v>
          </cell>
          <cell r="AI7" t="str">
            <v>是</v>
          </cell>
          <cell r="AJ7" t="str">
            <v>《国家电网有限公司电网项目可行性研究工作管理办法》（国家电网企管〔2021〕64号）第五章</v>
          </cell>
          <cell r="AK7" t="str">
            <v>国网发展部</v>
          </cell>
        </row>
        <row r="8">
          <cell r="I8" t="str">
            <v>电网基建业务-2.可研报告（估算）准确性、完整性审核控制-控制措施03</v>
          </cell>
          <cell r="J8" t="str">
            <v>加强“估、概、预、结、决”等数据比对、评价，由建设部门牵头负责概算、预算及结算部分，发展部门负责估算部分，财务部门负责决算部分。</v>
          </cell>
        </row>
        <row r="8">
          <cell r="S8" t="str">
            <v>√</v>
          </cell>
          <cell r="T8" t="str">
            <v>线下管控</v>
          </cell>
        </row>
        <row r="8">
          <cell r="V8" t="str">
            <v>1.可研估算。</v>
          </cell>
          <cell r="W8" t="str">
            <v>各级单位-发展部门-可研核准管理人员、各级单位-建设部门-计划人员、各级单位-财务部门-工程管理人员
省公司-发展部门-可研核准管理人员、省公司-建设部门-技经、省公司-财务部门-工程财务人员
建设公司-财务部门-工程结算与决算管理人员</v>
          </cell>
          <cell r="X8" t="str">
            <v>每年</v>
          </cell>
          <cell r="Y8" t="str">
            <v>抽查</v>
          </cell>
        </row>
        <row r="8">
          <cell r="AA8" t="str">
            <v>每年</v>
          </cell>
          <cell r="AB8" t="str">
            <v>抽查</v>
          </cell>
        </row>
        <row r="8">
          <cell r="AD8" t="str">
            <v>造价管理数据常态化分析监督场景</v>
          </cell>
          <cell r="AE8" t="str">
            <v>每季度</v>
          </cell>
        </row>
        <row r="8">
          <cell r="AH8" t="str">
            <v>是</v>
          </cell>
          <cell r="AI8" t="str">
            <v>是</v>
          </cell>
          <cell r="AJ8" t="str">
            <v>《国家电网有限公司电网项目可行性研究工作管理办法》（国家电网企管〔2021〕64号）第五章</v>
          </cell>
          <cell r="AK8" t="str">
            <v>国网基建部、国网发展部</v>
          </cell>
        </row>
        <row r="9">
          <cell r="E9" t="str">
            <v>未充分评估投资项目的可行性和经济性，导致技术方案无法实施、可研估算不合理。</v>
          </cell>
        </row>
        <row r="9">
          <cell r="G9" t="str">
            <v>3.可研经济性评审、财务合规性审核控制</v>
          </cell>
          <cell r="H9" t="str">
            <v>建立并严格执行可研经济性评审与财务合规性审核流程。</v>
          </cell>
          <cell r="I9" t="str">
            <v>电网基建业务-3.可研经济性评审、财务合规性审核控制-控制措施01</v>
          </cell>
          <cell r="J9" t="str">
            <v>各级单位发展部门建立可研经济性评审、财务合规性审核流程，落实评审与校核责任；</v>
          </cell>
        </row>
        <row r="9">
          <cell r="N9" t="str">
            <v>√</v>
          </cell>
        </row>
        <row r="9">
          <cell r="S9" t="str">
            <v>√</v>
          </cell>
          <cell r="T9" t="str">
            <v>线下管控</v>
          </cell>
        </row>
        <row r="9">
          <cell r="V9" t="str">
            <v>1.可行性研究报告；
2.经研院或评审单位出具的可研评审意见文件或评审意见；                
3.发展部门出具的可研批复文件及财务部会签意见。</v>
          </cell>
          <cell r="W9" t="str">
            <v>各级单位-发展部门-可研核准管理人员、各级单位-经研院、所-技经人员
省公司-发展部门-可研核准管理人员、各级单位-经研院、所-技经人员</v>
          </cell>
          <cell r="X9" t="str">
            <v>每年</v>
          </cell>
          <cell r="Y9" t="str">
            <v>抽查</v>
          </cell>
        </row>
        <row r="9">
          <cell r="AA9" t="str">
            <v>每年</v>
          </cell>
          <cell r="AB9" t="str">
            <v>抽查</v>
          </cell>
        </row>
        <row r="9">
          <cell r="AD9" t="str">
            <v>可研评审规则库监督场景</v>
          </cell>
          <cell r="AE9" t="str">
            <v>每月</v>
          </cell>
        </row>
        <row r="9">
          <cell r="AH9" t="str">
            <v>是</v>
          </cell>
          <cell r="AI9" t="str">
            <v>是</v>
          </cell>
          <cell r="AJ9" t="str">
            <v>《国家电网有限公司电网项目可行性研究工作管理办法》（国家电网企管〔2021〕64号）第五章</v>
          </cell>
          <cell r="AK9" t="str">
            <v>国网发展部</v>
          </cell>
        </row>
        <row r="10">
          <cell r="I10" t="str">
            <v>电网基建业务-3.可研经济性评审、财务合规性审核控制-控制措施02</v>
          </cell>
          <cell r="J10" t="str">
            <v>各级单位财务部门负责审核财务合规性、经济性，会签可研批复、确保严肃有效；审核过程中要深化内部价格库数据应用，分析比对项目造价水平。</v>
          </cell>
        </row>
        <row r="10">
          <cell r="N10" t="str">
            <v>√</v>
          </cell>
        </row>
        <row r="10">
          <cell r="Q10" t="str">
            <v>√</v>
          </cell>
        </row>
        <row r="10">
          <cell r="S10" t="str">
            <v>√</v>
          </cell>
          <cell r="T10" t="str">
            <v>系统已建</v>
          </cell>
          <cell r="U10" t="str">
            <v>办公公文系统</v>
          </cell>
          <cell r="V10" t="str">
            <v>1.可行性研究报告；
2.经研院或评审单位出具的可研评审意见文件或评审意见；                
3.发展部门出具的可研批复文件及财务部会签意见。</v>
          </cell>
          <cell r="W10" t="str">
            <v>各级单位-财务部门-工程财务人员
省公司-财务部门-工程财务人员、建设公司-财务部门-工程结算与决算管理人员</v>
          </cell>
          <cell r="X10" t="str">
            <v>每年</v>
          </cell>
          <cell r="Y10" t="str">
            <v>抽查</v>
          </cell>
        </row>
        <row r="10">
          <cell r="AA10" t="str">
            <v>每年</v>
          </cell>
          <cell r="AB10" t="str">
            <v>抽查</v>
          </cell>
        </row>
        <row r="10">
          <cell r="AD10" t="str">
            <v>可研评审规则库监督场景</v>
          </cell>
          <cell r="AE10" t="str">
            <v>每月</v>
          </cell>
        </row>
        <row r="10">
          <cell r="AH10" t="str">
            <v>是</v>
          </cell>
          <cell r="AI10" t="str">
            <v>是</v>
          </cell>
          <cell r="AJ10" t="str">
            <v>《国家电网有限公司电网项目可行性研究工作管理办法》（国家电网企管〔2021〕64号）第五章</v>
          </cell>
          <cell r="AK10" t="str">
            <v>国网财务部</v>
          </cell>
        </row>
        <row r="11">
          <cell r="I11" t="str">
            <v>电网基建业务-3.可研经济性评审、财务合规性审核控制-控制措施03</v>
          </cell>
          <cell r="J11" t="str">
            <v>各级单位发展部门强化项目立项管理。</v>
          </cell>
        </row>
        <row r="11">
          <cell r="N11" t="str">
            <v>√</v>
          </cell>
        </row>
        <row r="11">
          <cell r="T11" t="str">
            <v>线下管控</v>
          </cell>
        </row>
        <row r="11">
          <cell r="V11" t="str">
            <v>1.可行性研究报告；
2.经研院或评审单位出具的可研评审意见文件或评审意见；                
3.发展部门出具的可研批复文件及财务部会签意见。</v>
          </cell>
          <cell r="W11" t="str">
            <v>各级单位-发展部门-可研核准管理人员
省公司-发展部门-可研核准管理人员</v>
          </cell>
          <cell r="X11" t="str">
            <v>每年</v>
          </cell>
          <cell r="Y11" t="str">
            <v>抽查</v>
          </cell>
        </row>
        <row r="11">
          <cell r="AA11" t="str">
            <v>每年</v>
          </cell>
          <cell r="AB11" t="str">
            <v>抽查</v>
          </cell>
        </row>
        <row r="11">
          <cell r="AD11" t="str">
            <v>可研评审规则库监督场景</v>
          </cell>
          <cell r="AE11" t="str">
            <v>每月</v>
          </cell>
        </row>
        <row r="11">
          <cell r="AH11" t="str">
            <v>是</v>
          </cell>
          <cell r="AI11" t="str">
            <v>是</v>
          </cell>
          <cell r="AJ11" t="str">
            <v>《国家电网有限公司电网项目可行性研究工作管理办法》（国家电网企管〔2021〕64号）第五章</v>
          </cell>
          <cell r="AK11" t="str">
            <v>国网发展部</v>
          </cell>
        </row>
        <row r="12">
          <cell r="A12" t="str">
            <v>35千伏-750千伏电网基建项目</v>
          </cell>
          <cell r="B12" t="str">
            <v>一、项目前期管理</v>
          </cell>
          <cell r="C12" t="str">
            <v>会计信息真实完整</v>
          </cell>
          <cell r="D12" t="str">
            <v>项目前期费用确认</v>
          </cell>
          <cell r="E12" t="str">
            <v>前期费用列支与预规、公司及行业规定前期费用项目不符，导致前期费用超范围或超规模列支。</v>
          </cell>
        </row>
        <row r="12">
          <cell r="G12" t="str">
            <v>4.前期费用列支范围、规模审核控制</v>
          </cell>
          <cell r="H12" t="str">
            <v>前期费用列支与管理办法约定的前期工作内容一致。</v>
          </cell>
          <cell r="I12" t="str">
            <v>电网基建业务-4.前期费用列支范围、规模审核控制-控制措施01</v>
          </cell>
          <cell r="J12" t="str">
            <v>各级单位发展部门负责编制项目前期费用计划，项目前期费用应以规划、前期计划或估算为依据，严禁无依据列支，规划或前期计划外项目创建前期费用项目需履行分级审批流程；</v>
          </cell>
        </row>
        <row r="12">
          <cell r="L12" t="str">
            <v>√</v>
          </cell>
        </row>
        <row r="12">
          <cell r="T12" t="str">
            <v>系统已建</v>
          </cell>
          <cell r="U12" t="str">
            <v>1.ERP系统
2.智慧共享财务平台
3.网上电网</v>
          </cell>
          <cell r="V12" t="str">
            <v>1.系统审批记录；
2.前期费用入账明细；
3.合同执行情况；
4.前期项目计划文件。</v>
          </cell>
          <cell r="W12" t="str">
            <v>各级单位-发展部门-前期规划人员
省公司-发展部门-计划管理人员；建设公司-计划经营部-综合计划人员、建设公司-前期中心-前期项目管理</v>
          </cell>
          <cell r="X12" t="str">
            <v>每年</v>
          </cell>
          <cell r="Y12" t="str">
            <v>抽查</v>
          </cell>
        </row>
        <row r="12">
          <cell r="AA12" t="str">
            <v>每年</v>
          </cell>
          <cell r="AB12" t="str">
            <v>抽查</v>
          </cell>
        </row>
        <row r="12">
          <cell r="AD12" t="str">
            <v>前期费用监督场景</v>
          </cell>
          <cell r="AE12" t="str">
            <v>每月</v>
          </cell>
        </row>
        <row r="12">
          <cell r="AH12" t="str">
            <v>是</v>
          </cell>
          <cell r="AI12" t="str">
            <v>是</v>
          </cell>
          <cell r="AJ12" t="str">
            <v>《国家电网有限公司电网项目前期工作管理办法》（国家电网企管〔2022〕578号）第三章</v>
          </cell>
          <cell r="AK12" t="str">
            <v>国网发展部</v>
          </cell>
        </row>
        <row r="13">
          <cell r="I13" t="str">
            <v>电网基建业务-4.前期费用列支范围、规模审核控制-控制措施02</v>
          </cell>
          <cell r="J13" t="str">
            <v>各级单位财务部门参与前期费用计划审核，复核前期工作内容，范围内的项目纳入年度财务预算，超范围项目不允许立项；</v>
          </cell>
        </row>
        <row r="13">
          <cell r="L13" t="str">
            <v>√</v>
          </cell>
        </row>
        <row r="13">
          <cell r="Q13" t="str">
            <v>√</v>
          </cell>
        </row>
        <row r="13">
          <cell r="T13" t="str">
            <v>系统待建</v>
          </cell>
          <cell r="U13" t="str">
            <v>1.智慧共享财务平台
2.网上电网</v>
          </cell>
          <cell r="V13" t="str">
            <v>1.系统审批记录；
2.前期费用入账明细；
3.前期项目计划文件。</v>
          </cell>
          <cell r="W13" t="str">
            <v>各级单位-财务部门-工程财务人员
省公司-财务部门-工程财务人员；建设公司-财务资产部-工程（前期）财务人员</v>
          </cell>
          <cell r="X13" t="str">
            <v>每年</v>
          </cell>
          <cell r="Y13" t="str">
            <v>抽查</v>
          </cell>
        </row>
        <row r="13">
          <cell r="AA13" t="str">
            <v>每年</v>
          </cell>
          <cell r="AB13" t="str">
            <v>抽查</v>
          </cell>
        </row>
        <row r="13">
          <cell r="AH13" t="str">
            <v>是</v>
          </cell>
          <cell r="AI13" t="str">
            <v>是</v>
          </cell>
          <cell r="AJ13" t="str">
            <v>《国家电网有限公司电网项目前期工作管理办法》（国家电网企管〔2022〕578号）第三章、《国家电网有限公司全面预算管理办法》（ 国网（财/2）375-2026（通用））第三章</v>
          </cell>
          <cell r="AK13" t="str">
            <v>国网财务部</v>
          </cell>
        </row>
        <row r="14">
          <cell r="I14" t="str">
            <v>电网基建业务-4.前期费用列支范围、规模审核控制-控制措施03</v>
          </cell>
          <cell r="J14" t="str">
            <v>各级单位财务部门对前期费用报账的一致性、合规性进行会计监督，审核前期费用报账内容是否与前期费用立项范围一致，超规模列支不允许报账及支付。</v>
          </cell>
        </row>
        <row r="14">
          <cell r="O14" t="str">
            <v>√</v>
          </cell>
          <cell r="P14" t="str">
            <v>√</v>
          </cell>
          <cell r="Q14" t="str">
            <v>√</v>
          </cell>
        </row>
        <row r="14">
          <cell r="T14" t="str">
            <v>系统待建</v>
          </cell>
          <cell r="U14" t="str">
            <v>智慧共享财务平台</v>
          </cell>
          <cell r="V14" t="str">
            <v>1.系统审批记录；
2.前期费用入账明细；
3.凭证附件-合同执行情况；
4.前期项目计划文件。</v>
          </cell>
          <cell r="W14" t="str">
            <v>各级单位-财务部门-工程财务人员
建设公司-财务资产部-工程（前期）财务人员</v>
          </cell>
          <cell r="X14" t="str">
            <v>每年</v>
          </cell>
          <cell r="Y14" t="str">
            <v>抽查</v>
          </cell>
        </row>
        <row r="14">
          <cell r="AA14" t="str">
            <v>每年</v>
          </cell>
          <cell r="AB14" t="str">
            <v>抽查</v>
          </cell>
        </row>
        <row r="14">
          <cell r="AH14" t="str">
            <v>是</v>
          </cell>
          <cell r="AI14" t="str">
            <v>是</v>
          </cell>
          <cell r="AJ14" t="str">
            <v>《国家电网有限公司工程财务管理办法》（国家电网企管〔2023〕28号）第五章</v>
          </cell>
        </row>
        <row r="15">
          <cell r="E15" t="str">
            <v>前期费用长期挂账未及时清理，导致公司投资损失的可能性增加。</v>
          </cell>
        </row>
        <row r="15">
          <cell r="G15" t="str">
            <v>5.长期挂账前期费用清理</v>
          </cell>
          <cell r="H15" t="str">
            <v>严控2年以上前期费用规模。</v>
          </cell>
          <cell r="I15" t="str">
            <v>电网基建业务-5.长期挂账前期费用清理-控制措施01</v>
          </cell>
          <cell r="J15" t="str">
            <v>各级单位财务部门建立挂账超2年的前期费用项目预警机制；</v>
          </cell>
        </row>
        <row r="15">
          <cell r="Q15" t="str">
            <v>√</v>
          </cell>
        </row>
        <row r="15">
          <cell r="T15" t="str">
            <v>系统已建</v>
          </cell>
          <cell r="U15" t="str">
            <v>智慧共享财务平台</v>
          </cell>
          <cell r="V15" t="str">
            <v>1.2年以上前期费用计划管理部门备案证明。</v>
          </cell>
          <cell r="W15" t="str">
            <v>各级单位-财务部门-工程财务人员
建设公司-财务资产部-工程（前期）财务人员</v>
          </cell>
          <cell r="X15" t="str">
            <v>每半年</v>
          </cell>
          <cell r="Y15" t="str">
            <v>全量检查</v>
          </cell>
        </row>
        <row r="15">
          <cell r="AA15" t="str">
            <v>每年</v>
          </cell>
          <cell r="AB15" t="str">
            <v>抽查</v>
          </cell>
        </row>
        <row r="15">
          <cell r="AD15" t="str">
            <v>2年以上前期费用监督场景</v>
          </cell>
          <cell r="AE15" t="str">
            <v>每月</v>
          </cell>
        </row>
        <row r="15">
          <cell r="AH15" t="str">
            <v>是</v>
          </cell>
          <cell r="AI15" t="str">
            <v>是</v>
          </cell>
          <cell r="AJ15" t="str">
            <v>《国家电网有限公司工程财务管理办法》（国家电网企管〔2023〕28号）第五章</v>
          </cell>
          <cell r="AK15" t="str">
            <v>国网财务部</v>
          </cell>
        </row>
        <row r="16">
          <cell r="I16" t="str">
            <v>电网基建业务-5.长期挂账前期费用清理-控制措施02</v>
          </cell>
          <cell r="J16" t="str">
            <v>各级单位发展部门健全前期费用核销流程。规划内项目取消，前期费用项目采取按批核销方式；规划内项目推迟，前期费用项目核销结合实际情况履行逐项分级审批；规划外异常项目，前期费用项目核销履行逐项分级审批，并建立“谁立项谁负责”问责机制。</v>
          </cell>
        </row>
        <row r="16">
          <cell r="L16" t="str">
            <v>√</v>
          </cell>
        </row>
        <row r="16">
          <cell r="T16" t="str">
            <v>线下管控</v>
          </cell>
        </row>
        <row r="16">
          <cell r="V16" t="str">
            <v>1.2年以上前期费用计划管理部门备案证明；
2.前期费用核销审批手续。</v>
          </cell>
          <cell r="W16" t="str">
            <v>各级单位-发展部门-前期规划人员
各级单位-发展部门-前期规划人员-财务部门-工程财务人员；建设公司-前期管理中心-前期项目管理人员、计划经营部-综合计划人员、财务资产部-工程（前期）财务人员</v>
          </cell>
          <cell r="X16" t="str">
            <v>每半年</v>
          </cell>
          <cell r="Y16" t="str">
            <v>全量检查</v>
          </cell>
        </row>
        <row r="16">
          <cell r="AA16" t="str">
            <v>每年</v>
          </cell>
          <cell r="AB16" t="str">
            <v>抽查</v>
          </cell>
        </row>
        <row r="16">
          <cell r="AH16" t="str">
            <v>是</v>
          </cell>
          <cell r="AI16" t="str">
            <v>是</v>
          </cell>
          <cell r="AJ16" t="str">
            <v>《国家电网有限公司工程财务管理办法》（国家电网企管〔2023〕28号）第五章第二十九条</v>
          </cell>
          <cell r="AK16" t="str">
            <v>国网发展部</v>
          </cell>
        </row>
        <row r="17">
          <cell r="B17" t="str">
            <v>二、项目立项管理</v>
          </cell>
          <cell r="C17" t="str">
            <v>资金资产安全</v>
          </cell>
          <cell r="D17" t="str">
            <v>项目储备及立项</v>
          </cell>
          <cell r="E17" t="str">
            <v>项目立项依据不足，造成经济损失。</v>
          </cell>
          <cell r="F17" t="str">
            <v>30.项目立项管理不规范：存在虚列项目、重复立项、违规拆分项目规避招标、项目可研编制不规范，模板套用、内容一致，不能准确反应估算造价等问题。</v>
          </cell>
          <cell r="G17" t="str">
            <v>6.储备项目合规性、金额准确性的审批控制</v>
          </cell>
          <cell r="H17" t="str">
            <v>未完成可研的项目不应纳入储备库立项。</v>
          </cell>
          <cell r="I17" t="str">
            <v>电网基建业务-6.储备项目合规性、金额准确性的审批控制-控制措施01</v>
          </cell>
          <cell r="J17" t="str">
            <v>各级单位发展部门负责将经可研评审后的项目纳入储备库；未获可研评审意见提前入库项目，建立“谁立项谁负责”机制，履行分级审批流程；</v>
          </cell>
        </row>
        <row r="17">
          <cell r="L17" t="str">
            <v>√</v>
          </cell>
        </row>
        <row r="17">
          <cell r="T17" t="str">
            <v>系统已建</v>
          </cell>
          <cell r="U17" t="str">
            <v>网上电网</v>
          </cell>
          <cell r="V17" t="str">
            <v>1.可研评审系统审批记录；
2.投资计划文件；
3.储备库的储备项目记录（中台-项目预算管理）。</v>
          </cell>
          <cell r="W17" t="str">
            <v>各级单位-发展部门-计划管理人员
省公司-发展部门-计划管理人员</v>
          </cell>
          <cell r="X17" t="str">
            <v>每年</v>
          </cell>
          <cell r="Y17" t="str">
            <v>抽查</v>
          </cell>
        </row>
        <row r="17">
          <cell r="AA17" t="str">
            <v>每年</v>
          </cell>
          <cell r="AB17" t="str">
            <v>抽查</v>
          </cell>
        </row>
        <row r="17">
          <cell r="AD17" t="str">
            <v>项目储备监督场景</v>
          </cell>
          <cell r="AE17" t="str">
            <v>每月</v>
          </cell>
        </row>
        <row r="17">
          <cell r="AH17" t="str">
            <v>是</v>
          </cell>
          <cell r="AI17" t="str">
            <v>是</v>
          </cell>
          <cell r="AJ17" t="str">
            <v>《国家电网有限公司投资管理规定》（国家电网企管〔2019〕425号）第五章第二十三条</v>
          </cell>
          <cell r="AK17" t="str">
            <v>国网发展部</v>
          </cell>
        </row>
        <row r="18">
          <cell r="I18" t="str">
            <v>电网基建业务-6.储备项目合规性、金额准确性的审批控制-控制措施02</v>
          </cell>
          <cell r="J18" t="str">
            <v>省公司财务部门负责项目储备立项金额复核，建立投资计划与财务预算的复核机制，确保项目“有计划、有预算、有支出”。
建设公司计划经营部建立投资计划与财务预算的复核机制，确保项目“有计划、有预算、有支出”。</v>
          </cell>
        </row>
        <row r="18">
          <cell r="N18" t="str">
            <v>√</v>
          </cell>
        </row>
        <row r="18">
          <cell r="Q18" t="str">
            <v>√</v>
          </cell>
        </row>
        <row r="18">
          <cell r="T18" t="str">
            <v>系统已建</v>
          </cell>
          <cell r="U18" t="str">
            <v>ERP系统</v>
          </cell>
          <cell r="V18" t="str">
            <v>1.投资计划文件；
2.储备库的储备项目记录（中台-项目预算管理）。</v>
          </cell>
          <cell r="W18" t="str">
            <v>各级单位-财务部门-工程财务人员
省公司-财务部门-工程财务人员
建设公司-财务部门-工程（预算）财务人员</v>
          </cell>
          <cell r="X18" t="str">
            <v>每年</v>
          </cell>
          <cell r="Y18" t="str">
            <v>抽查</v>
          </cell>
        </row>
        <row r="18">
          <cell r="AA18" t="str">
            <v>每年</v>
          </cell>
          <cell r="AB18" t="str">
            <v>抽查</v>
          </cell>
        </row>
        <row r="18">
          <cell r="AH18" t="str">
            <v>是</v>
          </cell>
          <cell r="AI18" t="str">
            <v>是</v>
          </cell>
          <cell r="AJ18" t="str">
            <v>《国家电网有限公司投资管理规定》（国家电网企管〔2019〕425号）第五章第二十三条</v>
          </cell>
          <cell r="AK18" t="str">
            <v>国网财务部</v>
          </cell>
        </row>
        <row r="19">
          <cell r="A19" t="str">
            <v>35千伏-750千伏电网基建项目</v>
          </cell>
          <cell r="B19" t="str">
            <v>二、项目立项管理</v>
          </cell>
          <cell r="C19" t="str">
            <v>资金资产安全</v>
          </cell>
          <cell r="D19" t="str">
            <v>项目初设评审与批复</v>
          </cell>
          <cell r="E19" t="str">
            <v>概算深度不足，影响项目整体资金规划和投资效益。</v>
          </cell>
          <cell r="F19" t="str">
            <v>33.设计履职不到位：存在应设计未设计、部分现场实际情况与竣工图纸不符、设计人员变更未履行审批手续、设计单位未考虑现场实际情况导致费用增加或超概算等问题。
39.设计深度不足：存在概算造价不准确，资金结余率超规定的20%；因可研深度不足造成重大变更，增加工程造价造成计划大幅调增等问题。</v>
          </cell>
          <cell r="G19" t="str">
            <v>7.概算审核控制</v>
          </cell>
          <cell r="H19" t="str">
            <v>概算应满足资金规划、施工招标及成本管控需求。</v>
          </cell>
          <cell r="I19" t="str">
            <v>电网基建业务-7.概算审核控制-控制措施01</v>
          </cell>
          <cell r="J19" t="str">
            <v>各级单位经研院、所建立“谁评审谁负责”机制，对初步设计概算的准确性、人材机费用标准合理性进行评审；</v>
          </cell>
        </row>
        <row r="19">
          <cell r="L19" t="str">
            <v>√</v>
          </cell>
        </row>
        <row r="19">
          <cell r="S19" t="str">
            <v>√</v>
          </cell>
          <cell r="T19" t="str">
            <v>线下管控</v>
          </cell>
        </row>
        <row r="19">
          <cell r="V19" t="str">
            <v>1.初步设计概算文件；
2.可研批复估算文件。</v>
          </cell>
          <cell r="W19" t="str">
            <v>各级单位-经研院、所-技经人员
经研院-技经人员</v>
          </cell>
          <cell r="X19" t="str">
            <v>每年</v>
          </cell>
          <cell r="Y19" t="str">
            <v>抽查</v>
          </cell>
        </row>
        <row r="19">
          <cell r="AA19" t="str">
            <v>每年</v>
          </cell>
          <cell r="AB19" t="str">
            <v>抽查</v>
          </cell>
        </row>
        <row r="19">
          <cell r="AH19" t="str">
            <v>是</v>
          </cell>
          <cell r="AI19" t="str">
            <v>是</v>
          </cell>
          <cell r="AJ19" t="str">
            <v>《国家电网有限公司输变电工程初步设计审批管理办法》（国家电网企管〔2021〕89号）第二章第四十六条</v>
          </cell>
          <cell r="AK19" t="str">
            <v>国网基建部</v>
          </cell>
        </row>
        <row r="20">
          <cell r="I20" t="str">
            <v>电网基建业务-7.概算审核控制-控制措施02</v>
          </cell>
          <cell r="J20" t="str">
            <v>各级单位建设部门比对估算与概算的合理性，开展监督评价；</v>
          </cell>
        </row>
        <row r="20">
          <cell r="L20" t="str">
            <v>√</v>
          </cell>
        </row>
        <row r="20">
          <cell r="N20" t="str">
            <v>√</v>
          </cell>
        </row>
        <row r="20">
          <cell r="Q20" t="str">
            <v>√</v>
          </cell>
        </row>
        <row r="20">
          <cell r="T20" t="str">
            <v>系统待建</v>
          </cell>
          <cell r="U20" t="str">
            <v>e基建2.0平台</v>
          </cell>
          <cell r="V20" t="str">
            <v>1.初步设计概算文件；
2.可研批复估算文件；
3.年度综合计划；
4.概算调整审批文件。</v>
          </cell>
          <cell r="W20" t="str">
            <v>各级单位-建设部门-技经人员
建设公司-技经中心-技经人员</v>
          </cell>
          <cell r="X20" t="str">
            <v>每年</v>
          </cell>
          <cell r="Y20" t="str">
            <v>抽查</v>
          </cell>
        </row>
        <row r="20">
          <cell r="AA20" t="str">
            <v>每年</v>
          </cell>
          <cell r="AB20" t="str">
            <v>抽查</v>
          </cell>
        </row>
        <row r="20">
          <cell r="AH20" t="str">
            <v>是</v>
          </cell>
          <cell r="AI20" t="str">
            <v>是</v>
          </cell>
          <cell r="AJ20" t="str">
            <v>《国家电网有限公司输变电工程初步设计审批管理办法》（国家电网企管〔2021〕89号）第二章第六条</v>
          </cell>
          <cell r="AK20" t="str">
            <v>国网基建部</v>
          </cell>
        </row>
        <row r="21">
          <cell r="I21" t="str">
            <v>电网基建业务-7.概算审核控制-控制措施03</v>
          </cell>
          <cell r="J21" t="str">
            <v>需调整概算时，各级单位建设部门严格履行项目概算调整审批流程。加强初设审查，逐项核验工程量、设备选型、材料规格。</v>
          </cell>
        </row>
        <row r="21">
          <cell r="L21" t="str">
            <v>√</v>
          </cell>
        </row>
        <row r="21">
          <cell r="N21" t="str">
            <v>√</v>
          </cell>
        </row>
        <row r="21">
          <cell r="T21" t="str">
            <v>系统已建</v>
          </cell>
          <cell r="U21" t="str">
            <v>e基建2.0平台</v>
          </cell>
          <cell r="V21" t="str">
            <v>1.初步设计概算文件；
2.可研批复估算文件；
3.年度综合计划；
4.概算调整审批文件。</v>
          </cell>
          <cell r="W21" t="str">
            <v>各级单位-建设部门-技经人员
建设公司--技经中心--技经人员</v>
          </cell>
          <cell r="X21" t="str">
            <v>每年</v>
          </cell>
          <cell r="Y21" t="str">
            <v>抽查</v>
          </cell>
        </row>
        <row r="21">
          <cell r="AA21" t="str">
            <v>每年</v>
          </cell>
          <cell r="AB21" t="str">
            <v>抽查</v>
          </cell>
        </row>
        <row r="21">
          <cell r="AD21" t="str">
            <v>初设管理监督场景</v>
          </cell>
          <cell r="AE21" t="str">
            <v>每月</v>
          </cell>
        </row>
        <row r="21">
          <cell r="AH21" t="str">
            <v>是</v>
          </cell>
          <cell r="AI21" t="str">
            <v>否</v>
          </cell>
          <cell r="AJ21" t="str">
            <v>《国家电网有限公司输变电工程初步设计审批管理办法》（国家电网企管〔2021〕89号）第六章第五十一条</v>
          </cell>
          <cell r="AK21" t="str">
            <v>国网基建部</v>
          </cell>
        </row>
        <row r="22">
          <cell r="C22" t="str">
            <v>会计信息真实完整</v>
          </cell>
          <cell r="D22" t="str">
            <v>项目投资预算编制与管控</v>
          </cell>
          <cell r="E22" t="str">
            <v>工程预算超项目计划，导致项目支出超计划，造成工程成本不可控。</v>
          </cell>
        </row>
        <row r="22">
          <cell r="G22" t="str">
            <v>8.工程计划与预算的规模控制</v>
          </cell>
          <cell r="H22" t="str">
            <v>年度财务支出预算与年度投资计划保持相对一致。</v>
          </cell>
          <cell r="I22" t="str">
            <v>电网基建业务-8.工程计划与预算的规模控制-控制措施01</v>
          </cell>
          <cell r="J22" t="str">
            <v>各级单位建设部门提交的工程财务支出预算、投资计划要严格控制在概算范围内。负责审核执行项目与申报项目是否保持一致，严禁随意替换。</v>
          </cell>
        </row>
        <row r="22">
          <cell r="N22" t="str">
            <v>√</v>
          </cell>
        </row>
        <row r="22">
          <cell r="Q22" t="str">
            <v>√</v>
          </cell>
        </row>
        <row r="22">
          <cell r="T22" t="str">
            <v>系统已建</v>
          </cell>
          <cell r="U22" t="str">
            <v>智慧共享财务平台</v>
          </cell>
          <cell r="V22" t="str">
            <v>1.项目预算表；
2.年度投资计划。</v>
          </cell>
          <cell r="W22" t="str">
            <v>各级单位-建设部门-技经人员
省公司-建设部门-技经人员；
省公司-财务部门-工程财务人员；
建设公司-建管分公司-项目经理、技经中心--技经人员、前期中心-前期管理人员、
建设公司-财务部-工程（预算）财务人员</v>
          </cell>
          <cell r="X22" t="str">
            <v>每半年</v>
          </cell>
          <cell r="Y22" t="str">
            <v>抽查</v>
          </cell>
        </row>
        <row r="22">
          <cell r="AA22" t="str">
            <v>每年</v>
          </cell>
          <cell r="AB22" t="str">
            <v>抽查</v>
          </cell>
        </row>
        <row r="22">
          <cell r="AD22" t="str">
            <v>工程预算内控系数监督场景</v>
          </cell>
          <cell r="AE22" t="str">
            <v>每月</v>
          </cell>
        </row>
        <row r="22">
          <cell r="AH22" t="str">
            <v>是</v>
          </cell>
          <cell r="AI22" t="str">
            <v>是</v>
          </cell>
          <cell r="AJ22" t="str">
            <v>《国家电网有限公司全面预算管理办法》（国家电网企管[2020]763号）第六章第三十五条</v>
          </cell>
          <cell r="AK22" t="str">
            <v>国网财务部</v>
          </cell>
        </row>
        <row r="23">
          <cell r="I23" t="str">
            <v>电网基建业务-8.工程计划与预算的规模控制-控制措施02</v>
          </cell>
          <cell r="J23" t="str">
            <v>各级单位财务部门复核预算与计划是否保持相对一致，年度实际财务支出控制在预算范围内。对执行项目与申报项目一致性开展校验，确保项目“有计划、有预算、有支出”。</v>
          </cell>
        </row>
        <row r="23">
          <cell r="N23" t="str">
            <v>√</v>
          </cell>
        </row>
        <row r="23">
          <cell r="Q23" t="str">
            <v>√</v>
          </cell>
        </row>
        <row r="23">
          <cell r="T23" t="str">
            <v>系统已建</v>
          </cell>
          <cell r="U23" t="str">
            <v>智慧共享财务平台</v>
          </cell>
          <cell r="V23" t="str">
            <v>1.项目预算表；
2.年度投资计划。</v>
          </cell>
          <cell r="W23" t="str">
            <v>各级单位-财务部门-工程财务人员
省公司-财务部门-工程财务人员；建设公司-财务资产部-工程（预算）财务人员</v>
          </cell>
          <cell r="X23" t="str">
            <v>每半年</v>
          </cell>
          <cell r="Y23" t="str">
            <v>抽查</v>
          </cell>
        </row>
        <row r="23">
          <cell r="AA23" t="str">
            <v>每年</v>
          </cell>
          <cell r="AB23" t="str">
            <v>抽查</v>
          </cell>
        </row>
        <row r="23">
          <cell r="AD23" t="str">
            <v>工程预算内控系数监督场景</v>
          </cell>
          <cell r="AE23" t="str">
            <v>每月</v>
          </cell>
        </row>
        <row r="23">
          <cell r="AH23" t="str">
            <v>是</v>
          </cell>
          <cell r="AI23" t="str">
            <v>是</v>
          </cell>
          <cell r="AJ23" t="str">
            <v>《国家电网有限公司全面预算管理办法》（国家电网企管[2020]763号）第六章第三十五条</v>
          </cell>
        </row>
        <row r="24">
          <cell r="B24" t="str">
            <v>三、项目实施管理</v>
          </cell>
          <cell r="C24" t="str">
            <v>资金资产安全</v>
          </cell>
          <cell r="D24" t="str">
            <v>项目合同签订</v>
          </cell>
          <cell r="E24" t="str">
            <v>合同条款背离招投标文件、超越合同授权范围不当签署合同、合同签订流程倒置，导致合同履约风险。</v>
          </cell>
        </row>
        <row r="24">
          <cell r="G24" t="str">
            <v>9.施工合同合规性、时效性控制</v>
          </cell>
          <cell r="H24" t="str">
            <v>签订的合同合法、有效。</v>
          </cell>
          <cell r="I24" t="str">
            <v>电网基建业务-9.施工合同合规性、时效性控制-控制措施01</v>
          </cell>
          <cell r="J24" t="str">
            <v>各级单位建设部门按招标结果按时签订合同（自中标通知书发出之日起三十日内），合同签订严格执行授权程序，不得越权签署不当合同。对经审批生效的合同，在数字化法治企业建设平台结构化注册，推送财务系统，确保付款条款清晰，强化履约过程管理；</v>
          </cell>
        </row>
        <row r="24">
          <cell r="L24" t="str">
            <v>√</v>
          </cell>
        </row>
        <row r="24">
          <cell r="O24" t="str">
            <v>√</v>
          </cell>
        </row>
        <row r="24">
          <cell r="T24" t="str">
            <v>系统已建</v>
          </cell>
          <cell r="U24" t="str">
            <v>ECP2.0、数字化法治企业建设平台</v>
          </cell>
          <cell r="V24" t="str">
            <v>1.施工合同；
2.招投标文件、中标通知书；
3.委托授权书。</v>
          </cell>
          <cell r="W24" t="str">
            <v>各级单位-建设部门-合同管理人员
建设公司-计划经营部-合同管理人员</v>
          </cell>
          <cell r="X24" t="str">
            <v>每年</v>
          </cell>
          <cell r="Y24" t="str">
            <v>抽查</v>
          </cell>
        </row>
        <row r="24">
          <cell r="AA24" t="str">
            <v>每年</v>
          </cell>
          <cell r="AB24" t="str">
            <v>抽查</v>
          </cell>
        </row>
        <row r="24">
          <cell r="AD24" t="str">
            <v>合同按时签订监督场景</v>
          </cell>
          <cell r="AE24" t="str">
            <v>每月</v>
          </cell>
        </row>
        <row r="24">
          <cell r="AH24" t="str">
            <v>是</v>
          </cell>
          <cell r="AI24" t="str">
            <v>是</v>
          </cell>
          <cell r="AJ24" t="str">
            <v>《国家电网有限公司合同管理办法》（国家电网企管〔2020〕832号）第一章第六条</v>
          </cell>
          <cell r="AK24" t="str">
            <v>国网法律部</v>
          </cell>
        </row>
        <row r="25">
          <cell r="I25" t="str">
            <v>电网基建业务-9.施工合同合规性、时效性控制-控制措施02</v>
          </cell>
          <cell r="J25" t="str">
            <v>各级单位法律部门对合同条款合规性进行复核；</v>
          </cell>
        </row>
        <row r="25">
          <cell r="L25" t="str">
            <v>√</v>
          </cell>
        </row>
        <row r="25">
          <cell r="O25" t="str">
            <v>√</v>
          </cell>
        </row>
        <row r="25">
          <cell r="T25" t="str">
            <v>线下管控</v>
          </cell>
        </row>
        <row r="25">
          <cell r="V25" t="str">
            <v>1.施工合同；
2.招投标文件、中标通知书；
3.委托授权书。</v>
          </cell>
          <cell r="W25" t="str">
            <v>各级单位-法规部门-法律合规人员
建设公司-综合部-法律合规人员</v>
          </cell>
          <cell r="X25" t="str">
            <v>每年</v>
          </cell>
          <cell r="Y25" t="str">
            <v>抽查</v>
          </cell>
        </row>
        <row r="25">
          <cell r="AA25" t="str">
            <v>每年</v>
          </cell>
          <cell r="AB25" t="str">
            <v>抽查</v>
          </cell>
        </row>
        <row r="25">
          <cell r="AH25" t="str">
            <v>是</v>
          </cell>
          <cell r="AI25" t="str">
            <v>是</v>
          </cell>
          <cell r="AJ25" t="str">
            <v>《国家电网有限公司合同管理办法》（国家电网企管〔2020〕832号）第一章第五条</v>
          </cell>
          <cell r="AK25" t="str">
            <v>国网基建部、国网法律部、国网财务部、国网物资部</v>
          </cell>
        </row>
        <row r="26">
          <cell r="I26" t="str">
            <v>电网基建业务-9.施工合同合规性、时效性控制-控制措施03</v>
          </cell>
          <cell r="J26" t="str">
            <v>各级单位财务部门对合同付款条件进行复核；</v>
          </cell>
        </row>
        <row r="26">
          <cell r="L26" t="str">
            <v>√</v>
          </cell>
        </row>
        <row r="26">
          <cell r="O26" t="str">
            <v>√</v>
          </cell>
        </row>
        <row r="26">
          <cell r="T26" t="str">
            <v>线下管控</v>
          </cell>
        </row>
        <row r="26">
          <cell r="V26" t="str">
            <v>1.施工合同；
2.招投标文件、中标通知书；
3.委托授权书。</v>
          </cell>
          <cell r="W26" t="str">
            <v>各级单位-财务部门-工程财务人员
建设公司-财务部-工程（核算）财务人员</v>
          </cell>
          <cell r="X26" t="str">
            <v>每年</v>
          </cell>
          <cell r="Y26" t="str">
            <v>抽查</v>
          </cell>
        </row>
        <row r="26">
          <cell r="AA26" t="str">
            <v>每年</v>
          </cell>
          <cell r="AB26" t="str">
            <v>抽查</v>
          </cell>
        </row>
        <row r="26">
          <cell r="AH26" t="str">
            <v>是</v>
          </cell>
          <cell r="AI26" t="str">
            <v>是</v>
          </cell>
          <cell r="AJ26" t="str">
            <v>《国家电网有限公司合同管理办法》（国家电网企管〔2020〕832号）第一章第七条</v>
          </cell>
        </row>
        <row r="27">
          <cell r="I27" t="str">
            <v>电网基建业务-9.施工合同合规性、时效性控制-控制措施04</v>
          </cell>
          <cell r="J27" t="str">
            <v>各级单位建设部门对合同条款与合同招标文件进行复核。</v>
          </cell>
        </row>
        <row r="27">
          <cell r="L27" t="str">
            <v>√</v>
          </cell>
        </row>
        <row r="27">
          <cell r="O27" t="str">
            <v>√</v>
          </cell>
        </row>
        <row r="27">
          <cell r="T27" t="str">
            <v>线下管控</v>
          </cell>
        </row>
        <row r="27">
          <cell r="V27" t="str">
            <v>1.施工合同；
2.招投标文件、中标通知书；
3.委托授权书。</v>
          </cell>
          <cell r="W27" t="str">
            <v>各级单位-物资部门-物资管理人员
建设公司-建管分公司-工程合同及投标管理人员</v>
          </cell>
          <cell r="X27" t="str">
            <v>每年</v>
          </cell>
          <cell r="Y27" t="str">
            <v>抽查</v>
          </cell>
        </row>
        <row r="27">
          <cell r="AA27" t="str">
            <v>每年</v>
          </cell>
          <cell r="AB27" t="str">
            <v>抽查</v>
          </cell>
        </row>
        <row r="27">
          <cell r="AH27" t="str">
            <v>是</v>
          </cell>
          <cell r="AI27" t="str">
            <v>是</v>
          </cell>
          <cell r="AJ27" t="str">
            <v>《国家电网有限公司合同管理办法》（国家电网企管〔2020〕832号）第一章第八条</v>
          </cell>
        </row>
        <row r="28">
          <cell r="A28" t="str">
            <v>35千伏-750千伏电网基建项目</v>
          </cell>
          <cell r="B28" t="str">
            <v>三、项目实施管理</v>
          </cell>
          <cell r="C28" t="str">
            <v>资金资产安全</v>
          </cell>
          <cell r="D28" t="str">
            <v>项目合同签订</v>
          </cell>
          <cell r="E28" t="str">
            <v>违规转分包，向不具备资质的单位和个人分包施工，导致工程无法按期完工或停工，引发资产损失风险。</v>
          </cell>
          <cell r="F28" t="str">
            <v>22.违法、违规转分包：存在工程项目整体转包、肢解分包；勘察设计业务转包；未经建设单位同意违规分包；工程主体违规专业分包；超合同约定比例分包；以劳务分包之名行专业分包之实；层层转包、分包；项目以包代管等问题。</v>
          </cell>
          <cell r="G28" t="str">
            <v>10.对系统内总包单位转分包行为控制</v>
          </cell>
          <cell r="H28" t="str">
            <v>对系统内电网基建施工总分包业务完善“项目、合同、人员、资金”四维穿透控制机制。</v>
          </cell>
          <cell r="I28" t="str">
            <v>电网基建业务-10.对系统内总包单位转分包行为控制-控制措施01</v>
          </cell>
          <cell r="J28" t="str">
            <v>各级单位建设部门完善项目穿透机制，推行施工总包项目单项管理，确保建设单位项目与施工总包项目一一对应。严格执行分包审批备案，重点核查分包审批程序合规性，杜绝未经建设单位审批即分包的违规情形。</v>
          </cell>
        </row>
        <row r="28">
          <cell r="O28" t="str">
            <v>√</v>
          </cell>
        </row>
        <row r="28">
          <cell r="T28" t="str">
            <v>系统待建</v>
          </cell>
          <cell r="U28" t="str">
            <v>1.e基建2.0平台
2.数字化法治企业建设平台</v>
          </cell>
          <cell r="V28" t="str">
            <v>1.施工承包合同；
2.分包备案资料（建设单位分包审批资料、已备案的外包合同等）。</v>
          </cell>
          <cell r="W28" t="str">
            <v>各级单位-建设部门-项目经理
建设公司-建管分公司-项目经理</v>
          </cell>
          <cell r="X28" t="str">
            <v>每年</v>
          </cell>
          <cell r="Y28" t="str">
            <v>抽查</v>
          </cell>
        </row>
        <row r="28">
          <cell r="AA28" t="str">
            <v>每年</v>
          </cell>
          <cell r="AB28" t="str">
            <v>抽查</v>
          </cell>
        </row>
        <row r="28">
          <cell r="AH28" t="str">
            <v>是</v>
          </cell>
          <cell r="AI28" t="str">
            <v>是</v>
          </cell>
          <cell r="AJ28" t="str">
            <v>《国家电网有限公司业务外包安全监督管理办法》（国家电网企管〔2023〕55 号）第四章第二十条第五章二十九条、《国家电网有限公司输变电施工业务外包合规管理办法》（国家电网企管[2025]432号）第七章第二十八条</v>
          </cell>
          <cell r="AK28" t="str">
            <v>国网基建部、国网财务部</v>
          </cell>
        </row>
        <row r="29">
          <cell r="I29" t="str">
            <v>电网基建业务-10.对系统内总包单位转分包行为控制-控制措施02</v>
          </cell>
          <cell r="J29" t="str">
            <v>各级单位建设部门加强施工业务外包合同管理，完善合同穿透机制，形成“总-分包”合同的关联关系，穿透形成建设单位、总包单位、分包单位的合同主体关联关系，对比总分合同金额及服务内容研判是否超比例、超范围分包。完善外包单位评价机制，对违规外包行为开展评价，建立负面清单。</v>
          </cell>
        </row>
        <row r="29">
          <cell r="O29" t="str">
            <v>√</v>
          </cell>
        </row>
        <row r="29">
          <cell r="S29" t="str">
            <v>√</v>
          </cell>
          <cell r="T29" t="str">
            <v>系统待建</v>
          </cell>
          <cell r="U29" t="str">
            <v>1.e基建2.0平台
2.数字化法治企业建设平台</v>
          </cell>
          <cell r="V29" t="str">
            <v>1.施工承包合同；
2.分包备案资料（建设单位分包审批资料、已备案的外包合同等）。</v>
          </cell>
          <cell r="W29" t="str">
            <v>各级单位-建设部门-项目经理
建设公司-建管分公司-项目经理、技经中心-技经人员
省公司-建设部-安全质量管理人员、省公司-安监部</v>
          </cell>
          <cell r="X29" t="str">
            <v>每年</v>
          </cell>
          <cell r="Y29" t="str">
            <v>抽查</v>
          </cell>
        </row>
        <row r="29">
          <cell r="AA29" t="str">
            <v>每年</v>
          </cell>
          <cell r="AB29" t="str">
            <v>抽查</v>
          </cell>
        </row>
        <row r="29">
          <cell r="AH29" t="str">
            <v>是</v>
          </cell>
          <cell r="AI29" t="str">
            <v>是</v>
          </cell>
          <cell r="AJ29" t="str">
            <v>《国家电网有限公司业务外包安全监督管理办法》（国家电网企管〔2023〕55 号）第四章第二十条第五章二十九条、《国家电网有限公司输变电施工业务外包合规管理办法》（国家电网企管[2025]432号）第七章第二十八条</v>
          </cell>
        </row>
        <row r="30">
          <cell r="I30" t="str">
            <v>电网基建业务-10.对系统内总包单位转分包行为控制-控制措施03</v>
          </cell>
          <cell r="J30" t="str">
            <v>各级单位建设部门完善人员穿透机制，重点核查进场作业人员的单位隶属关系及资质资格，确保进场人员信息与总包单位、分包单位备案信息完全一致。建立外包人员评价机制，对违规外包行为开展评价，建立黑名单。</v>
          </cell>
        </row>
        <row r="30">
          <cell r="O30" t="str">
            <v>√</v>
          </cell>
        </row>
        <row r="30">
          <cell r="S30" t="str">
            <v>√</v>
          </cell>
          <cell r="T30" t="str">
            <v>线下管控</v>
          </cell>
        </row>
        <row r="30">
          <cell r="V30" t="str">
            <v>1.施工承包合同；
2.分包备案资料（建设单位分包审批资料、已备案的外包合同等）；
3.人员备案信息、进场记录信息。</v>
          </cell>
          <cell r="W30" t="str">
            <v>各级单位-建设部门-项目经理
建设公司-建管分公司-项目经理</v>
          </cell>
          <cell r="X30" t="str">
            <v>每年</v>
          </cell>
          <cell r="Y30" t="str">
            <v>抽查</v>
          </cell>
        </row>
        <row r="30">
          <cell r="AA30" t="str">
            <v>每年</v>
          </cell>
          <cell r="AB30" t="str">
            <v>抽查</v>
          </cell>
        </row>
        <row r="30">
          <cell r="AH30" t="str">
            <v>是</v>
          </cell>
          <cell r="AI30" t="str">
            <v>是</v>
          </cell>
          <cell r="AJ30" t="str">
            <v>《国家电网有限公司业务外包安全监督管理办法》（国家电网企管〔2023〕55 号）第四章第二十条第五章二十九条、《国家电网有限公司输变电施工业务外包合规管理办法》（国家电网企管[2025]432号）第七章第二十八条</v>
          </cell>
        </row>
        <row r="31">
          <cell r="I31" t="str">
            <v>电网基建业务-10.对系统内总包单位转分包行为控制-控制措施04</v>
          </cell>
          <cell r="J31" t="str">
            <v>各级单位财务部门完善资金支付穿透机制，构建穿透洞察场景，通过项目、合同、人员对应关系，研判资金流向是否符合合同主体关联链路、分包单位与审批备案清单是否一致，研判是否超比例、超范围分包，研判农民工支付清单与备案作业人员是否一致。构建项目、合同、人员、资金关联闭环监督体系，确保分包活动真实、合规可控。</v>
          </cell>
        </row>
        <row r="31">
          <cell r="L31" t="str">
            <v>√</v>
          </cell>
          <cell r="M31" t="str">
            <v>√</v>
          </cell>
        </row>
        <row r="31">
          <cell r="O31" t="str">
            <v>√</v>
          </cell>
          <cell r="P31" t="str">
            <v>√</v>
          </cell>
          <cell r="Q31" t="str">
            <v>√</v>
          </cell>
        </row>
        <row r="31">
          <cell r="T31" t="str">
            <v>系统待建</v>
          </cell>
          <cell r="U31" t="str">
            <v>1.e基建2.0平台
2.数字化法治企业建设平台
3.智慧共享平台</v>
          </cell>
          <cell r="V31" t="str">
            <v>1.施工承包合同；
2.资金支付记录。</v>
          </cell>
          <cell r="W31" t="str">
            <v>各级单位-财务部门-工程财务人员
建设公司-财务资产部-工程（核算）财务人员</v>
          </cell>
          <cell r="X31" t="str">
            <v>每年</v>
          </cell>
          <cell r="Y31" t="str">
            <v>抽查</v>
          </cell>
        </row>
        <row r="31">
          <cell r="AA31" t="str">
            <v>每年</v>
          </cell>
          <cell r="AB31" t="str">
            <v>抽查</v>
          </cell>
        </row>
        <row r="31">
          <cell r="AH31" t="str">
            <v>是</v>
          </cell>
          <cell r="AI31" t="str">
            <v>是</v>
          </cell>
          <cell r="AJ31" t="str">
            <v>《国家电网有限公司业务外包安全监督管理办法》（国家电网企管〔2023〕55 号）第四章第二十条第五章二十九条、《国家电网有限公司输变电施工业务外包合规管理办法》（国家电网企管[2025]432号）第七章第二十八条</v>
          </cell>
        </row>
        <row r="32">
          <cell r="I32" t="str">
            <v>电网基建业务-10.对系统内总包单位转分包行为控制-控制措施05</v>
          </cell>
          <cell r="J32" t="str">
            <v>各级单位建设部门强化考核评价，将农民工纠纷发生情况、工程按期完工情况等关键履约指标纳入考核体系，依据考核结果分级建立负面清单。将负面清单信息同步纳入物资部门供应商评价体系，对列入负面清单的单位，按规定采取限制投标、降低投标评分权重、取消投标资格等惩戒措施。</v>
          </cell>
        </row>
        <row r="32">
          <cell r="P32" t="str">
            <v>√</v>
          </cell>
          <cell r="Q32" t="str">
            <v>√</v>
          </cell>
        </row>
        <row r="32">
          <cell r="S32" t="str">
            <v>√</v>
          </cell>
          <cell r="T32" t="str">
            <v>线下管控</v>
          </cell>
        </row>
        <row r="32">
          <cell r="V32" t="str">
            <v>1.施工承包合同；
2.分包备案资料（建设单位分包审批资料、已备案的外包合同等）；
3.人员备案信息、进场记录信息；
4.资金支付记录。</v>
          </cell>
          <cell r="W32" t="str">
            <v>各级单位-建设部门-项目经理
建设公司-建管分公司-项目经理</v>
          </cell>
          <cell r="X32" t="str">
            <v>每年</v>
          </cell>
          <cell r="Y32" t="str">
            <v>抽查</v>
          </cell>
        </row>
        <row r="32">
          <cell r="AA32" t="str">
            <v>每年</v>
          </cell>
          <cell r="AB32" t="str">
            <v>抽查</v>
          </cell>
        </row>
        <row r="32">
          <cell r="AH32" t="str">
            <v>是</v>
          </cell>
          <cell r="AI32" t="str">
            <v>是</v>
          </cell>
          <cell r="AJ32" t="str">
            <v>《国家电网有限公司业务外包安全监督管理办法》（国家电网企管〔2023〕55 号）第四章第二十条第五章二十九条、《国家电网有限公司输变电施工业务外包合规管理办法》（国家电网企管[2025]432号）第七章第二十八条</v>
          </cell>
        </row>
        <row r="33">
          <cell r="C33" t="str">
            <v>资金资产安全</v>
          </cell>
          <cell r="D33" t="str">
            <v>工程资金支付</v>
          </cell>
          <cell r="E33" t="str">
            <v>农民工工资支付不及时，增加资金风险、劳资纠纷风险，引发法律处罚及舆情维稳风险。</v>
          </cell>
          <cell r="F33" t="str">
            <v>40.未按规定支付农民工工资：存在未使用农民工工资账户支付工资；未及时支付农民工工资；农民工工资支付依据不足等问题。</v>
          </cell>
          <cell r="G33" t="str">
            <v>11.农民工工资总包代发控制</v>
          </cell>
          <cell r="H33" t="str">
            <v>农民工工资按时合规发放。</v>
          </cell>
          <cell r="I33" t="str">
            <v>电网基建业务-11.农民工工资总包代发控制-控制措施01</v>
          </cell>
          <cell r="J33" t="str">
            <v>各二级单位牵头部门要对照《保障农民工工资支付条例》，各单位对照《保障农民工工资支付条例》，结合属地人社部门出台的农民工工资管理细则，建立本单位农民工工资管理制度保障机制，明确总包代发、农民工工资专户的适用范围、开立标准与代发流程，强化制度保障。</v>
          </cell>
        </row>
        <row r="33">
          <cell r="T33" t="str">
            <v>线下管控</v>
          </cell>
        </row>
        <row r="33">
          <cell r="W33" t="str">
            <v>各二级单位-牵头部门-法律合规人员
建设公司-建管分公司-项目经理、技经中心-技经人员</v>
          </cell>
        </row>
        <row r="33">
          <cell r="AH33" t="str">
            <v>否</v>
          </cell>
          <cell r="AI33" t="str">
            <v>否</v>
          </cell>
        </row>
        <row r="33">
          <cell r="AK33" t="str">
            <v>国网基建部、国网财务部</v>
          </cell>
        </row>
        <row r="34">
          <cell r="A34" t="str">
            <v>35千伏-750千伏电网基建项目</v>
          </cell>
          <cell r="B34" t="str">
            <v>三、项目实施管理</v>
          </cell>
          <cell r="C34" t="str">
            <v>资金资产安全</v>
          </cell>
          <cell r="D34" t="str">
            <v>工程资金支付</v>
          </cell>
          <cell r="E34" t="str">
            <v>农民工工资支付不及时，增加资金风险、劳资纠纷风险，引发法律处罚及舆情维稳风险。</v>
          </cell>
          <cell r="F34" t="str">
            <v>40.未按规定支付农民工工资：存在未使用农民工工资账户支付工资；未及时支付农民工工资；农民工工资支付依据不足等问题。</v>
          </cell>
          <cell r="G34" t="str">
            <v>11.农民工工资总包代发控制</v>
          </cell>
          <cell r="H34" t="str">
            <v>农民工工资按时合规发放。</v>
          </cell>
          <cell r="I34" t="str">
            <v>电网基建业务-11.农民工工资总包代发控制-控制措施02</v>
          </cell>
          <cell r="J34" t="str">
            <v>各级单位建设部门监督总包单位明确农民工总包代发名单范围，确保人员完整性，严格履行农民工工资总包代发、实名制管理等；</v>
          </cell>
        </row>
        <row r="34">
          <cell r="M34" t="str">
            <v>√</v>
          </cell>
        </row>
        <row r="34">
          <cell r="T34" t="str">
            <v>线下管控</v>
          </cell>
        </row>
        <row r="34">
          <cell r="V34" t="str">
            <v>1.施工合同；
2.农民工工资支付表；
3.农民工考勤表。</v>
          </cell>
          <cell r="W34" t="str">
            <v>各级单位-建设部门-项目经理
建设公司-建管分公司-项目经理</v>
          </cell>
          <cell r="X34" t="str">
            <v>每年</v>
          </cell>
          <cell r="Y34" t="str">
            <v>抽查</v>
          </cell>
        </row>
        <row r="34">
          <cell r="AA34" t="str">
            <v>每年</v>
          </cell>
          <cell r="AB34" t="str">
            <v>抽查</v>
          </cell>
        </row>
        <row r="34">
          <cell r="AH34" t="str">
            <v>是否</v>
          </cell>
          <cell r="AI34" t="str">
            <v>是否</v>
          </cell>
          <cell r="AJ34" t="str">
            <v>《国家电网有限公司关于保障输变电工程建设农民工工资支付的通知》(国家电网基建〔2020〕151号)第二章第三章第四章</v>
          </cell>
          <cell r="AK34" t="str">
            <v>国网基建部、国网财务部</v>
          </cell>
        </row>
        <row r="35">
          <cell r="I35" t="str">
            <v>电网基建业务-11.农民工工资总包代发控制-控制措施03</v>
          </cell>
          <cell r="J35" t="str">
            <v>各级单位建设部门核查总包单位农民工工资支付表与银行卡信息、考勤表、ORM现场入场考勤人员、发放清册的一致性；若签字单人员与现场入场人员信息不符，第一时间组织项目管理单位提交书面材料，解释说明人员信息不符原因；</v>
          </cell>
        </row>
        <row r="35">
          <cell r="M35" t="str">
            <v>√</v>
          </cell>
        </row>
        <row r="35">
          <cell r="T35" t="str">
            <v>线下管控</v>
          </cell>
        </row>
        <row r="35">
          <cell r="V35" t="str">
            <v>1.施工合同；
2.农民工工资支付表；
3.农民工考勤表。</v>
          </cell>
          <cell r="W35" t="str">
            <v>各级单位-建设部门-项目经理
建设公司-建管分公司-项目经理</v>
          </cell>
          <cell r="X35" t="str">
            <v>每年</v>
          </cell>
          <cell r="Y35" t="str">
            <v>抽查</v>
          </cell>
        </row>
        <row r="35">
          <cell r="AA35" t="str">
            <v>每年</v>
          </cell>
          <cell r="AB35" t="str">
            <v>抽查</v>
          </cell>
        </row>
        <row r="35">
          <cell r="AH35" t="str">
            <v>是</v>
          </cell>
          <cell r="AI35" t="str">
            <v>是</v>
          </cell>
          <cell r="AJ35" t="str">
            <v>《国家电网有限公司关于保障输变电工程建设农民工工资支付的通知》(国家电网基建〔2020〕151号)第二章第三章第四章</v>
          </cell>
          <cell r="AK35" t="str">
            <v>国网基建部、国网财务部</v>
          </cell>
        </row>
        <row r="36">
          <cell r="I36" t="str">
            <v>电网基建业务-11.农民工工资总包代发控制-控制措施04</v>
          </cell>
          <cell r="J36" t="str">
            <v>各级单位建设部门根据合同约定，审核实际工程量，发起支付申请；</v>
          </cell>
        </row>
        <row r="36">
          <cell r="M36" t="str">
            <v>√</v>
          </cell>
        </row>
        <row r="36">
          <cell r="T36" t="str">
            <v>系统待建线下管控</v>
          </cell>
          <cell r="U36" t="str">
            <v>1.e基建2.0平台
2.数字化法治企业建设平台</v>
          </cell>
          <cell r="V36" t="str">
            <v>1.施工合同；
2.进度款报审表；
3.农民工工资支付表；
4.农民工考勤表。
1.施工合同；
2.农民工工资支付表；
3.农民工考勤表。</v>
          </cell>
          <cell r="W36" t="str">
            <v>各级单位-建设部门-项目经理
建设公司-建管分公司-项目经理、技经中心-技经人员</v>
          </cell>
          <cell r="X36" t="str">
            <v>每年</v>
          </cell>
          <cell r="Y36" t="str">
            <v>抽查</v>
          </cell>
        </row>
        <row r="36">
          <cell r="AA36" t="str">
            <v>每年</v>
          </cell>
          <cell r="AB36" t="str">
            <v>抽查</v>
          </cell>
        </row>
        <row r="36">
          <cell r="AH36" t="str">
            <v>是</v>
          </cell>
          <cell r="AI36" t="str">
            <v>是</v>
          </cell>
          <cell r="AJ36" t="str">
            <v>《国家电网有限公司关于保障输变电工程建设农民工工资支付的通知》(国家电网基建〔2020〕151号)第二章第三章第四章</v>
          </cell>
        </row>
        <row r="37">
          <cell r="I37" t="str">
            <v>电网基建业务-11.农民工工资总包代发控制-控制措施05</v>
          </cell>
          <cell r="J37" t="str">
            <v>各级单位项目管理部门与财务部门审核农民工工资资金是否及时、按制度规定比例足额拨付到位、专户支出是否专款专用、支付手续是否符合完整性、规范性要求；</v>
          </cell>
        </row>
        <row r="37">
          <cell r="O37" t="str">
            <v>√</v>
          </cell>
        </row>
        <row r="37">
          <cell r="Q37" t="str">
            <v>√</v>
          </cell>
        </row>
        <row r="37">
          <cell r="T37" t="str">
            <v>线下管控
系统待建</v>
          </cell>
          <cell r="U37" t="str">
            <v>1.e基建2.0平台
2.数字化法治企业建设平台</v>
          </cell>
          <cell r="V37" t="str">
            <v>1.施工合同；
2.进度款报审表；
3.农民工工资支付表；
4.农民工考勤表。</v>
          </cell>
          <cell r="W37" t="str">
            <v>各级单位-财务部门-工程财务人员、各级单位-财务部门-审批人员
建设公司-建管分公司-项目经理、技经中心-技经人员、财务部-工程（核算）财务人员</v>
          </cell>
          <cell r="X37" t="str">
            <v>每年</v>
          </cell>
          <cell r="Y37" t="str">
            <v>抽查</v>
          </cell>
        </row>
        <row r="37">
          <cell r="AA37" t="str">
            <v>每年</v>
          </cell>
          <cell r="AB37" t="str">
            <v>抽查</v>
          </cell>
        </row>
        <row r="37">
          <cell r="AH37" t="str">
            <v>是</v>
          </cell>
          <cell r="AI37" t="str">
            <v>是</v>
          </cell>
          <cell r="AJ37" t="str">
            <v>《国家电网有限公司关于保障输变电工程建设农民工工资支付的通知》(国家电网基建〔2020〕151号)第二章第三章第四章</v>
          </cell>
        </row>
        <row r="38">
          <cell r="I38" t="str">
            <v>电网基建业务-11.农民工工资总包代发控制-控制措施06</v>
          </cell>
          <cell r="J38" t="str">
            <v>各级单位财务部门负责抽查总承包单位农民工工资支付情况，履行监督职能。</v>
          </cell>
        </row>
        <row r="38">
          <cell r="O38" t="str">
            <v>√</v>
          </cell>
        </row>
        <row r="38">
          <cell r="Q38" t="str">
            <v>√</v>
          </cell>
        </row>
        <row r="38">
          <cell r="T38" t="str">
            <v>线下管控</v>
          </cell>
        </row>
        <row r="38">
          <cell r="V38" t="str">
            <v>1.施工合同；
2.进度款报审表；
3.农民工工资支付表。
4.农民工考勤表。</v>
          </cell>
          <cell r="W38" t="str">
            <v>各级单位-财务部门-工程财务人员
建设公司-财务部门-工程（核算）财务人员</v>
          </cell>
          <cell r="X38" t="str">
            <v>每年</v>
          </cell>
          <cell r="Y38" t="str">
            <v>抽查</v>
          </cell>
        </row>
        <row r="38">
          <cell r="AA38" t="str">
            <v>每年</v>
          </cell>
          <cell r="AB38" t="str">
            <v>抽查</v>
          </cell>
        </row>
        <row r="38">
          <cell r="AH38" t="str">
            <v>是</v>
          </cell>
          <cell r="AI38" t="str">
            <v>是</v>
          </cell>
          <cell r="AJ38" t="str">
            <v>《国家电网有限公司关于保障输变电工程建设农民工工资支付的通知》(国家电网基建〔2020〕151号)第二章第三章第四章</v>
          </cell>
        </row>
        <row r="39">
          <cell r="C39" t="str">
            <v>资金资产安全</v>
          </cell>
          <cell r="D39" t="str">
            <v>项目开工</v>
          </cell>
          <cell r="E39" t="str">
            <v>项目违规开工，未批先建，导致面临行政处罚或承担违规风险。</v>
          </cell>
        </row>
        <row r="39">
          <cell r="G39" t="str">
            <v>12.项目开工合规性审核</v>
          </cell>
          <cell r="H39" t="str">
            <v>确保项目在取得全部行政许可后方可开工，杜绝未批先建行为，确保项目建设的合规性。</v>
          </cell>
          <cell r="I39" t="str">
            <v>电网基建业务-12.项目开工合规性审核-控制措施01</v>
          </cell>
          <cell r="J39" t="str">
            <v>各级单位建设部门加强开工审批流程管理，开工管理要严格遵循“依法合规、分层报批”原则，项目开工前要完成行政审批手续，未经审批不得私自开工。</v>
          </cell>
        </row>
        <row r="39">
          <cell r="L39" t="str">
            <v>√</v>
          </cell>
          <cell r="M39" t="str">
            <v>√</v>
          </cell>
        </row>
        <row r="39">
          <cell r="T39" t="str">
            <v>线下管控</v>
          </cell>
        </row>
        <row r="39">
          <cell r="V39" t="str">
            <v>1.项目核准文件；
2.建设工程（市政工程）规划许可证（按需）；
3.国有土地划拨决定书或建设用地批准书（按需）。</v>
          </cell>
          <cell r="W39" t="str">
            <v>各级单位-建设部门-项目经理
省公司-建设部门-建管管理人员；建设公司--建管分公司-项目经理、前期中心-前期项目经理</v>
          </cell>
          <cell r="X39" t="str">
            <v>每年</v>
          </cell>
          <cell r="Y39" t="str">
            <v>抽查</v>
          </cell>
        </row>
        <row r="39">
          <cell r="AA39" t="str">
            <v>每年</v>
          </cell>
          <cell r="AB39" t="str">
            <v>抽查</v>
          </cell>
        </row>
        <row r="39">
          <cell r="AH39" t="str">
            <v>是</v>
          </cell>
          <cell r="AI39" t="str">
            <v>是</v>
          </cell>
          <cell r="AJ39" t="str">
            <v>《国家电网有限公司输变电工程进度计划管理办法》（国家电网企管〔2019〕426号）第四章第十八、十九条</v>
          </cell>
          <cell r="AK39" t="str">
            <v>国网基建部</v>
          </cell>
        </row>
        <row r="40">
          <cell r="B40" t="str">
            <v>耕地占用税管理</v>
          </cell>
        </row>
        <row r="40">
          <cell r="E40" t="str">
            <v>临时耕地占用税缴纳不及时、复垦不及时造成损失、缴税责任主体控制不清</v>
          </cell>
        </row>
        <row r="40">
          <cell r="G40" t="str">
            <v>临时耕地占用税缴纳规范性管控 </v>
          </cell>
          <cell r="H40" t="str">
            <v>及时规范缴税、按照要求完成复垦、“谁办理、谁缴纳”、明确无法退税责任主体。</v>
          </cell>
          <cell r="I40" t="str">
            <v>电网基建业务-临时耕地占用税缴纳规范性管控-控制措施</v>
          </cell>
          <cell r="J40" t="str">
            <v>各级建管单位建立临时用地专项台账，及时向出资单位申请资金缴纳税费；工程收尾阶段同步制定复垦实施方案，落实复垦整改标准，组织专业人员现场核查，确保复垦通过验收，对造成实际损失的及时进行账务处理；对复垦验收失败、无法收回的款项，单独登记台账备查，留存验收不合格证明、损失认定责任界定表等资料。  </v>
          </cell>
        </row>
        <row r="40">
          <cell r="T40" t="str">
            <v>线下管控</v>
          </cell>
        </row>
        <row r="40">
          <cell r="V40" t="str">
            <v>1.临时用地耕地占用税管理台账2.税款缴纳凭证             3.土地复垦实施方案         4.复垦现场验收报告、肯定验收不合格认定书、税款损失认定审批材料</v>
          </cell>
          <cell r="W40" t="str">
            <v>建设公司-建管分公司-项目经理、财务部-税务管理人员</v>
          </cell>
        </row>
        <row r="40">
          <cell r="AJ40" t="str">
            <v>暂无制度</v>
          </cell>
          <cell r="AK40" t="str">
            <v>财务部</v>
          </cell>
        </row>
        <row r="41">
          <cell r="A41" t="str">
            <v>35千伏-750千伏电网基建项目</v>
          </cell>
          <cell r="B41" t="str">
            <v>三、项目实施管理</v>
          </cell>
          <cell r="C41" t="str">
            <v>资金资产安全</v>
          </cell>
          <cell r="D41" t="str">
            <v>项目设计变更与审批</v>
          </cell>
          <cell r="E41" t="str">
            <v>违规肢解、拆分设计变更，或虚假设计变更、现场签证等，导致工程量不实，施工费结算出现偏差，造成成本增加损失。</v>
          </cell>
          <cell r="F41" t="str">
            <v>25.结算不准确，多结算工程款：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
29.工程变更管理不规范：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v>
          </cell>
          <cell r="G41" t="str">
            <v>13.设计变更与现场签证真实性审核控制</v>
          </cell>
          <cell r="H41" t="str">
            <v>设计变更、现场签证与现场工程量一致。</v>
          </cell>
          <cell r="I41" t="str">
            <v>电网基建业务-13.设计变更与现场签证真实性审核控制-控制措施01</v>
          </cell>
          <cell r="J41" t="str">
            <v>建设公司建立“谁鉴证谁负责”查勘机制，建管单位、设计单位、施工单位、监理单位对现场进行查勘，并对查勘结果负责；</v>
          </cell>
        </row>
        <row r="41">
          <cell r="L41" t="str">
            <v>√</v>
          </cell>
          <cell r="M41" t="str">
            <v>√</v>
          </cell>
        </row>
        <row r="41">
          <cell r="T41" t="str">
            <v>线下管控</v>
          </cell>
        </row>
        <row r="41">
          <cell r="V41" t="str">
            <v>1.设计及现场变更汇总表。
2.设计变更审批单；
3.现场签证审批单。</v>
          </cell>
          <cell r="W41" t="str">
            <v>各级单位-建设部门-项目经理、各级单位-建设部门-审批人员
建设公司--建管分公司--项目经理、技经中心-技经人员</v>
          </cell>
          <cell r="X41" t="str">
            <v>每年</v>
          </cell>
          <cell r="Y41" t="str">
            <v>抽查</v>
          </cell>
        </row>
        <row r="41">
          <cell r="AA41" t="str">
            <v>每年</v>
          </cell>
          <cell r="AB41" t="str">
            <v>抽查</v>
          </cell>
        </row>
        <row r="41">
          <cell r="AH41" t="str">
            <v>是</v>
          </cell>
          <cell r="AI41" t="str">
            <v>是</v>
          </cell>
          <cell r="AJ41" t="str">
            <v>《国家电网有限公司输变电工程进度计划管理办法》（国家电网企管〔2019〕426号）第二章第十一条</v>
          </cell>
          <cell r="AK41" t="str">
            <v>国网基建部</v>
          </cell>
        </row>
        <row r="42">
          <cell r="I42" t="str">
            <v>电网基建业务-13.设计变更与现场签证真实性审核控制-控制措施02</v>
          </cell>
          <cell r="J42" t="str">
            <v>建设公司建立“谁审批谁负责”复核机制，建管单位、设计单位、施工单位、监理单位对查勘结果进行审批复核；</v>
          </cell>
        </row>
        <row r="42">
          <cell r="L42" t="str">
            <v>√</v>
          </cell>
          <cell r="M42" t="str">
            <v>√</v>
          </cell>
        </row>
        <row r="42">
          <cell r="T42" t="str">
            <v>线下管控</v>
          </cell>
        </row>
        <row r="42">
          <cell r="V42" t="str">
            <v>1.设计及现场变更汇总表；
2.设计变更审批单；
3.现场签证审批单。</v>
          </cell>
          <cell r="W42" t="str">
            <v>各级单位-建设部门-项目经理、各级单位-建设部门-审批人员
建设公司--建管分公司--项目经理、技经中心-技经人员</v>
          </cell>
          <cell r="X42" t="str">
            <v>每年</v>
          </cell>
          <cell r="Y42" t="str">
            <v>抽查</v>
          </cell>
        </row>
        <row r="42">
          <cell r="AA42" t="str">
            <v>每年</v>
          </cell>
          <cell r="AB42" t="str">
            <v>抽查</v>
          </cell>
        </row>
        <row r="42">
          <cell r="AH42" t="str">
            <v>是</v>
          </cell>
          <cell r="AI42" t="str">
            <v>是</v>
          </cell>
          <cell r="AJ42" t="str">
            <v>《国家电网有限公司输变电工程进度计划管理办法》（国家电网企管〔2019〕426号）第二章第十一条</v>
          </cell>
        </row>
        <row r="43">
          <cell r="I43" t="str">
            <v>电网基建业务-13.设计变更与现场签证真实性审核控制-控制措施03</v>
          </cell>
          <cell r="J43" t="str">
            <v>建设公司严格履行设计变更、现场签证分级审批流程权限；</v>
          </cell>
        </row>
        <row r="43">
          <cell r="L43" t="str">
            <v>√</v>
          </cell>
          <cell r="M43" t="str">
            <v>√</v>
          </cell>
        </row>
        <row r="43">
          <cell r="T43" t="str">
            <v>系统已建</v>
          </cell>
          <cell r="U43" t="str">
            <v>e基建2.0平台</v>
          </cell>
          <cell r="V43" t="str">
            <v>1.设计及现场变更汇总表；
2.设计变更审批单；
3.现场签证审批单。</v>
          </cell>
          <cell r="W43" t="str">
            <v>各级单位-建设部门-项目经理、各级单位-建设部门-审批人员
建设公司--建管分公司--项目经理、技经中心-技经人员</v>
          </cell>
          <cell r="X43" t="str">
            <v>每年</v>
          </cell>
          <cell r="Y43" t="str">
            <v>抽查</v>
          </cell>
        </row>
        <row r="43">
          <cell r="AA43" t="str">
            <v>每年</v>
          </cell>
          <cell r="AB43" t="str">
            <v>抽查</v>
          </cell>
        </row>
        <row r="43">
          <cell r="AH43" t="str">
            <v>是</v>
          </cell>
          <cell r="AI43" t="str">
            <v>是</v>
          </cell>
          <cell r="AJ43" t="str">
            <v>《国家电网有限公司输变电工程进度计划管理办法》（国家电网企管〔2019〕426号）第二章第十一条，《国家电网公司输变电工程设计变更与现场签证管理办法》（国网（基建/3）185-2017）第二章</v>
          </cell>
        </row>
        <row r="44">
          <cell r="I44" t="str">
            <v>电网基建业务-13.设计变更与现场签证真实性审核控制-控制措施04</v>
          </cell>
          <cell r="J44" t="str">
            <v>建设公司分析设计变更频次、金额，对设计、施工、监理单位开展评价。</v>
          </cell>
        </row>
        <row r="44">
          <cell r="L44" t="str">
            <v>√</v>
          </cell>
          <cell r="M44" t="str">
            <v>√</v>
          </cell>
        </row>
        <row r="44">
          <cell r="S44" t="str">
            <v>√</v>
          </cell>
          <cell r="T44" t="str">
            <v>线下管控</v>
          </cell>
        </row>
        <row r="44">
          <cell r="V44" t="str">
            <v>1.设计及现场变更汇总表；
2.设计变更审批单；
3.现场签证审批单。</v>
          </cell>
          <cell r="W44" t="str">
            <v>各级单位-建设部门-项目经理
建设公司--建管分公司--项目经理、技经中心-技经人员</v>
          </cell>
          <cell r="X44" t="str">
            <v>每年</v>
          </cell>
          <cell r="Y44" t="str">
            <v>抽查</v>
          </cell>
        </row>
        <row r="44">
          <cell r="AA44" t="str">
            <v>每年</v>
          </cell>
          <cell r="AB44" t="str">
            <v>抽查</v>
          </cell>
        </row>
        <row r="44">
          <cell r="AH44" t="str">
            <v>是</v>
          </cell>
          <cell r="AI44" t="str">
            <v>是</v>
          </cell>
          <cell r="AJ44" t="str">
            <v>《国家电网有限公司输变电工程进度计划管理办法》（国家电网企管〔2019〕426号）第二章第十一条</v>
          </cell>
        </row>
        <row r="45">
          <cell r="C45" t="str">
            <v>资金资产安全</v>
          </cell>
          <cell r="D45" t="str">
            <v>物资到货交接</v>
          </cell>
          <cell r="E45" t="str">
            <v>物资现场到货与物资采购不符，物资短缺、​规格错误或质量不达标，需二次采购，导致工程延误、成本增加。</v>
          </cell>
          <cell r="F45" t="str">
            <v>24.项目质量管控不严：存在混凝土检测等乙供材试验不规范、乙供材未经检测即在工程中使用；未按批复规模/施工图/设计要求施工等问题。</v>
          </cell>
          <cell r="G45" t="str">
            <v>14.物资现场到货与采购一致性控制</v>
          </cell>
          <cell r="H45" t="str">
            <v>明确到货交接、现场保管及设备移交全流程责任。</v>
          </cell>
          <cell r="I45" t="str">
            <v>电网基建业务-14.物资现场到货与采购一致性控制-控制措施01</v>
          </cell>
          <cell r="J45" t="str">
            <v>各级单位物资部门建立供应商、建设管理单位项目经理、物资供应人员三方到货交接责任机制，确保物资现场到货与采购合同一致；物资实行“按需领用、实名登记”。</v>
          </cell>
        </row>
        <row r="45">
          <cell r="M45" t="str">
            <v>√</v>
          </cell>
        </row>
        <row r="45">
          <cell r="O45" t="str">
            <v>√</v>
          </cell>
        </row>
        <row r="45">
          <cell r="R45" t="str">
            <v>√</v>
          </cell>
        </row>
        <row r="45">
          <cell r="T45" t="str">
            <v>系统已建</v>
          </cell>
          <cell r="U45" t="str">
            <v>绿色现代数智供应链平台</v>
          </cell>
          <cell r="V45" t="str">
            <v>1.ERP物资货物交接单；
2.经法系统物资合同；
3.项目物资需求单。</v>
          </cell>
          <cell r="W45" t="str">
            <v>各级单位-建设部门-项目经理、各级单位-物资部门-履约管理人员
物资公司相关岗位</v>
          </cell>
          <cell r="X45" t="str">
            <v>每年</v>
          </cell>
          <cell r="Y45" t="str">
            <v>抽查</v>
          </cell>
        </row>
        <row r="45">
          <cell r="AA45" t="str">
            <v>每年</v>
          </cell>
          <cell r="AB45" t="str">
            <v>抽查</v>
          </cell>
        </row>
        <row r="45">
          <cell r="AD45" t="str">
            <v>物资到货交接监督场景</v>
          </cell>
          <cell r="AE45" t="str">
            <v>每月</v>
          </cell>
        </row>
        <row r="45">
          <cell r="AH45" t="str">
            <v>是</v>
          </cell>
          <cell r="AI45" t="str">
            <v>是</v>
          </cell>
          <cell r="AJ45" t="str">
            <v>《国家电网有限公司实物资源管理办法》（国家电网企管〔2022〕235号）第三章</v>
          </cell>
          <cell r="AK45" t="str">
            <v>国网基建部、国网物资部</v>
          </cell>
        </row>
        <row r="46">
          <cell r="I46" t="str">
            <v>电网基建业务-14.物资现场到货与采购一致性控制-控制措施02</v>
          </cell>
          <cell r="J46" t="str">
            <v>各级单位建设部门建立现场物资安全保管责任制，明确设备移交双方责任，依托实物ID赋码实现全流程线上跟踪；无实物ID物资建立线上虚拟台账，定期开展账实核对并留存核对记录；</v>
          </cell>
        </row>
        <row r="46">
          <cell r="R46" t="str">
            <v>√</v>
          </cell>
        </row>
        <row r="46">
          <cell r="T46" t="str">
            <v>线下管控</v>
          </cell>
        </row>
        <row r="46">
          <cell r="V46" t="str">
            <v>1.ERP物资到货交接单；
2.经法系统物资合同；
3.项目物资需求单；
4.入库单；
5.物资结算资料。</v>
          </cell>
          <cell r="W46" t="str">
            <v>各级单位-建设部门-项目经理
物资公司相关岗位</v>
          </cell>
          <cell r="X46" t="str">
            <v>每年</v>
          </cell>
          <cell r="Y46" t="str">
            <v>抽查</v>
          </cell>
        </row>
        <row r="46">
          <cell r="AA46" t="str">
            <v>每年</v>
          </cell>
          <cell r="AB46" t="str">
            <v>抽查</v>
          </cell>
        </row>
        <row r="46">
          <cell r="AH46" t="str">
            <v>是</v>
          </cell>
          <cell r="AI46" t="str">
            <v>是</v>
          </cell>
          <cell r="AJ46" t="str">
            <v>《国家电网有限公司实物资源管理办法》（国家电网企管〔2022〕235号 ）第三章</v>
          </cell>
          <cell r="AK46" t="str">
            <v>国网基建部</v>
          </cell>
        </row>
        <row r="47">
          <cell r="I47" t="str">
            <v>电网基建业务-14.物资现场到货与采购一致性控制-控制措施03</v>
          </cell>
          <cell r="J47" t="str">
            <v>各级单位建设部门建立现场物资盘点机制，定期组织开展实物台账一致性核查。落实盘点人与保管人不相容岗位内控要求。</v>
          </cell>
          <cell r="K47" t="str">
            <v>√</v>
          </cell>
        </row>
        <row r="47">
          <cell r="R47" t="str">
            <v>√</v>
          </cell>
        </row>
        <row r="47">
          <cell r="T47" t="str">
            <v>线下管控</v>
          </cell>
        </row>
        <row r="47">
          <cell r="V47" t="str">
            <v>1.ERP物资到货交接单；
2.经法系统物资合同；
3.项目物资需求单；
4.入库单；
5.物资结算资料。</v>
          </cell>
          <cell r="W47" t="str">
            <v>各级单位-建设部门-项目经理
物资公司相关岗位</v>
          </cell>
          <cell r="X47" t="str">
            <v>每年</v>
          </cell>
          <cell r="Y47" t="str">
            <v>抽查</v>
          </cell>
        </row>
        <row r="47">
          <cell r="AA47" t="str">
            <v>每年</v>
          </cell>
          <cell r="AB47" t="str">
            <v>抽查</v>
          </cell>
        </row>
        <row r="47">
          <cell r="AH47" t="str">
            <v>是</v>
          </cell>
          <cell r="AI47" t="str">
            <v>是</v>
          </cell>
          <cell r="AJ47" t="str">
            <v>《国家电网有限公司实物资源管理办法》（国家电网企管〔2022〕235号 ）第三章</v>
          </cell>
        </row>
        <row r="48">
          <cell r="A48" t="str">
            <v>35千伏-750千伏电网基建项目</v>
          </cell>
          <cell r="B48" t="str">
            <v>三、项目实施管理</v>
          </cell>
          <cell r="C48" t="str">
            <v>资金资产安全</v>
          </cell>
          <cell r="D48" t="str">
            <v>物资成本确认</v>
          </cell>
          <cell r="E48" t="str">
            <v>提前确认项目物资成本，导致项目物资采购成本与现场实际到货不一致，虚增成本费用。</v>
          </cell>
        </row>
        <row r="48">
          <cell r="G48" t="str">
            <v>15.物资成本报账与现场实物到货一致性控制</v>
          </cell>
          <cell r="H48" t="str">
            <v>物资成本报账与现场实际到货一致。</v>
          </cell>
          <cell r="I48" t="str">
            <v>电网基建业务-15.物资成本报账与现场实物到货一致性控制-控制措施01</v>
          </cell>
          <cell r="J48" t="str">
            <v>各级单位财务部门对物资报账相关单据合规性、完整性进行复核核验。</v>
          </cell>
        </row>
        <row r="48">
          <cell r="M48" t="str">
            <v>√</v>
          </cell>
        </row>
        <row r="48">
          <cell r="Q48" t="str">
            <v>√</v>
          </cell>
          <cell r="R48" t="str">
            <v>√</v>
          </cell>
        </row>
        <row r="48">
          <cell r="T48" t="str">
            <v>线下管控</v>
          </cell>
        </row>
        <row r="48">
          <cell r="V48" t="str">
            <v>1.物资款支付报审表；
2.出入库单；
3.采购合同；
4.现场验收签收单。</v>
          </cell>
          <cell r="W48" t="str">
            <v>各级单位-财务部门-工程财务人员
物资公司相关岗位</v>
          </cell>
          <cell r="X48" t="str">
            <v>每年</v>
          </cell>
          <cell r="Y48" t="str">
            <v>抽查</v>
          </cell>
        </row>
        <row r="48">
          <cell r="AA48" t="str">
            <v>每年</v>
          </cell>
          <cell r="AB48" t="str">
            <v>抽查</v>
          </cell>
        </row>
        <row r="48">
          <cell r="AH48" t="str">
            <v>是</v>
          </cell>
          <cell r="AI48" t="str">
            <v>是</v>
          </cell>
          <cell r="AJ48" t="str">
            <v>《国家电网有限公司工程财务管理办法》（国家电网企管〔2023〕28号）第二章</v>
          </cell>
          <cell r="AK48" t="str">
            <v>国网财务部</v>
          </cell>
        </row>
        <row r="49">
          <cell r="C49" t="str">
            <v>会计信息真实完整</v>
          </cell>
          <cell r="D49" t="str">
            <v>工程成本核算确认</v>
          </cell>
          <cell r="E49" t="str">
            <v>提前确认项目建设成本，导致项目建设成本与工程现场进度不匹配，虚增成本费用。</v>
          </cell>
          <cell r="F49" t="str">
            <v>23.项目进度计划管控不到位：存在工程开工延迟、未按期完工、未按期投产；工程项目竣工后仍进行施工计划作业；工程项目竣工后仍有物资出库；新能源接网配套项目建设推进不及时等问题。</v>
          </cell>
          <cell r="G49" t="str">
            <v>16.施工成本报账与现场进度一致性控制</v>
          </cell>
          <cell r="H49" t="str">
            <v>施工成本报账与现场进度一致。</v>
          </cell>
          <cell r="I49" t="str">
            <v>电网基建业务-16.施工成本报账与现场进度一致性控制-控制措施01</v>
          </cell>
          <cell r="J49" t="str">
            <v>各级单位建设部门建立健全项目工程量与报账复核机制：
报账时，提供工程量清单、合同付款单等相关佐证材料，确保现场工作量与报账保持相对一致；
支付工程预付款时，审核是否开具收据或不征税普通发票，严禁提前确认工程成本；
审核进度款时，审核报审表与工程量清单进度一致，检查预付款扣回条款落实情况，按照合同约定在支付进度款时扣回预付款，确保进度款支付进度不超过合同约定。</v>
          </cell>
        </row>
        <row r="49">
          <cell r="M49" t="str">
            <v>√</v>
          </cell>
        </row>
        <row r="49">
          <cell r="O49" t="str">
            <v>√</v>
          </cell>
        </row>
        <row r="49">
          <cell r="T49" t="str">
            <v>系统待建</v>
          </cell>
          <cell r="U49" t="str">
            <v>1.ERP系统
2.e基建2.0平台
3.智慧共享财务平台</v>
          </cell>
          <cell r="V49" t="str">
            <v>1.进度款报审表；
2.工程量清单；
3.发票；
4.合同；
5.里程碑计划月报。</v>
          </cell>
          <cell r="W49" t="str">
            <v>各级单位-建设部门-项目经理
建设公司--建管分公司--项目经理、技经中心-技经人员</v>
          </cell>
          <cell r="X49" t="str">
            <v>每年</v>
          </cell>
          <cell r="Y49" t="str">
            <v>抽查</v>
          </cell>
        </row>
        <row r="49">
          <cell r="AA49" t="str">
            <v>每年</v>
          </cell>
          <cell r="AB49" t="str">
            <v>抽查</v>
          </cell>
        </row>
        <row r="49">
          <cell r="AH49" t="str">
            <v>是</v>
          </cell>
          <cell r="AI49" t="str">
            <v>是</v>
          </cell>
          <cell r="AJ49" t="str">
            <v>《国家电网有限公司工程财务管理办法》（国家电网企管〔2023〕28号）第二章</v>
          </cell>
          <cell r="AK49" t="str">
            <v>国网基建部</v>
          </cell>
        </row>
        <row r="50">
          <cell r="I50" t="str">
            <v>电网基建业务-16.施工成本报账与现场进度一致性控制-控制措施02</v>
          </cell>
          <cell r="J50" t="str">
            <v>各级单位财务部门对施工进度成本确认与合同履约台账的合规性进行复核核验，核实付款申请单的发票、合同及付款申请单中开票方、合同签订方与收款方一致性，确认款项支付严格按照合同约定执行。</v>
          </cell>
        </row>
        <row r="50">
          <cell r="M50" t="str">
            <v>√</v>
          </cell>
        </row>
        <row r="50">
          <cell r="O50" t="str">
            <v>√</v>
          </cell>
        </row>
        <row r="50">
          <cell r="Q50" t="str">
            <v>√</v>
          </cell>
        </row>
        <row r="50">
          <cell r="T50" t="str">
            <v>系统已建</v>
          </cell>
          <cell r="U50" t="str">
            <v>1.ERP系统
2.智慧共享财务平台</v>
          </cell>
          <cell r="V50" t="str">
            <v>1.进度款报审表；
2.工程量清单；
3.发票；
4.合同。</v>
          </cell>
          <cell r="W50" t="str">
            <v>各级单位-财务部门-工程财务人员
建设公司-财务部-工程（核算）财务人员</v>
          </cell>
          <cell r="X50" t="str">
            <v>每年</v>
          </cell>
          <cell r="Y50" t="str">
            <v>抽查</v>
          </cell>
        </row>
        <row r="50">
          <cell r="AA50" t="str">
            <v>每年</v>
          </cell>
          <cell r="AB50" t="str">
            <v>抽查</v>
          </cell>
        </row>
        <row r="50">
          <cell r="AD50" t="str">
            <v>施工成本报账与现场进度一致性监督场景</v>
          </cell>
          <cell r="AE50" t="str">
            <v>每月</v>
          </cell>
        </row>
        <row r="50">
          <cell r="AH50" t="str">
            <v>是</v>
          </cell>
          <cell r="AI50" t="str">
            <v>是</v>
          </cell>
          <cell r="AJ50" t="str">
            <v>《国家电网有限公司工程财务管理办法》（国家电网企管〔2023〕28号）第二章</v>
          </cell>
          <cell r="AK50" t="str">
            <v>国网财务部</v>
          </cell>
        </row>
        <row r="51">
          <cell r="C51" t="str">
            <v>资金资产安全</v>
          </cell>
          <cell r="D51" t="str">
            <v>法人管理费管理</v>
          </cell>
          <cell r="E51" t="str">
            <v>法人管理费列支范围不清晰、开支标准不统一、未严格执行预算，导致费用超支或列支不合规。</v>
          </cell>
        </row>
        <row r="51">
          <cell r="G51" t="str">
            <v>施工成本报账其他费用-法人管理费管控</v>
          </cell>
          <cell r="H51" t="str">
            <v>严格实行法人管理费预算管控，规范费用列支渠道，按照规定的标准及审批流程进行报销，强化法人费结算管理。</v>
          </cell>
          <cell r="I51" t="str">
            <v>电网基建业务-16.施工成本报账其他费用-法人管理费控制措施03</v>
          </cell>
          <cell r="J51" t="str">
            <v>法人管理费实行单个项目管控，所有费用须在经批准的项目概（估）算、年度预算范围内规范列支，前置审核费用报销的预算可用额度、列支范围和单据合规性，严控非生产性支出，确保预算不超支。</v>
          </cell>
        </row>
        <row r="51">
          <cell r="M51" t="str">
            <v>√</v>
          </cell>
        </row>
        <row r="51">
          <cell r="Q51" t="str">
            <v>√</v>
          </cell>
          <cell r="R51" t="str">
            <v>√</v>
          </cell>
          <cell r="S51" t="str">
            <v>√</v>
          </cell>
          <cell r="T51" t="str">
            <v>线下管控</v>
          </cell>
          <cell r="U51" t="str">
            <v>1.ERP系统
2.智慧共享财务平台</v>
          </cell>
          <cell r="V51" t="str">
            <v>1.法人管理费预算申报表
2.法人管理费结算表
3.合同执行情况表           4.投产关闭项目清单</v>
          </cell>
          <cell r="W51" t="str">
            <v>建设公司-财务部-工程（核算）财务人员</v>
          </cell>
          <cell r="X51" t="str">
            <v>每年</v>
          </cell>
          <cell r="Y51" t="str">
            <v>抽查</v>
          </cell>
        </row>
        <row r="51">
          <cell r="AA51" t="str">
            <v>每年</v>
          </cell>
          <cell r="AB51" t="str">
            <v>抽查</v>
          </cell>
        </row>
        <row r="51">
          <cell r="AH51" t="str">
            <v>是</v>
          </cell>
          <cell r="AI51" t="str">
            <v>是</v>
          </cell>
          <cell r="AJ51" t="str">
            <v>《国网湖南省电力有限公司建设分公司关于制定规范输变电工程项目法人管理费使用与管理的实施意见的通知》（湘电建财〔2026〕2号）</v>
          </cell>
          <cell r="AK51" t="str">
            <v>财务部</v>
          </cell>
        </row>
        <row r="52">
          <cell r="D52" t="str">
            <v>税务管理</v>
          </cell>
          <cell r="E52" t="str">
            <v>税务全流程管控缺位，出现申报逾期、税费退还滞后、印花税计提分摊错漏问题，引发税务风险。</v>
          </cell>
        </row>
        <row r="52">
          <cell r="G52" t="str">
            <v>施工成本报账其他费用-税费管理</v>
          </cell>
          <cell r="H52" t="str">
            <v>精准识别电网基建项目各类涉税事项，依规完成申报缴纳、退税办理、印花税计提分摊全流程管理，保证税费足额按期清缴、合规退回，精准归集计入项目成本。</v>
          </cell>
          <cell r="I52" t="str">
            <v>电网基建业务-16.施工成本报账其他费用-税费管理04</v>
          </cell>
          <cell r="J52" t="str">
            <v>各单位建立“合同-项目-印花税”联动台账、登记合同名称、签订日期、所属项目、计税金额、分摊比列、完税凭证等。对于单体项目专用合同，应全额资本化对应工程成本；多项目分摊应以合同金额/工程量等为分摊技术，编制分摊计算表，作为入账依据，工程决算前开展涉税成本核查，对应合同台账、分摊表、完税凭证、项目成本确保四方数据一致。常态化开展税费自查复盘，强化与税务机关对接沟通，确保各项税费依法足额缴纳、合规退还，精准计入项目成本。</v>
          </cell>
        </row>
        <row r="52">
          <cell r="T52" t="str">
            <v>线下管控</v>
          </cell>
        </row>
        <row r="52">
          <cell r="V52" t="str">
            <v>1.工程应税合同管理台账     2.印花税分摊计算表         3.纳税申报表               4.完税证明</v>
          </cell>
          <cell r="W52" t="str">
            <v>建设公司-财务部-税务管理人员</v>
          </cell>
        </row>
        <row r="52">
          <cell r="AJ52" t="str">
            <v>《国家电网有限公司税务管理办法》（国家电网企管〔202619〕262号）第六章  纳税申报与报告管理</v>
          </cell>
          <cell r="AK52" t="str">
            <v>财务部</v>
          </cell>
        </row>
        <row r="53">
          <cell r="C53" t="str">
            <v>资金资产安全</v>
          </cell>
          <cell r="D53" t="str">
            <v>项目施工工期管理</v>
          </cell>
          <cell r="E53" t="str">
            <v>项目进度计划管控不到位，未按期完工、投产，导致项目经济效益下降，造成资金长期占用。</v>
          </cell>
        </row>
        <row r="53">
          <cell r="G53" t="str">
            <v>17.长期挂账在建工程清理</v>
          </cell>
          <cell r="H53" t="str">
            <v>做好在建工程工期进度管控和价值管理。</v>
          </cell>
          <cell r="I53" t="str">
            <v>电网基建业务-17.长期挂账在建工程清理-控制措施01</v>
          </cell>
          <cell r="J53" t="str">
            <v>各级单位财务部门建立在建工程长期挂账预警机制，按《国网工程财务管理办法》规定，对6个月及以上无支出的在建工程提出停滞预警，对一年以上无支出的在建工程提出核销预警，并结合区域特点（东北长期封冻期）、项目类型（藏区环境保护）、季节特性（春节、迎峰度夏期间）等并结合区域特点季节特性（春节、迎峰度夏度冬、春雨季、防汛期间）等，适当调整停滞预警和核销预警的时间；</v>
          </cell>
        </row>
        <row r="53">
          <cell r="Q53" t="str">
            <v>√</v>
          </cell>
        </row>
        <row r="53">
          <cell r="T53" t="str">
            <v>系统待建</v>
          </cell>
          <cell r="U53" t="str">
            <v>智慧共享财务平台</v>
          </cell>
          <cell r="V53" t="str">
            <v>1.近一年项目成本支出明细；
2.在建工程明细。</v>
          </cell>
          <cell r="W53" t="str">
            <v>各级单位-财务部门-工程财务人员
建设公司-财务部-工程（核算）财务人员、
建管分公司-项目经理</v>
          </cell>
          <cell r="X53" t="str">
            <v>每年</v>
          </cell>
          <cell r="Y53" t="str">
            <v>抽查</v>
          </cell>
        </row>
        <row r="53">
          <cell r="AA53" t="str">
            <v>每年</v>
          </cell>
          <cell r="AB53" t="str">
            <v>抽查</v>
          </cell>
        </row>
        <row r="53">
          <cell r="AH53" t="str">
            <v>是</v>
          </cell>
          <cell r="AI53" t="str">
            <v>是</v>
          </cell>
          <cell r="AJ53" t="str">
            <v>《国家电网有限公司工程财务管理办法》（国家电网企管〔2023〕28号）第五章</v>
          </cell>
          <cell r="AK53" t="str">
            <v>国网基建部、国网财务部</v>
          </cell>
        </row>
        <row r="54">
          <cell r="I54" t="str">
            <v>电网基建业务-17.长期挂账在建工程清理-控制措施02</v>
          </cell>
          <cell r="J54" t="str">
            <v>各级单位建设部门对停滞预警及时反馈说明情况，对核销预警进行减值与核销评估并出具意见说明；</v>
          </cell>
        </row>
        <row r="54">
          <cell r="T54" t="str">
            <v>线下管控</v>
          </cell>
        </row>
        <row r="54">
          <cell r="V54" t="str">
            <v>1.减值与核销评估意见。</v>
          </cell>
          <cell r="W54" t="str">
            <v>各级单位-建设部门-项目经理、各级单位-建设部门-审批人员
建设公司-建管分公司-项目经理</v>
          </cell>
          <cell r="X54" t="str">
            <v>每年</v>
          </cell>
          <cell r="Y54" t="str">
            <v>抽查</v>
          </cell>
        </row>
        <row r="54">
          <cell r="AA54" t="str">
            <v>每年</v>
          </cell>
          <cell r="AB54" t="str">
            <v>抽查</v>
          </cell>
        </row>
        <row r="54">
          <cell r="AH54" t="str">
            <v>是</v>
          </cell>
          <cell r="AI54" t="str">
            <v>是</v>
          </cell>
          <cell r="AJ54" t="str">
            <v>《国家电网有限公司工程财务管理办法》（国家电网企管〔2023〕28号）第五章</v>
          </cell>
        </row>
        <row r="55">
          <cell r="I55" t="str">
            <v>电网基建业务-17.长期挂账在建工程清理-控制措施03</v>
          </cell>
          <cell r="J55" t="str">
            <v>各级单位建设部门结合减值与核销原因，建立减值与核销项目免责与追责机制。</v>
          </cell>
        </row>
        <row r="55">
          <cell r="T55" t="str">
            <v>线下管控</v>
          </cell>
        </row>
        <row r="55">
          <cell r="V55" t="str">
            <v>1.减值与核销评估意见。</v>
          </cell>
          <cell r="W55" t="str">
            <v>各级单位-建设部门-项目经理
建设公司-建管分公司-项目经理</v>
          </cell>
          <cell r="X55" t="str">
            <v>每年</v>
          </cell>
          <cell r="Y55" t="str">
            <v>抽查</v>
          </cell>
        </row>
        <row r="55">
          <cell r="AA55" t="str">
            <v>每年</v>
          </cell>
          <cell r="AB55" t="str">
            <v>抽查</v>
          </cell>
        </row>
        <row r="55">
          <cell r="AH55" t="str">
            <v>是</v>
          </cell>
          <cell r="AI55" t="str">
            <v>否</v>
          </cell>
          <cell r="AJ55" t="str">
            <v>《国家电网有限公司工程财务管理办法》（国家电网企管〔2023〕28号）第五章、《国家电网有限公司违规经营投资责任追究实施办法（试行）》（国家电网办〔2019〕32号）第三章</v>
          </cell>
        </row>
        <row r="56">
          <cell r="A56" t="str">
            <v>35千伏-750千伏电网基建项目</v>
          </cell>
          <cell r="B56" t="str">
            <v>四、竣工验收转资</v>
          </cell>
          <cell r="C56" t="str">
            <v>资金资产安全</v>
          </cell>
          <cell r="D56" t="str">
            <v>项目竣工验收</v>
          </cell>
          <cell r="E56" t="str">
            <v>工程未开工、未完工虚假验收，导致项目提前结决算，产生资金支付风险。</v>
          </cell>
          <cell r="F56" t="str">
            <v>36.工程验收管理不规范：存在未完工提前办理验收；隐蔽工程验收管理不规范；项目竣工验收直接将单位工程质量竣工验收记录作为工程竣工验收报告；项目竣工验收缺少验收报告、设备材料合格证、出厂试验报告等资料等问题。</v>
          </cell>
          <cell r="G56" t="str">
            <v>18.现场实际工程量与验收报告一致性控制</v>
          </cell>
          <cell r="H56" t="str">
            <v>现场实际工程量与验收报告一致。</v>
          </cell>
          <cell r="I56" t="str">
            <v>电网基建业务-18.现场实际工程量与验收报告一致性控制-控制措施01</v>
          </cell>
          <cell r="J56" t="str">
            <v>各级单位建设部门规范验收流程，严格履行内部交叉验收机制，各级单位、监理单位、施工单位等多方联合开展验收，相互监督制约。</v>
          </cell>
        </row>
        <row r="56">
          <cell r="M56" t="str">
            <v>√</v>
          </cell>
        </row>
        <row r="56">
          <cell r="R56" t="str">
            <v>√</v>
          </cell>
        </row>
        <row r="56">
          <cell r="T56" t="str">
            <v>线下管控</v>
          </cell>
        </row>
        <row r="56">
          <cell r="V56" t="str">
            <v>1.竣工验收报告；
2.启动带电运行令；
3.业务系统开、竣工信息；
4.合同（含中标通知书）；
5.成本入账时间。</v>
          </cell>
          <cell r="W56" t="str">
            <v>各级单位-建设部门-项目经理、各级单位-设备部门-设备资产管理人员
建设公司-技术质量部-质量专责岗、
建管分公司-项目经理、
各级单位-设备部门-设备资产管理人员、技术质量部
超高压变电公司-运维检修部-生产准备专责、
超高压输电公司-运维检修部-生产准备专责</v>
          </cell>
          <cell r="X56" t="str">
            <v>每年</v>
          </cell>
          <cell r="Y56" t="str">
            <v>抽查</v>
          </cell>
        </row>
        <row r="56">
          <cell r="AA56" t="str">
            <v>每年</v>
          </cell>
          <cell r="AB56" t="str">
            <v>抽查</v>
          </cell>
        </row>
        <row r="56">
          <cell r="AH56" t="str">
            <v>是</v>
          </cell>
          <cell r="AI56" t="str">
            <v>是</v>
          </cell>
          <cell r="AJ56" t="str">
            <v>《国家电网有限公司输变电工程业主项目部管理办法》（国家电网企管〔2019〕296号）第四章</v>
          </cell>
          <cell r="AK56" t="str">
            <v>国网基建部</v>
          </cell>
        </row>
        <row r="57">
          <cell r="C57" t="str">
            <v>资金资产安全</v>
          </cell>
          <cell r="D57" t="str">
            <v>项目现场资产盘点</v>
          </cell>
          <cell r="E57" t="str">
            <v>资产卡片、设备清单与现场实物不符，导致账、卡、物不一致，造成资产流失。</v>
          </cell>
        </row>
        <row r="57">
          <cell r="G57" t="str">
            <v>19.竣工资产移交闭环控制</v>
          </cell>
          <cell r="H57" t="str">
            <v>资产卡片、设备清单与现场实物一致。</v>
          </cell>
          <cell r="I57" t="str">
            <v>电网基建业务-19.竣工资产移交闭环控制-控制措施01</v>
          </cell>
          <cell r="J57" t="str">
            <v>各级单位建设部门、设备部门、资产使用保管部门及施工单位多部门联合确认检查实物四码与物资清册一致性，提交现场实物盘点确认清单；</v>
          </cell>
        </row>
        <row r="57">
          <cell r="R57" t="str">
            <v>√</v>
          </cell>
        </row>
        <row r="57">
          <cell r="T57" t="str">
            <v>线下管控</v>
          </cell>
        </row>
        <row r="57">
          <cell r="V57" t="str">
            <v>1.物资清册；
2.现场盘点清单。</v>
          </cell>
          <cell r="W57" t="str">
            <v>各级单位-建设部门-项目经理、各级单位-设备部门-设备资产管理人员、各级单位-资产使用保管部门-资产使用保管人员
建设公司-建管分公司-项目经理、请资产接收单位
超高压变电公司-运维检修部-生产准备专责、
超高压输电公司-运维检修部-生产准备专责</v>
          </cell>
          <cell r="X57" t="str">
            <v>每年</v>
          </cell>
          <cell r="Y57" t="str">
            <v>抽查</v>
          </cell>
        </row>
        <row r="57">
          <cell r="AA57" t="str">
            <v>每年</v>
          </cell>
          <cell r="AB57" t="str">
            <v>抽查</v>
          </cell>
        </row>
        <row r="57">
          <cell r="AH57" t="str">
            <v>是</v>
          </cell>
          <cell r="AI57" t="str">
            <v>是</v>
          </cell>
          <cell r="AJ57" t="str">
            <v>《国家电网有限公司电网实物资产管理规定》（国家电网企管〔2019〕429号）第二章第九条、《国家电网有限公司基建项目管理规定》（国家电网企管〔2019〕426号）第二章</v>
          </cell>
          <cell r="AK57" t="str">
            <v>国网基建部、国网设备部</v>
          </cell>
        </row>
        <row r="58">
          <cell r="I58" t="str">
            <v>电网基建业务-19.竣工资产移交闭环控制-控制措施02</v>
          </cell>
          <cell r="J58" t="str">
            <v>各级单位设备部门建立资产卡片与设备台账关联一致性复核机制，确保工程项目资产建卡准确、完整。</v>
          </cell>
        </row>
        <row r="58">
          <cell r="R58" t="str">
            <v>√</v>
          </cell>
        </row>
        <row r="58">
          <cell r="T58" t="str">
            <v>系统已建</v>
          </cell>
          <cell r="U58" t="str">
            <v>1.PMS3.0系统
2.ERP系统
3.智慧共享财务平台</v>
          </cell>
          <cell r="V58" t="str">
            <v>1.物资清册；
2.现场盘点清单。</v>
          </cell>
          <cell r="W58" t="str">
            <v>各级单位-设备部门-设备资产管理人员
超高压变电公司-运维检修部-生产准备专责、
超高压输电公司-运维检修部-生产准备专责</v>
          </cell>
          <cell r="X58" t="str">
            <v>每年</v>
          </cell>
          <cell r="Y58" t="str">
            <v>抽查</v>
          </cell>
        </row>
        <row r="58">
          <cell r="AA58" t="str">
            <v>每年</v>
          </cell>
          <cell r="AB58" t="str">
            <v>抽查</v>
          </cell>
        </row>
        <row r="58">
          <cell r="AD58" t="str">
            <v>设备资产台账、卡片一致性监督场景</v>
          </cell>
          <cell r="AE58" t="str">
            <v>每月</v>
          </cell>
        </row>
        <row r="58">
          <cell r="AH58" t="str">
            <v>是</v>
          </cell>
          <cell r="AI58" t="str">
            <v>是</v>
          </cell>
          <cell r="AJ58" t="str">
            <v>《国家电网有限公司电网实物资产管理规定》（国家电网企管〔2019〕429号）第二章</v>
          </cell>
          <cell r="AK58" t="str">
            <v>国网设备部</v>
          </cell>
        </row>
        <row r="59">
          <cell r="C59" t="str">
            <v>会计信息真实完整</v>
          </cell>
          <cell r="D59" t="str">
            <v>工程成本暂估确认</v>
          </cell>
          <cell r="E59" t="str">
            <v>暂估成本费用测算不合理，导致工程暂估成本虚增虚减，造成折旧成本数据有误。</v>
          </cell>
        </row>
        <row r="59">
          <cell r="G59" t="str">
            <v>20.工程成本暂估的真实性、准确性控制</v>
          </cell>
          <cell r="H59" t="str">
            <v>暂估工程成本符合工程实际情况，原则上不低于概算数75%。</v>
          </cell>
          <cell r="I59" t="str">
            <v>电网基建业务-20.工程成本暂估的真实性、准确性控制-控制措施01</v>
          </cell>
          <cell r="J59" t="str">
            <v>各级单位建设部门对暂估后成本低于概算75%或超概算仍进行暂估的，需履行相应审批程序；</v>
          </cell>
        </row>
        <row r="59">
          <cell r="O59" t="str">
            <v>√</v>
          </cell>
        </row>
        <row r="59">
          <cell r="T59" t="str">
            <v>系统已建</v>
          </cell>
          <cell r="U59" t="str">
            <v>1.ERP系统
2.智慧共享财务平台</v>
          </cell>
          <cell r="V59" t="str">
            <v>1.工程项目整体成本入账金额；
2.暂估工程成本明细表。</v>
          </cell>
          <cell r="W59" t="str">
            <v>各级单位-建设部门-项目经理、技经人员、各级单位-建设部门-审批人员
建设公司--建管分公司-项目经理、技经中心-技经人员</v>
          </cell>
          <cell r="X59" t="str">
            <v>每年</v>
          </cell>
          <cell r="Y59" t="str">
            <v>抽查</v>
          </cell>
        </row>
        <row r="59">
          <cell r="AA59" t="str">
            <v>每年</v>
          </cell>
          <cell r="AB59" t="str">
            <v>抽查</v>
          </cell>
        </row>
        <row r="59">
          <cell r="AD59" t="str">
            <v>工程成本入账率监督场景</v>
          </cell>
          <cell r="AE59" t="str">
            <v>每月</v>
          </cell>
        </row>
        <row r="59">
          <cell r="AH59" t="str">
            <v>是</v>
          </cell>
          <cell r="AI59" t="str">
            <v>否</v>
          </cell>
          <cell r="AJ59" t="str">
            <v>《国家电网有限公司工程财务管理办法》（国家电网企管〔2023〕28号）第七章</v>
          </cell>
          <cell r="AK59" t="str">
            <v>国网基建部、国网财务部</v>
          </cell>
        </row>
        <row r="60">
          <cell r="I60" t="str">
            <v>电网基建业务-20.工程成本暂估的真实性、准确性控制-控制措施02</v>
          </cell>
          <cell r="J60" t="str">
            <v>各级单位财务部门监督考核应暂估未暂估、虚假暂估的项目。</v>
          </cell>
        </row>
        <row r="60">
          <cell r="Q60" t="str">
            <v>√</v>
          </cell>
        </row>
        <row r="60">
          <cell r="T60" t="str">
            <v>线下管控</v>
          </cell>
        </row>
        <row r="60">
          <cell r="V60" t="str">
            <v>1.工程项目整体成本入账金额；
2.暂估工程成本明细表。</v>
          </cell>
          <cell r="W60" t="str">
            <v>各级单位-财务部门-工程财务人员</v>
          </cell>
          <cell r="X60" t="str">
            <v>每年</v>
          </cell>
          <cell r="Y60" t="str">
            <v>抽查</v>
          </cell>
        </row>
        <row r="60">
          <cell r="AA60" t="str">
            <v>每年</v>
          </cell>
          <cell r="AB60" t="str">
            <v>抽查</v>
          </cell>
        </row>
        <row r="60">
          <cell r="AH60" t="str">
            <v>是</v>
          </cell>
          <cell r="AI60" t="str">
            <v>是</v>
          </cell>
          <cell r="AJ60" t="str">
            <v>《国家电网有限公司工程财务管理办法》（国家电网企管〔2023〕28号）第六章</v>
          </cell>
          <cell r="AK60" t="str">
            <v>国网财务部</v>
          </cell>
        </row>
        <row r="61">
          <cell r="C61" t="str">
            <v>会计信息真实完整</v>
          </cell>
          <cell r="D61" t="str">
            <v>工程暂估转资</v>
          </cell>
          <cell r="E61" t="str">
            <v>未及时完成暂估转资流程，有效资产及折旧未能及时足额计增，导致成本减少。</v>
          </cell>
        </row>
        <row r="61">
          <cell r="G61" t="str">
            <v>21.暂估转资节点刚性控制</v>
          </cell>
          <cell r="H61" t="str">
            <v>单项工程达到预计使用状态后的30天内完成转资。</v>
          </cell>
          <cell r="I61" t="str">
            <v>电网基建业务-21.暂估转资节点刚性控制-控制措施01</v>
          </cell>
          <cell r="J61" t="str">
            <v>各级单位财务部门建立暂估时限预警机制，到达预警时点，系统自动向相关岗位推送预警信息，确保及时转资；</v>
          </cell>
        </row>
        <row r="61">
          <cell r="Q61" t="str">
            <v>√</v>
          </cell>
          <cell r="R61" t="str">
            <v>√</v>
          </cell>
        </row>
        <row r="61">
          <cell r="T61" t="str">
            <v>系统已建</v>
          </cell>
          <cell r="U61" t="str">
            <v>ERP系统</v>
          </cell>
          <cell r="V61" t="str">
            <v>1.系统中工程转资时间；
2.竣工投运资料。</v>
          </cell>
          <cell r="W61" t="str">
            <v>各级单位-建设部门-项目经理、各级单位-设备部门-设备资产管理人员、各级单位-财务部门-工程财务人员
建设公司-建管中心-项目经理、技经中心-技经人员、财务部门-工程结算与决算财务人员</v>
          </cell>
          <cell r="X61" t="str">
            <v>每月</v>
          </cell>
          <cell r="Y61" t="str">
            <v>全量检查</v>
          </cell>
        </row>
        <row r="61">
          <cell r="AA61" t="str">
            <v>每年</v>
          </cell>
          <cell r="AB61" t="str">
            <v>抽查</v>
          </cell>
        </row>
        <row r="61">
          <cell r="AD61" t="str">
            <v>暂估转资时效性监督场景</v>
          </cell>
          <cell r="AE61" t="str">
            <v>每月</v>
          </cell>
        </row>
        <row r="61">
          <cell r="AH61" t="str">
            <v>是</v>
          </cell>
          <cell r="AI61" t="str">
            <v>是</v>
          </cell>
          <cell r="AJ61" t="str">
            <v>《国家电网有限公司工程财务管理办法》（国家电网企管〔2023〕28号）第六章</v>
          </cell>
          <cell r="AK61" t="str">
            <v>国网财务部</v>
          </cell>
        </row>
        <row r="62">
          <cell r="I62" t="str">
            <v>电网基建业务-21.暂估转资节点刚性控制-控制措施02</v>
          </cell>
          <cell r="J62" t="str">
            <v>各级单位业务部门及时提供工程竣工投运报告或投运批准书，以确定投产日。</v>
          </cell>
        </row>
        <row r="62">
          <cell r="T62" t="str">
            <v>线下管控</v>
          </cell>
        </row>
        <row r="62">
          <cell r="V62" t="str">
            <v>1.系统中工程转资时间；
2.竣工投运资料（竣工投运报告或投运批准书）。</v>
          </cell>
          <cell r="W62" t="str">
            <v>各级单位-建设部门-项目经理
建设公司-技术质量部-质量管理人员</v>
          </cell>
          <cell r="X62" t="str">
            <v>每月</v>
          </cell>
          <cell r="Y62" t="str">
            <v>全量检查</v>
          </cell>
        </row>
        <row r="62">
          <cell r="AA62" t="str">
            <v>每年</v>
          </cell>
          <cell r="AB62" t="str">
            <v>抽查</v>
          </cell>
        </row>
        <row r="62">
          <cell r="AH62" t="str">
            <v>是</v>
          </cell>
          <cell r="AI62" t="str">
            <v>否</v>
          </cell>
          <cell r="AJ62" t="str">
            <v>《国家电网有限公司工程财务管理办法》（国家电网企管〔2023〕28号）第七章</v>
          </cell>
          <cell r="AK62" t="str">
            <v>国网基建部</v>
          </cell>
        </row>
        <row r="63">
          <cell r="I63" t="str">
            <v>电网基建业务-21.暂估转资节点刚性控制-控制措施03</v>
          </cell>
          <cell r="J63" t="str">
            <v>各级单位财务部门应在投运后30日内暂估转资，并监督考核转资延误的项目。</v>
          </cell>
        </row>
        <row r="63">
          <cell r="Q63" t="str">
            <v>√</v>
          </cell>
        </row>
        <row r="63">
          <cell r="T63" t="str">
            <v>线下管控</v>
          </cell>
        </row>
        <row r="63">
          <cell r="V63" t="str">
            <v>1.系统中工程转资时间；
2.竣工投运资料（竣工投运报告或投运批准书）。</v>
          </cell>
          <cell r="W63" t="str">
            <v>各级单位-财务部门-工程财务人员
建设公司-财务部门-工程结算与决算财务人员</v>
          </cell>
          <cell r="X63" t="str">
            <v>每月</v>
          </cell>
          <cell r="Y63" t="str">
            <v>全量检查</v>
          </cell>
        </row>
        <row r="63">
          <cell r="AA63" t="str">
            <v>每年</v>
          </cell>
          <cell r="AB63" t="str">
            <v>抽查</v>
          </cell>
        </row>
        <row r="63">
          <cell r="AH63" t="str">
            <v>是</v>
          </cell>
          <cell r="AI63" t="str">
            <v>是</v>
          </cell>
          <cell r="AJ63" t="str">
            <v>《国家电网有限公司工程财务管理办法》（国家电网企管〔2023〕28号）第七章</v>
          </cell>
          <cell r="AK63" t="str">
            <v>国网财务部</v>
          </cell>
        </row>
        <row r="64">
          <cell r="A64" t="str">
            <v>35千伏-750千伏电网基建项目</v>
          </cell>
          <cell r="B64" t="str">
            <v>四、竣工验收转资</v>
          </cell>
          <cell r="C64" t="str">
            <v>资金资产安全</v>
          </cell>
          <cell r="D64" t="str">
            <v>结余物资管理</v>
          </cell>
          <cell r="E64" t="str">
            <v>工程结余物资未及时办理退库手续、移交实物，导致资产流失、账实不符。</v>
          </cell>
          <cell r="F64" t="str">
            <v>28.工程结余物资未退库：存在应退库结余物资遗失；结余物资多次在ERP系统中领退，实物不交接，造成账实不符；施工单位未足额移交结余物资；甲供物资未足额退库；已竣工且完成结算审核，仍有部分物资未办理退库手续等问题。</v>
          </cell>
          <cell r="G64" t="str">
            <v>22.已领未用物资退库控制</v>
          </cell>
          <cell r="H64" t="str">
            <v>已领未用物资及时办理退库手续及实物移交。</v>
          </cell>
          <cell r="I64" t="str">
            <v>电网基建业务-22.已领未用物资退库控制-控制措施01</v>
          </cell>
          <cell r="J64" t="str">
            <v>各级单位建设部门会同物资部门、设计单位与施工单位核对物资结余情况；</v>
          </cell>
        </row>
        <row r="64">
          <cell r="R64" t="str">
            <v>√</v>
          </cell>
        </row>
        <row r="64">
          <cell r="T64" t="str">
            <v>线下管控</v>
          </cell>
        </row>
        <row r="64">
          <cell r="V64" t="str">
            <v>1.物资领用清单；
2.物资耗用清单；
3.工程物资退库单；
4.转储申请单。</v>
          </cell>
          <cell r="W64" t="str">
            <v>各级单位-建设部门-项目经理、各级单位-物资部门-物资管理人员
建设公司-建管分公司-项目经理、物资公司-物资管理人员（请物资公司补充）</v>
          </cell>
          <cell r="X64" t="str">
            <v>每年</v>
          </cell>
          <cell r="Y64" t="str">
            <v>抽查</v>
          </cell>
        </row>
        <row r="64">
          <cell r="AA64" t="str">
            <v>每年</v>
          </cell>
          <cell r="AB64" t="str">
            <v>抽查</v>
          </cell>
        </row>
        <row r="64">
          <cell r="AH64" t="str">
            <v>是</v>
          </cell>
          <cell r="AI64" t="str">
            <v>是</v>
          </cell>
          <cell r="AJ64" t="str">
            <v>《国家电网有限公司基建项目管理规定》（国家电网企管〔2019〕426号）第四章、《国家电网有限公司实物资源管理办法》（国家电网企管〔2022〕235号 ）第三章</v>
          </cell>
          <cell r="AK64" t="str">
            <v>国网基建部、国网财务部</v>
          </cell>
        </row>
        <row r="65">
          <cell r="I65" t="str">
            <v>电网基建业务-22.已领未用物资退库控制-控制措施02</v>
          </cell>
          <cell r="J65" t="str">
            <v>各级单位物资部门建立结余物资损失责任追究机制。投运后1个月内完成盘点，3个月内完成退库；决算前组织物资清理、资产盘点，确保账、卡、物一致。</v>
          </cell>
        </row>
        <row r="65">
          <cell r="Q65" t="str">
            <v>√</v>
          </cell>
          <cell r="R65" t="str">
            <v>√</v>
          </cell>
        </row>
        <row r="65">
          <cell r="T65" t="str">
            <v>线下管控</v>
          </cell>
        </row>
        <row r="65">
          <cell r="V65" t="str">
            <v>1.物资领用清单；
2.物资耗用清单；
3.工程物资核对表。</v>
          </cell>
          <cell r="W65" t="str">
            <v>各级单位-财务部门-工程财务人员
建设公司-财务部门-工程结算与决算财务人员</v>
          </cell>
          <cell r="X65" t="str">
            <v>每年</v>
          </cell>
          <cell r="Y65" t="str">
            <v>抽查</v>
          </cell>
        </row>
        <row r="65">
          <cell r="AA65" t="str">
            <v>每年</v>
          </cell>
          <cell r="AB65" t="str">
            <v>抽查</v>
          </cell>
        </row>
        <row r="65">
          <cell r="AH65" t="str">
            <v>是</v>
          </cell>
          <cell r="AI65" t="str">
            <v>是</v>
          </cell>
        </row>
        <row r="66">
          <cell r="I66" t="str">
            <v>电网基建业务-22.已领未用物资退库控制-控制措施03</v>
          </cell>
          <cell r="J66" t="str">
            <v>各级单位物资部门建立结余物资损失责任追究机制。</v>
          </cell>
        </row>
        <row r="66">
          <cell r="R66" t="str">
            <v>√</v>
          </cell>
        </row>
        <row r="66">
          <cell r="T66" t="str">
            <v>线下管控</v>
          </cell>
        </row>
        <row r="66">
          <cell r="V66" t="str">
            <v>1.物资领用清单；
2.物资耗用清单；
3.工程物资退库单；
4.转储申请单。</v>
          </cell>
          <cell r="W66" t="str">
            <v>各级单位-物资部门-物资管理人员
建设公司-建管分公司-项目经理</v>
          </cell>
          <cell r="X66" t="str">
            <v>每年</v>
          </cell>
          <cell r="Y66" t="str">
            <v>抽查</v>
          </cell>
        </row>
        <row r="66">
          <cell r="AA66" t="str">
            <v>每年</v>
          </cell>
          <cell r="AB66" t="str">
            <v>抽查</v>
          </cell>
        </row>
        <row r="66">
          <cell r="AH66" t="str">
            <v>是</v>
          </cell>
          <cell r="AI66" t="str">
            <v>是</v>
          </cell>
          <cell r="AJ66" t="str">
            <v>《国家电网公司输变电工程业主项目部管理办法》（国家电网企管〔2019〕296号）第二章、《国家电网有限公司实物资源管理办法》（国家电网企管〔2022〕235号）第二章、《国家电网有限公司违规经营投资责任追究实施办法（试行）》（国家电网办〔2019〕32号）第三章</v>
          </cell>
        </row>
        <row r="67">
          <cell r="C67" t="str">
            <v>资金资产安全</v>
          </cell>
          <cell r="D67" t="str">
            <v>拆旧物资管理</v>
          </cell>
          <cell r="E67" t="str">
            <v>工程拆旧物资未及时、准确办理退库或者报废手续，形成账外资产或“小金库”，造成资产流失。</v>
          </cell>
        </row>
        <row r="67">
          <cell r="G67" t="str">
            <v>23.拆旧物资处置控制</v>
          </cell>
          <cell r="H67" t="str">
            <v>工程拆旧资产及时办理退库手续及实物移交。</v>
          </cell>
          <cell r="I67" t="str">
            <v>电网基建业务-23.拆旧物资处置控制-控制措施01</v>
          </cell>
          <cell r="J67" t="str">
            <v>各级单位建设部门会同设备部门、设计单位与施工单位核对拆旧物资情况；</v>
          </cell>
        </row>
        <row r="67">
          <cell r="R67" t="str">
            <v>√</v>
          </cell>
        </row>
        <row r="67">
          <cell r="T67" t="str">
            <v>线下管控</v>
          </cell>
        </row>
        <row r="67">
          <cell r="V67" t="str">
            <v>1.拆旧物资退库单；
2.工程拆旧工程量清单；
3.技术鉴定表；
4.固定资产报废审批表；
5.拆旧物资现场清点表；
6.拆旧计划。</v>
          </cell>
          <cell r="W67" t="str">
            <v>各级单位-建设部门-项目经理、各级单位-设备部门-设备资产管理人员
建设公司-建管分公司-项目经理、各单位-设备部门-设备资产管理人员
超高压变电公司-运维检修部-实物资产管理专责、超高压输电公司-运维检修部-实物资产管理专责
</v>
          </cell>
          <cell r="X67" t="str">
            <v>每年</v>
          </cell>
          <cell r="Y67" t="str">
            <v>抽查</v>
          </cell>
        </row>
        <row r="67">
          <cell r="AA67" t="str">
            <v>每年</v>
          </cell>
          <cell r="AB67" t="str">
            <v>抽查</v>
          </cell>
        </row>
        <row r="67">
          <cell r="AH67" t="str">
            <v>是</v>
          </cell>
          <cell r="AI67" t="str">
            <v>是</v>
          </cell>
          <cell r="AJ67" t="str">
            <v>《国家电网有限公司工程财务管理办法》（国家电网企管〔2023〕28号）第二章、《国家电网有限公司报废物资管理办法》（国家电网企管〔2025〕325号）第二章、《国家电网有限公司实物资源管理办法》（国家电网企管〔2022〕235号 ）第二章</v>
          </cell>
          <cell r="AK67" t="str">
            <v>国网基建部、国网财务部</v>
          </cell>
        </row>
        <row r="68">
          <cell r="I68" t="str">
            <v>电网基建业务-23.拆旧物资处置控制-控制措施02</v>
          </cell>
          <cell r="J68" t="str">
            <v>各级单位物资部门建设部门、财务部门复核结算审定拆旧物资量与实际退库数量，对未提交拆除资产回收资料、应拆实交量存在重大偏差且无合理解释的，追究相关岗位责任。
</v>
          </cell>
        </row>
        <row r="68">
          <cell r="Q68" t="str">
            <v>√</v>
          </cell>
          <cell r="R68" t="str">
            <v>√</v>
          </cell>
        </row>
        <row r="68">
          <cell r="T68" t="str">
            <v>线下管控</v>
          </cell>
        </row>
        <row r="68">
          <cell r="V68" t="str">
            <v>1.拆旧物资退库单；
2.工程拆旧工程量清单；
3.技术鉴定表；
4.固定资产报废审批表；
5.拆旧计划。</v>
          </cell>
          <cell r="W68" t="str">
            <v>各级单位-物资部门-物资管理人员、各级单位-财务部门-工程财务人员
建设公司-建管分公司-项目经理、
技经中心-技经人员、
建设公司-财务部门-工程结算与决算财务人员；
各单位-设备部门-设备资产管理人员
超高压变电公司-运维检修部-实物资产管理专责、超高压输电公司-运维检修部-实物资产管理专责</v>
          </cell>
        </row>
        <row r="69">
          <cell r="B69" t="str">
            <v>五、结决算管理</v>
          </cell>
          <cell r="C69" t="str">
            <v>资金资产安全</v>
          </cell>
          <cell r="D69" t="str">
            <v>预留尾工工程审批</v>
          </cell>
          <cell r="E69" t="str">
            <v>预留尾工未规范审批管控，导致项目结决算、转资滞后，资产折旧计提延迟，公司成本减少。</v>
          </cell>
        </row>
        <row r="69">
          <cell r="G69" t="str">
            <v>24.预留尾工时限与规模控制</v>
          </cell>
          <cell r="H69" t="str">
            <v>预留尾工工程量与建设期严格审批；持续跟踪处置遗留事项。明确必须完成的处置总时限，建立超期预警机制，实行“限时办结制”，持续跟踪处置遗留事项并纳入考核。</v>
          </cell>
          <cell r="I69" t="str">
            <v>电网基建业务-24.预留尾工时限与规模控制-控制措施01</v>
          </cell>
          <cell r="J69" t="str">
            <v>针对尾工工程，工程结算中需明确预留事项、费用列支依据、预计完成时间，并经各二级单位建设部门审批同意（并严格履行分级审批机制）。尾工工程投资原则上不应超过项目批复概算总投资的5%；</v>
          </cell>
        </row>
        <row r="69">
          <cell r="L69" t="str">
            <v>√</v>
          </cell>
        </row>
        <row r="69">
          <cell r="T69" t="str">
            <v>线下管控</v>
          </cell>
        </row>
        <row r="69">
          <cell r="V69" t="str">
            <v>1.尾工审批单；
2.专项清理备案表。</v>
          </cell>
          <cell r="W69" t="str">
            <v>各级单位-建设部门-项目经理、各级单位-建设部门-审批人员
建设公司-建管分公司-项目经理、技经中心-技经人员</v>
          </cell>
          <cell r="X69" t="str">
            <v>每年</v>
          </cell>
          <cell r="Y69" t="str">
            <v>抽查</v>
          </cell>
        </row>
        <row r="69">
          <cell r="AA69" t="str">
            <v>每年</v>
          </cell>
          <cell r="AB69" t="str">
            <v>抽查</v>
          </cell>
        </row>
        <row r="69">
          <cell r="AH69" t="str">
            <v>是</v>
          </cell>
          <cell r="AI69" t="str">
            <v>是</v>
          </cell>
          <cell r="AJ69" t="str">
            <v>《国家电网有限公司输变电工程结算管理办法》（国家电网企管〔2019〕426号）第五章
《国家电网有限公司工程财务管理办法》（国网〔财/2〕351-2022号）</v>
          </cell>
          <cell r="AK69" t="str">
            <v>国网基建部、国网财务部</v>
          </cell>
        </row>
        <row r="70">
          <cell r="I70" t="str">
            <v>电网基建业务-24.预留尾工时限与规模控制-控制措施02</v>
          </cell>
          <cell r="J70" t="str">
            <v>各级单位建设部门建立尾工清理机制，对临期项目开展预警，对超期项目追究相关岗位责任；</v>
          </cell>
        </row>
        <row r="70">
          <cell r="T70" t="str">
            <v>线下管控</v>
          </cell>
        </row>
        <row r="70">
          <cell r="V70" t="str">
            <v>1.尾工审批单；
2.尾工工程竣工结算；
3.专项清理备案表。</v>
          </cell>
          <cell r="W70" t="str">
            <v>各级单位-建设部门-项目经理
建设公司-建管分公司-项目经理</v>
          </cell>
          <cell r="X70" t="str">
            <v>每年</v>
          </cell>
          <cell r="Y70" t="str">
            <v>抽查</v>
          </cell>
        </row>
        <row r="70">
          <cell r="AA70" t="str">
            <v>每年</v>
          </cell>
          <cell r="AB70" t="str">
            <v>抽查</v>
          </cell>
        </row>
        <row r="70">
          <cell r="AH70" t="str">
            <v>是</v>
          </cell>
          <cell r="AI70" t="str">
            <v>是</v>
          </cell>
          <cell r="AJ70" t="str">
            <v>《国家电网有限公司输变电工程结算管理办法》（国家电网企管〔2019〕426号）第五章</v>
          </cell>
        </row>
        <row r="71">
          <cell r="I71" t="str">
            <v>电网基建业务-24.预留尾工时限与规模控制-控制措施03</v>
          </cell>
          <cell r="J71" t="str">
            <v>各级单位财务部门建立尾工结算数据分析机制，加强尾工实际结算成本、概算等数据比对、分析。</v>
          </cell>
        </row>
        <row r="71">
          <cell r="Q71" t="str">
            <v>√</v>
          </cell>
        </row>
        <row r="71">
          <cell r="T71" t="str">
            <v>线下管控</v>
          </cell>
        </row>
        <row r="71">
          <cell r="V71" t="str">
            <v>1.尾工审批单；
2.尾工工程决算报告；
3.专项清理备案表。</v>
          </cell>
          <cell r="W71" t="str">
            <v>各级单位-财务部门-工程财务人员
建设公司-财务部门-工程结算与决算财务人员</v>
          </cell>
          <cell r="X71" t="str">
            <v>每年</v>
          </cell>
          <cell r="Y71" t="str">
            <v>抽查</v>
          </cell>
        </row>
        <row r="71">
          <cell r="AA71" t="str">
            <v>每年</v>
          </cell>
          <cell r="AB71" t="str">
            <v>抽查</v>
          </cell>
        </row>
        <row r="71">
          <cell r="AH71" t="str">
            <v>是</v>
          </cell>
          <cell r="AI71" t="str">
            <v>是</v>
          </cell>
          <cell r="AJ71" t="str">
            <v>《国家电网有限公司输变电工程结算管理办法》（国家电网企管〔2019〕426号）第五章</v>
          </cell>
        </row>
        <row r="72">
          <cell r="A72" t="str">
            <v>35千伏-750千伏电网基建项目</v>
          </cell>
          <cell r="B72" t="str">
            <v>五、结决算管理</v>
          </cell>
          <cell r="C72" t="str">
            <v>资金资产安全</v>
          </cell>
          <cell r="D72" t="str">
            <v>工程结算编制与审核</v>
          </cell>
          <cell r="E72" t="str">
            <v>虚报工程量多结算工程款，导致工程成本不实，公司成本虚增及资金流失。</v>
          </cell>
        </row>
        <row r="72">
          <cell r="G72" t="str">
            <v>25.工程量真实性、一致性管控</v>
          </cell>
          <cell r="H72" t="str">
            <v>工程结算工程量须与实际完工量、合同约定施工范围、变更签证核定内容完全一致，严禁虚增、重复申报工程量。</v>
          </cell>
          <cell r="I72" t="str">
            <v>电网基建业务-25.工程量真实性、一致性管控-控制措施01</v>
          </cell>
          <cell r="J72" t="str">
            <v>各级单位建设部门定期开展项目结算督查，核查施工图、设计变更及现场签证与实际工程量的一致性，对不一致的项目限期整改；</v>
          </cell>
        </row>
        <row r="72">
          <cell r="M72" t="str">
            <v>√</v>
          </cell>
        </row>
        <row r="72">
          <cell r="T72" t="str">
            <v>线下管控</v>
          </cell>
        </row>
        <row r="72">
          <cell r="V72" t="str">
            <v>1.协议（合同）；
2.结算审核报告。</v>
          </cell>
          <cell r="W72" t="str">
            <v>各级单位-建设部门-技经人员、项目经理
建设公司-建管分公司-项目经理、技经中心-技经人员</v>
          </cell>
          <cell r="X72" t="str">
            <v>每年</v>
          </cell>
          <cell r="Y72" t="str">
            <v>抽查</v>
          </cell>
        </row>
        <row r="72">
          <cell r="AA72" t="str">
            <v>每年</v>
          </cell>
          <cell r="AB72" t="str">
            <v>抽查</v>
          </cell>
        </row>
        <row r="72">
          <cell r="AH72" t="str">
            <v>是</v>
          </cell>
          <cell r="AI72" t="str">
            <v>是</v>
          </cell>
          <cell r="AJ72" t="str">
            <v>《国家电网有限公司输变电工程结算管理办法》（国家电网企管〔2019〕426号）第五章</v>
          </cell>
          <cell r="AK72" t="str">
            <v>国网基建部</v>
          </cell>
        </row>
        <row r="73">
          <cell r="I73" t="str">
            <v>电网基建业务-25.工程量真实性、一致性管控-控制措施02</v>
          </cell>
          <cell r="J73" t="str">
            <v>各级单位建设部门定期对结算督查结果开展评价，将性质恶劣、频次较高、金额较大的施工单位及监理单位纳入黑名单。</v>
          </cell>
        </row>
        <row r="73">
          <cell r="S73" t="str">
            <v>√</v>
          </cell>
          <cell r="T73" t="str">
            <v>线下管控</v>
          </cell>
        </row>
        <row r="73">
          <cell r="V73" t="str">
            <v>1.协议（合同）；
2.结算审核报告。</v>
          </cell>
          <cell r="W73" t="str">
            <v>各级单位-建设部门-项目经理、技经人员
建设公司-建管分公司-项目经理、技经中心-技经人员</v>
          </cell>
          <cell r="X73" t="str">
            <v>每年</v>
          </cell>
          <cell r="Y73" t="str">
            <v>抽查</v>
          </cell>
        </row>
        <row r="73">
          <cell r="AA73" t="str">
            <v>每年</v>
          </cell>
          <cell r="AB73" t="str">
            <v>抽查</v>
          </cell>
        </row>
        <row r="73">
          <cell r="AH73" t="str">
            <v>是</v>
          </cell>
          <cell r="AI73" t="str">
            <v>是</v>
          </cell>
          <cell r="AJ73" t="str">
            <v>《国家电网有限公司输变电工程结算管理办法》（国家电网企管〔2019〕426号）第五章</v>
          </cell>
        </row>
        <row r="74">
          <cell r="E74" t="str">
            <v>违反合同计价规则结算，导致工程结算金额有误，造成公司成本核算不实，产生资金支付风险。</v>
          </cell>
          <cell r="F74" t="str">
            <v>26.违反合同原则，计价规则结算：存在用户工程全部外包，未按单项核算，合同收支管控台账不完整，项目总体盈利不明朗，存在资金少收多支风险；支付的劳务费与工程建设无关，不属于工程其他费用列支范围；安全文明施工费结算不合规；劳务考勤与实际不符、劳务分包项目考勤人员与分包人员花名册不一致；结算审核不严谨；未按照合同约定对服务进行考核等问题。</v>
          </cell>
          <cell r="G74" t="str">
            <v>26.合同计价的合规性控制</v>
          </cell>
          <cell r="H74" t="str">
            <v>严格遵循合同约定的计价规则、费率标准及工程量计算口径，严禁擅自调整计价依据。</v>
          </cell>
          <cell r="I74" t="str">
            <v>电网基建业务-26.合同计价的合规性控制-控制措施01</v>
          </cell>
          <cell r="J74" t="str">
            <v>各级单位建设部门核查结算数据与合同条款、变更签证等原始资料的一致性；</v>
          </cell>
        </row>
        <row r="74">
          <cell r="M74" t="str">
            <v>√</v>
          </cell>
        </row>
        <row r="74">
          <cell r="O74" t="str">
            <v>√</v>
          </cell>
        </row>
        <row r="74">
          <cell r="R74" t="str">
            <v>√</v>
          </cell>
        </row>
        <row r="74">
          <cell r="T74" t="str">
            <v>线下管控</v>
          </cell>
        </row>
        <row r="74">
          <cell r="V74" t="str">
            <v>1.协议（合同）；
2.结算审核报告。</v>
          </cell>
          <cell r="W74" t="str">
            <v>各级单位-建设部门-技经人员
建设公司-技经中心-技经人员</v>
          </cell>
          <cell r="X74" t="str">
            <v>每年</v>
          </cell>
          <cell r="Y74" t="str">
            <v>抽查</v>
          </cell>
        </row>
        <row r="74">
          <cell r="AA74" t="str">
            <v>每年</v>
          </cell>
          <cell r="AB74" t="str">
            <v>抽查</v>
          </cell>
        </row>
        <row r="74">
          <cell r="AH74" t="str">
            <v>是</v>
          </cell>
          <cell r="AI74" t="str">
            <v>是</v>
          </cell>
          <cell r="AJ74" t="str">
            <v>《国家电网有限公司输变电工程结算管理办法》（国家电网企管〔2019〕426号）第三章</v>
          </cell>
          <cell r="AK74" t="str">
            <v>国网基建部</v>
          </cell>
        </row>
        <row r="75">
          <cell r="I75" t="str">
            <v>电网基建业务-26.合同计价的合规性控制-控制措施02</v>
          </cell>
          <cell r="J75" t="str">
            <v>各级单位建设部门核查计价规则的执行情况，对违规结算项目责令整改并追溯责任。</v>
          </cell>
        </row>
        <row r="75">
          <cell r="M75" t="str">
            <v>√</v>
          </cell>
        </row>
        <row r="75">
          <cell r="O75" t="str">
            <v>√</v>
          </cell>
        </row>
        <row r="75">
          <cell r="R75" t="str">
            <v>√</v>
          </cell>
          <cell r="S75" t="str">
            <v>√</v>
          </cell>
          <cell r="T75" t="str">
            <v>线下管控</v>
          </cell>
        </row>
        <row r="75">
          <cell r="V75" t="str">
            <v>1.协议（合同）；
2.结算审核报告。</v>
          </cell>
          <cell r="W75" t="str">
            <v>各级单位-建设部门-技经人员
建设公司-技经中心-技经人员</v>
          </cell>
          <cell r="X75" t="str">
            <v>每年</v>
          </cell>
          <cell r="Y75" t="str">
            <v>抽查</v>
          </cell>
        </row>
        <row r="75">
          <cell r="AA75" t="str">
            <v>每年</v>
          </cell>
          <cell r="AB75" t="str">
            <v>抽查</v>
          </cell>
        </row>
        <row r="75">
          <cell r="AH75" t="str">
            <v>是</v>
          </cell>
          <cell r="AI75" t="str">
            <v>是</v>
          </cell>
          <cell r="AJ75" t="str">
            <v>《国家电网有限公司输变电工程结算管理办法》（国家电网企管〔2019〕426号）第三章</v>
          </cell>
        </row>
        <row r="76">
          <cell r="E76" t="str">
            <v>竣工结算不及时，导致工程成本确认滞后。</v>
          </cell>
          <cell r="F76" t="str">
            <v>27.提前或滞后办理竣工结算：存在工程项目未实施/未完工/未验收提前结算；结算不及时等问题。</v>
          </cell>
          <cell r="G76" t="str">
            <v>27.项目结算时效管控</v>
          </cell>
          <cell r="H76" t="str">
            <v>按照规定时限完成工程结算及结算资料移交。</v>
          </cell>
          <cell r="I76" t="str">
            <v>电网基建业务-27.项目结算时效管控-控制措施01</v>
          </cell>
          <cell r="J76" t="str">
            <v>各级单位建设部门制定结算资料清单，确保结算资料送审符合要求；</v>
          </cell>
        </row>
        <row r="76">
          <cell r="O76" t="str">
            <v>√</v>
          </cell>
        </row>
        <row r="76">
          <cell r="T76" t="str">
            <v>线下管控</v>
          </cell>
        </row>
        <row r="76">
          <cell r="V76" t="str">
            <v>1.协议（合同）；
2.结算审核报告。</v>
          </cell>
          <cell r="W76" t="str">
            <v>各级单位-建设部门-技经人员
建设公司-技经中心-技经人员</v>
          </cell>
          <cell r="X76" t="str">
            <v>每半年</v>
          </cell>
          <cell r="Y76" t="str">
            <v>抽查</v>
          </cell>
        </row>
        <row r="76">
          <cell r="AA76" t="str">
            <v>每年</v>
          </cell>
          <cell r="AB76" t="str">
            <v>抽查</v>
          </cell>
        </row>
        <row r="76">
          <cell r="AH76" t="str">
            <v>是</v>
          </cell>
          <cell r="AI76" t="str">
            <v>是</v>
          </cell>
          <cell r="AJ76" t="str">
            <v>《国家电网有限公司输变电工程结算管理办法》（国家电网企管〔2019〕426号）第四章</v>
          </cell>
          <cell r="AK76" t="str">
            <v>国网基建部</v>
          </cell>
        </row>
        <row r="77">
          <cell r="I77" t="str">
            <v>电网基建业务-27.项目结算时效管控-控制措施02</v>
          </cell>
          <cell r="J77" t="str">
            <v>各级单位建设部门督促施工单位及时报送、确认已完工程量及对应资料，避免竣工后集中补资料；</v>
          </cell>
        </row>
        <row r="77">
          <cell r="O77" t="str">
            <v>√</v>
          </cell>
        </row>
        <row r="77">
          <cell r="T77" t="str">
            <v>线下管控</v>
          </cell>
        </row>
        <row r="77">
          <cell r="V77" t="str">
            <v>1.协议（合同）；
2.结算审核报告。</v>
          </cell>
          <cell r="W77" t="str">
            <v>各级单位-建设部门-项目经理
建设公司-技经中心-技经人员</v>
          </cell>
          <cell r="X77" t="str">
            <v>每半年</v>
          </cell>
          <cell r="Y77" t="str">
            <v>抽查</v>
          </cell>
        </row>
        <row r="77">
          <cell r="AA77" t="str">
            <v>每年</v>
          </cell>
          <cell r="AB77" t="str">
            <v>抽查</v>
          </cell>
        </row>
        <row r="77">
          <cell r="AH77" t="str">
            <v>是</v>
          </cell>
          <cell r="AI77" t="str">
            <v>是</v>
          </cell>
          <cell r="AJ77" t="str">
            <v>《国家电网有限公司输变电工程结算管理办法》（国家电网企管〔2019〕426号）第四章</v>
          </cell>
        </row>
        <row r="78">
          <cell r="I78" t="str">
            <v>电网基建业务-27.项目结算时效管控-控制措施03</v>
          </cell>
          <cell r="J78" t="str">
            <v>各级单位建设部门启动资料预核查，督促施工单位及时补齐缺失要件；</v>
          </cell>
        </row>
        <row r="78">
          <cell r="O78" t="str">
            <v>√</v>
          </cell>
        </row>
        <row r="78">
          <cell r="T78" t="str">
            <v>线下管控</v>
          </cell>
        </row>
        <row r="78">
          <cell r="V78" t="str">
            <v>1.协议（合同）；
2.结算审核报告。</v>
          </cell>
          <cell r="W78" t="str">
            <v>各级单位-建设部门-项目经理、技经人员
建设公司-建管分公司-项目经理、技经中心-技经人员</v>
          </cell>
          <cell r="X78" t="str">
            <v>每半年</v>
          </cell>
          <cell r="Y78" t="str">
            <v>抽查</v>
          </cell>
        </row>
        <row r="78">
          <cell r="AA78" t="str">
            <v>每年</v>
          </cell>
          <cell r="AB78" t="str">
            <v>抽查</v>
          </cell>
        </row>
        <row r="78">
          <cell r="AH78" t="str">
            <v>是</v>
          </cell>
          <cell r="AI78" t="str">
            <v>是</v>
          </cell>
          <cell r="AJ78" t="str">
            <v>《国家电网有限公司输变电工程结算管理办法》（国家电网企管〔2019〕426号）第四章</v>
          </cell>
        </row>
        <row r="79">
          <cell r="I79" t="str">
            <v>电网基建业务-27.项目结算时效管控-控制措施04</v>
          </cell>
          <cell r="J79" t="str">
            <v>各级单位建设部门监督考核结算不及时的项目。</v>
          </cell>
        </row>
        <row r="79">
          <cell r="S79" t="str">
            <v>√</v>
          </cell>
          <cell r="T79" t="str">
            <v>系统已建</v>
          </cell>
          <cell r="U79" t="str">
            <v>e基建2.0平台</v>
          </cell>
          <cell r="V79" t="str">
            <v>1.协议（合同）；
2.结算审核报告。</v>
          </cell>
          <cell r="W79" t="str">
            <v>各级单位-建设部门-项目经理、技经人员
建设公司-建管分公司-项目经理、技经中心-技经人员</v>
          </cell>
          <cell r="X79" t="str">
            <v>每半年</v>
          </cell>
          <cell r="Y79" t="str">
            <v>抽查</v>
          </cell>
        </row>
        <row r="79">
          <cell r="AA79" t="str">
            <v>每年</v>
          </cell>
          <cell r="AB79" t="str">
            <v>抽查</v>
          </cell>
        </row>
        <row r="79">
          <cell r="AD79" t="str">
            <v>工程结算规范监督场景</v>
          </cell>
          <cell r="AE79" t="str">
            <v>每月</v>
          </cell>
        </row>
        <row r="79">
          <cell r="AH79" t="str">
            <v>是</v>
          </cell>
          <cell r="AI79" t="str">
            <v>是</v>
          </cell>
          <cell r="AJ79" t="str">
            <v>《国家电网有限公司输变电工程结算管理办法》（国家电网企管〔2019〕426号）第七章</v>
          </cell>
          <cell r="AK79" t="str">
            <v>国网基建部</v>
          </cell>
        </row>
        <row r="80">
          <cell r="A80" t="str">
            <v>35千伏-750千伏电网基建项目</v>
          </cell>
          <cell r="B80" t="str">
            <v>五、结决算管理</v>
          </cell>
          <cell r="C80" t="str">
            <v>资金资产安全</v>
          </cell>
          <cell r="D80" t="str">
            <v>工程质保金支付</v>
          </cell>
          <cell r="E80" t="str">
            <v>质保金支付与合同约定不一致，引发资金支付风险。</v>
          </cell>
        </row>
        <row r="80">
          <cell r="G80" t="str">
            <v>28.工程质保金支付合规性控制</v>
          </cell>
          <cell r="H80" t="str">
            <v>根据合同约定预留质保金，具备支付条件后及时支付。</v>
          </cell>
          <cell r="I80" t="str">
            <v>电网基建业务-28.工程质保金支付合规性控制-控制措施01</v>
          </cell>
          <cell r="J80" t="str">
            <v>各级单位建设部门确保在合同条款中不得限定仅使用现金质保金；</v>
          </cell>
        </row>
        <row r="80">
          <cell r="O80" t="str">
            <v>√</v>
          </cell>
        </row>
        <row r="80">
          <cell r="T80" t="str">
            <v>线下管控</v>
          </cell>
        </row>
        <row r="80">
          <cell r="V80" t="str">
            <v>1.协议（合同）；
2.保函或保险。</v>
          </cell>
          <cell r="W80" t="str">
            <v>各级单位-建设部门-计划人员
建设公司-建管项目分公司-工程合同及投标管理人员</v>
          </cell>
          <cell r="X80" t="str">
            <v>每半年</v>
          </cell>
          <cell r="Y80" t="str">
            <v>抽查</v>
          </cell>
        </row>
        <row r="80">
          <cell r="AA80" t="str">
            <v>每年</v>
          </cell>
          <cell r="AB80" t="str">
            <v>抽查</v>
          </cell>
        </row>
        <row r="80">
          <cell r="AH80" t="str">
            <v>是</v>
          </cell>
          <cell r="AI80" t="str">
            <v>是</v>
          </cell>
          <cell r="AJ80" t="str">
            <v>《国家电网有限公司工程财务管理办法》（国家电网企管〔2023〕28号）第五章</v>
          </cell>
          <cell r="AK80" t="str">
            <v>国网基建部、国网财务部</v>
          </cell>
        </row>
        <row r="81">
          <cell r="I81" t="str">
            <v>电网基建业务-28.工程质保金支付合规性控制-控制措施02</v>
          </cell>
          <cell r="J81" t="str">
            <v>各级单位财务部门审核费用报账时，严格比照合同支付条款，确保保函、保险保证等质保金能够覆盖权益期间；</v>
          </cell>
        </row>
        <row r="81">
          <cell r="O81" t="str">
            <v>√</v>
          </cell>
          <cell r="P81" t="str">
            <v>√</v>
          </cell>
          <cell r="Q81" t="str">
            <v>√</v>
          </cell>
        </row>
        <row r="81">
          <cell r="T81" t="str">
            <v>系统待建</v>
          </cell>
          <cell r="U81" t="str">
            <v>1.智慧共享财务平台
2.数字化法治企业建设平台</v>
          </cell>
          <cell r="V81" t="str">
            <v>1.协议（合同）；
2.系统中项目竣工时间；
3.保函或保险。</v>
          </cell>
          <cell r="W81" t="str">
            <v>各级单位-财务部门-工程财务人员
建设公司-财务部门-工程（核算）财务人员</v>
          </cell>
          <cell r="X81" t="str">
            <v>每半年</v>
          </cell>
          <cell r="Y81" t="str">
            <v>抽查</v>
          </cell>
        </row>
        <row r="81">
          <cell r="AA81" t="str">
            <v>每年</v>
          </cell>
          <cell r="AB81" t="str">
            <v>抽查</v>
          </cell>
        </row>
        <row r="81">
          <cell r="AH81" t="str">
            <v>是</v>
          </cell>
          <cell r="AI81" t="str">
            <v>否</v>
          </cell>
          <cell r="AJ81" t="str">
            <v>《国家电网有限公司工程财务管理办法》（国家电网企管〔2023〕28号）第五章</v>
          </cell>
        </row>
        <row r="82">
          <cell r="I82" t="str">
            <v>电网基建业务-28.工程质保金支付合规性控制-控制措施03</v>
          </cell>
          <cell r="J82" t="str">
            <v>各级单位建设部门对质量保证期届满且无争议的现金质保金，及时办理支付手续；</v>
          </cell>
        </row>
        <row r="82">
          <cell r="O82" t="str">
            <v>√</v>
          </cell>
        </row>
        <row r="82">
          <cell r="T82" t="str">
            <v>线下管控</v>
          </cell>
        </row>
        <row r="82">
          <cell r="V82" t="str">
            <v>1.协议（合同）；
2.系统中质保金支付时间；
3.系统中项目竣工时间；
4.质量保证金返还意见书；
5.保函或保险。</v>
          </cell>
          <cell r="W82" t="str">
            <v>各级单位-建设部门-项目经理、各级单位-建设部门-计划人员
建设公司-建管分公司-项目经理、技经中心-技经人员</v>
          </cell>
          <cell r="X82" t="str">
            <v>每半年</v>
          </cell>
          <cell r="Y82" t="str">
            <v>抽查</v>
          </cell>
        </row>
        <row r="82">
          <cell r="AA82" t="str">
            <v>每年</v>
          </cell>
          <cell r="AB82" t="str">
            <v>抽查</v>
          </cell>
        </row>
        <row r="82">
          <cell r="AH82" t="str">
            <v>是</v>
          </cell>
          <cell r="AI82" t="str">
            <v>否</v>
          </cell>
          <cell r="AJ82" t="str">
            <v>《国家电网有限公司工程财务管理办法》（国家电网企管〔2023〕28号）第五章</v>
          </cell>
        </row>
        <row r="83">
          <cell r="I83" t="str">
            <v>电网基建业务-28.工程质保金支付合规性控制-控制措施04</v>
          </cell>
          <cell r="J83" t="str">
            <v>各级单位财务部门做好保险、保函台账管理及验真工作；</v>
          </cell>
        </row>
        <row r="83">
          <cell r="O83" t="str">
            <v>√</v>
          </cell>
        </row>
        <row r="83">
          <cell r="Q83" t="str">
            <v>√</v>
          </cell>
        </row>
        <row r="83">
          <cell r="T83" t="str">
            <v>线下管控</v>
          </cell>
        </row>
        <row r="83">
          <cell r="V83" t="str">
            <v>1.协议（合同）；
2.保函或保险。</v>
          </cell>
          <cell r="W83" t="str">
            <v>各级单位-财务部门-工程财务人员
建设公司-财务部门-工程（核算）财务人员</v>
          </cell>
          <cell r="X83" t="str">
            <v>每半年</v>
          </cell>
          <cell r="Y83" t="str">
            <v>抽查</v>
          </cell>
        </row>
        <row r="83">
          <cell r="AA83" t="str">
            <v>每年</v>
          </cell>
          <cell r="AB83" t="str">
            <v>抽查</v>
          </cell>
        </row>
        <row r="83">
          <cell r="AH83" t="str">
            <v>是</v>
          </cell>
          <cell r="AI83" t="str">
            <v>否</v>
          </cell>
          <cell r="AJ83" t="str">
            <v>《国家电网有限公司工程财务管理办法》（国家电网企管〔2023〕28号）第五章</v>
          </cell>
        </row>
        <row r="84">
          <cell r="I84" t="str">
            <v>电网基建业务-28.工程质保金支付合规性控制-控制措施05</v>
          </cell>
          <cell r="J84" t="str">
            <v>各级单位财务部门定期开展往来清理，确保到期质保金应清尽清，对新增逾期未支付的无争议质保金，追究相关岗位责任。</v>
          </cell>
        </row>
        <row r="84">
          <cell r="O84" t="str">
            <v>√</v>
          </cell>
          <cell r="P84" t="str">
            <v>√</v>
          </cell>
          <cell r="Q84" t="str">
            <v>√</v>
          </cell>
        </row>
        <row r="84">
          <cell r="T84" t="str">
            <v>线下管控</v>
          </cell>
        </row>
        <row r="84">
          <cell r="V84" t="str">
            <v>1.协议（合同）；
2.系统中质保金支付时间；
3.系统中项目竣工时间；
4.质量保证金返还意见书；
5.保函或保险。</v>
          </cell>
          <cell r="W84" t="str">
            <v>各级单位-财务部门-工程财务人员
建设公司-财务部门-工程（核算）财务人员</v>
          </cell>
          <cell r="X84" t="str">
            <v>每半年</v>
          </cell>
          <cell r="Y84" t="str">
            <v>抽查</v>
          </cell>
        </row>
        <row r="84">
          <cell r="AA84" t="str">
            <v>每年</v>
          </cell>
          <cell r="AB84" t="str">
            <v>抽查</v>
          </cell>
        </row>
        <row r="84">
          <cell r="AH84" t="str">
            <v>是</v>
          </cell>
          <cell r="AI84" t="str">
            <v>否</v>
          </cell>
          <cell r="AJ84" t="str">
            <v>《国家电网有限公司工程财务管理办法》（国家电网企管〔2023〕28号）第五章</v>
          </cell>
        </row>
        <row r="85">
          <cell r="C85" t="str">
            <v>会计信息真实完整</v>
          </cell>
          <cell r="D85" t="str">
            <v>工程竣工决算报告编制与审核</v>
          </cell>
          <cell r="E85" t="str">
            <v>工程竣工决算报告编制不及时，导致正式转资滞后，折旧计提不准确。</v>
          </cell>
        </row>
        <row r="85">
          <cell r="G85" t="str">
            <v>29.工程竣工决算报告编制时效性管控</v>
          </cell>
          <cell r="H85" t="str">
            <v>在规定时限内完成竣工决算报告编制。</v>
          </cell>
          <cell r="I85" t="str">
            <v>电网基建业务-29.工程竣工决算报告编制时效性管控-控制措施01</v>
          </cell>
          <cell r="J85" t="str">
            <v>各级单位财务部门建立决算时限预警机制，到达预警时点，系统自动向相关岗位推送预警信息；</v>
          </cell>
        </row>
        <row r="85">
          <cell r="Q85" t="str">
            <v>√</v>
          </cell>
        </row>
        <row r="85">
          <cell r="T85" t="str">
            <v>系统已建</v>
          </cell>
          <cell r="U85" t="str">
            <v>1.ERP系统
2.智慧共享财务平台</v>
          </cell>
          <cell r="V85" t="str">
            <v>1.中台系统中工程竣工决算报告完成时间；
2.业务系统中工程项目竣工时间。</v>
          </cell>
          <cell r="W85" t="str">
            <v>各级单位-财务部门-工程管理人员
建设公司-财务部门-工程结算与决算财务人员</v>
          </cell>
          <cell r="X85" t="str">
            <v>每月</v>
          </cell>
          <cell r="Y85" t="str">
            <v>全量检查</v>
          </cell>
        </row>
        <row r="85">
          <cell r="AA85" t="str">
            <v>每年</v>
          </cell>
          <cell r="AB85" t="str">
            <v>抽查</v>
          </cell>
        </row>
        <row r="85">
          <cell r="AD85" t="str">
            <v>工程竣工决算报告编制时效性监督场景</v>
          </cell>
          <cell r="AE85" t="str">
            <v>每月</v>
          </cell>
        </row>
        <row r="85">
          <cell r="AH85" t="str">
            <v>是</v>
          </cell>
          <cell r="AI85" t="str">
            <v>是</v>
          </cell>
          <cell r="AJ85" t="str">
            <v>《国家电网有限公司工程财务管理办法》（国家电网企管〔2023〕28号）第七章</v>
          </cell>
          <cell r="AK85" t="str">
            <v>国网财务部</v>
          </cell>
        </row>
        <row r="86">
          <cell r="I86" t="str">
            <v>电网基建业务-29.工程竣工决算报告编制时效性管控-控制措施02</v>
          </cell>
          <cell r="J86" t="str">
            <v>各级单位财务部门监督考核决算延误的项目。</v>
          </cell>
        </row>
        <row r="86">
          <cell r="Q86" t="str">
            <v>√</v>
          </cell>
        </row>
        <row r="86">
          <cell r="T86" t="str">
            <v>系统已建</v>
          </cell>
          <cell r="U86" t="str">
            <v>ERP系统
2.智慧共享财务平台</v>
          </cell>
          <cell r="V86" t="str">
            <v>1.中台系统中工程竣工决算报告完成时间；
2.业务系统中工程项目竣工时间。</v>
          </cell>
          <cell r="W86" t="str">
            <v>各级单位-财务部门-工程管理人员
建设公司-财务部门-工程结算与决算财务人员</v>
          </cell>
          <cell r="X86" t="str">
            <v>每月</v>
          </cell>
          <cell r="Y86" t="str">
            <v>全量检查</v>
          </cell>
        </row>
        <row r="86">
          <cell r="AA86" t="str">
            <v>每年</v>
          </cell>
          <cell r="AB86" t="str">
            <v>抽查</v>
          </cell>
        </row>
        <row r="86">
          <cell r="AD86" t="str">
            <v>工程竣工决算报告编制时效性监督场景</v>
          </cell>
          <cell r="AE86" t="str">
            <v>每月</v>
          </cell>
        </row>
        <row r="86">
          <cell r="AH86" t="str">
            <v>是</v>
          </cell>
          <cell r="AI86" t="str">
            <v>是</v>
          </cell>
          <cell r="AJ86" t="str">
            <v>《国家电网有限公司工程财务管理办法》（国家电网企管〔2023〕28号）第七章</v>
          </cell>
        </row>
        <row r="87">
          <cell r="A87" t="str">
            <v>35千伏-750千伏电网基建项目</v>
          </cell>
          <cell r="B87" t="str">
            <v>五、结决算管理</v>
          </cell>
          <cell r="C87" t="str">
            <v>会计信息真实完整</v>
          </cell>
          <cell r="D87" t="str">
            <v>工程竣工决算报告编制与审核</v>
          </cell>
          <cell r="E87" t="str">
            <v>工程竣工决算报告未履行分级审核审批管理，导致项目成本确认不准确。</v>
          </cell>
        </row>
        <row r="87">
          <cell r="G87" t="str">
            <v>30.工程竣工决算分级审核控制</v>
          </cell>
          <cell r="H87" t="str">
            <v>严格分级审核审批，确保竣工决算金额准确。</v>
          </cell>
          <cell r="I87" t="str">
            <v>电网基建业务-30.工程竣工决算分级审核控制-控制措施01</v>
          </cell>
          <cell r="J87" t="str">
            <v>各级单位财务部门执行分级审批标准化流程，流转完成后自动更新项目决算状态；</v>
          </cell>
        </row>
        <row r="87">
          <cell r="L87" t="str">
            <v>√</v>
          </cell>
        </row>
        <row r="87">
          <cell r="Q87" t="str">
            <v>√</v>
          </cell>
        </row>
        <row r="87">
          <cell r="T87" t="str">
            <v>系统已建</v>
          </cell>
          <cell r="U87" t="str">
            <v>智慧共享财务平台</v>
          </cell>
          <cell r="V87" t="str">
            <v>1.竣工决算审核报告；
2.分级审核审批系统记录。</v>
          </cell>
          <cell r="W87" t="str">
            <v>各级单位-财务部门-工程管理人员、各级单位-财务部门-审批人员
建设公司-财务部门-工程结算与决算财务人员</v>
          </cell>
          <cell r="X87" t="str">
            <v>每月</v>
          </cell>
          <cell r="Y87" t="str">
            <v>全量检查</v>
          </cell>
        </row>
        <row r="87">
          <cell r="AA87" t="str">
            <v>每年</v>
          </cell>
          <cell r="AB87" t="str">
            <v>抽查</v>
          </cell>
        </row>
        <row r="87">
          <cell r="AD87" t="str">
            <v>工程决算分级审核审批管理监督场景</v>
          </cell>
          <cell r="AE87" t="str">
            <v>每月</v>
          </cell>
        </row>
        <row r="87">
          <cell r="AH87" t="str">
            <v>是</v>
          </cell>
          <cell r="AI87" t="str">
            <v>是</v>
          </cell>
          <cell r="AJ87" t="str">
            <v>《国家电网有限公司工程财务管理办法》（国家电网企管〔2023〕28号）第七章</v>
          </cell>
          <cell r="AK87" t="str">
            <v>国网财务部</v>
          </cell>
        </row>
        <row r="88">
          <cell r="I88" t="str">
            <v>电网基建业务-30.工程竣工决算分级审核控制-控制措施02</v>
          </cell>
          <cell r="J88" t="str">
            <v>各级单位财务部门建立电子台账，由系统自动记录审核审批全流程操作痕迹，包括经办人、审核意见、审批时间等，支持审计追溯；</v>
          </cell>
        </row>
        <row r="88">
          <cell r="L88" t="str">
            <v>√</v>
          </cell>
        </row>
        <row r="88">
          <cell r="Q88" t="str">
            <v>√</v>
          </cell>
        </row>
        <row r="88">
          <cell r="T88" t="str">
            <v>系统已建</v>
          </cell>
          <cell r="U88" t="str">
            <v>智慧共享财务平台</v>
          </cell>
          <cell r="V88" t="str">
            <v>1.分级审核审批系统记录。</v>
          </cell>
          <cell r="W88" t="str">
            <v>各级单位-财务部门-工程管理人员、各级单位-财务部门-审批人员
建设公司-财务部门-工程结算与决算财务人员</v>
          </cell>
          <cell r="X88" t="str">
            <v>每月</v>
          </cell>
          <cell r="Y88" t="str">
            <v>全量检查</v>
          </cell>
        </row>
        <row r="88">
          <cell r="AA88" t="str">
            <v>每年</v>
          </cell>
          <cell r="AB88" t="str">
            <v>抽查</v>
          </cell>
        </row>
        <row r="88">
          <cell r="AD88" t="str">
            <v>工程决算分级审核审批管理监督场景</v>
          </cell>
          <cell r="AE88" t="str">
            <v>每月</v>
          </cell>
        </row>
        <row r="88">
          <cell r="AH88" t="str">
            <v>是</v>
          </cell>
          <cell r="AI88" t="str">
            <v>是</v>
          </cell>
          <cell r="AJ88" t="str">
            <v>《国家电网有限公司工程财务管理办法》（国家电网企管〔2023〕28号）第七章</v>
          </cell>
        </row>
        <row r="89">
          <cell r="I89" t="str">
            <v>电网基建业务-30.工程竣工决算分级审核控制-控制措施03</v>
          </cell>
          <cell r="J89" t="str">
            <v>各级单位财务部门对竣工决算金额与项目成本进行复核，确保二者一致。</v>
          </cell>
        </row>
        <row r="89">
          <cell r="Q89" t="str">
            <v>√</v>
          </cell>
        </row>
        <row r="89">
          <cell r="T89" t="str">
            <v>系统待建</v>
          </cell>
          <cell r="U89" t="str">
            <v>智慧共享财务平台</v>
          </cell>
          <cell r="V89" t="str">
            <v>1.竣工决算审核报告；
2.项目成本支出明细账。</v>
          </cell>
          <cell r="W89" t="str">
            <v>各级单位-财务部门-工程管理人员
建设公司-财务部门-工程结算与决算财务人员</v>
          </cell>
          <cell r="X89" t="str">
            <v>每月</v>
          </cell>
          <cell r="Y89" t="str">
            <v>全量检查</v>
          </cell>
        </row>
        <row r="89">
          <cell r="AA89" t="str">
            <v>每年</v>
          </cell>
          <cell r="AB89" t="str">
            <v>抽查</v>
          </cell>
        </row>
        <row r="89">
          <cell r="AH89" t="str">
            <v>是</v>
          </cell>
          <cell r="AI89" t="str">
            <v>是</v>
          </cell>
          <cell r="AJ89" t="str">
            <v>《国家电网有限公司工程财务管理办法》（国家电网企管〔2023〕28号）第七章</v>
          </cell>
        </row>
        <row r="90">
          <cell r="C90" t="str">
            <v>会计信息真实完整</v>
          </cell>
          <cell r="D90" t="str">
            <v>投后管理</v>
          </cell>
          <cell r="E90" t="str">
            <v>投资项目后评价不及时、不规范，导致项目效益未充分发挥，存在投资风险。</v>
          </cell>
        </row>
        <row r="90">
          <cell r="G90" t="str">
            <v>31.工程投后管理</v>
          </cell>
          <cell r="H90" t="str">
            <v>及时、规范开展工程后评价工作。</v>
          </cell>
          <cell r="I90" t="str">
            <v>电网基建业务-31.工程投后管理-控制措施01</v>
          </cell>
          <cell r="J90" t="str">
            <v>各级单位发展部门归口管理公司固定资产投资项目后评价工作，负责制订项目后评价分析方法和指标体系，组织开展工程后评价报告编制、评审和验收工作；</v>
          </cell>
        </row>
        <row r="90">
          <cell r="L90" t="str">
            <v>√</v>
          </cell>
        </row>
        <row r="90">
          <cell r="S90" t="str">
            <v>√</v>
          </cell>
          <cell r="T90" t="str">
            <v>线下管控</v>
          </cell>
        </row>
        <row r="90">
          <cell r="V90" t="str">
            <v>1.后评价报告。</v>
          </cell>
          <cell r="W90" t="str">
            <v>各级单位-发展部门-投资管理人员
省公司-发展部门-投资管理人员</v>
          </cell>
          <cell r="X90" t="str">
            <v>每年</v>
          </cell>
          <cell r="Y90" t="str">
            <v>抽查</v>
          </cell>
        </row>
        <row r="90">
          <cell r="AA90" t="str">
            <v>每年</v>
          </cell>
          <cell r="AB90" t="str">
            <v>抽查</v>
          </cell>
        </row>
        <row r="90">
          <cell r="AH90" t="str">
            <v>是</v>
          </cell>
          <cell r="AI90" t="str">
            <v>是</v>
          </cell>
          <cell r="AJ90" t="str">
            <v>《国家电网有限公司投资管理规定》（国家电网企管〔2019〕425号）第七章</v>
          </cell>
          <cell r="AK90" t="str">
            <v>国网发展部</v>
          </cell>
        </row>
        <row r="91">
          <cell r="I91" t="str">
            <v>电网基建业务-31.工程投后管理-控制措施02</v>
          </cell>
          <cell r="J91" t="str">
            <v>各级单位发展部门按照专业分工，负责本专业固定资产投资项目后评价工作；</v>
          </cell>
        </row>
        <row r="91">
          <cell r="L91" t="str">
            <v>√</v>
          </cell>
        </row>
        <row r="91">
          <cell r="S91" t="str">
            <v>√</v>
          </cell>
          <cell r="T91" t="str">
            <v>线下管控</v>
          </cell>
        </row>
        <row r="91">
          <cell r="V91" t="str">
            <v>2.后评价报告。</v>
          </cell>
          <cell r="W91" t="str">
            <v>各级单位-发展部门-投资管理人员
省公司-发展部门-投资管理人员</v>
          </cell>
          <cell r="X91" t="str">
            <v>每年</v>
          </cell>
          <cell r="Y91" t="str">
            <v>抽查</v>
          </cell>
        </row>
        <row r="91">
          <cell r="AA91" t="str">
            <v>每年</v>
          </cell>
          <cell r="AB91" t="str">
            <v>抽查</v>
          </cell>
        </row>
        <row r="91">
          <cell r="AH91" t="str">
            <v>是</v>
          </cell>
          <cell r="AI91" t="str">
            <v>是</v>
          </cell>
          <cell r="AJ91" t="str">
            <v>《国家电网有限公司投资管理规定》（国家电网企管〔2019〕425号）第七章</v>
          </cell>
        </row>
        <row r="92">
          <cell r="I92" t="str">
            <v>电网基建业务-31.工程投后管理-控制措施03</v>
          </cell>
          <cell r="J92" t="str">
            <v>各级单位发展部门组织开展本单位项目后评价，配合公司总部开展重大项目和重点专项工程后评价；</v>
          </cell>
        </row>
        <row r="92">
          <cell r="L92" t="str">
            <v>√</v>
          </cell>
        </row>
        <row r="92">
          <cell r="S92" t="str">
            <v>√</v>
          </cell>
          <cell r="T92" t="str">
            <v>线下管控</v>
          </cell>
        </row>
        <row r="92">
          <cell r="V92" t="str">
            <v>3.后评价报告。</v>
          </cell>
          <cell r="W92" t="str">
            <v>各级单位-发展部门-投资管理人员
省公司-发展部门-投资管理人员</v>
          </cell>
          <cell r="X92" t="str">
            <v>每年</v>
          </cell>
          <cell r="Y92" t="str">
            <v>抽查</v>
          </cell>
        </row>
        <row r="92">
          <cell r="AA92" t="str">
            <v>每年</v>
          </cell>
          <cell r="AB92" t="str">
            <v>抽查</v>
          </cell>
        </row>
        <row r="92">
          <cell r="AH92" t="str">
            <v>是</v>
          </cell>
          <cell r="AI92" t="str">
            <v>是</v>
          </cell>
          <cell r="AJ92" t="str">
            <v>《国家电网有限公司投资管理规定》（国家电网企管〔2019〕425号）第七章</v>
          </cell>
        </row>
        <row r="93">
          <cell r="I93" t="str">
            <v>电网基建业务-31.工程投后管理-控制措施04</v>
          </cell>
          <cell r="J93" t="str">
            <v>各级单位相关部门结合项目运营情况，及时对风险隐患和整改措施进行总结，健全完善投资风险管理体系，提高抗风险能力。</v>
          </cell>
        </row>
        <row r="93">
          <cell r="L93" t="str">
            <v>√</v>
          </cell>
        </row>
        <row r="93">
          <cell r="S93" t="str">
            <v>√</v>
          </cell>
          <cell r="T93" t="str">
            <v>线下管控</v>
          </cell>
        </row>
        <row r="93">
          <cell r="V93" t="str">
            <v>4.后评价报告。</v>
          </cell>
          <cell r="W93" t="str">
            <v>各级单位-发展部门-投资管理人员
省公司-发展部门-投资管理人员</v>
          </cell>
          <cell r="X93" t="str">
            <v>每年</v>
          </cell>
          <cell r="Y93" t="str">
            <v>抽查</v>
          </cell>
        </row>
        <row r="93">
          <cell r="AA93" t="str">
            <v>每年</v>
          </cell>
          <cell r="AB93" t="str">
            <v>抽查</v>
          </cell>
        </row>
        <row r="93">
          <cell r="AH93" t="str">
            <v>是</v>
          </cell>
          <cell r="AI93" t="str">
            <v>是</v>
          </cell>
          <cell r="AJ93" t="str">
            <v>《国家电网有限公司投资管理规定》（国家电网企管〔2019〕425号）第七章</v>
          </cell>
        </row>
        <row r="94">
          <cell r="B94" t="str">
            <v>三、项目实施管理</v>
          </cell>
          <cell r="C94" t="str">
            <v>资金资产安全</v>
          </cell>
          <cell r="D94" t="str">
            <v>招标采购</v>
          </cell>
          <cell r="E94" t="str">
            <v>未进行招标限价管控，造成项目造价虚高、资金不必要浪费</v>
          </cell>
        </row>
        <row r="94">
          <cell r="G94" t="str">
            <v>物资、工程、服务招标限价管控</v>
          </cell>
          <cell r="H94" t="str">
            <v>在开展二级招标采购时，设置招标最高限价</v>
          </cell>
          <cell r="I94" t="str">
            <v>电网基建业务-造价管控措施（新增）</v>
          </cell>
          <cell r="J94" t="str">
            <v>开展二级专区物资、施工、服务招标采购时，要科学设定最高限价。确有特殊原因未设置最高限价的，应出具说明材料履行审批手续。</v>
          </cell>
        </row>
        <row r="94">
          <cell r="L94" t="str">
            <v>√</v>
          </cell>
        </row>
        <row r="94">
          <cell r="O94" t="str">
            <v>√</v>
          </cell>
        </row>
        <row r="94">
          <cell r="R94" t="str">
            <v>√</v>
          </cell>
        </row>
        <row r="94">
          <cell r="T94" t="str">
            <v>线下管控</v>
          </cell>
          <cell r="U94" t="str">
            <v>ECP2.0</v>
          </cell>
          <cell r="V94" t="str">
            <v>1.招标过程资料</v>
          </cell>
          <cell r="W94" t="str">
            <v>各级单位-物资部-招标采购人员；物资部-招标计划处-招标采购人员</v>
          </cell>
          <cell r="X94" t="str">
            <v>每年</v>
          </cell>
          <cell r="Y94" t="str">
            <v>抽查</v>
          </cell>
        </row>
        <row r="94">
          <cell r="AA94" t="str">
            <v>每年</v>
          </cell>
          <cell r="AB94" t="str">
            <v>抽查</v>
          </cell>
        </row>
        <row r="94">
          <cell r="AH94" t="str">
            <v>是</v>
          </cell>
          <cell r="AI94" t="str">
            <v>是</v>
          </cell>
          <cell r="AJ94" t="str">
            <v>《国家电网有限公司关于印发加强工程造价管控若干措施的通知》国家电网财〔2025〕595号
 《国网湖南省电力有限公司关于印发加强工程造价管控三年行动实施方案的通知》湘电公司财〔2026〕61号</v>
          </cell>
          <cell r="AK94" t="str">
            <v>国网物资部</v>
          </cell>
        </row>
        <row r="95">
          <cell r="C95" t="str">
            <v>会计信息真实完整</v>
          </cell>
          <cell r="D95" t="str">
            <v>工程成本核算确认</v>
          </cell>
          <cell r="E95" t="str">
            <v>属地费用入账不及时性、不合规性，以致成本信息失真，影响会计核算真实性。</v>
          </cell>
          <cell r="F95" t="str">
            <v>会计信息质量不准确：收入、成本确认不及时、不准确。</v>
          </cell>
          <cell r="G95" t="str">
            <v>属地费用入账及时性和合规性审核</v>
          </cell>
          <cell r="H95" t="str">
            <v>属地费用成本入账及时合规。</v>
          </cell>
          <cell r="I95" t="str">
            <v>属地费用入账及时性和合规性审核</v>
          </cell>
          <cell r="J95" t="str">
            <v>严格以概算上线管控属地费用，明晰属地公司、建设公司职责。属地费用按照“谁办理手续、谁使用资金、谁承担责任”的原则，属地公司及时按要求办理费用入账，移交完整佐证材料，严禁超范围列支；</v>
          </cell>
        </row>
        <row r="95">
          <cell r="M95" t="str">
            <v>√</v>
          </cell>
          <cell r="N95" t="str">
            <v>√</v>
          </cell>
          <cell r="O95" t="str">
            <v>√</v>
          </cell>
        </row>
        <row r="95">
          <cell r="T95" t="str">
            <v>系统已建</v>
          </cell>
          <cell r="U95" t="str">
            <v>物资ECP2.0系统
ERP系统
数字化法治企业建设平台
智慧共享财务平台</v>
          </cell>
          <cell r="V95" t="str">
            <v>1.属地费用明细清单；
2.每月更新合同台账；
3.法人账套明细；
4.执行概算批复文件。</v>
          </cell>
          <cell r="W95" t="str">
            <v>建设公司-工程财务岗-技经人员-前期管理人员；属地公司-建设部-属地管理专责</v>
          </cell>
          <cell r="X95" t="str">
            <v>每年</v>
          </cell>
          <cell r="Y95" t="str">
            <v>抽查</v>
          </cell>
        </row>
        <row r="95">
          <cell r="AA95" t="str">
            <v>每年</v>
          </cell>
          <cell r="AB95" t="str">
            <v>抽查</v>
          </cell>
        </row>
        <row r="95">
          <cell r="AH95" t="str">
            <v>是</v>
          </cell>
          <cell r="AI95" t="str">
            <v>是</v>
          </cell>
          <cell r="AJ95" t="str">
            <v>《国家电网有限公司工程财务管理办法》（国家电网企管〔2023〕28号）第二十七条</v>
          </cell>
          <cell r="AK95" t="str">
            <v>财务部</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topLeftCell="A154" workbookViewId="0">
      <selection activeCell="F46" sqref="F46"/>
    </sheetView>
  </sheetViews>
  <sheetFormatPr defaultColWidth="9" defaultRowHeight="13.8" outlineLevelCol="5"/>
  <cols>
    <col min="1" max="1" width="8.33333333333333" customWidth="1"/>
    <col min="2" max="2" width="13" customWidth="1"/>
    <col min="3" max="3" width="20.25" customWidth="1"/>
    <col min="4" max="4" width="11.3333333333333" customWidth="1"/>
    <col min="5" max="5" width="43" customWidth="1"/>
    <col min="6" max="6" width="21.4166666666667" style="180" customWidth="1"/>
  </cols>
  <sheetData>
    <row r="1" ht="28.8" spans="1:6">
      <c r="A1" s="181" t="s">
        <v>0</v>
      </c>
      <c r="B1" s="181" t="s">
        <v>1</v>
      </c>
      <c r="C1" s="181" t="s">
        <v>2</v>
      </c>
      <c r="D1" s="181" t="s">
        <v>3</v>
      </c>
      <c r="E1" s="181" t="s">
        <v>4</v>
      </c>
      <c r="F1" s="181" t="s">
        <v>5</v>
      </c>
    </row>
    <row r="2" ht="28.8" spans="1:6">
      <c r="A2" s="182" t="s">
        <v>6</v>
      </c>
      <c r="B2" s="182" t="s">
        <v>7</v>
      </c>
      <c r="C2" s="182" t="s">
        <v>8</v>
      </c>
      <c r="D2" s="183" t="s">
        <v>9</v>
      </c>
      <c r="E2" s="183" t="s">
        <v>10</v>
      </c>
      <c r="F2" s="184"/>
    </row>
    <row r="3" ht="28.8" spans="1:6">
      <c r="A3" s="182"/>
      <c r="B3" s="182"/>
      <c r="C3" s="182"/>
      <c r="D3" s="183" t="s">
        <v>11</v>
      </c>
      <c r="E3" s="183" t="s">
        <v>12</v>
      </c>
      <c r="F3" s="184"/>
    </row>
    <row r="4" ht="28.8" spans="1:6">
      <c r="A4" s="182"/>
      <c r="B4" s="182"/>
      <c r="C4" s="182"/>
      <c r="D4" s="183" t="s">
        <v>13</v>
      </c>
      <c r="E4" s="183" t="s">
        <v>14</v>
      </c>
      <c r="F4" s="184"/>
    </row>
    <row r="5" ht="28.8" spans="1:6">
      <c r="A5" s="182"/>
      <c r="B5" s="182"/>
      <c r="C5" s="182"/>
      <c r="D5" s="183" t="s">
        <v>15</v>
      </c>
      <c r="E5" s="183" t="s">
        <v>16</v>
      </c>
      <c r="F5" s="184"/>
    </row>
    <row r="6" ht="28.8" spans="1:6">
      <c r="A6" s="182"/>
      <c r="B6" s="182"/>
      <c r="C6" s="182"/>
      <c r="D6" s="183" t="s">
        <v>17</v>
      </c>
      <c r="E6" s="183" t="s">
        <v>18</v>
      </c>
      <c r="F6" s="184"/>
    </row>
    <row r="7" ht="28.8" spans="1:6">
      <c r="A7" s="182"/>
      <c r="B7" s="182"/>
      <c r="C7" s="182"/>
      <c r="D7" s="183" t="s">
        <v>19</v>
      </c>
      <c r="E7" s="183" t="s">
        <v>20</v>
      </c>
      <c r="F7" s="184"/>
    </row>
    <row r="8" ht="28.8" spans="1:6">
      <c r="A8" s="182"/>
      <c r="B8" s="182"/>
      <c r="C8" s="182" t="s">
        <v>21</v>
      </c>
      <c r="D8" s="183" t="s">
        <v>22</v>
      </c>
      <c r="E8" s="183" t="s">
        <v>23</v>
      </c>
      <c r="F8" s="184"/>
    </row>
    <row r="9" ht="28.8" spans="1:6">
      <c r="A9" s="182"/>
      <c r="B9" s="182"/>
      <c r="C9" s="182"/>
      <c r="D9" s="183" t="s">
        <v>24</v>
      </c>
      <c r="E9" s="183" t="s">
        <v>25</v>
      </c>
      <c r="F9" s="184"/>
    </row>
    <row r="10" ht="28.8" spans="1:6">
      <c r="A10" s="182"/>
      <c r="B10" s="182"/>
      <c r="C10" s="182" t="s">
        <v>26</v>
      </c>
      <c r="D10" s="183" t="s">
        <v>27</v>
      </c>
      <c r="E10" s="183" t="s">
        <v>28</v>
      </c>
      <c r="F10" s="184"/>
    </row>
    <row r="11" ht="28.8" spans="1:6">
      <c r="A11" s="182"/>
      <c r="B11" s="182"/>
      <c r="C11" s="182"/>
      <c r="D11" s="183" t="s">
        <v>29</v>
      </c>
      <c r="E11" s="183" t="s">
        <v>30</v>
      </c>
      <c r="F11" s="184"/>
    </row>
    <row r="12" ht="28.8" spans="1:6">
      <c r="A12" s="182"/>
      <c r="B12" s="182"/>
      <c r="C12" s="182"/>
      <c r="D12" s="183" t="s">
        <v>31</v>
      </c>
      <c r="E12" s="183" t="s">
        <v>32</v>
      </c>
      <c r="F12" s="184"/>
    </row>
    <row r="13" ht="14.5" customHeight="1" spans="1:6">
      <c r="A13" s="182"/>
      <c r="B13" s="182"/>
      <c r="C13" s="185" t="s">
        <v>33</v>
      </c>
      <c r="D13" s="186" t="s">
        <v>34</v>
      </c>
      <c r="E13" s="186" t="s">
        <v>35</v>
      </c>
      <c r="F13" s="187" t="s">
        <v>36</v>
      </c>
    </row>
    <row r="14" ht="14.5" customHeight="1" spans="1:6">
      <c r="A14" s="182"/>
      <c r="B14" s="182"/>
      <c r="C14" s="188"/>
      <c r="D14" s="186" t="s">
        <v>37</v>
      </c>
      <c r="E14" s="186" t="s">
        <v>38</v>
      </c>
      <c r="F14" s="189"/>
    </row>
    <row r="15" ht="28.8" spans="1:6">
      <c r="A15" s="182"/>
      <c r="B15" s="182"/>
      <c r="C15" s="182" t="s">
        <v>39</v>
      </c>
      <c r="D15" s="183" t="s">
        <v>34</v>
      </c>
      <c r="E15" s="183" t="s">
        <v>40</v>
      </c>
      <c r="F15" s="184"/>
    </row>
    <row r="16" ht="28.8" spans="1:6">
      <c r="A16" s="182"/>
      <c r="B16" s="182"/>
      <c r="C16" s="182" t="s">
        <v>41</v>
      </c>
      <c r="D16" s="183" t="s">
        <v>42</v>
      </c>
      <c r="E16" s="183" t="s">
        <v>43</v>
      </c>
      <c r="F16" s="184"/>
    </row>
    <row r="17" ht="28.8" spans="1:6">
      <c r="A17" s="182"/>
      <c r="B17" s="182"/>
      <c r="C17" s="182"/>
      <c r="D17" s="183" t="s">
        <v>44</v>
      </c>
      <c r="E17" s="183" t="s">
        <v>45</v>
      </c>
      <c r="F17" s="184"/>
    </row>
    <row r="18" ht="28.8" spans="1:6">
      <c r="A18" s="182"/>
      <c r="B18" s="182"/>
      <c r="C18" s="182"/>
      <c r="D18" s="183" t="s">
        <v>46</v>
      </c>
      <c r="E18" s="183" t="s">
        <v>47</v>
      </c>
      <c r="F18" s="184"/>
    </row>
    <row r="19" ht="28.8" spans="1:6">
      <c r="A19" s="182"/>
      <c r="B19" s="182" t="s">
        <v>48</v>
      </c>
      <c r="C19" s="182" t="s">
        <v>49</v>
      </c>
      <c r="D19" s="183" t="s">
        <v>50</v>
      </c>
      <c r="E19" s="183" t="s">
        <v>51</v>
      </c>
      <c r="F19" s="184"/>
    </row>
    <row r="20" ht="28.8" spans="1:6">
      <c r="A20" s="182"/>
      <c r="B20" s="182"/>
      <c r="C20" s="182"/>
      <c r="D20" s="183" t="s">
        <v>52</v>
      </c>
      <c r="E20" s="183" t="s">
        <v>53</v>
      </c>
      <c r="F20" s="184"/>
    </row>
    <row r="21" ht="28.8" spans="1:6">
      <c r="A21" s="182"/>
      <c r="B21" s="182"/>
      <c r="C21" s="190" t="s">
        <v>54</v>
      </c>
      <c r="D21" s="186" t="s">
        <v>55</v>
      </c>
      <c r="E21" s="186" t="s">
        <v>56</v>
      </c>
      <c r="F21" s="190" t="s">
        <v>36</v>
      </c>
    </row>
    <row r="22" ht="28.8" spans="1:6">
      <c r="A22" s="182"/>
      <c r="B22" s="182"/>
      <c r="C22" s="190"/>
      <c r="D22" s="186" t="s">
        <v>57</v>
      </c>
      <c r="E22" s="186" t="s">
        <v>58</v>
      </c>
      <c r="F22" s="190"/>
    </row>
    <row r="23" ht="28.8" spans="1:6">
      <c r="A23" s="182"/>
      <c r="B23" s="182"/>
      <c r="C23" s="190"/>
      <c r="D23" s="186" t="s">
        <v>59</v>
      </c>
      <c r="E23" s="186" t="s">
        <v>60</v>
      </c>
      <c r="F23" s="190"/>
    </row>
    <row r="24" ht="28.8" spans="1:6">
      <c r="A24" s="182"/>
      <c r="B24" s="182"/>
      <c r="C24" s="190"/>
      <c r="D24" s="186" t="s">
        <v>61</v>
      </c>
      <c r="E24" s="186" t="s">
        <v>62</v>
      </c>
      <c r="F24" s="190"/>
    </row>
    <row r="25" ht="28.8" spans="1:6">
      <c r="A25" s="182"/>
      <c r="B25" s="182"/>
      <c r="C25" s="190"/>
      <c r="D25" s="186" t="s">
        <v>63</v>
      </c>
      <c r="E25" s="186" t="s">
        <v>64</v>
      </c>
      <c r="F25" s="190"/>
    </row>
    <row r="26" ht="28.8" spans="1:6">
      <c r="A26" s="182"/>
      <c r="B26" s="182"/>
      <c r="C26" s="190"/>
      <c r="D26" s="186" t="s">
        <v>65</v>
      </c>
      <c r="E26" s="186" t="s">
        <v>66</v>
      </c>
      <c r="F26" s="190"/>
    </row>
    <row r="27" ht="28.8" spans="1:6">
      <c r="A27" s="182"/>
      <c r="B27" s="182"/>
      <c r="C27" s="190"/>
      <c r="D27" s="186" t="s">
        <v>67</v>
      </c>
      <c r="E27" s="186" t="s">
        <v>68</v>
      </c>
      <c r="F27" s="190"/>
    </row>
    <row r="28" ht="28.8" spans="1:6">
      <c r="A28" s="182"/>
      <c r="B28" s="182"/>
      <c r="C28" s="182" t="s">
        <v>69</v>
      </c>
      <c r="D28" s="183" t="s">
        <v>70</v>
      </c>
      <c r="E28" s="183" t="s">
        <v>71</v>
      </c>
      <c r="F28" s="184"/>
    </row>
    <row r="29" ht="28.8" spans="1:6">
      <c r="A29" s="182"/>
      <c r="B29" s="182"/>
      <c r="C29" s="182"/>
      <c r="D29" s="183" t="s">
        <v>72</v>
      </c>
      <c r="E29" s="183" t="s">
        <v>73</v>
      </c>
      <c r="F29" s="184"/>
    </row>
    <row r="30" ht="28.8" spans="1:6">
      <c r="A30" s="182"/>
      <c r="B30" s="182"/>
      <c r="C30" s="182"/>
      <c r="D30" s="183" t="s">
        <v>74</v>
      </c>
      <c r="E30" s="183" t="s">
        <v>75</v>
      </c>
      <c r="F30" s="184"/>
    </row>
    <row r="31" ht="28.8" spans="1:6">
      <c r="A31" s="182"/>
      <c r="B31" s="182"/>
      <c r="C31" s="182"/>
      <c r="D31" s="183" t="s">
        <v>76</v>
      </c>
      <c r="E31" s="183" t="s">
        <v>77</v>
      </c>
      <c r="F31" s="184"/>
    </row>
    <row r="32" ht="28.8" spans="1:6">
      <c r="A32" s="182"/>
      <c r="B32" s="182"/>
      <c r="C32" s="182"/>
      <c r="D32" s="183" t="s">
        <v>78</v>
      </c>
      <c r="E32" s="183" t="s">
        <v>79</v>
      </c>
      <c r="F32" s="184"/>
    </row>
    <row r="33" ht="28.8" spans="1:6">
      <c r="A33" s="182"/>
      <c r="B33" s="182"/>
      <c r="C33" s="182"/>
      <c r="D33" s="183" t="s">
        <v>80</v>
      </c>
      <c r="E33" s="183" t="s">
        <v>81</v>
      </c>
      <c r="F33" s="184"/>
    </row>
    <row r="34" ht="28.8" spans="1:6">
      <c r="A34" s="182"/>
      <c r="B34" s="182"/>
      <c r="C34" s="182"/>
      <c r="D34" s="183" t="s">
        <v>82</v>
      </c>
      <c r="E34" s="183" t="s">
        <v>83</v>
      </c>
      <c r="F34" s="184"/>
    </row>
    <row r="35" ht="28.8" spans="1:6">
      <c r="A35" s="182"/>
      <c r="B35" s="182"/>
      <c r="C35" s="182"/>
      <c r="D35" s="183" t="s">
        <v>84</v>
      </c>
      <c r="E35" s="183" t="s">
        <v>85</v>
      </c>
      <c r="F35" s="184"/>
    </row>
    <row r="36" ht="28.8" spans="1:6">
      <c r="A36" s="182"/>
      <c r="B36" s="182"/>
      <c r="C36" s="182"/>
      <c r="D36" s="183" t="s">
        <v>86</v>
      </c>
      <c r="E36" s="183" t="s">
        <v>87</v>
      </c>
      <c r="F36" s="184"/>
    </row>
    <row r="37" ht="28.8" spans="1:6">
      <c r="A37" s="182"/>
      <c r="B37" s="182"/>
      <c r="C37" s="182"/>
      <c r="D37" s="183" t="s">
        <v>88</v>
      </c>
      <c r="E37" s="183" t="s">
        <v>89</v>
      </c>
      <c r="F37" s="184"/>
    </row>
    <row r="38" ht="28.8" spans="1:6">
      <c r="A38" s="182"/>
      <c r="B38" s="182"/>
      <c r="C38" s="182"/>
      <c r="D38" s="183" t="s">
        <v>90</v>
      </c>
      <c r="E38" s="183" t="s">
        <v>91</v>
      </c>
      <c r="F38" s="184"/>
    </row>
    <row r="39" ht="28.8" spans="1:6">
      <c r="A39" s="182"/>
      <c r="B39" s="182"/>
      <c r="C39" s="182"/>
      <c r="D39" s="183" t="s">
        <v>92</v>
      </c>
      <c r="E39" s="183" t="s">
        <v>93</v>
      </c>
      <c r="F39" s="184"/>
    </row>
    <row r="40" ht="28.8" spans="1:6">
      <c r="A40" s="182"/>
      <c r="B40" s="182"/>
      <c r="C40" s="182"/>
      <c r="D40" s="183" t="s">
        <v>94</v>
      </c>
      <c r="E40" s="183" t="s">
        <v>95</v>
      </c>
      <c r="F40" s="184"/>
    </row>
    <row r="41" ht="28.8" spans="1:6">
      <c r="A41" s="182"/>
      <c r="B41" s="182"/>
      <c r="C41" s="182"/>
      <c r="D41" s="183" t="s">
        <v>96</v>
      </c>
      <c r="E41" s="183" t="s">
        <v>97</v>
      </c>
      <c r="F41" s="184"/>
    </row>
    <row r="42" ht="28.8" spans="1:6">
      <c r="A42" s="182"/>
      <c r="B42" s="182"/>
      <c r="C42" s="182"/>
      <c r="D42" s="183" t="s">
        <v>98</v>
      </c>
      <c r="E42" s="183" t="s">
        <v>99</v>
      </c>
      <c r="F42" s="184"/>
    </row>
    <row r="43" ht="28.8" spans="1:6">
      <c r="A43" s="182"/>
      <c r="B43" s="182"/>
      <c r="C43" s="182"/>
      <c r="D43" s="183" t="s">
        <v>100</v>
      </c>
      <c r="E43" s="183" t="s">
        <v>101</v>
      </c>
      <c r="F43" s="184"/>
    </row>
    <row r="44" ht="28.8" spans="1:6">
      <c r="A44" s="182"/>
      <c r="B44" s="182"/>
      <c r="C44" s="182"/>
      <c r="D44" s="183" t="s">
        <v>102</v>
      </c>
      <c r="E44" s="183" t="s">
        <v>103</v>
      </c>
      <c r="F44" s="184"/>
    </row>
    <row r="45" ht="28.8" spans="1:6">
      <c r="A45" s="182"/>
      <c r="B45" s="182"/>
      <c r="C45" s="182"/>
      <c r="D45" s="183" t="s">
        <v>104</v>
      </c>
      <c r="E45" s="183" t="s">
        <v>105</v>
      </c>
      <c r="F45" s="184"/>
    </row>
    <row r="46" ht="28.8" spans="1:6">
      <c r="A46" s="182"/>
      <c r="B46" s="182"/>
      <c r="C46" s="182"/>
      <c r="D46" s="183" t="s">
        <v>106</v>
      </c>
      <c r="E46" s="183" t="s">
        <v>107</v>
      </c>
      <c r="F46" s="184"/>
    </row>
    <row r="47" ht="28.8" spans="1:6">
      <c r="A47" s="182"/>
      <c r="B47" s="182"/>
      <c r="C47" s="182"/>
      <c r="D47" s="183" t="s">
        <v>108</v>
      </c>
      <c r="E47" s="183" t="s">
        <v>109</v>
      </c>
      <c r="F47" s="184"/>
    </row>
    <row r="48" ht="28.8" spans="1:6">
      <c r="A48" s="182"/>
      <c r="B48" s="182"/>
      <c r="C48" s="190" t="s">
        <v>110</v>
      </c>
      <c r="D48" s="186" t="s">
        <v>111</v>
      </c>
      <c r="E48" s="186" t="s">
        <v>112</v>
      </c>
      <c r="F48" s="190" t="s">
        <v>36</v>
      </c>
    </row>
    <row r="49" ht="28.8" spans="1:6">
      <c r="A49" s="182"/>
      <c r="B49" s="182"/>
      <c r="C49" s="190"/>
      <c r="D49" s="186" t="s">
        <v>113</v>
      </c>
      <c r="E49" s="186" t="s">
        <v>114</v>
      </c>
      <c r="F49" s="190"/>
    </row>
    <row r="50" ht="28.8" spans="1:6">
      <c r="A50" s="182"/>
      <c r="B50" s="182"/>
      <c r="C50" s="190"/>
      <c r="D50" s="186" t="s">
        <v>115</v>
      </c>
      <c r="E50" s="186" t="s">
        <v>116</v>
      </c>
      <c r="F50" s="190"/>
    </row>
    <row r="51" ht="28.8" spans="1:6">
      <c r="A51" s="182"/>
      <c r="B51" s="182"/>
      <c r="C51" s="190"/>
      <c r="D51" s="186" t="s">
        <v>117</v>
      </c>
      <c r="E51" s="186" t="s">
        <v>118</v>
      </c>
      <c r="F51" s="190"/>
    </row>
    <row r="52" ht="28.8" spans="1:6">
      <c r="A52" s="182"/>
      <c r="B52" s="182"/>
      <c r="C52" s="190" t="s">
        <v>119</v>
      </c>
      <c r="D52" s="186" t="s">
        <v>120</v>
      </c>
      <c r="E52" s="186" t="s">
        <v>121</v>
      </c>
      <c r="F52" s="190" t="s">
        <v>36</v>
      </c>
    </row>
    <row r="53" ht="28.8" spans="1:6">
      <c r="A53" s="182"/>
      <c r="B53" s="182"/>
      <c r="C53" s="190"/>
      <c r="D53" s="186" t="s">
        <v>122</v>
      </c>
      <c r="E53" s="186" t="s">
        <v>123</v>
      </c>
      <c r="F53" s="190"/>
    </row>
    <row r="54" ht="28.8" spans="1:6">
      <c r="A54" s="182"/>
      <c r="B54" s="182"/>
      <c r="C54" s="190"/>
      <c r="D54" s="186" t="s">
        <v>124</v>
      </c>
      <c r="E54" s="186" t="s">
        <v>125</v>
      </c>
      <c r="F54" s="190"/>
    </row>
    <row r="55" ht="28.8" spans="1:6">
      <c r="A55" s="182"/>
      <c r="B55" s="182"/>
      <c r="C55" s="190"/>
      <c r="D55" s="186" t="s">
        <v>126</v>
      </c>
      <c r="E55" s="186" t="s">
        <v>127</v>
      </c>
      <c r="F55" s="190"/>
    </row>
    <row r="56" ht="28.8" spans="1:6">
      <c r="A56" s="182"/>
      <c r="B56" s="182"/>
      <c r="C56" s="190"/>
      <c r="D56" s="186" t="s">
        <v>128</v>
      </c>
      <c r="E56" s="186" t="s">
        <v>129</v>
      </c>
      <c r="F56" s="190"/>
    </row>
    <row r="57" ht="28.8" spans="1:6">
      <c r="A57" s="182"/>
      <c r="B57" s="182"/>
      <c r="C57" s="190"/>
      <c r="D57" s="186" t="s">
        <v>130</v>
      </c>
      <c r="E57" s="186" t="s">
        <v>131</v>
      </c>
      <c r="F57" s="190"/>
    </row>
    <row r="58" ht="28.8" spans="1:6">
      <c r="A58" s="182"/>
      <c r="B58" s="182"/>
      <c r="C58" s="190"/>
      <c r="D58" s="186" t="s">
        <v>132</v>
      </c>
      <c r="E58" s="186" t="s">
        <v>133</v>
      </c>
      <c r="F58" s="190"/>
    </row>
    <row r="59" ht="28.8" spans="1:6">
      <c r="A59" s="182"/>
      <c r="B59" s="182"/>
      <c r="C59" s="190"/>
      <c r="D59" s="186" t="s">
        <v>134</v>
      </c>
      <c r="E59" s="186" t="s">
        <v>135</v>
      </c>
      <c r="F59" s="190"/>
    </row>
    <row r="60" ht="28.8" spans="1:6">
      <c r="A60" s="182"/>
      <c r="B60" s="182"/>
      <c r="C60" s="190"/>
      <c r="D60" s="186" t="s">
        <v>136</v>
      </c>
      <c r="E60" s="186" t="s">
        <v>137</v>
      </c>
      <c r="F60" s="190"/>
    </row>
    <row r="61" ht="28.8" spans="1:6">
      <c r="A61" s="182"/>
      <c r="B61" s="182"/>
      <c r="C61" s="190"/>
      <c r="D61" s="186" t="s">
        <v>138</v>
      </c>
      <c r="E61" s="186" t="s">
        <v>139</v>
      </c>
      <c r="F61" s="190"/>
    </row>
    <row r="62" ht="28.8" spans="1:6">
      <c r="A62" s="182"/>
      <c r="B62" s="182"/>
      <c r="C62" s="190"/>
      <c r="D62" s="186" t="s">
        <v>140</v>
      </c>
      <c r="E62" s="186" t="s">
        <v>141</v>
      </c>
      <c r="F62" s="190"/>
    </row>
    <row r="63" ht="28.8" spans="1:6">
      <c r="A63" s="182"/>
      <c r="B63" s="182"/>
      <c r="C63" s="190"/>
      <c r="D63" s="186" t="s">
        <v>142</v>
      </c>
      <c r="E63" s="186" t="s">
        <v>143</v>
      </c>
      <c r="F63" s="190"/>
    </row>
    <row r="64" ht="28.8" spans="1:6">
      <c r="A64" s="182"/>
      <c r="B64" s="182"/>
      <c r="C64" s="190"/>
      <c r="D64" s="186" t="s">
        <v>144</v>
      </c>
      <c r="E64" s="186" t="s">
        <v>145</v>
      </c>
      <c r="F64" s="190"/>
    </row>
    <row r="65" ht="28.8" spans="1:6">
      <c r="A65" s="182"/>
      <c r="B65" s="182"/>
      <c r="C65" s="190"/>
      <c r="D65" s="186" t="s">
        <v>146</v>
      </c>
      <c r="E65" s="186" t="s">
        <v>147</v>
      </c>
      <c r="F65" s="190"/>
    </row>
    <row r="66" ht="28.8" spans="1:6">
      <c r="A66" s="182"/>
      <c r="B66" s="182"/>
      <c r="C66" s="190"/>
      <c r="D66" s="186" t="s">
        <v>148</v>
      </c>
      <c r="E66" s="186" t="s">
        <v>149</v>
      </c>
      <c r="F66" s="190"/>
    </row>
    <row r="67" ht="28.8" spans="1:6">
      <c r="A67" s="182"/>
      <c r="B67" s="182"/>
      <c r="C67" s="190"/>
      <c r="D67" s="186" t="s">
        <v>150</v>
      </c>
      <c r="E67" s="186" t="s">
        <v>151</v>
      </c>
      <c r="F67" s="190"/>
    </row>
    <row r="68" ht="28.8" spans="1:6">
      <c r="A68" s="182"/>
      <c r="B68" s="182"/>
      <c r="C68" s="190"/>
      <c r="D68" s="191" t="s">
        <v>152</v>
      </c>
      <c r="E68" s="191" t="s">
        <v>153</v>
      </c>
      <c r="F68" s="190"/>
    </row>
    <row r="69" ht="28.8" spans="1:6">
      <c r="A69" s="182"/>
      <c r="B69" s="182"/>
      <c r="C69" s="190"/>
      <c r="D69" s="186" t="s">
        <v>154</v>
      </c>
      <c r="E69" s="186" t="s">
        <v>155</v>
      </c>
      <c r="F69" s="190"/>
    </row>
    <row r="70" ht="28.8" spans="1:6">
      <c r="A70" s="182"/>
      <c r="B70" s="182"/>
      <c r="C70" s="190"/>
      <c r="D70" s="186" t="s">
        <v>156</v>
      </c>
      <c r="E70" s="186" t="s">
        <v>157</v>
      </c>
      <c r="F70" s="190"/>
    </row>
    <row r="71" ht="28.8" spans="1:6">
      <c r="A71" s="182"/>
      <c r="B71" s="182"/>
      <c r="C71" s="190"/>
      <c r="D71" s="186" t="s">
        <v>158</v>
      </c>
      <c r="E71" s="186" t="s">
        <v>159</v>
      </c>
      <c r="F71" s="190"/>
    </row>
    <row r="72" ht="28.8" spans="1:6">
      <c r="A72" s="182"/>
      <c r="B72" s="182"/>
      <c r="C72" s="190"/>
      <c r="D72" s="186" t="s">
        <v>160</v>
      </c>
      <c r="E72" s="186" t="s">
        <v>161</v>
      </c>
      <c r="F72" s="190"/>
    </row>
    <row r="73" ht="28.8" spans="1:6">
      <c r="A73" s="182"/>
      <c r="B73" s="182"/>
      <c r="C73" s="190"/>
      <c r="D73" s="186" t="s">
        <v>162</v>
      </c>
      <c r="E73" s="186" t="s">
        <v>163</v>
      </c>
      <c r="F73" s="190"/>
    </row>
    <row r="74" ht="28.8" spans="1:6">
      <c r="A74" s="182"/>
      <c r="B74" s="182"/>
      <c r="C74" s="190"/>
      <c r="D74" s="186" t="s">
        <v>164</v>
      </c>
      <c r="E74" s="186" t="s">
        <v>165</v>
      </c>
      <c r="F74" s="190"/>
    </row>
    <row r="75" ht="28.8" spans="1:6">
      <c r="A75" s="182"/>
      <c r="B75" s="182"/>
      <c r="C75" s="190"/>
      <c r="D75" s="186" t="s">
        <v>166</v>
      </c>
      <c r="E75" s="186" t="s">
        <v>167</v>
      </c>
      <c r="F75" s="190"/>
    </row>
    <row r="76" ht="28.8" spans="1:6">
      <c r="A76" s="182"/>
      <c r="B76" s="182"/>
      <c r="C76" s="190"/>
      <c r="D76" s="186" t="s">
        <v>168</v>
      </c>
      <c r="E76" s="186" t="s">
        <v>169</v>
      </c>
      <c r="F76" s="190"/>
    </row>
    <row r="77" ht="28.8" spans="1:6">
      <c r="A77" s="182"/>
      <c r="B77" s="182"/>
      <c r="C77" s="190"/>
      <c r="D77" s="186" t="s">
        <v>170</v>
      </c>
      <c r="E77" s="186" t="s">
        <v>171</v>
      </c>
      <c r="F77" s="190"/>
    </row>
    <row r="78" ht="28.8" spans="1:6">
      <c r="A78" s="182"/>
      <c r="B78" s="182"/>
      <c r="C78" s="190"/>
      <c r="D78" s="186" t="s">
        <v>172</v>
      </c>
      <c r="E78" s="186" t="s">
        <v>173</v>
      </c>
      <c r="F78" s="190"/>
    </row>
    <row r="79" ht="28.8" spans="1:6">
      <c r="A79" s="182"/>
      <c r="B79" s="182"/>
      <c r="C79" s="190"/>
      <c r="D79" s="186" t="s">
        <v>174</v>
      </c>
      <c r="E79" s="186" t="s">
        <v>175</v>
      </c>
      <c r="F79" s="190"/>
    </row>
    <row r="80" ht="28.8" spans="1:6">
      <c r="A80" s="182"/>
      <c r="B80" s="182"/>
      <c r="C80" s="190"/>
      <c r="D80" s="186" t="s">
        <v>176</v>
      </c>
      <c r="E80" s="186" t="s">
        <v>177</v>
      </c>
      <c r="F80" s="190"/>
    </row>
    <row r="81" ht="28.8" spans="1:6">
      <c r="A81" s="182"/>
      <c r="B81" s="182"/>
      <c r="C81" s="190"/>
      <c r="D81" s="186" t="s">
        <v>178</v>
      </c>
      <c r="E81" s="186" t="s">
        <v>179</v>
      </c>
      <c r="F81" s="190"/>
    </row>
    <row r="82" ht="28.8" spans="1:6">
      <c r="A82" s="182"/>
      <c r="B82" s="182"/>
      <c r="C82" s="190"/>
      <c r="D82" s="186" t="s">
        <v>180</v>
      </c>
      <c r="E82" s="186" t="s">
        <v>181</v>
      </c>
      <c r="F82" s="190"/>
    </row>
    <row r="83" ht="28.8" spans="1:6">
      <c r="A83" s="182"/>
      <c r="B83" s="182"/>
      <c r="C83" s="190"/>
      <c r="D83" s="186" t="s">
        <v>182</v>
      </c>
      <c r="E83" s="186" t="s">
        <v>183</v>
      </c>
      <c r="F83" s="190"/>
    </row>
    <row r="84" ht="28.8" spans="1:6">
      <c r="A84" s="182"/>
      <c r="B84" s="182"/>
      <c r="C84" s="190"/>
      <c r="D84" s="186" t="s">
        <v>184</v>
      </c>
      <c r="E84" s="186" t="s">
        <v>185</v>
      </c>
      <c r="F84" s="190"/>
    </row>
    <row r="85" ht="28.8" spans="1:6">
      <c r="A85" s="182"/>
      <c r="B85" s="182"/>
      <c r="C85" s="190"/>
      <c r="D85" s="186" t="s">
        <v>186</v>
      </c>
      <c r="E85" s="186" t="s">
        <v>187</v>
      </c>
      <c r="F85" s="190"/>
    </row>
    <row r="86" ht="28.8" spans="1:6">
      <c r="A86" s="182"/>
      <c r="B86" s="182"/>
      <c r="C86" s="182" t="s">
        <v>188</v>
      </c>
      <c r="D86" s="183" t="s">
        <v>189</v>
      </c>
      <c r="E86" s="183" t="s">
        <v>190</v>
      </c>
      <c r="F86" s="184"/>
    </row>
    <row r="87" ht="28.8" spans="1:6">
      <c r="A87" s="182"/>
      <c r="B87" s="182"/>
      <c r="C87" s="182"/>
      <c r="D87" s="183" t="s">
        <v>191</v>
      </c>
      <c r="E87" s="183" t="s">
        <v>192</v>
      </c>
      <c r="F87" s="184"/>
    </row>
    <row r="88" ht="28.8" spans="1:6">
      <c r="A88" s="182"/>
      <c r="B88" s="182"/>
      <c r="C88" s="182" t="s">
        <v>193</v>
      </c>
      <c r="D88" s="183" t="s">
        <v>194</v>
      </c>
      <c r="E88" s="183" t="s">
        <v>195</v>
      </c>
      <c r="F88" s="184"/>
    </row>
    <row r="89" ht="28.8" spans="1:6">
      <c r="A89" s="182"/>
      <c r="B89" s="182"/>
      <c r="C89" s="182" t="s">
        <v>196</v>
      </c>
      <c r="D89" s="183" t="s">
        <v>197</v>
      </c>
      <c r="E89" s="183" t="s">
        <v>198</v>
      </c>
      <c r="F89" s="184"/>
    </row>
    <row r="90" ht="28.8" spans="1:6">
      <c r="A90" s="182"/>
      <c r="B90" s="182"/>
      <c r="C90" s="182"/>
      <c r="D90" s="183" t="s">
        <v>199</v>
      </c>
      <c r="E90" s="183" t="s">
        <v>200</v>
      </c>
      <c r="F90" s="184"/>
    </row>
    <row r="91" ht="28.8" spans="1:6">
      <c r="A91" s="182"/>
      <c r="B91" s="182"/>
      <c r="C91" s="182" t="s">
        <v>201</v>
      </c>
      <c r="D91" s="183" t="s">
        <v>202</v>
      </c>
      <c r="E91" s="183" t="s">
        <v>203</v>
      </c>
      <c r="F91" s="184"/>
    </row>
    <row r="92" ht="28.8" spans="1:6">
      <c r="A92" s="182"/>
      <c r="B92" s="182"/>
      <c r="C92" s="182"/>
      <c r="D92" s="183" t="s">
        <v>204</v>
      </c>
      <c r="E92" s="183" t="s">
        <v>205</v>
      </c>
      <c r="F92" s="184"/>
    </row>
    <row r="93" ht="28.8" spans="1:6">
      <c r="A93" s="182"/>
      <c r="B93" s="182"/>
      <c r="C93" s="182" t="s">
        <v>206</v>
      </c>
      <c r="D93" s="183" t="s">
        <v>207</v>
      </c>
      <c r="E93" s="183" t="s">
        <v>208</v>
      </c>
      <c r="F93" s="184"/>
    </row>
    <row r="94" ht="28.8" spans="1:6">
      <c r="A94" s="182"/>
      <c r="B94" s="182"/>
      <c r="C94" s="182"/>
      <c r="D94" s="183" t="s">
        <v>209</v>
      </c>
      <c r="E94" s="183" t="s">
        <v>210</v>
      </c>
      <c r="F94" s="184"/>
    </row>
    <row r="95" ht="28.8" spans="1:6">
      <c r="A95" s="182"/>
      <c r="B95" s="182"/>
      <c r="C95" s="190" t="s">
        <v>211</v>
      </c>
      <c r="D95" s="186" t="s">
        <v>212</v>
      </c>
      <c r="E95" s="186" t="s">
        <v>213</v>
      </c>
      <c r="F95" s="190" t="s">
        <v>36</v>
      </c>
    </row>
    <row r="96" ht="28.8" spans="1:6">
      <c r="A96" s="182"/>
      <c r="B96" s="182"/>
      <c r="C96" s="190"/>
      <c r="D96" s="186" t="s">
        <v>214</v>
      </c>
      <c r="E96" s="186" t="s">
        <v>215</v>
      </c>
      <c r="F96" s="190"/>
    </row>
    <row r="97" ht="28.8" spans="1:6">
      <c r="A97" s="182"/>
      <c r="B97" s="182"/>
      <c r="C97" s="190"/>
      <c r="D97" s="186" t="s">
        <v>216</v>
      </c>
      <c r="E97" s="186" t="s">
        <v>217</v>
      </c>
      <c r="F97" s="190"/>
    </row>
    <row r="98" ht="28.8" spans="1:6">
      <c r="A98" s="182"/>
      <c r="B98" s="182"/>
      <c r="C98" s="190"/>
      <c r="D98" s="186" t="s">
        <v>218</v>
      </c>
      <c r="E98" s="186" t="s">
        <v>219</v>
      </c>
      <c r="F98" s="190"/>
    </row>
    <row r="99" ht="28.8" spans="1:6">
      <c r="A99" s="182"/>
      <c r="B99" s="182"/>
      <c r="C99" s="190"/>
      <c r="D99" s="186" t="s">
        <v>220</v>
      </c>
      <c r="E99" s="186" t="s">
        <v>221</v>
      </c>
      <c r="F99" s="190"/>
    </row>
    <row r="100" ht="28.8" spans="1:6">
      <c r="A100" s="182"/>
      <c r="B100" s="182"/>
      <c r="C100" s="182" t="s">
        <v>222</v>
      </c>
      <c r="D100" s="183" t="s">
        <v>223</v>
      </c>
      <c r="E100" s="183" t="s">
        <v>224</v>
      </c>
      <c r="F100" s="184"/>
    </row>
    <row r="101" ht="28.8" spans="1:6">
      <c r="A101" s="182"/>
      <c r="B101" s="182"/>
      <c r="C101" s="182"/>
      <c r="D101" s="183" t="s">
        <v>225</v>
      </c>
      <c r="E101" s="183" t="s">
        <v>226</v>
      </c>
      <c r="F101" s="184"/>
    </row>
    <row r="102" ht="28.8" spans="1:6">
      <c r="A102" s="182"/>
      <c r="B102" s="182"/>
      <c r="C102" s="182"/>
      <c r="D102" s="183" t="s">
        <v>227</v>
      </c>
      <c r="E102" s="183" t="s">
        <v>228</v>
      </c>
      <c r="F102" s="184"/>
    </row>
    <row r="103" ht="28.8" spans="1:6">
      <c r="A103" s="182"/>
      <c r="B103" s="182"/>
      <c r="C103" s="182" t="s">
        <v>229</v>
      </c>
      <c r="D103" s="183" t="s">
        <v>230</v>
      </c>
      <c r="E103" s="183" t="s">
        <v>231</v>
      </c>
      <c r="F103" s="184"/>
    </row>
    <row r="104" ht="28.8" spans="1:6">
      <c r="A104" s="182"/>
      <c r="B104" s="182"/>
      <c r="C104" s="182"/>
      <c r="D104" s="183" t="s">
        <v>232</v>
      </c>
      <c r="E104" s="183" t="s">
        <v>233</v>
      </c>
      <c r="F104" s="184"/>
    </row>
    <row r="105" ht="28.8" spans="1:6">
      <c r="A105" s="182"/>
      <c r="B105" s="182"/>
      <c r="C105" s="182"/>
      <c r="D105" s="183" t="s">
        <v>234</v>
      </c>
      <c r="E105" s="183" t="s">
        <v>235</v>
      </c>
      <c r="F105" s="184"/>
    </row>
    <row r="106" ht="28.8" spans="1:6">
      <c r="A106" s="182"/>
      <c r="B106" s="182"/>
      <c r="C106" s="182" t="s">
        <v>236</v>
      </c>
      <c r="D106" s="183" t="s">
        <v>237</v>
      </c>
      <c r="E106" s="183" t="s">
        <v>238</v>
      </c>
      <c r="F106" s="184"/>
    </row>
    <row r="107" ht="28.8" spans="1:6">
      <c r="A107" s="182"/>
      <c r="B107" s="182" t="s">
        <v>239</v>
      </c>
      <c r="C107" s="182" t="s">
        <v>240</v>
      </c>
      <c r="D107" s="183" t="s">
        <v>241</v>
      </c>
      <c r="E107" s="183" t="s">
        <v>242</v>
      </c>
      <c r="F107" s="184"/>
    </row>
    <row r="108" ht="28.8" spans="1:6">
      <c r="A108" s="182"/>
      <c r="B108" s="182"/>
      <c r="C108" s="182"/>
      <c r="D108" s="183" t="s">
        <v>243</v>
      </c>
      <c r="E108" s="183" t="s">
        <v>244</v>
      </c>
      <c r="F108" s="184"/>
    </row>
    <row r="109" ht="28.8" spans="1:6">
      <c r="A109" s="182"/>
      <c r="B109" s="182"/>
      <c r="C109" s="182"/>
      <c r="D109" s="183" t="s">
        <v>245</v>
      </c>
      <c r="E109" s="183" t="s">
        <v>246</v>
      </c>
      <c r="F109" s="184"/>
    </row>
    <row r="110" ht="28.8" spans="1:6">
      <c r="A110" s="182"/>
      <c r="B110" s="182"/>
      <c r="C110" s="182"/>
      <c r="D110" s="183" t="s">
        <v>247</v>
      </c>
      <c r="E110" s="183" t="s">
        <v>248</v>
      </c>
      <c r="F110" s="184"/>
    </row>
    <row r="111" ht="28.8" spans="1:6">
      <c r="A111" s="182"/>
      <c r="B111" s="182"/>
      <c r="C111" s="182"/>
      <c r="D111" s="183" t="s">
        <v>249</v>
      </c>
      <c r="E111" s="183" t="s">
        <v>250</v>
      </c>
      <c r="F111" s="184"/>
    </row>
    <row r="112" ht="28.8" spans="1:6">
      <c r="A112" s="182"/>
      <c r="B112" s="182"/>
      <c r="C112" s="182"/>
      <c r="D112" s="183" t="s">
        <v>251</v>
      </c>
      <c r="E112" s="183" t="s">
        <v>252</v>
      </c>
      <c r="F112" s="184"/>
    </row>
    <row r="113" ht="28.8" spans="1:6">
      <c r="A113" s="182"/>
      <c r="B113" s="182"/>
      <c r="C113" s="182"/>
      <c r="D113" s="183" t="s">
        <v>253</v>
      </c>
      <c r="E113" s="183" t="s">
        <v>254</v>
      </c>
      <c r="F113" s="184"/>
    </row>
    <row r="114" ht="28.8" spans="1:6">
      <c r="A114" s="182"/>
      <c r="B114" s="182"/>
      <c r="C114" s="182"/>
      <c r="D114" s="183" t="s">
        <v>255</v>
      </c>
      <c r="E114" s="183" t="s">
        <v>256</v>
      </c>
      <c r="F114" s="184"/>
    </row>
    <row r="115" ht="28.8" spans="1:6">
      <c r="A115" s="182"/>
      <c r="B115" s="182"/>
      <c r="C115" s="182"/>
      <c r="D115" s="183" t="s">
        <v>257</v>
      </c>
      <c r="E115" s="183" t="s">
        <v>258</v>
      </c>
      <c r="F115" s="184"/>
    </row>
    <row r="116" ht="28.8" spans="1:6">
      <c r="A116" s="182"/>
      <c r="B116" s="182"/>
      <c r="C116" s="182"/>
      <c r="D116" s="183" t="s">
        <v>259</v>
      </c>
      <c r="E116" s="183" t="s">
        <v>260</v>
      </c>
      <c r="F116" s="184"/>
    </row>
    <row r="117" ht="28.8" spans="1:6">
      <c r="A117" s="182"/>
      <c r="B117" s="182"/>
      <c r="C117" s="182"/>
      <c r="D117" s="183" t="s">
        <v>261</v>
      </c>
      <c r="E117" s="183" t="s">
        <v>262</v>
      </c>
      <c r="F117" s="184"/>
    </row>
    <row r="118" ht="28.8" spans="1:6">
      <c r="A118" s="182"/>
      <c r="B118" s="182"/>
      <c r="C118" s="182"/>
      <c r="D118" s="183" t="s">
        <v>263</v>
      </c>
      <c r="E118" s="183" t="s">
        <v>264</v>
      </c>
      <c r="F118" s="184"/>
    </row>
    <row r="119" ht="28.8" spans="1:6">
      <c r="A119" s="182"/>
      <c r="B119" s="182"/>
      <c r="C119" s="182" t="s">
        <v>265</v>
      </c>
      <c r="D119" s="183" t="s">
        <v>266</v>
      </c>
      <c r="E119" s="183" t="s">
        <v>267</v>
      </c>
      <c r="F119" s="184"/>
    </row>
    <row r="120" ht="28.8" spans="1:6">
      <c r="A120" s="182"/>
      <c r="B120" s="182"/>
      <c r="C120" s="182"/>
      <c r="D120" s="183" t="s">
        <v>268</v>
      </c>
      <c r="E120" s="183" t="s">
        <v>269</v>
      </c>
      <c r="F120" s="184"/>
    </row>
    <row r="121" ht="28.8" spans="1:6">
      <c r="A121" s="182"/>
      <c r="B121" s="182"/>
      <c r="C121" s="182"/>
      <c r="D121" s="183" t="s">
        <v>270</v>
      </c>
      <c r="E121" s="183" t="s">
        <v>271</v>
      </c>
      <c r="F121" s="184"/>
    </row>
    <row r="122" ht="28.8" spans="1:6">
      <c r="A122" s="182"/>
      <c r="B122" s="182"/>
      <c r="C122" s="182" t="s">
        <v>272</v>
      </c>
      <c r="D122" s="183" t="s">
        <v>273</v>
      </c>
      <c r="E122" s="183" t="s">
        <v>274</v>
      </c>
      <c r="F122" s="184"/>
    </row>
    <row r="123" ht="28.8" spans="1:6">
      <c r="A123" s="182"/>
      <c r="B123" s="182"/>
      <c r="C123" s="182"/>
      <c r="D123" s="183" t="s">
        <v>275</v>
      </c>
      <c r="E123" s="183" t="s">
        <v>276</v>
      </c>
      <c r="F123" s="184"/>
    </row>
    <row r="124" ht="28.8" spans="1:6">
      <c r="A124" s="182"/>
      <c r="B124" s="182"/>
      <c r="C124" s="182"/>
      <c r="D124" s="183" t="s">
        <v>277</v>
      </c>
      <c r="E124" s="183" t="s">
        <v>278</v>
      </c>
      <c r="F124" s="184"/>
    </row>
    <row r="125" ht="28.8" spans="1:6">
      <c r="A125" s="182"/>
      <c r="B125" s="182"/>
      <c r="C125" s="182"/>
      <c r="D125" s="183" t="s">
        <v>279</v>
      </c>
      <c r="E125" s="183" t="s">
        <v>280</v>
      </c>
      <c r="F125" s="184"/>
    </row>
    <row r="126" ht="28.8" spans="1:6">
      <c r="A126" s="182"/>
      <c r="B126" s="182"/>
      <c r="C126" s="182"/>
      <c r="D126" s="183" t="s">
        <v>281</v>
      </c>
      <c r="E126" s="183" t="s">
        <v>282</v>
      </c>
      <c r="F126" s="184"/>
    </row>
    <row r="127" ht="28.8" spans="1:6">
      <c r="A127" s="182"/>
      <c r="B127" s="182"/>
      <c r="C127" s="182"/>
      <c r="D127" s="183" t="s">
        <v>283</v>
      </c>
      <c r="E127" s="183" t="s">
        <v>284</v>
      </c>
      <c r="F127" s="184"/>
    </row>
    <row r="128" ht="28.8" spans="1:6">
      <c r="A128" s="182"/>
      <c r="B128" s="182"/>
      <c r="C128" s="182"/>
      <c r="D128" s="183" t="s">
        <v>285</v>
      </c>
      <c r="E128" s="183" t="s">
        <v>286</v>
      </c>
      <c r="F128" s="184"/>
    </row>
    <row r="129" ht="28.8" spans="1:6">
      <c r="A129" s="182"/>
      <c r="B129" s="182"/>
      <c r="C129" s="182"/>
      <c r="D129" s="183" t="s">
        <v>287</v>
      </c>
      <c r="E129" s="183" t="s">
        <v>288</v>
      </c>
      <c r="F129" s="184"/>
    </row>
    <row r="130" ht="28.8" spans="1:6">
      <c r="A130" s="182"/>
      <c r="B130" s="182"/>
      <c r="C130" s="182"/>
      <c r="D130" s="183" t="s">
        <v>289</v>
      </c>
      <c r="E130" s="183" t="s">
        <v>290</v>
      </c>
      <c r="F130" s="184"/>
    </row>
    <row r="131" ht="28.8" spans="1:6">
      <c r="A131" s="182"/>
      <c r="B131" s="182"/>
      <c r="C131" s="182" t="s">
        <v>291</v>
      </c>
      <c r="D131" s="183" t="s">
        <v>292</v>
      </c>
      <c r="E131" s="183" t="s">
        <v>293</v>
      </c>
      <c r="F131" s="184"/>
    </row>
    <row r="132" ht="28.8" spans="1:6">
      <c r="A132" s="182"/>
      <c r="B132" s="182"/>
      <c r="C132" s="182"/>
      <c r="D132" s="183" t="s">
        <v>294</v>
      </c>
      <c r="E132" s="183" t="s">
        <v>295</v>
      </c>
      <c r="F132" s="184"/>
    </row>
    <row r="133" ht="28.8" spans="1:6">
      <c r="A133" s="182"/>
      <c r="B133" s="182"/>
      <c r="C133" s="182"/>
      <c r="D133" s="183" t="s">
        <v>296</v>
      </c>
      <c r="E133" s="183" t="s">
        <v>297</v>
      </c>
      <c r="F133" s="184"/>
    </row>
    <row r="134" ht="28.8" spans="1:6">
      <c r="A134" s="182"/>
      <c r="B134" s="182"/>
      <c r="C134" s="182"/>
      <c r="D134" s="183" t="s">
        <v>298</v>
      </c>
      <c r="E134" s="183" t="s">
        <v>299</v>
      </c>
      <c r="F134" s="184"/>
    </row>
    <row r="135" ht="28.8" spans="1:6">
      <c r="A135" s="182"/>
      <c r="B135" s="182"/>
      <c r="C135" s="182"/>
      <c r="D135" s="183" t="s">
        <v>300</v>
      </c>
      <c r="E135" s="183" t="s">
        <v>301</v>
      </c>
      <c r="F135" s="184"/>
    </row>
    <row r="136" ht="28.8" spans="1:6">
      <c r="A136" s="182"/>
      <c r="B136" s="182"/>
      <c r="C136" s="182"/>
      <c r="D136" s="183" t="s">
        <v>302</v>
      </c>
      <c r="E136" s="183" t="s">
        <v>303</v>
      </c>
      <c r="F136" s="184"/>
    </row>
    <row r="137" ht="28.8" spans="1:6">
      <c r="A137" s="182"/>
      <c r="B137" s="182"/>
      <c r="C137" s="182"/>
      <c r="D137" s="183" t="s">
        <v>304</v>
      </c>
      <c r="E137" s="183" t="s">
        <v>305</v>
      </c>
      <c r="F137" s="184"/>
    </row>
    <row r="138" ht="28.8" spans="1:6">
      <c r="A138" s="182"/>
      <c r="B138" s="182"/>
      <c r="C138" s="182"/>
      <c r="D138" s="183" t="s">
        <v>306</v>
      </c>
      <c r="E138" s="183" t="s">
        <v>307</v>
      </c>
      <c r="F138" s="184"/>
    </row>
    <row r="139" ht="28.8" spans="1:6">
      <c r="A139" s="182"/>
      <c r="B139" s="182"/>
      <c r="C139" s="182"/>
      <c r="D139" s="183" t="s">
        <v>308</v>
      </c>
      <c r="E139" s="183" t="s">
        <v>309</v>
      </c>
      <c r="F139" s="184"/>
    </row>
    <row r="140" ht="14.5" customHeight="1" spans="1:6">
      <c r="A140" s="182"/>
      <c r="B140" s="182"/>
      <c r="C140" s="190" t="s">
        <v>310</v>
      </c>
      <c r="D140" s="186" t="s">
        <v>311</v>
      </c>
      <c r="E140" s="186" t="s">
        <v>312</v>
      </c>
      <c r="F140" s="187" t="s">
        <v>36</v>
      </c>
    </row>
    <row r="141" ht="14.5" customHeight="1" spans="1:6">
      <c r="A141" s="182"/>
      <c r="B141" s="182"/>
      <c r="C141" s="190"/>
      <c r="D141" s="186" t="s">
        <v>313</v>
      </c>
      <c r="E141" s="186" t="s">
        <v>314</v>
      </c>
      <c r="F141" s="192"/>
    </row>
    <row r="142" ht="14.5" customHeight="1" spans="1:6">
      <c r="A142" s="182"/>
      <c r="B142" s="182"/>
      <c r="C142" s="190"/>
      <c r="D142" s="186" t="s">
        <v>315</v>
      </c>
      <c r="E142" s="186" t="s">
        <v>316</v>
      </c>
      <c r="F142" s="192"/>
    </row>
    <row r="143" ht="14.5" customHeight="1" spans="1:6">
      <c r="A143" s="182"/>
      <c r="B143" s="182"/>
      <c r="C143" s="190"/>
      <c r="D143" s="186" t="s">
        <v>317</v>
      </c>
      <c r="E143" s="186" t="s">
        <v>318</v>
      </c>
      <c r="F143" s="192"/>
    </row>
    <row r="144" ht="14.5" customHeight="1" spans="1:6">
      <c r="A144" s="182"/>
      <c r="B144" s="182"/>
      <c r="C144" s="190"/>
      <c r="D144" s="186" t="s">
        <v>319</v>
      </c>
      <c r="E144" s="186" t="s">
        <v>320</v>
      </c>
      <c r="F144" s="192"/>
    </row>
    <row r="145" ht="14.5" customHeight="1" spans="1:6">
      <c r="A145" s="182"/>
      <c r="B145" s="182"/>
      <c r="C145" s="190"/>
      <c r="D145" s="186" t="s">
        <v>321</v>
      </c>
      <c r="E145" s="186" t="s">
        <v>322</v>
      </c>
      <c r="F145" s="192"/>
    </row>
    <row r="146" ht="14.5" customHeight="1" spans="1:6">
      <c r="A146" s="182"/>
      <c r="B146" s="182"/>
      <c r="C146" s="190"/>
      <c r="D146" s="186" t="s">
        <v>323</v>
      </c>
      <c r="E146" s="186" t="s">
        <v>324</v>
      </c>
      <c r="F146" s="192"/>
    </row>
    <row r="147" ht="14.5" customHeight="1" spans="1:6">
      <c r="A147" s="182"/>
      <c r="B147" s="182"/>
      <c r="C147" s="190"/>
      <c r="D147" s="186" t="s">
        <v>325</v>
      </c>
      <c r="E147" s="186" t="s">
        <v>326</v>
      </c>
      <c r="F147" s="192"/>
    </row>
    <row r="148" ht="14.5" customHeight="1" spans="1:6">
      <c r="A148" s="182"/>
      <c r="B148" s="182"/>
      <c r="C148" s="190"/>
      <c r="D148" s="186" t="s">
        <v>327</v>
      </c>
      <c r="E148" s="186" t="s">
        <v>328</v>
      </c>
      <c r="F148" s="189"/>
    </row>
    <row r="149" ht="28.8" spans="1:6">
      <c r="A149" s="182"/>
      <c r="B149" s="182"/>
      <c r="C149" s="182" t="s">
        <v>329</v>
      </c>
      <c r="D149" s="183" t="s">
        <v>330</v>
      </c>
      <c r="E149" s="183" t="s">
        <v>331</v>
      </c>
      <c r="F149" s="184"/>
    </row>
    <row r="150" ht="28.8" spans="1:6">
      <c r="A150" s="182"/>
      <c r="B150" s="182"/>
      <c r="C150" s="182"/>
      <c r="D150" s="183" t="s">
        <v>332</v>
      </c>
      <c r="E150" s="183" t="s">
        <v>333</v>
      </c>
      <c r="F150" s="184"/>
    </row>
    <row r="151" ht="28.8" spans="1:6">
      <c r="A151" s="182"/>
      <c r="B151" s="182"/>
      <c r="C151" s="182"/>
      <c r="D151" s="183" t="s">
        <v>334</v>
      </c>
      <c r="E151" s="183" t="s">
        <v>335</v>
      </c>
      <c r="F151" s="184"/>
    </row>
    <row r="152" ht="28.8" spans="1:6">
      <c r="A152" s="182"/>
      <c r="B152" s="182"/>
      <c r="C152" s="182"/>
      <c r="D152" s="183" t="s">
        <v>336</v>
      </c>
      <c r="E152" s="183" t="s">
        <v>337</v>
      </c>
      <c r="F152" s="184"/>
    </row>
    <row r="153" ht="28.8" spans="1:6">
      <c r="A153" s="182"/>
      <c r="B153" s="182"/>
      <c r="C153" s="182"/>
      <c r="D153" s="183" t="s">
        <v>338</v>
      </c>
      <c r="E153" s="183" t="s">
        <v>339</v>
      </c>
      <c r="F153" s="184"/>
    </row>
    <row r="154" ht="28.8" spans="1:6">
      <c r="A154" s="182"/>
      <c r="B154" s="182"/>
      <c r="C154" s="182"/>
      <c r="D154" s="183" t="s">
        <v>340</v>
      </c>
      <c r="E154" s="183" t="s">
        <v>341</v>
      </c>
      <c r="F154" s="184"/>
    </row>
    <row r="155" ht="28.8" spans="1:6">
      <c r="A155" s="182"/>
      <c r="B155" s="182" t="s">
        <v>342</v>
      </c>
      <c r="C155" s="182" t="s">
        <v>343</v>
      </c>
      <c r="D155" s="183" t="s">
        <v>344</v>
      </c>
      <c r="E155" s="183" t="s">
        <v>345</v>
      </c>
      <c r="F155" s="184"/>
    </row>
    <row r="156" ht="28.8" spans="1:6">
      <c r="A156" s="182"/>
      <c r="B156" s="182"/>
      <c r="C156" s="182"/>
      <c r="D156" s="183" t="s">
        <v>346</v>
      </c>
      <c r="E156" s="183" t="s">
        <v>347</v>
      </c>
      <c r="F156" s="184"/>
    </row>
    <row r="157" ht="28.8" spans="1:6">
      <c r="A157" s="182"/>
      <c r="B157" s="182"/>
      <c r="C157" s="182"/>
      <c r="D157" s="183" t="s">
        <v>348</v>
      </c>
      <c r="E157" s="183" t="s">
        <v>349</v>
      </c>
      <c r="F157" s="184"/>
    </row>
    <row r="158" ht="28.8" spans="1:6">
      <c r="A158" s="182"/>
      <c r="B158" s="182"/>
      <c r="C158" s="182"/>
      <c r="D158" s="183" t="s">
        <v>350</v>
      </c>
      <c r="E158" s="183" t="s">
        <v>351</v>
      </c>
      <c r="F158" s="184"/>
    </row>
    <row r="159" ht="28.8" spans="1:6">
      <c r="A159" s="182"/>
      <c r="B159" s="182"/>
      <c r="C159" s="182" t="s">
        <v>352</v>
      </c>
      <c r="D159" s="183" t="s">
        <v>353</v>
      </c>
      <c r="E159" s="183" t="s">
        <v>354</v>
      </c>
      <c r="F159" s="184"/>
    </row>
    <row r="160" ht="28.8" spans="1:6">
      <c r="A160" s="182"/>
      <c r="B160" s="182"/>
      <c r="C160" s="182"/>
      <c r="D160" s="183" t="s">
        <v>355</v>
      </c>
      <c r="E160" s="183" t="s">
        <v>356</v>
      </c>
      <c r="F160" s="184"/>
    </row>
    <row r="161" ht="28.8" spans="1:6">
      <c r="A161" s="182"/>
      <c r="B161" s="182"/>
      <c r="C161" s="182"/>
      <c r="D161" s="183" t="s">
        <v>357</v>
      </c>
      <c r="E161" s="183" t="s">
        <v>358</v>
      </c>
      <c r="F161" s="184"/>
    </row>
    <row r="162" ht="28.8" spans="1:6">
      <c r="A162" s="182"/>
      <c r="B162" s="182"/>
      <c r="C162" s="182"/>
      <c r="D162" s="183" t="s">
        <v>359</v>
      </c>
      <c r="E162" s="183" t="s">
        <v>360</v>
      </c>
      <c r="F162" s="184"/>
    </row>
    <row r="163" ht="28.8" spans="1:6">
      <c r="A163" s="182"/>
      <c r="B163" s="182"/>
      <c r="C163" s="182"/>
      <c r="D163" s="183" t="s">
        <v>361</v>
      </c>
      <c r="E163" s="183" t="s">
        <v>362</v>
      </c>
      <c r="F163" s="184"/>
    </row>
    <row r="164" ht="28.8" spans="1:6">
      <c r="A164" s="182"/>
      <c r="B164" s="182"/>
      <c r="C164" s="182"/>
      <c r="D164" s="183" t="s">
        <v>363</v>
      </c>
      <c r="E164" s="183" t="s">
        <v>364</v>
      </c>
      <c r="F164" s="184"/>
    </row>
    <row r="165" ht="28.8" spans="1:6">
      <c r="A165" s="182"/>
      <c r="B165" s="182"/>
      <c r="C165" s="182"/>
      <c r="D165" s="183" t="s">
        <v>365</v>
      </c>
      <c r="E165" s="183" t="s">
        <v>366</v>
      </c>
      <c r="F165" s="184"/>
    </row>
    <row r="166" ht="28.8" spans="1:6">
      <c r="A166" s="182"/>
      <c r="B166" s="182"/>
      <c r="C166" s="182"/>
      <c r="D166" s="183" t="s">
        <v>367</v>
      </c>
      <c r="E166" s="183" t="s">
        <v>368</v>
      </c>
      <c r="F166" s="184"/>
    </row>
    <row r="167" ht="28.8" spans="1:6">
      <c r="A167" s="182"/>
      <c r="B167" s="182"/>
      <c r="C167" s="182"/>
      <c r="D167" s="183" t="s">
        <v>369</v>
      </c>
      <c r="E167" s="183" t="s">
        <v>370</v>
      </c>
      <c r="F167" s="184"/>
    </row>
    <row r="168" ht="28.8" spans="1:6">
      <c r="A168" s="182"/>
      <c r="B168" s="182"/>
      <c r="C168" s="182"/>
      <c r="D168" s="183" t="s">
        <v>371</v>
      </c>
      <c r="E168" s="183" t="s">
        <v>372</v>
      </c>
      <c r="F168" s="184"/>
    </row>
    <row r="169" ht="28.8" spans="1:6">
      <c r="A169" s="182"/>
      <c r="B169" s="182"/>
      <c r="C169" s="182"/>
      <c r="D169" s="183" t="s">
        <v>373</v>
      </c>
      <c r="E169" s="183" t="s">
        <v>374</v>
      </c>
      <c r="F169" s="184"/>
    </row>
    <row r="170" ht="28.8" spans="1:6">
      <c r="A170" s="182"/>
      <c r="B170" s="182"/>
      <c r="C170" s="182"/>
      <c r="D170" s="183" t="s">
        <v>375</v>
      </c>
      <c r="E170" s="183" t="s">
        <v>376</v>
      </c>
      <c r="F170" s="184"/>
    </row>
    <row r="171" ht="28.8" spans="1:6">
      <c r="A171" s="182"/>
      <c r="B171" s="182"/>
      <c r="C171" s="190" t="s">
        <v>377</v>
      </c>
      <c r="D171" s="186" t="s">
        <v>378</v>
      </c>
      <c r="E171" s="186" t="s">
        <v>379</v>
      </c>
      <c r="F171" s="190" t="s">
        <v>36</v>
      </c>
    </row>
    <row r="172" ht="28.8" spans="1:6">
      <c r="A172" s="182"/>
      <c r="B172" s="182"/>
      <c r="C172" s="190"/>
      <c r="D172" s="186" t="s">
        <v>380</v>
      </c>
      <c r="E172" s="186" t="s">
        <v>381</v>
      </c>
      <c r="F172" s="190"/>
    </row>
    <row r="173" ht="28.8" spans="1:6">
      <c r="A173" s="182"/>
      <c r="B173" s="182"/>
      <c r="C173" s="190" t="s">
        <v>382</v>
      </c>
      <c r="D173" s="186" t="s">
        <v>383</v>
      </c>
      <c r="E173" s="186" t="s">
        <v>384</v>
      </c>
      <c r="F173" s="190" t="s">
        <v>36</v>
      </c>
    </row>
    <row r="174" ht="28.8" spans="1:6">
      <c r="A174" s="182"/>
      <c r="B174" s="182"/>
      <c r="C174" s="190"/>
      <c r="D174" s="186" t="s">
        <v>385</v>
      </c>
      <c r="E174" s="186" t="s">
        <v>386</v>
      </c>
      <c r="F174" s="190"/>
    </row>
    <row r="175" ht="15" customHeight="1" spans="1:6">
      <c r="A175" s="182"/>
      <c r="B175" s="182"/>
      <c r="C175" s="182" t="s">
        <v>387</v>
      </c>
      <c r="D175" s="183" t="s">
        <v>388</v>
      </c>
      <c r="E175" s="183" t="s">
        <v>389</v>
      </c>
      <c r="F175" s="184"/>
    </row>
    <row r="176" ht="28.8" spans="1:6">
      <c r="A176" s="182"/>
      <c r="B176" s="182"/>
      <c r="C176" s="182" t="s">
        <v>390</v>
      </c>
      <c r="D176" s="183" t="s">
        <v>391</v>
      </c>
      <c r="E176" s="183" t="s">
        <v>392</v>
      </c>
      <c r="F176" s="184"/>
    </row>
    <row r="177" ht="28.8" spans="1:6">
      <c r="A177" s="182"/>
      <c r="B177" s="182"/>
      <c r="C177" s="182"/>
      <c r="D177" s="183" t="s">
        <v>393</v>
      </c>
      <c r="E177" s="183" t="s">
        <v>394</v>
      </c>
      <c r="F177" s="184"/>
    </row>
    <row r="178" ht="28.8" spans="1:6">
      <c r="A178" s="182"/>
      <c r="B178" s="182"/>
      <c r="C178" s="182"/>
      <c r="D178" s="183" t="s">
        <v>395</v>
      </c>
      <c r="E178" s="183" t="s">
        <v>396</v>
      </c>
      <c r="F178" s="184"/>
    </row>
    <row r="179" ht="28.8" spans="1:6">
      <c r="A179" s="182"/>
      <c r="B179" s="182"/>
      <c r="C179" s="182"/>
      <c r="D179" s="183" t="s">
        <v>397</v>
      </c>
      <c r="E179" s="183" t="s">
        <v>398</v>
      </c>
      <c r="F179" s="184"/>
    </row>
    <row r="180" ht="28.8" spans="1:6">
      <c r="A180" s="182"/>
      <c r="B180" s="182"/>
      <c r="C180" s="182"/>
      <c r="D180" s="183" t="s">
        <v>399</v>
      </c>
      <c r="E180" s="183" t="s">
        <v>400</v>
      </c>
      <c r="F180" s="184"/>
    </row>
    <row r="181" ht="28.8" spans="1:6">
      <c r="A181" s="182"/>
      <c r="B181" s="182" t="s">
        <v>401</v>
      </c>
      <c r="C181" s="190" t="s">
        <v>402</v>
      </c>
      <c r="D181" s="186" t="s">
        <v>403</v>
      </c>
      <c r="E181" s="186" t="s">
        <v>404</v>
      </c>
      <c r="F181" s="190" t="s">
        <v>36</v>
      </c>
    </row>
    <row r="182" ht="28.8" spans="1:6">
      <c r="A182" s="182"/>
      <c r="B182" s="182"/>
      <c r="C182" s="190"/>
      <c r="D182" s="186" t="s">
        <v>405</v>
      </c>
      <c r="E182" s="186" t="s">
        <v>406</v>
      </c>
      <c r="F182" s="190"/>
    </row>
    <row r="183" ht="28.8" spans="1:6">
      <c r="A183" s="182"/>
      <c r="B183" s="182"/>
      <c r="C183" s="190"/>
      <c r="D183" s="186" t="s">
        <v>407</v>
      </c>
      <c r="E183" s="186" t="s">
        <v>408</v>
      </c>
      <c r="F183" s="190"/>
    </row>
    <row r="184" ht="28.8" spans="1:6">
      <c r="A184" s="182"/>
      <c r="B184" s="182"/>
      <c r="C184" s="190"/>
      <c r="D184" s="186" t="s">
        <v>409</v>
      </c>
      <c r="E184" s="186" t="s">
        <v>410</v>
      </c>
      <c r="F184" s="190"/>
    </row>
    <row r="185" ht="16.5" customHeight="1" spans="1:6">
      <c r="A185" s="182"/>
      <c r="B185" s="182" t="s">
        <v>411</v>
      </c>
      <c r="C185" s="182" t="s">
        <v>412</v>
      </c>
      <c r="D185" s="183" t="s">
        <v>413</v>
      </c>
      <c r="E185" s="183" t="s">
        <v>414</v>
      </c>
      <c r="F185" s="184"/>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U9" sqref="U9"/>
    </sheetView>
  </sheetViews>
  <sheetFormatPr defaultColWidth="9" defaultRowHeight="13.8"/>
  <sheetData/>
  <sheetProtection formatCells="0" formatColumns="0" formatRows="0" insertRows="0" insertColumns="0" insertHyperlinks="0" deleteColumns="0" deleteRows="0" sort="0" autoFilter="0" pivotTables="0"/>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5555555555556" style="129" customWidth="1"/>
    <col min="2" max="2" width="5.64814814814815" style="130" customWidth="1"/>
    <col min="3" max="3" width="10.4166666666667" style="95" customWidth="1"/>
    <col min="4" max="4" width="11.8796296296296" style="129" customWidth="1"/>
    <col min="5" max="5" width="18.9351851851852" style="156" customWidth="1"/>
    <col min="6" max="6" width="33.6111111111111" style="156" customWidth="1"/>
    <col min="7" max="19" width="12.3055555555556" style="130" customWidth="1"/>
    <col min="20" max="21" width="27.0833333333333" style="157" customWidth="1"/>
    <col min="22" max="25" width="9.11111111111111" style="129" customWidth="1"/>
    <col min="26" max="26" width="16.2407407407407" style="158" customWidth="1"/>
    <col min="27" max="27" width="5.88888888888889" style="158" customWidth="1"/>
    <col min="28" max="28" width="6.25" style="95" customWidth="1"/>
    <col min="29" max="29" width="4.78703703703704" style="95" customWidth="1"/>
    <col min="30" max="30" width="6.97222222222222" style="95" customWidth="1"/>
    <col min="31" max="31" width="5" style="156" customWidth="1"/>
    <col min="32" max="32" width="4.78703703703704" style="95" customWidth="1"/>
    <col min="33" max="33" width="10.2037037037037" style="95" customWidth="1"/>
    <col min="34" max="35" width="6.58333333333333" style="95" customWidth="1"/>
    <col min="36" max="36" width="4.78703703703704" style="95" customWidth="1"/>
    <col min="37" max="37" width="8.03703703703704" style="95" customWidth="1"/>
    <col min="38" max="38" width="4.58333333333333" style="156" customWidth="1"/>
    <col min="39" max="39" width="25.4166666666667" style="95" customWidth="1"/>
    <col min="40" max="40" width="11.5555555555556" style="95" customWidth="1"/>
    <col min="41" max="41" width="90.1388888888889" style="95" hidden="1" customWidth="1"/>
    <col min="42" max="43" width="8.58333333333333" style="95" hidden="1" customWidth="1"/>
    <col min="44" max="44" width="22.7222222222222" style="159" customWidth="1"/>
    <col min="45" max="16384" width="8.58333333333333" style="95"/>
  </cols>
  <sheetData>
    <row r="1" s="95" customFormat="1" ht="53" customHeight="1" spans="1:44">
      <c r="A1" s="5" t="s">
        <v>415</v>
      </c>
      <c r="B1" s="5" t="s">
        <v>416</v>
      </c>
      <c r="C1" s="5" t="s">
        <v>417</v>
      </c>
      <c r="D1" s="5" t="s">
        <v>418</v>
      </c>
      <c r="E1" s="5" t="s">
        <v>419</v>
      </c>
      <c r="F1" s="5" t="s">
        <v>420</v>
      </c>
      <c r="G1" s="5" t="s">
        <v>421</v>
      </c>
      <c r="H1" s="160" t="s">
        <v>422</v>
      </c>
      <c r="I1" s="160" t="s">
        <v>423</v>
      </c>
      <c r="J1" s="161" t="s">
        <v>424</v>
      </c>
      <c r="K1" s="162" t="s">
        <v>425</v>
      </c>
      <c r="L1" s="162"/>
      <c r="M1" s="162"/>
      <c r="N1" s="162"/>
      <c r="O1" s="162"/>
      <c r="P1" s="162"/>
      <c r="Q1" s="162"/>
      <c r="R1" s="162"/>
      <c r="S1" s="163"/>
      <c r="T1" s="160" t="s">
        <v>426</v>
      </c>
      <c r="U1" s="161" t="s">
        <v>427</v>
      </c>
      <c r="V1" s="161" t="s">
        <v>428</v>
      </c>
      <c r="W1" s="164" t="s">
        <v>429</v>
      </c>
      <c r="X1" s="165"/>
      <c r="Y1" s="166"/>
      <c r="Z1" s="161" t="s">
        <v>430</v>
      </c>
      <c r="AA1" s="5" t="s">
        <v>431</v>
      </c>
      <c r="AB1" s="5"/>
      <c r="AC1" s="5"/>
      <c r="AD1" s="5" t="s">
        <v>432</v>
      </c>
      <c r="AE1" s="5"/>
      <c r="AF1" s="5"/>
      <c r="AG1" s="5" t="s">
        <v>433</v>
      </c>
      <c r="AH1" s="5"/>
      <c r="AI1" s="5"/>
      <c r="AJ1" s="5"/>
      <c r="AK1" s="161" t="s">
        <v>434</v>
      </c>
      <c r="AL1" s="161"/>
      <c r="AM1" s="161"/>
      <c r="AN1" s="5" t="s">
        <v>435</v>
      </c>
      <c r="AR1" s="167" t="s">
        <v>436</v>
      </c>
    </row>
    <row r="2" s="95" customFormat="1" ht="157" customHeight="1" spans="1:44">
      <c r="A2" s="5"/>
      <c r="B2" s="5"/>
      <c r="C2" s="5"/>
      <c r="D2" s="5"/>
      <c r="E2" s="5"/>
      <c r="F2" s="5"/>
      <c r="G2" s="5"/>
      <c r="H2" s="168"/>
      <c r="I2" s="168"/>
      <c r="J2" s="161"/>
      <c r="K2" s="166" t="s">
        <v>437</v>
      </c>
      <c r="L2" s="161" t="s">
        <v>438</v>
      </c>
      <c r="M2" s="161" t="s">
        <v>439</v>
      </c>
      <c r="N2" s="161" t="s">
        <v>440</v>
      </c>
      <c r="O2" s="161" t="s">
        <v>441</v>
      </c>
      <c r="P2" s="161" t="s">
        <v>442</v>
      </c>
      <c r="Q2" s="161" t="s">
        <v>443</v>
      </c>
      <c r="R2" s="161" t="s">
        <v>444</v>
      </c>
      <c r="S2" s="161" t="s">
        <v>445</v>
      </c>
      <c r="T2" s="168"/>
      <c r="U2" s="161"/>
      <c r="V2" s="161"/>
      <c r="W2" s="169" t="s">
        <v>446</v>
      </c>
      <c r="X2" s="169" t="s">
        <v>447</v>
      </c>
      <c r="Y2" s="169" t="s">
        <v>448</v>
      </c>
      <c r="Z2" s="161"/>
      <c r="AA2" s="5" t="s">
        <v>449</v>
      </c>
      <c r="AB2" s="5" t="s">
        <v>450</v>
      </c>
      <c r="AC2" s="5" t="s">
        <v>451</v>
      </c>
      <c r="AD2" s="5" t="s">
        <v>449</v>
      </c>
      <c r="AE2" s="5" t="s">
        <v>450</v>
      </c>
      <c r="AF2" s="5" t="s">
        <v>451</v>
      </c>
      <c r="AG2" s="5" t="s">
        <v>433</v>
      </c>
      <c r="AH2" s="5" t="s">
        <v>449</v>
      </c>
      <c r="AI2" s="5" t="s">
        <v>450</v>
      </c>
      <c r="AJ2" s="5" t="s">
        <v>451</v>
      </c>
      <c r="AK2" s="161" t="s">
        <v>452</v>
      </c>
      <c r="AL2" s="161" t="s">
        <v>453</v>
      </c>
      <c r="AM2" s="161" t="s">
        <v>454</v>
      </c>
      <c r="AN2" s="5"/>
      <c r="AR2" s="170"/>
    </row>
    <row r="3" s="95" customFormat="1" ht="316" customHeight="1" spans="1:44">
      <c r="A3" s="171" t="s">
        <v>455</v>
      </c>
      <c r="B3" s="171" t="s">
        <v>456</v>
      </c>
      <c r="C3" s="172" t="s">
        <v>457</v>
      </c>
      <c r="D3" s="4" t="s">
        <v>458</v>
      </c>
      <c r="E3" s="173" t="s">
        <v>459</v>
      </c>
      <c r="F3" s="4" t="s">
        <v>460</v>
      </c>
      <c r="G3" s="4" t="s">
        <v>461</v>
      </c>
      <c r="H3" s="4" t="s">
        <v>462</v>
      </c>
      <c r="I3" s="4" t="s">
        <v>463</v>
      </c>
      <c r="J3" s="4" t="s">
        <v>464</v>
      </c>
      <c r="K3" s="174" t="s">
        <v>36</v>
      </c>
      <c r="L3" s="174"/>
      <c r="M3" s="174" t="s">
        <v>36</v>
      </c>
      <c r="N3" s="174"/>
      <c r="O3" s="174" t="s">
        <v>36</v>
      </c>
      <c r="P3" s="174" t="s">
        <v>36</v>
      </c>
      <c r="Q3" s="174" t="s">
        <v>36</v>
      </c>
      <c r="R3" s="174" t="s">
        <v>36</v>
      </c>
      <c r="S3" s="175"/>
      <c r="T3" s="176" t="s">
        <v>465</v>
      </c>
      <c r="U3" s="176" t="s">
        <v>466</v>
      </c>
      <c r="V3" s="174" t="s">
        <v>467</v>
      </c>
      <c r="W3" s="177" t="s">
        <v>468</v>
      </c>
      <c r="X3" s="177" t="s">
        <v>469</v>
      </c>
      <c r="Y3" s="177" t="s">
        <v>470</v>
      </c>
      <c r="Z3" s="174" t="s">
        <v>471</v>
      </c>
      <c r="AA3" s="174" t="s">
        <v>472</v>
      </c>
      <c r="AB3" s="174" t="s">
        <v>473</v>
      </c>
      <c r="AC3" s="1"/>
      <c r="AD3" s="174" t="s">
        <v>474</v>
      </c>
      <c r="AE3" s="174" t="s">
        <v>473</v>
      </c>
      <c r="AF3" s="1"/>
      <c r="AG3" s="174" t="s">
        <v>475</v>
      </c>
      <c r="AH3" s="178" t="s">
        <v>474</v>
      </c>
      <c r="AI3" s="174" t="s">
        <v>473</v>
      </c>
      <c r="AJ3" s="1"/>
      <c r="AK3" s="174" t="s">
        <v>476</v>
      </c>
      <c r="AL3" s="174" t="s">
        <v>476</v>
      </c>
      <c r="AM3" s="179" t="s">
        <v>477</v>
      </c>
      <c r="AN3" s="1" t="s">
        <v>470</v>
      </c>
      <c r="AR3" s="174"/>
    </row>
    <row r="4" spans="1:44">
      <c r="AA4" s="95"/>
      <c r="AD4" s="156"/>
      <c r="AE4" s="95"/>
      <c r="AK4" s="156"/>
      <c r="AL4" s="95"/>
    </row>
    <row r="5" spans="1:44">
      <c r="AA5" s="95"/>
      <c r="AD5" s="156"/>
      <c r="AE5" s="95"/>
      <c r="AK5" s="156"/>
      <c r="AL5" s="95"/>
    </row>
    <row r="6" spans="1:44">
      <c r="AA6" s="95"/>
      <c r="AD6" s="156"/>
      <c r="AE6" s="95"/>
      <c r="AK6" s="156"/>
      <c r="AL6" s="95"/>
    </row>
    <row r="7" spans="1:44">
      <c r="AA7" s="95"/>
      <c r="AD7" s="156"/>
      <c r="AE7" s="95"/>
      <c r="AK7" s="156"/>
      <c r="AL7" s="95"/>
    </row>
    <row r="8" spans="1:44">
      <c r="AA8" s="95"/>
      <c r="AD8" s="156"/>
      <c r="AE8" s="95"/>
      <c r="AK8" s="156"/>
      <c r="AL8" s="95"/>
    </row>
    <row r="9" spans="1:44">
      <c r="AA9" s="95"/>
      <c r="AD9" s="156"/>
      <c r="AE9" s="95"/>
      <c r="AK9" s="156"/>
      <c r="AL9" s="95"/>
    </row>
    <row r="10" spans="1:44">
      <c r="AA10" s="95"/>
      <c r="AD10" s="156"/>
      <c r="AE10" s="95"/>
      <c r="AK10" s="156"/>
      <c r="AL10" s="95"/>
    </row>
    <row r="11" spans="1:44">
      <c r="AA11" s="95"/>
      <c r="AD11" s="156"/>
      <c r="AE11" s="95"/>
      <c r="AK11" s="156"/>
      <c r="AL11" s="95"/>
    </row>
    <row r="12" spans="1:44">
      <c r="AA12" s="95"/>
      <c r="AD12" s="156"/>
      <c r="AE12" s="95"/>
      <c r="AK12" s="156"/>
      <c r="AL12" s="95"/>
    </row>
    <row r="13" spans="1:44">
      <c r="AA13" s="95"/>
      <c r="AD13" s="156"/>
      <c r="AE13" s="95"/>
      <c r="AK13" s="156"/>
      <c r="AL13" s="95"/>
    </row>
    <row r="14" spans="1:44">
      <c r="AA14" s="95"/>
      <c r="AD14" s="156"/>
      <c r="AE14" s="95"/>
      <c r="AK14" s="156"/>
      <c r="AL14" s="95"/>
    </row>
    <row r="15" spans="1:44">
      <c r="AA15" s="95"/>
      <c r="AD15" s="156"/>
      <c r="AE15" s="95"/>
      <c r="AK15" s="156"/>
      <c r="AL15" s="95"/>
    </row>
    <row r="16" spans="1:44">
      <c r="AA16" s="95"/>
      <c r="AD16" s="156"/>
      <c r="AE16" s="95"/>
      <c r="AK16" s="156"/>
      <c r="AL16" s="95"/>
    </row>
    <row r="17" spans="27:38">
      <c r="AA17" s="95"/>
      <c r="AD17" s="156"/>
      <c r="AE17" s="95"/>
      <c r="AK17" s="156"/>
      <c r="AL17" s="95"/>
    </row>
    <row r="18" spans="27:38">
      <c r="AA18" s="95"/>
      <c r="AD18" s="156"/>
      <c r="AE18" s="95"/>
      <c r="AK18" s="156"/>
      <c r="AL18" s="95"/>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4444444444444" right="0.236111111111111" top="0.590277777777778" bottom="0.393055555555556" header="0.298611111111111" footer="0.298611111111111"/>
  <pageSetup paperSize="8" scale="28" fitToHeight="0" orientation="landscape" horizontalDpi="600"/>
  <headerFooter>
    <oddFooter>&amp;C第 &amp;P 页，共 &amp;N 页</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95"/>
  <sheetViews>
    <sheetView tabSelected="1" zoomScale="80" zoomScaleNormal="80" zoomScaleSheetLayoutView="70" workbookViewId="0">
      <pane xSplit="8" ySplit="3" topLeftCell="J4" activePane="bottomRight" state="frozen"/>
      <selection/>
      <selection pane="topRight"/>
      <selection pane="bottomLeft"/>
      <selection pane="bottomRight" activeCell="J5" sqref="J5"/>
    </sheetView>
  </sheetViews>
  <sheetFormatPr defaultColWidth="8.58333333333333" defaultRowHeight="21"/>
  <cols>
    <col min="1" max="1" width="4.62037037037037" style="129" customWidth="1"/>
    <col min="2" max="2" width="4.41666666666667" style="130" customWidth="1"/>
    <col min="3" max="3" width="4.18518518518519" style="95" customWidth="1"/>
    <col min="4" max="4" width="4.34259259259259" style="129" customWidth="1"/>
    <col min="5" max="5" width="12.5277777777778" style="95" customWidth="1"/>
    <col min="6" max="6" width="12.1481481481481" style="95" customWidth="1"/>
    <col min="7" max="7" width="10.2222222222222" style="130" customWidth="1"/>
    <col min="8" max="8" width="11.8333333333333" style="130" customWidth="1"/>
    <col min="9" max="9" width="17.4351851851852" style="130" customWidth="1"/>
    <col min="10" max="10" width="25.962962962963" style="130" customWidth="1"/>
    <col min="11" max="17" width="3.62037037037037" style="130" customWidth="1"/>
    <col min="18" max="18" width="3.47222222222222" style="130" customWidth="1"/>
    <col min="19" max="19" width="3.52777777777778" style="130" customWidth="1"/>
    <col min="20" max="20" width="9.03703703703704" style="129" customWidth="1"/>
    <col min="21" max="21" width="9.62962962962963" style="129" customWidth="1"/>
    <col min="22" max="22" width="14.2222222222222" style="129" customWidth="1"/>
    <col min="23" max="23" width="24.0555555555556" style="95" customWidth="1"/>
    <col min="24" max="24" width="4" style="129" customWidth="1"/>
    <col min="25" max="29" width="3.62037037037037" style="95" customWidth="1"/>
    <col min="30" max="30" width="6.62037037037037" style="95" customWidth="1"/>
    <col min="31" max="35" width="3.62037037037037" style="95" customWidth="1"/>
    <col min="36" max="36" width="20.5925925925926" style="95" customWidth="1"/>
    <col min="37" max="37" width="7.96296296296296" style="95" customWidth="1"/>
    <col min="38" max="16384" width="8.58333333333333" style="95"/>
  </cols>
  <sheetData>
    <row r="1" s="95" customFormat="1" spans="1:37">
      <c r="A1" s="140" t="s">
        <v>478</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5"/>
      <c r="AF1" s="140"/>
      <c r="AG1" s="140"/>
      <c r="AH1" s="140"/>
      <c r="AI1" s="140"/>
      <c r="AJ1" s="140"/>
      <c r="AK1" s="140"/>
    </row>
    <row r="2" s="95" customFormat="1" spans="1:37">
      <c r="A2" s="11" t="s">
        <v>415</v>
      </c>
      <c r="B2" s="11" t="s">
        <v>416</v>
      </c>
      <c r="C2" s="11" t="s">
        <v>417</v>
      </c>
      <c r="D2" s="11" t="s">
        <v>418</v>
      </c>
      <c r="E2" s="11" t="s">
        <v>419</v>
      </c>
      <c r="F2" s="11" t="s">
        <v>479</v>
      </c>
      <c r="G2" s="11" t="s">
        <v>421</v>
      </c>
      <c r="H2" s="11" t="s">
        <v>422</v>
      </c>
      <c r="I2" s="11" t="s">
        <v>424</v>
      </c>
      <c r="J2" s="11" t="s">
        <v>423</v>
      </c>
      <c r="K2" s="11" t="s">
        <v>425</v>
      </c>
      <c r="L2" s="11"/>
      <c r="M2" s="11"/>
      <c r="N2" s="11"/>
      <c r="O2" s="11"/>
      <c r="P2" s="11"/>
      <c r="Q2" s="11"/>
      <c r="R2" s="11"/>
      <c r="S2" s="11"/>
      <c r="T2" s="11" t="s">
        <v>480</v>
      </c>
      <c r="U2" s="11" t="s">
        <v>428</v>
      </c>
      <c r="V2" s="11" t="s">
        <v>481</v>
      </c>
      <c r="W2" s="11" t="s">
        <v>430</v>
      </c>
      <c r="X2" s="11" t="s">
        <v>431</v>
      </c>
      <c r="Y2" s="11"/>
      <c r="Z2" s="11"/>
      <c r="AA2" s="11" t="s">
        <v>432</v>
      </c>
      <c r="AB2" s="11"/>
      <c r="AC2" s="11"/>
      <c r="AD2" s="11" t="s">
        <v>433</v>
      </c>
      <c r="AE2" s="11"/>
      <c r="AF2" s="11"/>
      <c r="AG2" s="11"/>
      <c r="AH2" s="11" t="s">
        <v>434</v>
      </c>
      <c r="AI2" s="11"/>
      <c r="AJ2" s="11"/>
      <c r="AK2" s="11" t="s">
        <v>435</v>
      </c>
    </row>
    <row r="3" s="95" customFormat="1" ht="92.4" spans="1:37">
      <c r="A3" s="11"/>
      <c r="B3" s="11"/>
      <c r="C3" s="11"/>
      <c r="D3" s="11"/>
      <c r="E3" s="11"/>
      <c r="F3" s="11"/>
      <c r="G3" s="11"/>
      <c r="H3" s="11"/>
      <c r="I3" s="11"/>
      <c r="J3" s="11"/>
      <c r="K3" s="11" t="s">
        <v>437</v>
      </c>
      <c r="L3" s="11" t="s">
        <v>438</v>
      </c>
      <c r="M3" s="13" t="s">
        <v>482</v>
      </c>
      <c r="N3" s="11" t="s">
        <v>440</v>
      </c>
      <c r="O3" s="11" t="s">
        <v>441</v>
      </c>
      <c r="P3" s="11" t="s">
        <v>442</v>
      </c>
      <c r="Q3" s="11" t="s">
        <v>443</v>
      </c>
      <c r="R3" s="11" t="s">
        <v>444</v>
      </c>
      <c r="S3" s="11" t="s">
        <v>445</v>
      </c>
      <c r="T3" s="11"/>
      <c r="U3" s="11"/>
      <c r="V3" s="11"/>
      <c r="W3" s="11"/>
      <c r="X3" s="11" t="s">
        <v>449</v>
      </c>
      <c r="Y3" s="11" t="s">
        <v>450</v>
      </c>
      <c r="Z3" s="11" t="s">
        <v>451</v>
      </c>
      <c r="AA3" s="11" t="s">
        <v>449</v>
      </c>
      <c r="AB3" s="11" t="s">
        <v>450</v>
      </c>
      <c r="AC3" s="11" t="s">
        <v>451</v>
      </c>
      <c r="AD3" s="11" t="s">
        <v>433</v>
      </c>
      <c r="AE3" s="11" t="s">
        <v>449</v>
      </c>
      <c r="AF3" s="11" t="s">
        <v>450</v>
      </c>
      <c r="AG3" s="11" t="s">
        <v>451</v>
      </c>
      <c r="AH3" s="11" t="s">
        <v>452</v>
      </c>
      <c r="AI3" s="11" t="s">
        <v>453</v>
      </c>
      <c r="AJ3" s="11" t="s">
        <v>454</v>
      </c>
      <c r="AK3" s="11"/>
    </row>
    <row r="4" s="95" customFormat="1" ht="100" customHeight="1" spans="1:37">
      <c r="A4" s="14" t="s">
        <v>483</v>
      </c>
      <c r="B4" s="14" t="s">
        <v>484</v>
      </c>
      <c r="C4" s="15" t="s">
        <v>485</v>
      </c>
      <c r="D4" s="15" t="s">
        <v>486</v>
      </c>
      <c r="E4" s="16" t="s">
        <v>487</v>
      </c>
      <c r="F4" s="17"/>
      <c r="G4" s="15" t="s">
        <v>488</v>
      </c>
      <c r="H4" s="16" t="s">
        <v>489</v>
      </c>
      <c r="I4" s="23" t="s">
        <v>490</v>
      </c>
      <c r="J4" s="16" t="s">
        <v>491</v>
      </c>
      <c r="K4" s="15"/>
      <c r="L4" s="15"/>
      <c r="M4" s="15"/>
      <c r="N4" s="15"/>
      <c r="O4" s="15"/>
      <c r="P4" s="15"/>
      <c r="Q4" s="15"/>
      <c r="R4" s="15" t="s">
        <v>36</v>
      </c>
      <c r="S4" s="15"/>
      <c r="T4" s="15" t="s">
        <v>492</v>
      </c>
      <c r="U4" s="15"/>
      <c r="V4" s="16" t="s">
        <v>493</v>
      </c>
      <c r="W4" s="105" t="s">
        <v>494</v>
      </c>
      <c r="X4" s="15" t="s">
        <v>474</v>
      </c>
      <c r="Y4" s="15" t="s">
        <v>473</v>
      </c>
      <c r="Z4" s="15"/>
      <c r="AA4" s="15" t="s">
        <v>474</v>
      </c>
      <c r="AB4" s="15" t="s">
        <v>473</v>
      </c>
      <c r="AC4" s="15"/>
      <c r="AD4" s="15" t="s">
        <v>495</v>
      </c>
      <c r="AE4" s="15" t="s">
        <v>474</v>
      </c>
      <c r="AF4" s="15"/>
      <c r="AG4" s="15"/>
      <c r="AH4" s="15" t="s">
        <v>476</v>
      </c>
      <c r="AI4" s="15" t="s">
        <v>476</v>
      </c>
      <c r="AJ4" s="15" t="s">
        <v>496</v>
      </c>
      <c r="AK4" s="15" t="s">
        <v>497</v>
      </c>
    </row>
    <row r="5" s="95" customFormat="1" ht="94" customHeight="1" spans="1:37">
      <c r="A5" s="14"/>
      <c r="B5" s="14"/>
      <c r="C5" s="15"/>
      <c r="D5" s="15"/>
      <c r="E5" s="16"/>
      <c r="F5" s="17"/>
      <c r="G5" s="15"/>
      <c r="H5" s="16"/>
      <c r="I5" s="23" t="s">
        <v>498</v>
      </c>
      <c r="J5" s="16" t="s">
        <v>499</v>
      </c>
      <c r="K5" s="15"/>
      <c r="L5" s="15" t="s">
        <v>36</v>
      </c>
      <c r="M5" s="15"/>
      <c r="N5" s="15"/>
      <c r="O5" s="15"/>
      <c r="P5" s="15"/>
      <c r="Q5" s="15"/>
      <c r="R5" s="15"/>
      <c r="S5" s="15"/>
      <c r="T5" s="15" t="s">
        <v>465</v>
      </c>
      <c r="U5" s="15" t="s">
        <v>500</v>
      </c>
      <c r="V5" s="16" t="s">
        <v>493</v>
      </c>
      <c r="W5" s="35" t="s">
        <v>501</v>
      </c>
      <c r="X5" s="15" t="s">
        <v>474</v>
      </c>
      <c r="Y5" s="15" t="s">
        <v>473</v>
      </c>
      <c r="Z5" s="15"/>
      <c r="AA5" s="15" t="s">
        <v>474</v>
      </c>
      <c r="AB5" s="15" t="s">
        <v>473</v>
      </c>
      <c r="AC5" s="15"/>
      <c r="AD5" s="15" t="s">
        <v>495</v>
      </c>
      <c r="AE5" s="15" t="s">
        <v>474</v>
      </c>
      <c r="AF5" s="15"/>
      <c r="AG5" s="15"/>
      <c r="AH5" s="15" t="s">
        <v>476</v>
      </c>
      <c r="AI5" s="15" t="s">
        <v>476</v>
      </c>
      <c r="AJ5" s="15" t="s">
        <v>496</v>
      </c>
      <c r="AK5" s="15"/>
    </row>
    <row r="6" s="95" customFormat="1" ht="105.6" spans="1:37">
      <c r="A6" s="14"/>
      <c r="B6" s="14"/>
      <c r="C6" s="15" t="s">
        <v>485</v>
      </c>
      <c r="D6" s="15" t="s">
        <v>502</v>
      </c>
      <c r="E6" s="16" t="s">
        <v>503</v>
      </c>
      <c r="F6" s="24"/>
      <c r="G6" s="15" t="s">
        <v>504</v>
      </c>
      <c r="H6" s="16" t="s">
        <v>505</v>
      </c>
      <c r="I6" s="23" t="s">
        <v>506</v>
      </c>
      <c r="J6" s="16" t="s">
        <v>507</v>
      </c>
      <c r="K6" s="15"/>
      <c r="L6" s="15"/>
      <c r="M6" s="15"/>
      <c r="N6" s="15" t="s">
        <v>36</v>
      </c>
      <c r="O6" s="15"/>
      <c r="P6" s="15"/>
      <c r="Q6" s="15"/>
      <c r="R6" s="15"/>
      <c r="S6" s="15"/>
      <c r="T6" s="15" t="s">
        <v>492</v>
      </c>
      <c r="U6" s="15"/>
      <c r="V6" s="16" t="s">
        <v>508</v>
      </c>
      <c r="W6" s="35" t="s">
        <v>509</v>
      </c>
      <c r="X6" s="15" t="s">
        <v>474</v>
      </c>
      <c r="Y6" s="15" t="s">
        <v>473</v>
      </c>
      <c r="Z6" s="15"/>
      <c r="AA6" s="15" t="s">
        <v>474</v>
      </c>
      <c r="AB6" s="15" t="s">
        <v>473</v>
      </c>
      <c r="AC6" s="15"/>
      <c r="AD6" s="15" t="s">
        <v>510</v>
      </c>
      <c r="AE6" s="15" t="s">
        <v>511</v>
      </c>
      <c r="AF6" s="15"/>
      <c r="AG6" s="14"/>
      <c r="AH6" s="15" t="s">
        <v>476</v>
      </c>
      <c r="AI6" s="15" t="s">
        <v>476</v>
      </c>
      <c r="AJ6" s="15" t="s">
        <v>512</v>
      </c>
      <c r="AK6" s="15" t="s">
        <v>497</v>
      </c>
    </row>
    <row r="7" s="95" customFormat="1" ht="105.6" spans="1:37">
      <c r="A7" s="14"/>
      <c r="B7" s="14"/>
      <c r="C7" s="15"/>
      <c r="D7" s="15"/>
      <c r="E7" s="16"/>
      <c r="F7" s="24"/>
      <c r="G7" s="15"/>
      <c r="H7" s="16"/>
      <c r="I7" s="23" t="s">
        <v>513</v>
      </c>
      <c r="J7" s="16" t="s">
        <v>514</v>
      </c>
      <c r="K7" s="15"/>
      <c r="L7" s="15"/>
      <c r="M7" s="15"/>
      <c r="N7" s="15" t="s">
        <v>36</v>
      </c>
      <c r="O7" s="15"/>
      <c r="P7" s="15"/>
      <c r="Q7" s="15"/>
      <c r="R7" s="15"/>
      <c r="S7" s="15"/>
      <c r="T7" s="15" t="s">
        <v>492</v>
      </c>
      <c r="U7" s="15"/>
      <c r="V7" s="16" t="s">
        <v>508</v>
      </c>
      <c r="W7" s="35" t="s">
        <v>515</v>
      </c>
      <c r="X7" s="15" t="s">
        <v>474</v>
      </c>
      <c r="Y7" s="15" t="s">
        <v>473</v>
      </c>
      <c r="Z7" s="15"/>
      <c r="AA7" s="15" t="s">
        <v>474</v>
      </c>
      <c r="AB7" s="15" t="s">
        <v>473</v>
      </c>
      <c r="AC7" s="15"/>
      <c r="AD7" s="15" t="s">
        <v>510</v>
      </c>
      <c r="AE7" s="15" t="s">
        <v>511</v>
      </c>
      <c r="AF7" s="15"/>
      <c r="AG7" s="14"/>
      <c r="AH7" s="15" t="s">
        <v>476</v>
      </c>
      <c r="AI7" s="15" t="s">
        <v>476</v>
      </c>
      <c r="AJ7" s="15" t="s">
        <v>512</v>
      </c>
      <c r="AK7" s="15" t="s">
        <v>497</v>
      </c>
    </row>
    <row r="8" s="95" customFormat="1" ht="145.2" spans="1:37">
      <c r="A8" s="14"/>
      <c r="B8" s="14"/>
      <c r="C8" s="15"/>
      <c r="D8" s="15"/>
      <c r="E8" s="16"/>
      <c r="F8" s="24"/>
      <c r="G8" s="15"/>
      <c r="H8" s="16"/>
      <c r="I8" s="23" t="s">
        <v>516</v>
      </c>
      <c r="J8" s="16" t="s">
        <v>517</v>
      </c>
      <c r="K8" s="15"/>
      <c r="L8" s="15"/>
      <c r="M8" s="15"/>
      <c r="N8" s="15"/>
      <c r="O8" s="15"/>
      <c r="P8" s="15"/>
      <c r="Q8" s="15"/>
      <c r="R8" s="15"/>
      <c r="S8" s="15" t="s">
        <v>36</v>
      </c>
      <c r="T8" s="15" t="s">
        <v>492</v>
      </c>
      <c r="U8" s="15"/>
      <c r="V8" s="16" t="s">
        <v>508</v>
      </c>
      <c r="W8" s="35" t="s">
        <v>518</v>
      </c>
      <c r="X8" s="15" t="s">
        <v>474</v>
      </c>
      <c r="Y8" s="15" t="s">
        <v>473</v>
      </c>
      <c r="Z8" s="15"/>
      <c r="AA8" s="15" t="s">
        <v>474</v>
      </c>
      <c r="AB8" s="104" t="s">
        <v>473</v>
      </c>
      <c r="AC8" s="15"/>
      <c r="AD8" s="15" t="s">
        <v>510</v>
      </c>
      <c r="AE8" s="15" t="s">
        <v>472</v>
      </c>
      <c r="AF8" s="15"/>
      <c r="AG8" s="14"/>
      <c r="AH8" s="15" t="s">
        <v>476</v>
      </c>
      <c r="AI8" s="15" t="s">
        <v>476</v>
      </c>
      <c r="AJ8" s="15" t="s">
        <v>512</v>
      </c>
      <c r="AK8" s="15" t="s">
        <v>519</v>
      </c>
    </row>
    <row r="9" s="95" customFormat="1" ht="145.2" spans="1:37">
      <c r="A9" s="14"/>
      <c r="B9" s="14"/>
      <c r="C9" s="15"/>
      <c r="D9" s="15"/>
      <c r="E9" s="16" t="s">
        <v>520</v>
      </c>
      <c r="F9" s="16"/>
      <c r="G9" s="15" t="s">
        <v>521</v>
      </c>
      <c r="H9" s="16" t="s">
        <v>522</v>
      </c>
      <c r="I9" s="23" t="s">
        <v>523</v>
      </c>
      <c r="J9" s="16" t="s">
        <v>524</v>
      </c>
      <c r="K9" s="15"/>
      <c r="L9" s="15"/>
      <c r="M9" s="15"/>
      <c r="N9" s="15" t="s">
        <v>36</v>
      </c>
      <c r="O9" s="15"/>
      <c r="P9" s="15"/>
      <c r="Q9" s="15"/>
      <c r="R9" s="15"/>
      <c r="S9" s="15" t="s">
        <v>36</v>
      </c>
      <c r="T9" s="15" t="s">
        <v>465</v>
      </c>
      <c r="U9" s="15"/>
      <c r="V9" s="16" t="s">
        <v>525</v>
      </c>
      <c r="W9" s="35" t="s">
        <v>526</v>
      </c>
      <c r="X9" s="15" t="s">
        <v>474</v>
      </c>
      <c r="Y9" s="15" t="s">
        <v>473</v>
      </c>
      <c r="Z9" s="15"/>
      <c r="AA9" s="15" t="s">
        <v>474</v>
      </c>
      <c r="AB9" s="15" t="s">
        <v>473</v>
      </c>
      <c r="AC9" s="15"/>
      <c r="AD9" s="15" t="s">
        <v>527</v>
      </c>
      <c r="AE9" s="15" t="s">
        <v>511</v>
      </c>
      <c r="AF9" s="15"/>
      <c r="AG9" s="14"/>
      <c r="AH9" s="15" t="s">
        <v>476</v>
      </c>
      <c r="AI9" s="15" t="s">
        <v>476</v>
      </c>
      <c r="AJ9" s="15" t="s">
        <v>512</v>
      </c>
      <c r="AK9" s="15" t="s">
        <v>497</v>
      </c>
    </row>
    <row r="10" s="95" customFormat="1" ht="145.2" spans="1:37">
      <c r="A10" s="14"/>
      <c r="B10" s="14"/>
      <c r="C10" s="15"/>
      <c r="D10" s="15"/>
      <c r="E10" s="16"/>
      <c r="F10" s="16"/>
      <c r="G10" s="15"/>
      <c r="H10" s="16"/>
      <c r="I10" s="23" t="s">
        <v>528</v>
      </c>
      <c r="J10" s="16" t="s">
        <v>529</v>
      </c>
      <c r="K10" s="15"/>
      <c r="L10" s="15"/>
      <c r="M10" s="15"/>
      <c r="N10" s="15" t="s">
        <v>36</v>
      </c>
      <c r="O10" s="15"/>
      <c r="P10" s="15"/>
      <c r="Q10" s="15" t="s">
        <v>36</v>
      </c>
      <c r="R10" s="15"/>
      <c r="S10" s="15" t="s">
        <v>36</v>
      </c>
      <c r="T10" s="15" t="s">
        <v>465</v>
      </c>
      <c r="U10" s="15" t="s">
        <v>530</v>
      </c>
      <c r="V10" s="16" t="s">
        <v>525</v>
      </c>
      <c r="W10" s="31" t="s">
        <v>531</v>
      </c>
      <c r="X10" s="15" t="s">
        <v>474</v>
      </c>
      <c r="Y10" s="15" t="s">
        <v>473</v>
      </c>
      <c r="Z10" s="15"/>
      <c r="AA10" s="15" t="s">
        <v>474</v>
      </c>
      <c r="AB10" s="15" t="s">
        <v>473</v>
      </c>
      <c r="AC10" s="15"/>
      <c r="AD10" s="15" t="s">
        <v>527</v>
      </c>
      <c r="AE10" s="15" t="s">
        <v>511</v>
      </c>
      <c r="AF10" s="15"/>
      <c r="AG10" s="14"/>
      <c r="AH10" s="15" t="s">
        <v>476</v>
      </c>
      <c r="AI10" s="15" t="s">
        <v>476</v>
      </c>
      <c r="AJ10" s="15" t="s">
        <v>512</v>
      </c>
      <c r="AK10" s="15" t="s">
        <v>532</v>
      </c>
    </row>
    <row r="11" s="95" customFormat="1" ht="145.2" spans="1:37">
      <c r="A11" s="14"/>
      <c r="B11" s="14"/>
      <c r="C11" s="15"/>
      <c r="D11" s="15"/>
      <c r="E11" s="16"/>
      <c r="F11" s="16"/>
      <c r="G11" s="15"/>
      <c r="H11" s="16"/>
      <c r="I11" s="23" t="s">
        <v>533</v>
      </c>
      <c r="J11" s="16" t="s">
        <v>534</v>
      </c>
      <c r="K11" s="15"/>
      <c r="L11" s="15"/>
      <c r="M11" s="15"/>
      <c r="N11" s="15" t="s">
        <v>36</v>
      </c>
      <c r="O11" s="15"/>
      <c r="P11" s="15"/>
      <c r="Q11" s="15"/>
      <c r="R11" s="15"/>
      <c r="S11" s="15"/>
      <c r="T11" s="15" t="s">
        <v>492</v>
      </c>
      <c r="U11" s="15"/>
      <c r="V11" s="16" t="s">
        <v>525</v>
      </c>
      <c r="W11" s="105" t="s">
        <v>535</v>
      </c>
      <c r="X11" s="15" t="s">
        <v>474</v>
      </c>
      <c r="Y11" s="15" t="s">
        <v>473</v>
      </c>
      <c r="Z11" s="15"/>
      <c r="AA11" s="15" t="s">
        <v>474</v>
      </c>
      <c r="AB11" s="15" t="s">
        <v>473</v>
      </c>
      <c r="AC11" s="15"/>
      <c r="AD11" s="15" t="s">
        <v>527</v>
      </c>
      <c r="AE11" s="15" t="s">
        <v>511</v>
      </c>
      <c r="AF11" s="15"/>
      <c r="AG11" s="14"/>
      <c r="AH11" s="15" t="s">
        <v>476</v>
      </c>
      <c r="AI11" s="15" t="s">
        <v>476</v>
      </c>
      <c r="AJ11" s="15" t="s">
        <v>512</v>
      </c>
      <c r="AK11" s="15" t="s">
        <v>497</v>
      </c>
    </row>
    <row r="12" s="95" customFormat="1" ht="105.6" spans="1:37">
      <c r="A12" s="14" t="s">
        <v>483</v>
      </c>
      <c r="B12" s="14" t="s">
        <v>484</v>
      </c>
      <c r="C12" s="15" t="s">
        <v>536</v>
      </c>
      <c r="D12" s="15" t="s">
        <v>537</v>
      </c>
      <c r="E12" s="16" t="s">
        <v>538</v>
      </c>
      <c r="F12" s="24"/>
      <c r="G12" s="15" t="s">
        <v>539</v>
      </c>
      <c r="H12" s="16" t="s">
        <v>540</v>
      </c>
      <c r="I12" s="23" t="s">
        <v>541</v>
      </c>
      <c r="J12" s="16" t="s">
        <v>542</v>
      </c>
      <c r="K12" s="15"/>
      <c r="L12" s="15" t="s">
        <v>36</v>
      </c>
      <c r="M12" s="15"/>
      <c r="N12" s="15"/>
      <c r="O12" s="15"/>
      <c r="P12" s="15"/>
      <c r="Q12" s="15"/>
      <c r="R12" s="15"/>
      <c r="S12" s="15"/>
      <c r="T12" s="15" t="s">
        <v>465</v>
      </c>
      <c r="U12" s="15" t="s">
        <v>543</v>
      </c>
      <c r="V12" s="16" t="s">
        <v>544</v>
      </c>
      <c r="W12" s="105" t="s">
        <v>545</v>
      </c>
      <c r="X12" s="15" t="s">
        <v>474</v>
      </c>
      <c r="Y12" s="15" t="s">
        <v>473</v>
      </c>
      <c r="Z12" s="15"/>
      <c r="AA12" s="15" t="s">
        <v>474</v>
      </c>
      <c r="AB12" s="15" t="s">
        <v>473</v>
      </c>
      <c r="AC12" s="15"/>
      <c r="AD12" s="15" t="s">
        <v>546</v>
      </c>
      <c r="AE12" s="15" t="s">
        <v>511</v>
      </c>
      <c r="AF12" s="30"/>
      <c r="AG12" s="14"/>
      <c r="AH12" s="15" t="s">
        <v>476</v>
      </c>
      <c r="AI12" s="30" t="s">
        <v>476</v>
      </c>
      <c r="AJ12" s="15" t="s">
        <v>547</v>
      </c>
      <c r="AK12" s="15" t="s">
        <v>497</v>
      </c>
    </row>
    <row r="13" s="95" customFormat="1" ht="118.8" spans="1:37">
      <c r="A13" s="14"/>
      <c r="B13" s="14"/>
      <c r="C13" s="15"/>
      <c r="D13" s="15"/>
      <c r="E13" s="16"/>
      <c r="F13" s="24"/>
      <c r="G13" s="15"/>
      <c r="H13" s="16"/>
      <c r="I13" s="23" t="s">
        <v>548</v>
      </c>
      <c r="J13" s="16" t="s">
        <v>549</v>
      </c>
      <c r="K13" s="15"/>
      <c r="L13" s="15" t="s">
        <v>36</v>
      </c>
      <c r="M13" s="15"/>
      <c r="N13" s="15"/>
      <c r="O13" s="15"/>
      <c r="P13" s="15"/>
      <c r="Q13" s="15" t="s">
        <v>36</v>
      </c>
      <c r="R13" s="15"/>
      <c r="S13" s="15"/>
      <c r="T13" s="15" t="s">
        <v>550</v>
      </c>
      <c r="U13" s="15" t="s">
        <v>551</v>
      </c>
      <c r="V13" s="16" t="s">
        <v>552</v>
      </c>
      <c r="W13" s="31" t="s">
        <v>553</v>
      </c>
      <c r="X13" s="15" t="s">
        <v>474</v>
      </c>
      <c r="Y13" s="15" t="s">
        <v>473</v>
      </c>
      <c r="Z13" s="15"/>
      <c r="AA13" s="15" t="s">
        <v>474</v>
      </c>
      <c r="AB13" s="15" t="s">
        <v>473</v>
      </c>
      <c r="AC13" s="15"/>
      <c r="AD13" s="15"/>
      <c r="AE13" s="30"/>
      <c r="AF13" s="30"/>
      <c r="AG13" s="14"/>
      <c r="AH13" s="15" t="s">
        <v>476</v>
      </c>
      <c r="AI13" s="30" t="s">
        <v>476</v>
      </c>
      <c r="AJ13" s="15" t="s">
        <v>554</v>
      </c>
      <c r="AK13" s="15" t="s">
        <v>532</v>
      </c>
    </row>
    <row r="14" s="95" customFormat="1" ht="105.6" spans="1:37">
      <c r="A14" s="14"/>
      <c r="B14" s="14"/>
      <c r="C14" s="15"/>
      <c r="D14" s="15"/>
      <c r="E14" s="16"/>
      <c r="F14" s="24"/>
      <c r="G14" s="15"/>
      <c r="H14" s="16"/>
      <c r="I14" s="23" t="s">
        <v>555</v>
      </c>
      <c r="J14" s="16" t="s">
        <v>556</v>
      </c>
      <c r="K14" s="15"/>
      <c r="L14" s="15"/>
      <c r="M14" s="15"/>
      <c r="N14" s="15"/>
      <c r="O14" s="15" t="s">
        <v>36</v>
      </c>
      <c r="P14" s="15" t="s">
        <v>36</v>
      </c>
      <c r="Q14" s="15" t="s">
        <v>36</v>
      </c>
      <c r="R14" s="15"/>
      <c r="S14" s="15"/>
      <c r="T14" s="15" t="s">
        <v>550</v>
      </c>
      <c r="U14" s="15" t="s">
        <v>467</v>
      </c>
      <c r="V14" s="16" t="s">
        <v>557</v>
      </c>
      <c r="W14" s="31" t="s">
        <v>553</v>
      </c>
      <c r="X14" s="15" t="s">
        <v>474</v>
      </c>
      <c r="Y14" s="15" t="s">
        <v>473</v>
      </c>
      <c r="Z14" s="15"/>
      <c r="AA14" s="15" t="s">
        <v>474</v>
      </c>
      <c r="AB14" s="15" t="s">
        <v>473</v>
      </c>
      <c r="AC14" s="15"/>
      <c r="AD14" s="15"/>
      <c r="AE14" s="30"/>
      <c r="AF14" s="30"/>
      <c r="AG14" s="14"/>
      <c r="AH14" s="15" t="s">
        <v>476</v>
      </c>
      <c r="AI14" s="30" t="s">
        <v>476</v>
      </c>
      <c r="AJ14" s="15" t="s">
        <v>558</v>
      </c>
      <c r="AK14" s="15"/>
    </row>
    <row r="15" s="95" customFormat="1" ht="70" customHeight="1" spans="1:37">
      <c r="A15" s="14"/>
      <c r="B15" s="14"/>
      <c r="C15" s="15"/>
      <c r="D15" s="15"/>
      <c r="E15" s="16" t="s">
        <v>559</v>
      </c>
      <c r="F15" s="16"/>
      <c r="G15" s="15" t="s">
        <v>560</v>
      </c>
      <c r="H15" s="16" t="s">
        <v>561</v>
      </c>
      <c r="I15" s="23" t="s">
        <v>562</v>
      </c>
      <c r="J15" s="16" t="s">
        <v>563</v>
      </c>
      <c r="K15" s="15"/>
      <c r="L15" s="15"/>
      <c r="M15" s="15"/>
      <c r="N15" s="15"/>
      <c r="O15" s="15"/>
      <c r="P15" s="15"/>
      <c r="Q15" s="15" t="s">
        <v>36</v>
      </c>
      <c r="R15" s="15"/>
      <c r="S15" s="15"/>
      <c r="T15" s="15" t="s">
        <v>465</v>
      </c>
      <c r="U15" s="15" t="s">
        <v>467</v>
      </c>
      <c r="V15" s="16" t="s">
        <v>564</v>
      </c>
      <c r="W15" s="31" t="s">
        <v>553</v>
      </c>
      <c r="X15" s="15" t="s">
        <v>565</v>
      </c>
      <c r="Y15" s="15" t="s">
        <v>566</v>
      </c>
      <c r="Z15" s="15"/>
      <c r="AA15" s="15" t="s">
        <v>474</v>
      </c>
      <c r="AB15" s="15" t="s">
        <v>473</v>
      </c>
      <c r="AC15" s="15"/>
      <c r="AD15" s="15" t="s">
        <v>567</v>
      </c>
      <c r="AE15" s="15" t="s">
        <v>511</v>
      </c>
      <c r="AF15" s="15"/>
      <c r="AG15" s="14"/>
      <c r="AH15" s="15" t="s">
        <v>476</v>
      </c>
      <c r="AI15" s="30" t="s">
        <v>476</v>
      </c>
      <c r="AJ15" s="15" t="s">
        <v>558</v>
      </c>
      <c r="AK15" s="15" t="s">
        <v>532</v>
      </c>
    </row>
    <row r="16" s="95" customFormat="1" ht="132" spans="1:37">
      <c r="A16" s="14"/>
      <c r="B16" s="14"/>
      <c r="C16" s="15"/>
      <c r="D16" s="15"/>
      <c r="E16" s="16"/>
      <c r="F16" s="16"/>
      <c r="G16" s="15"/>
      <c r="H16" s="16"/>
      <c r="I16" s="23" t="s">
        <v>568</v>
      </c>
      <c r="J16" s="16" t="s">
        <v>569</v>
      </c>
      <c r="K16" s="15"/>
      <c r="L16" s="15" t="s">
        <v>36</v>
      </c>
      <c r="M16" s="15"/>
      <c r="N16" s="15"/>
      <c r="O16" s="15"/>
      <c r="P16" s="15"/>
      <c r="Q16" s="15"/>
      <c r="R16" s="15"/>
      <c r="S16" s="15"/>
      <c r="T16" s="15" t="s">
        <v>492</v>
      </c>
      <c r="U16" s="15"/>
      <c r="V16" s="16" t="s">
        <v>570</v>
      </c>
      <c r="W16" s="31" t="s">
        <v>571</v>
      </c>
      <c r="X16" s="15" t="s">
        <v>565</v>
      </c>
      <c r="Y16" s="15" t="s">
        <v>566</v>
      </c>
      <c r="Z16" s="15"/>
      <c r="AA16" s="15" t="s">
        <v>474</v>
      </c>
      <c r="AB16" s="15" t="s">
        <v>473</v>
      </c>
      <c r="AC16" s="15"/>
      <c r="AD16" s="15"/>
      <c r="AE16" s="15"/>
      <c r="AF16" s="15"/>
      <c r="AG16" s="14"/>
      <c r="AH16" s="15" t="s">
        <v>476</v>
      </c>
      <c r="AI16" s="30" t="s">
        <v>476</v>
      </c>
      <c r="AJ16" s="15" t="s">
        <v>572</v>
      </c>
      <c r="AK16" s="15" t="s">
        <v>497</v>
      </c>
    </row>
    <row r="17" s="95" customFormat="1" ht="105.6" spans="1:37">
      <c r="A17" s="14"/>
      <c r="B17" s="14" t="s">
        <v>573</v>
      </c>
      <c r="C17" s="15" t="s">
        <v>485</v>
      </c>
      <c r="D17" s="15" t="s">
        <v>574</v>
      </c>
      <c r="E17" s="16" t="s">
        <v>575</v>
      </c>
      <c r="F17" s="17" t="s">
        <v>576</v>
      </c>
      <c r="G17" s="15" t="s">
        <v>577</v>
      </c>
      <c r="H17" s="16" t="s">
        <v>578</v>
      </c>
      <c r="I17" s="23" t="s">
        <v>579</v>
      </c>
      <c r="J17" s="16" t="s">
        <v>580</v>
      </c>
      <c r="K17" s="15"/>
      <c r="L17" s="15" t="s">
        <v>36</v>
      </c>
      <c r="M17" s="15"/>
      <c r="N17" s="15"/>
      <c r="O17" s="15"/>
      <c r="P17" s="15"/>
      <c r="Q17" s="15"/>
      <c r="R17" s="15"/>
      <c r="S17" s="15"/>
      <c r="T17" s="15" t="s">
        <v>465</v>
      </c>
      <c r="U17" s="15" t="s">
        <v>500</v>
      </c>
      <c r="V17" s="16" t="s">
        <v>581</v>
      </c>
      <c r="W17" s="31" t="s">
        <v>582</v>
      </c>
      <c r="X17" s="15" t="s">
        <v>474</v>
      </c>
      <c r="Y17" s="15" t="s">
        <v>473</v>
      </c>
      <c r="Z17" s="15"/>
      <c r="AA17" s="15" t="s">
        <v>474</v>
      </c>
      <c r="AB17" s="15" t="s">
        <v>473</v>
      </c>
      <c r="AC17" s="15"/>
      <c r="AD17" s="15" t="s">
        <v>583</v>
      </c>
      <c r="AE17" s="15" t="s">
        <v>511</v>
      </c>
      <c r="AF17" s="15"/>
      <c r="AG17" s="14"/>
      <c r="AH17" s="15" t="s">
        <v>476</v>
      </c>
      <c r="AI17" s="15" t="s">
        <v>476</v>
      </c>
      <c r="AJ17" s="15" t="s">
        <v>584</v>
      </c>
      <c r="AK17" s="15" t="s">
        <v>497</v>
      </c>
    </row>
    <row r="18" s="95" customFormat="1" ht="118.8" spans="1:37">
      <c r="A18" s="14"/>
      <c r="B18" s="14"/>
      <c r="C18" s="15"/>
      <c r="D18" s="15"/>
      <c r="E18" s="16"/>
      <c r="F18" s="17"/>
      <c r="G18" s="15"/>
      <c r="H18" s="16"/>
      <c r="I18" s="23" t="s">
        <v>585</v>
      </c>
      <c r="J18" s="31" t="s">
        <v>586</v>
      </c>
      <c r="K18" s="15"/>
      <c r="L18" s="15"/>
      <c r="M18" s="15"/>
      <c r="N18" s="15" t="s">
        <v>36</v>
      </c>
      <c r="O18" s="15"/>
      <c r="P18" s="15"/>
      <c r="Q18" s="15" t="s">
        <v>36</v>
      </c>
      <c r="R18" s="15"/>
      <c r="S18" s="15"/>
      <c r="T18" s="15" t="s">
        <v>465</v>
      </c>
      <c r="U18" s="15" t="s">
        <v>587</v>
      </c>
      <c r="V18" s="16" t="s">
        <v>588</v>
      </c>
      <c r="W18" s="31" t="s">
        <v>589</v>
      </c>
      <c r="X18" s="15" t="s">
        <v>474</v>
      </c>
      <c r="Y18" s="15" t="s">
        <v>473</v>
      </c>
      <c r="Z18" s="15"/>
      <c r="AA18" s="15" t="s">
        <v>474</v>
      </c>
      <c r="AB18" s="15" t="s">
        <v>473</v>
      </c>
      <c r="AC18" s="15"/>
      <c r="AD18" s="15"/>
      <c r="AE18" s="15"/>
      <c r="AF18" s="15"/>
      <c r="AG18" s="14"/>
      <c r="AH18" s="15" t="s">
        <v>476</v>
      </c>
      <c r="AI18" s="15" t="s">
        <v>476</v>
      </c>
      <c r="AJ18" s="15" t="s">
        <v>584</v>
      </c>
      <c r="AK18" s="15" t="s">
        <v>532</v>
      </c>
    </row>
    <row r="19" s="95" customFormat="1" ht="79.2" spans="1:37">
      <c r="A19" s="14" t="s">
        <v>483</v>
      </c>
      <c r="B19" s="14" t="s">
        <v>573</v>
      </c>
      <c r="C19" s="15" t="s">
        <v>485</v>
      </c>
      <c r="D19" s="15" t="s">
        <v>590</v>
      </c>
      <c r="E19" s="16" t="s">
        <v>591</v>
      </c>
      <c r="F19" s="17" t="s">
        <v>592</v>
      </c>
      <c r="G19" s="15" t="s">
        <v>593</v>
      </c>
      <c r="H19" s="16" t="s">
        <v>594</v>
      </c>
      <c r="I19" s="23" t="s">
        <v>595</v>
      </c>
      <c r="J19" s="16" t="s">
        <v>596</v>
      </c>
      <c r="K19" s="15"/>
      <c r="L19" s="15" t="s">
        <v>36</v>
      </c>
      <c r="M19" s="15"/>
      <c r="N19" s="15"/>
      <c r="O19" s="15"/>
      <c r="P19" s="15"/>
      <c r="Q19" s="15"/>
      <c r="R19" s="15"/>
      <c r="S19" s="15" t="s">
        <v>36</v>
      </c>
      <c r="T19" s="15" t="s">
        <v>492</v>
      </c>
      <c r="U19" s="35"/>
      <c r="V19" s="16" t="s">
        <v>597</v>
      </c>
      <c r="W19" s="38" t="s">
        <v>515</v>
      </c>
      <c r="X19" s="15" t="s">
        <v>474</v>
      </c>
      <c r="Y19" s="15" t="s">
        <v>473</v>
      </c>
      <c r="Z19" s="15"/>
      <c r="AA19" s="15" t="s">
        <v>474</v>
      </c>
      <c r="AB19" s="15" t="s">
        <v>473</v>
      </c>
      <c r="AC19" s="15"/>
      <c r="AD19" s="15"/>
      <c r="AE19" s="15"/>
      <c r="AF19" s="15"/>
      <c r="AG19" s="30"/>
      <c r="AH19" s="15" t="s">
        <v>476</v>
      </c>
      <c r="AI19" s="15" t="s">
        <v>476</v>
      </c>
      <c r="AJ19" s="15" t="s">
        <v>598</v>
      </c>
      <c r="AK19" s="15" t="s">
        <v>599</v>
      </c>
    </row>
    <row r="20" s="95" customFormat="1" ht="105.6" spans="1:37">
      <c r="A20" s="14"/>
      <c r="B20" s="14"/>
      <c r="C20" s="15"/>
      <c r="D20" s="15"/>
      <c r="E20" s="16"/>
      <c r="F20" s="17"/>
      <c r="G20" s="15"/>
      <c r="H20" s="16"/>
      <c r="I20" s="23" t="s">
        <v>600</v>
      </c>
      <c r="J20" s="16" t="s">
        <v>601</v>
      </c>
      <c r="K20" s="15"/>
      <c r="L20" s="15" t="s">
        <v>36</v>
      </c>
      <c r="M20" s="15"/>
      <c r="N20" s="15" t="s">
        <v>36</v>
      </c>
      <c r="O20" s="15"/>
      <c r="P20" s="15"/>
      <c r="Q20" s="15" t="s">
        <v>36</v>
      </c>
      <c r="R20" s="15"/>
      <c r="S20" s="15"/>
      <c r="T20" s="15" t="s">
        <v>550</v>
      </c>
      <c r="U20" s="15" t="s">
        <v>602</v>
      </c>
      <c r="V20" s="16" t="s">
        <v>603</v>
      </c>
      <c r="W20" s="38" t="s">
        <v>604</v>
      </c>
      <c r="X20" s="15" t="s">
        <v>474</v>
      </c>
      <c r="Y20" s="15" t="s">
        <v>473</v>
      </c>
      <c r="Z20" s="15"/>
      <c r="AA20" s="15" t="s">
        <v>474</v>
      </c>
      <c r="AB20" s="15" t="s">
        <v>473</v>
      </c>
      <c r="AC20" s="15"/>
      <c r="AD20" s="15"/>
      <c r="AE20" s="15"/>
      <c r="AF20" s="15"/>
      <c r="AG20" s="30"/>
      <c r="AH20" s="15" t="s">
        <v>476</v>
      </c>
      <c r="AI20" s="30" t="s">
        <v>476</v>
      </c>
      <c r="AJ20" s="15" t="s">
        <v>605</v>
      </c>
      <c r="AK20" s="15" t="s">
        <v>599</v>
      </c>
    </row>
    <row r="21" s="95" customFormat="1" ht="105.6" spans="1:37">
      <c r="A21" s="14"/>
      <c r="B21" s="14"/>
      <c r="C21" s="15"/>
      <c r="D21" s="15"/>
      <c r="E21" s="16"/>
      <c r="F21" s="17"/>
      <c r="G21" s="15"/>
      <c r="H21" s="16"/>
      <c r="I21" s="23" t="s">
        <v>606</v>
      </c>
      <c r="J21" s="16" t="s">
        <v>607</v>
      </c>
      <c r="K21" s="15"/>
      <c r="L21" s="15" t="s">
        <v>36</v>
      </c>
      <c r="M21" s="15"/>
      <c r="N21" s="15" t="s">
        <v>36</v>
      </c>
      <c r="O21" s="15"/>
      <c r="P21" s="15"/>
      <c r="Q21" s="15"/>
      <c r="R21" s="15"/>
      <c r="S21" s="15"/>
      <c r="T21" s="15" t="s">
        <v>465</v>
      </c>
      <c r="U21" s="15" t="s">
        <v>602</v>
      </c>
      <c r="V21" s="16" t="s">
        <v>603</v>
      </c>
      <c r="W21" s="38" t="s">
        <v>608</v>
      </c>
      <c r="X21" s="15" t="s">
        <v>474</v>
      </c>
      <c r="Y21" s="15" t="s">
        <v>473</v>
      </c>
      <c r="Z21" s="15"/>
      <c r="AA21" s="15" t="s">
        <v>474</v>
      </c>
      <c r="AB21" s="15" t="s">
        <v>473</v>
      </c>
      <c r="AC21" s="15"/>
      <c r="AD21" s="15" t="s">
        <v>609</v>
      </c>
      <c r="AE21" s="15" t="s">
        <v>511</v>
      </c>
      <c r="AF21" s="15"/>
      <c r="AG21" s="30"/>
      <c r="AH21" s="15" t="s">
        <v>476</v>
      </c>
      <c r="AI21" s="30" t="s">
        <v>610</v>
      </c>
      <c r="AJ21" s="15" t="s">
        <v>611</v>
      </c>
      <c r="AK21" s="15" t="s">
        <v>599</v>
      </c>
    </row>
    <row r="22" s="95" customFormat="1" ht="158.4" spans="1:37">
      <c r="A22" s="14"/>
      <c r="B22" s="14"/>
      <c r="C22" s="15" t="s">
        <v>536</v>
      </c>
      <c r="D22" s="15" t="s">
        <v>612</v>
      </c>
      <c r="E22" s="16" t="s">
        <v>613</v>
      </c>
      <c r="F22" s="24"/>
      <c r="G22" s="15" t="s">
        <v>614</v>
      </c>
      <c r="H22" s="16" t="s">
        <v>615</v>
      </c>
      <c r="I22" s="23" t="s">
        <v>616</v>
      </c>
      <c r="J22" s="16" t="s">
        <v>617</v>
      </c>
      <c r="K22" s="15"/>
      <c r="L22" s="15"/>
      <c r="M22" s="15"/>
      <c r="N22" s="15" t="s">
        <v>36</v>
      </c>
      <c r="O22" s="15"/>
      <c r="P22" s="15"/>
      <c r="Q22" s="15" t="s">
        <v>36</v>
      </c>
      <c r="R22" s="15"/>
      <c r="S22" s="15"/>
      <c r="T22" s="15" t="s">
        <v>465</v>
      </c>
      <c r="U22" s="15" t="s">
        <v>467</v>
      </c>
      <c r="V22" s="16" t="s">
        <v>618</v>
      </c>
      <c r="W22" s="31" t="s">
        <v>619</v>
      </c>
      <c r="X22" s="15" t="s">
        <v>565</v>
      </c>
      <c r="Y22" s="15" t="s">
        <v>473</v>
      </c>
      <c r="Z22" s="15"/>
      <c r="AA22" s="15" t="s">
        <v>474</v>
      </c>
      <c r="AB22" s="15" t="s">
        <v>473</v>
      </c>
      <c r="AC22" s="15"/>
      <c r="AD22" s="15" t="s">
        <v>620</v>
      </c>
      <c r="AE22" s="15" t="s">
        <v>511</v>
      </c>
      <c r="AF22" s="15"/>
      <c r="AG22" s="30"/>
      <c r="AH22" s="15" t="s">
        <v>476</v>
      </c>
      <c r="AI22" s="30" t="s">
        <v>476</v>
      </c>
      <c r="AJ22" s="15" t="s">
        <v>621</v>
      </c>
      <c r="AK22" s="15" t="s">
        <v>532</v>
      </c>
    </row>
    <row r="23" s="95" customFormat="1" ht="102" customHeight="1" spans="1:37">
      <c r="A23" s="14"/>
      <c r="B23" s="14"/>
      <c r="C23" s="15"/>
      <c r="D23" s="15"/>
      <c r="E23" s="16"/>
      <c r="F23" s="24"/>
      <c r="G23" s="15"/>
      <c r="H23" s="16"/>
      <c r="I23" s="23" t="s">
        <v>622</v>
      </c>
      <c r="J23" s="16" t="s">
        <v>623</v>
      </c>
      <c r="K23" s="15"/>
      <c r="L23" s="15"/>
      <c r="M23" s="15"/>
      <c r="N23" s="15" t="s">
        <v>36</v>
      </c>
      <c r="O23" s="15"/>
      <c r="P23" s="15"/>
      <c r="Q23" s="15" t="s">
        <v>36</v>
      </c>
      <c r="R23" s="15"/>
      <c r="S23" s="15"/>
      <c r="T23" s="15" t="s">
        <v>465</v>
      </c>
      <c r="U23" s="15" t="s">
        <v>467</v>
      </c>
      <c r="V23" s="16" t="s">
        <v>618</v>
      </c>
      <c r="W23" s="31" t="s">
        <v>624</v>
      </c>
      <c r="X23" s="15" t="s">
        <v>565</v>
      </c>
      <c r="Y23" s="15" t="s">
        <v>473</v>
      </c>
      <c r="Z23" s="15"/>
      <c r="AA23" s="15" t="s">
        <v>474</v>
      </c>
      <c r="AB23" s="15" t="s">
        <v>473</v>
      </c>
      <c r="AC23" s="15"/>
      <c r="AD23" s="15" t="s">
        <v>620</v>
      </c>
      <c r="AE23" s="15" t="s">
        <v>511</v>
      </c>
      <c r="AF23" s="15"/>
      <c r="AG23" s="30"/>
      <c r="AH23" s="15" t="s">
        <v>476</v>
      </c>
      <c r="AI23" s="30" t="s">
        <v>476</v>
      </c>
      <c r="AJ23" s="15" t="s">
        <v>621</v>
      </c>
      <c r="AK23" s="15"/>
    </row>
    <row r="24" s="95" customFormat="1" ht="102" customHeight="1" spans="1:37">
      <c r="A24" s="14"/>
      <c r="B24" s="141"/>
      <c r="C24" s="46" t="s">
        <v>485</v>
      </c>
      <c r="D24" s="46" t="s">
        <v>625</v>
      </c>
      <c r="E24" s="52" t="s">
        <v>626</v>
      </c>
      <c r="F24" s="68"/>
      <c r="G24" s="46" t="s">
        <v>627</v>
      </c>
      <c r="H24" s="52" t="s">
        <v>628</v>
      </c>
      <c r="I24" s="52" t="s">
        <v>629</v>
      </c>
      <c r="J24" s="52" t="s">
        <v>630</v>
      </c>
      <c r="K24" s="46"/>
      <c r="L24" s="46" t="s">
        <v>36</v>
      </c>
      <c r="M24" s="46"/>
      <c r="N24" s="46"/>
      <c r="O24" s="46" t="s">
        <v>36</v>
      </c>
      <c r="P24" s="46"/>
      <c r="Q24" s="46"/>
      <c r="R24" s="46" t="s">
        <v>36</v>
      </c>
      <c r="S24" s="46"/>
      <c r="T24" s="46" t="s">
        <v>492</v>
      </c>
      <c r="U24" s="46" t="s">
        <v>631</v>
      </c>
      <c r="V24" s="91" t="s">
        <v>632</v>
      </c>
      <c r="W24" s="52" t="s">
        <v>633</v>
      </c>
      <c r="X24" s="46" t="s">
        <v>474</v>
      </c>
      <c r="Y24" s="46" t="s">
        <v>473</v>
      </c>
      <c r="Z24" s="70"/>
      <c r="AA24" s="46" t="s">
        <v>474</v>
      </c>
      <c r="AB24" s="46" t="s">
        <v>473</v>
      </c>
      <c r="AC24" s="70"/>
      <c r="AD24" s="46"/>
      <c r="AE24" s="46"/>
      <c r="AF24" s="46"/>
      <c r="AG24" s="46"/>
      <c r="AH24" s="46" t="s">
        <v>476</v>
      </c>
      <c r="AI24" s="46" t="s">
        <v>476</v>
      </c>
      <c r="AJ24" s="52" t="s">
        <v>634</v>
      </c>
      <c r="AK24" s="46" t="s">
        <v>635</v>
      </c>
    </row>
    <row r="25" s="95" customFormat="1" ht="145.2" spans="1:37">
      <c r="A25" s="14"/>
      <c r="B25" s="90"/>
      <c r="C25" s="15" t="s">
        <v>485</v>
      </c>
      <c r="D25" s="15" t="s">
        <v>636</v>
      </c>
      <c r="E25" s="16" t="s">
        <v>637</v>
      </c>
      <c r="F25" s="24"/>
      <c r="G25" s="15" t="s">
        <v>638</v>
      </c>
      <c r="H25" s="16" t="s">
        <v>639</v>
      </c>
      <c r="I25" s="23" t="s">
        <v>640</v>
      </c>
      <c r="J25" s="16" t="s">
        <v>641</v>
      </c>
      <c r="K25" s="15"/>
      <c r="L25" s="15" t="s">
        <v>36</v>
      </c>
      <c r="M25" s="15"/>
      <c r="N25" s="15"/>
      <c r="O25" s="15" t="s">
        <v>36</v>
      </c>
      <c r="P25" s="15"/>
      <c r="Q25" s="15"/>
      <c r="R25" s="15"/>
      <c r="S25" s="15"/>
      <c r="T25" s="15" t="s">
        <v>465</v>
      </c>
      <c r="U25" s="15" t="s">
        <v>642</v>
      </c>
      <c r="V25" s="16" t="s">
        <v>643</v>
      </c>
      <c r="W25" s="31" t="s">
        <v>644</v>
      </c>
      <c r="X25" s="15" t="s">
        <v>474</v>
      </c>
      <c r="Y25" s="15" t="s">
        <v>473</v>
      </c>
      <c r="Z25" s="30"/>
      <c r="AA25" s="15" t="s">
        <v>474</v>
      </c>
      <c r="AB25" s="15" t="s">
        <v>473</v>
      </c>
      <c r="AC25" s="30"/>
      <c r="AD25" s="15" t="s">
        <v>645</v>
      </c>
      <c r="AE25" s="15" t="s">
        <v>511</v>
      </c>
      <c r="AF25" s="15"/>
      <c r="AG25" s="30"/>
      <c r="AH25" s="15" t="s">
        <v>476</v>
      </c>
      <c r="AI25" s="15" t="s">
        <v>476</v>
      </c>
      <c r="AJ25" s="15" t="s">
        <v>646</v>
      </c>
      <c r="AK25" s="15" t="s">
        <v>647</v>
      </c>
    </row>
    <row r="26" s="95" customFormat="1" ht="66" spans="1:37">
      <c r="A26" s="14"/>
      <c r="B26" s="90"/>
      <c r="C26" s="15"/>
      <c r="D26" s="15"/>
      <c r="E26" s="16"/>
      <c r="F26" s="24"/>
      <c r="G26" s="15"/>
      <c r="H26" s="16"/>
      <c r="I26" s="23" t="s">
        <v>648</v>
      </c>
      <c r="J26" s="16" t="s">
        <v>649</v>
      </c>
      <c r="K26" s="15"/>
      <c r="L26" s="15" t="s">
        <v>36</v>
      </c>
      <c r="M26" s="15"/>
      <c r="N26" s="15"/>
      <c r="O26" s="15" t="s">
        <v>36</v>
      </c>
      <c r="P26" s="15"/>
      <c r="Q26" s="15"/>
      <c r="R26" s="15"/>
      <c r="S26" s="15"/>
      <c r="T26" s="142" t="s">
        <v>465</v>
      </c>
      <c r="U26" s="142" t="s">
        <v>650</v>
      </c>
      <c r="V26" s="16" t="s">
        <v>643</v>
      </c>
      <c r="W26" s="35" t="s">
        <v>651</v>
      </c>
      <c r="X26" s="15" t="s">
        <v>474</v>
      </c>
      <c r="Y26" s="15" t="s">
        <v>473</v>
      </c>
      <c r="Z26" s="30"/>
      <c r="AA26" s="15" t="s">
        <v>474</v>
      </c>
      <c r="AB26" s="15" t="s">
        <v>473</v>
      </c>
      <c r="AC26" s="30"/>
      <c r="AD26" s="15"/>
      <c r="AE26" s="30"/>
      <c r="AF26" s="30"/>
      <c r="AG26" s="30"/>
      <c r="AH26" s="15" t="s">
        <v>476</v>
      </c>
      <c r="AI26" s="15" t="s">
        <v>476</v>
      </c>
      <c r="AJ26" s="15" t="s">
        <v>652</v>
      </c>
      <c r="AK26" s="15" t="s">
        <v>653</v>
      </c>
    </row>
    <row r="27" s="95" customFormat="1" ht="66" spans="1:37">
      <c r="A27" s="14"/>
      <c r="B27" s="90"/>
      <c r="C27" s="15"/>
      <c r="D27" s="15"/>
      <c r="E27" s="16"/>
      <c r="F27" s="24"/>
      <c r="G27" s="15"/>
      <c r="H27" s="16"/>
      <c r="I27" s="23" t="s">
        <v>654</v>
      </c>
      <c r="J27" s="16" t="s">
        <v>655</v>
      </c>
      <c r="K27" s="15"/>
      <c r="L27" s="15" t="s">
        <v>36</v>
      </c>
      <c r="M27" s="15"/>
      <c r="N27" s="15"/>
      <c r="O27" s="15" t="s">
        <v>36</v>
      </c>
      <c r="P27" s="15"/>
      <c r="Q27" s="15"/>
      <c r="R27" s="15"/>
      <c r="S27" s="15"/>
      <c r="T27" s="142" t="s">
        <v>465</v>
      </c>
      <c r="U27" s="142" t="s">
        <v>650</v>
      </c>
      <c r="V27" s="16" t="s">
        <v>643</v>
      </c>
      <c r="W27" s="35" t="s">
        <v>656</v>
      </c>
      <c r="X27" s="15" t="s">
        <v>474</v>
      </c>
      <c r="Y27" s="15" t="s">
        <v>473</v>
      </c>
      <c r="Z27" s="30"/>
      <c r="AA27" s="15" t="s">
        <v>474</v>
      </c>
      <c r="AB27" s="15" t="s">
        <v>473</v>
      </c>
      <c r="AC27" s="30"/>
      <c r="AD27" s="15"/>
      <c r="AE27" s="30"/>
      <c r="AF27" s="30"/>
      <c r="AG27" s="30"/>
      <c r="AH27" s="15" t="s">
        <v>476</v>
      </c>
      <c r="AI27" s="15" t="s">
        <v>476</v>
      </c>
      <c r="AJ27" s="15" t="s">
        <v>657</v>
      </c>
      <c r="AK27" s="15"/>
    </row>
    <row r="28" s="95" customFormat="1" ht="66" spans="1:37">
      <c r="A28" s="14"/>
      <c r="B28" s="90"/>
      <c r="C28" s="15"/>
      <c r="D28" s="15"/>
      <c r="E28" s="16"/>
      <c r="F28" s="24"/>
      <c r="G28" s="15"/>
      <c r="H28" s="16"/>
      <c r="I28" s="23" t="s">
        <v>658</v>
      </c>
      <c r="J28" s="16" t="s">
        <v>659</v>
      </c>
      <c r="K28" s="15"/>
      <c r="L28" s="15" t="s">
        <v>36</v>
      </c>
      <c r="M28" s="15"/>
      <c r="N28" s="15"/>
      <c r="O28" s="15" t="s">
        <v>36</v>
      </c>
      <c r="P28" s="15"/>
      <c r="Q28" s="15"/>
      <c r="R28" s="15"/>
      <c r="S28" s="15"/>
      <c r="T28" s="142" t="s">
        <v>465</v>
      </c>
      <c r="U28" s="142" t="s">
        <v>650</v>
      </c>
      <c r="V28" s="16" t="s">
        <v>643</v>
      </c>
      <c r="W28" s="35" t="s">
        <v>660</v>
      </c>
      <c r="X28" s="15" t="s">
        <v>474</v>
      </c>
      <c r="Y28" s="15" t="s">
        <v>473</v>
      </c>
      <c r="Z28" s="30"/>
      <c r="AA28" s="15" t="s">
        <v>474</v>
      </c>
      <c r="AB28" s="15" t="s">
        <v>473</v>
      </c>
      <c r="AC28" s="30"/>
      <c r="AD28" s="15"/>
      <c r="AE28" s="30"/>
      <c r="AF28" s="30"/>
      <c r="AG28" s="30"/>
      <c r="AH28" s="15" t="s">
        <v>476</v>
      </c>
      <c r="AI28" s="15" t="s">
        <v>476</v>
      </c>
      <c r="AJ28" s="15" t="s">
        <v>661</v>
      </c>
      <c r="AK28" s="15"/>
    </row>
    <row r="29" s="95" customFormat="1" ht="145.2" spans="1:37">
      <c r="A29" s="14" t="s">
        <v>483</v>
      </c>
      <c r="B29" s="14" t="s">
        <v>662</v>
      </c>
      <c r="C29" s="15" t="s">
        <v>485</v>
      </c>
      <c r="D29" s="41" t="s">
        <v>636</v>
      </c>
      <c r="E29" s="24" t="s">
        <v>663</v>
      </c>
      <c r="F29" s="17" t="s">
        <v>664</v>
      </c>
      <c r="G29" s="15" t="s">
        <v>665</v>
      </c>
      <c r="H29" s="16" t="s">
        <v>666</v>
      </c>
      <c r="I29" s="23" t="s">
        <v>667</v>
      </c>
      <c r="J29" s="16" t="s">
        <v>668</v>
      </c>
      <c r="K29" s="15"/>
      <c r="L29" s="15"/>
      <c r="M29" s="15"/>
      <c r="N29" s="15"/>
      <c r="O29" s="15" t="s">
        <v>36</v>
      </c>
      <c r="P29" s="15"/>
      <c r="Q29" s="15"/>
      <c r="R29" s="15"/>
      <c r="S29" s="15"/>
      <c r="T29" s="15" t="s">
        <v>550</v>
      </c>
      <c r="U29" s="15" t="s">
        <v>669</v>
      </c>
      <c r="V29" s="16" t="s">
        <v>670</v>
      </c>
      <c r="W29" s="42" t="s">
        <v>671</v>
      </c>
      <c r="X29" s="41" t="s">
        <v>474</v>
      </c>
      <c r="Y29" s="41" t="s">
        <v>473</v>
      </c>
      <c r="Z29" s="41"/>
      <c r="AA29" s="41" t="s">
        <v>474</v>
      </c>
      <c r="AB29" s="41" t="s">
        <v>473</v>
      </c>
      <c r="AC29" s="41"/>
      <c r="AD29" s="41"/>
      <c r="AE29" s="41"/>
      <c r="AF29" s="41"/>
      <c r="AG29" s="43"/>
      <c r="AH29" s="41" t="s">
        <v>476</v>
      </c>
      <c r="AI29" s="43" t="s">
        <v>476</v>
      </c>
      <c r="AJ29" s="41" t="s">
        <v>672</v>
      </c>
      <c r="AK29" s="41" t="s">
        <v>673</v>
      </c>
    </row>
    <row r="30" s="95" customFormat="1" ht="153" customHeight="1" spans="1:37">
      <c r="A30" s="14"/>
      <c r="B30" s="14"/>
      <c r="C30" s="15"/>
      <c r="D30" s="41"/>
      <c r="E30" s="24"/>
      <c r="F30" s="17"/>
      <c r="G30" s="15"/>
      <c r="H30" s="16"/>
      <c r="I30" s="23" t="s">
        <v>674</v>
      </c>
      <c r="J30" s="16" t="s">
        <v>675</v>
      </c>
      <c r="K30" s="15"/>
      <c r="L30" s="15"/>
      <c r="M30" s="15"/>
      <c r="N30" s="15"/>
      <c r="O30" s="15" t="s">
        <v>36</v>
      </c>
      <c r="P30" s="15"/>
      <c r="Q30" s="15"/>
      <c r="R30" s="15"/>
      <c r="S30" s="15" t="s">
        <v>36</v>
      </c>
      <c r="T30" s="15" t="s">
        <v>550</v>
      </c>
      <c r="U30" s="15" t="s">
        <v>669</v>
      </c>
      <c r="V30" s="16" t="s">
        <v>670</v>
      </c>
      <c r="W30" s="143" t="s">
        <v>676</v>
      </c>
      <c r="X30" s="41" t="s">
        <v>474</v>
      </c>
      <c r="Y30" s="41" t="s">
        <v>473</v>
      </c>
      <c r="Z30" s="41"/>
      <c r="AA30" s="41" t="s">
        <v>474</v>
      </c>
      <c r="AB30" s="41" t="s">
        <v>473</v>
      </c>
      <c r="AC30" s="41"/>
      <c r="AD30" s="41"/>
      <c r="AE30" s="41"/>
      <c r="AF30" s="41"/>
      <c r="AG30" s="43"/>
      <c r="AH30" s="41" t="s">
        <v>476</v>
      </c>
      <c r="AI30" s="43" t="s">
        <v>476</v>
      </c>
      <c r="AJ30" s="41" t="s">
        <v>672</v>
      </c>
      <c r="AK30" s="41"/>
    </row>
    <row r="31" s="95" customFormat="1" ht="145.2" spans="1:37">
      <c r="A31" s="14"/>
      <c r="B31" s="14"/>
      <c r="C31" s="15"/>
      <c r="D31" s="41"/>
      <c r="E31" s="24"/>
      <c r="F31" s="17"/>
      <c r="G31" s="15"/>
      <c r="H31" s="16"/>
      <c r="I31" s="23" t="s">
        <v>677</v>
      </c>
      <c r="J31" s="16" t="s">
        <v>678</v>
      </c>
      <c r="K31" s="15"/>
      <c r="L31" s="15"/>
      <c r="M31" s="15"/>
      <c r="N31" s="15"/>
      <c r="O31" s="15" t="s">
        <v>36</v>
      </c>
      <c r="P31" s="15"/>
      <c r="Q31" s="15"/>
      <c r="R31" s="15"/>
      <c r="S31" s="15" t="s">
        <v>36</v>
      </c>
      <c r="T31" s="15" t="s">
        <v>492</v>
      </c>
      <c r="U31" s="15"/>
      <c r="V31" s="16" t="s">
        <v>679</v>
      </c>
      <c r="W31" s="42" t="s">
        <v>671</v>
      </c>
      <c r="X31" s="41" t="s">
        <v>474</v>
      </c>
      <c r="Y31" s="41" t="s">
        <v>473</v>
      </c>
      <c r="Z31" s="41"/>
      <c r="AA31" s="41" t="s">
        <v>474</v>
      </c>
      <c r="AB31" s="41" t="s">
        <v>473</v>
      </c>
      <c r="AC31" s="41"/>
      <c r="AD31" s="41"/>
      <c r="AE31" s="41"/>
      <c r="AF31" s="41"/>
      <c r="AG31" s="43"/>
      <c r="AH31" s="41" t="s">
        <v>476</v>
      </c>
      <c r="AI31" s="43" t="s">
        <v>476</v>
      </c>
      <c r="AJ31" s="41" t="s">
        <v>672</v>
      </c>
      <c r="AK31" s="41"/>
    </row>
    <row r="32" s="95" customFormat="1" ht="184.8" spans="1:37">
      <c r="A32" s="14"/>
      <c r="B32" s="14"/>
      <c r="C32" s="15"/>
      <c r="D32" s="41"/>
      <c r="E32" s="24"/>
      <c r="F32" s="17"/>
      <c r="G32" s="15"/>
      <c r="H32" s="16"/>
      <c r="I32" s="23" t="s">
        <v>680</v>
      </c>
      <c r="J32" s="16" t="s">
        <v>681</v>
      </c>
      <c r="K32" s="15"/>
      <c r="L32" s="15" t="s">
        <v>36</v>
      </c>
      <c r="M32" s="15" t="s">
        <v>36</v>
      </c>
      <c r="N32" s="15"/>
      <c r="O32" s="15" t="s">
        <v>36</v>
      </c>
      <c r="P32" s="15" t="s">
        <v>36</v>
      </c>
      <c r="Q32" s="15" t="s">
        <v>36</v>
      </c>
      <c r="R32" s="15"/>
      <c r="S32" s="15"/>
      <c r="T32" s="15" t="s">
        <v>550</v>
      </c>
      <c r="U32" s="15" t="s">
        <v>682</v>
      </c>
      <c r="V32" s="16" t="s">
        <v>683</v>
      </c>
      <c r="W32" s="35" t="s">
        <v>684</v>
      </c>
      <c r="X32" s="41" t="s">
        <v>474</v>
      </c>
      <c r="Y32" s="41" t="s">
        <v>473</v>
      </c>
      <c r="Z32" s="41"/>
      <c r="AA32" s="41" t="s">
        <v>474</v>
      </c>
      <c r="AB32" s="41" t="s">
        <v>473</v>
      </c>
      <c r="AC32" s="41"/>
      <c r="AD32" s="41"/>
      <c r="AE32" s="41"/>
      <c r="AF32" s="41"/>
      <c r="AG32" s="43"/>
      <c r="AH32" s="41" t="s">
        <v>476</v>
      </c>
      <c r="AI32" s="43" t="s">
        <v>476</v>
      </c>
      <c r="AJ32" s="41" t="s">
        <v>672</v>
      </c>
      <c r="AK32" s="41"/>
    </row>
    <row r="33" s="95" customFormat="1" ht="158.4" spans="1:41">
      <c r="A33" s="14"/>
      <c r="B33" s="14"/>
      <c r="C33" s="15"/>
      <c r="D33" s="41"/>
      <c r="E33" s="24"/>
      <c r="F33" s="17"/>
      <c r="G33" s="15"/>
      <c r="H33" s="16"/>
      <c r="I33" s="23" t="s">
        <v>685</v>
      </c>
      <c r="J33" s="16" t="s">
        <v>686</v>
      </c>
      <c r="K33" s="15"/>
      <c r="L33" s="15"/>
      <c r="M33" s="15"/>
      <c r="N33" s="15"/>
      <c r="O33" s="15"/>
      <c r="P33" s="15" t="s">
        <v>36</v>
      </c>
      <c r="Q33" s="15" t="s">
        <v>36</v>
      </c>
      <c r="R33" s="15"/>
      <c r="S33" s="15" t="s">
        <v>36</v>
      </c>
      <c r="T33" s="15" t="s">
        <v>492</v>
      </c>
      <c r="U33" s="15"/>
      <c r="V33" s="16" t="s">
        <v>687</v>
      </c>
      <c r="W33" s="42" t="s">
        <v>671</v>
      </c>
      <c r="X33" s="41" t="s">
        <v>474</v>
      </c>
      <c r="Y33" s="41" t="s">
        <v>473</v>
      </c>
      <c r="Z33" s="41"/>
      <c r="AA33" s="41" t="s">
        <v>474</v>
      </c>
      <c r="AB33" s="41" t="s">
        <v>473</v>
      </c>
      <c r="AC33" s="41"/>
      <c r="AD33" s="41"/>
      <c r="AE33" s="41"/>
      <c r="AF33" s="41"/>
      <c r="AG33" s="43"/>
      <c r="AH33" s="41" t="s">
        <v>476</v>
      </c>
      <c r="AI33" s="43" t="s">
        <v>476</v>
      </c>
      <c r="AJ33" s="41" t="s">
        <v>672</v>
      </c>
      <c r="AK33" s="41"/>
    </row>
    <row r="34" s="95" customFormat="1" ht="158.4" spans="1:41">
      <c r="A34" s="14"/>
      <c r="B34" s="14"/>
      <c r="C34" s="15" t="s">
        <v>485</v>
      </c>
      <c r="D34" s="15" t="s">
        <v>688</v>
      </c>
      <c r="E34" s="16" t="s">
        <v>689</v>
      </c>
      <c r="F34" s="17" t="s">
        <v>690</v>
      </c>
      <c r="G34" s="45" t="s">
        <v>691</v>
      </c>
      <c r="H34" s="16" t="s">
        <v>692</v>
      </c>
      <c r="I34" s="23" t="s">
        <v>693</v>
      </c>
      <c r="J34" s="31" t="s">
        <v>694</v>
      </c>
      <c r="K34" s="15"/>
      <c r="L34" s="15"/>
      <c r="M34" s="15"/>
      <c r="N34" s="15"/>
      <c r="O34" s="15"/>
      <c r="P34" s="15"/>
      <c r="Q34" s="15"/>
      <c r="R34" s="15"/>
      <c r="S34" s="15"/>
      <c r="T34" s="15" t="s">
        <v>492</v>
      </c>
      <c r="U34" s="15"/>
      <c r="V34" s="16"/>
      <c r="W34" s="42" t="s">
        <v>695</v>
      </c>
      <c r="X34" s="41"/>
      <c r="Y34" s="41"/>
      <c r="Z34" s="41"/>
      <c r="AA34" s="41"/>
      <c r="AB34" s="41"/>
      <c r="AC34" s="41"/>
      <c r="AD34" s="41"/>
      <c r="AE34" s="41"/>
      <c r="AF34" s="41"/>
      <c r="AG34" s="39"/>
      <c r="AH34" s="43" t="s">
        <v>610</v>
      </c>
      <c r="AI34" s="43" t="s">
        <v>610</v>
      </c>
      <c r="AJ34" s="41"/>
      <c r="AK34" s="41" t="s">
        <v>673</v>
      </c>
    </row>
    <row r="35" s="95" customFormat="1" ht="103" customHeight="1" spans="1:41">
      <c r="A35" s="14" t="s">
        <v>483</v>
      </c>
      <c r="B35" s="14" t="s">
        <v>662</v>
      </c>
      <c r="C35" s="15" t="s">
        <v>485</v>
      </c>
      <c r="D35" s="15" t="s">
        <v>688</v>
      </c>
      <c r="E35" s="16" t="s">
        <v>689</v>
      </c>
      <c r="F35" s="17" t="s">
        <v>690</v>
      </c>
      <c r="G35" s="47"/>
      <c r="H35" s="16" t="s">
        <v>692</v>
      </c>
      <c r="I35" s="23" t="s">
        <v>696</v>
      </c>
      <c r="J35" s="16" t="s">
        <v>697</v>
      </c>
      <c r="K35" s="15"/>
      <c r="L35" s="15"/>
      <c r="M35" s="15" t="s">
        <v>36</v>
      </c>
      <c r="N35" s="15"/>
      <c r="O35" s="15"/>
      <c r="P35" s="15"/>
      <c r="Q35" s="15"/>
      <c r="R35" s="15"/>
      <c r="S35" s="15"/>
      <c r="T35" s="15" t="s">
        <v>492</v>
      </c>
      <c r="U35" s="15"/>
      <c r="V35" s="16" t="s">
        <v>698</v>
      </c>
      <c r="W35" s="42" t="s">
        <v>671</v>
      </c>
      <c r="X35" s="15" t="s">
        <v>474</v>
      </c>
      <c r="Y35" s="15" t="s">
        <v>473</v>
      </c>
      <c r="Z35" s="15"/>
      <c r="AA35" s="15" t="s">
        <v>474</v>
      </c>
      <c r="AB35" s="15" t="s">
        <v>473</v>
      </c>
      <c r="AC35" s="41"/>
      <c r="AD35" s="41"/>
      <c r="AE35" s="41"/>
      <c r="AF35" s="41"/>
      <c r="AG35" s="39"/>
      <c r="AH35" s="43" t="s">
        <v>476</v>
      </c>
      <c r="AI35" s="43" t="s">
        <v>476</v>
      </c>
      <c r="AJ35" s="41" t="s">
        <v>699</v>
      </c>
      <c r="AK35" s="41" t="s">
        <v>673</v>
      </c>
    </row>
    <row r="36" s="95" customFormat="1" ht="118.8" spans="1:41">
      <c r="A36" s="14"/>
      <c r="B36" s="14"/>
      <c r="C36" s="15"/>
      <c r="D36" s="15"/>
      <c r="E36" s="16"/>
      <c r="F36" s="17"/>
      <c r="G36" s="47"/>
      <c r="H36" s="16"/>
      <c r="I36" s="23" t="s">
        <v>700</v>
      </c>
      <c r="J36" s="16" t="s">
        <v>701</v>
      </c>
      <c r="K36" s="15"/>
      <c r="L36" s="15"/>
      <c r="M36" s="15" t="s">
        <v>36</v>
      </c>
      <c r="N36" s="15"/>
      <c r="O36" s="15"/>
      <c r="P36" s="15"/>
      <c r="Q36" s="15"/>
      <c r="R36" s="15"/>
      <c r="S36" s="15"/>
      <c r="T36" s="15" t="s">
        <v>492</v>
      </c>
      <c r="U36" s="15"/>
      <c r="V36" s="16" t="s">
        <v>698</v>
      </c>
      <c r="W36" s="42" t="s">
        <v>671</v>
      </c>
      <c r="X36" s="15" t="s">
        <v>474</v>
      </c>
      <c r="Y36" s="15" t="s">
        <v>473</v>
      </c>
      <c r="Z36" s="15"/>
      <c r="AA36" s="15" t="s">
        <v>474</v>
      </c>
      <c r="AB36" s="15" t="s">
        <v>473</v>
      </c>
      <c r="AC36" s="15"/>
      <c r="AD36" s="15"/>
      <c r="AE36" s="30"/>
      <c r="AF36" s="30"/>
      <c r="AG36" s="30"/>
      <c r="AH36" s="15" t="s">
        <v>476</v>
      </c>
      <c r="AI36" s="15" t="s">
        <v>476</v>
      </c>
      <c r="AJ36" s="15" t="s">
        <v>699</v>
      </c>
      <c r="AK36" s="41"/>
    </row>
    <row r="37" s="95" customFormat="1" ht="125" customHeight="1" spans="1:41">
      <c r="A37" s="14"/>
      <c r="B37" s="14"/>
      <c r="C37" s="15"/>
      <c r="D37" s="15"/>
      <c r="E37" s="16"/>
      <c r="F37" s="17"/>
      <c r="G37" s="47"/>
      <c r="H37" s="16"/>
      <c r="I37" s="23" t="s">
        <v>702</v>
      </c>
      <c r="J37" s="16" t="s">
        <v>703</v>
      </c>
      <c r="K37" s="15"/>
      <c r="L37" s="15"/>
      <c r="M37" s="46" t="s">
        <v>36</v>
      </c>
      <c r="N37" s="15"/>
      <c r="O37" s="15"/>
      <c r="P37" s="15"/>
      <c r="Q37" s="15"/>
      <c r="R37" s="15"/>
      <c r="S37" s="15"/>
      <c r="T37" s="15" t="s">
        <v>550</v>
      </c>
      <c r="U37" s="15" t="s">
        <v>669</v>
      </c>
      <c r="V37" s="16" t="s">
        <v>704</v>
      </c>
      <c r="W37" s="42" t="s">
        <v>705</v>
      </c>
      <c r="X37" s="15" t="s">
        <v>474</v>
      </c>
      <c r="Y37" s="15" t="s">
        <v>473</v>
      </c>
      <c r="Z37" s="15"/>
      <c r="AA37" s="15" t="s">
        <v>474</v>
      </c>
      <c r="AB37" s="15" t="s">
        <v>473</v>
      </c>
      <c r="AC37" s="15"/>
      <c r="AD37" s="15"/>
      <c r="AE37" s="30"/>
      <c r="AF37" s="30"/>
      <c r="AG37" s="30"/>
      <c r="AH37" s="15" t="s">
        <v>476</v>
      </c>
      <c r="AI37" s="15" t="s">
        <v>476</v>
      </c>
      <c r="AJ37" s="15" t="s">
        <v>699</v>
      </c>
      <c r="AK37" s="41"/>
    </row>
    <row r="38" s="95" customFormat="1" ht="79.2" spans="1:41">
      <c r="A38" s="14"/>
      <c r="B38" s="14"/>
      <c r="C38" s="15"/>
      <c r="D38" s="15"/>
      <c r="E38" s="16"/>
      <c r="F38" s="17"/>
      <c r="G38" s="47"/>
      <c r="H38" s="16"/>
      <c r="I38" s="23" t="s">
        <v>706</v>
      </c>
      <c r="J38" s="16" t="s">
        <v>707</v>
      </c>
      <c r="K38" s="15"/>
      <c r="L38" s="15"/>
      <c r="M38" s="15"/>
      <c r="N38" s="15"/>
      <c r="O38" s="15" t="s">
        <v>36</v>
      </c>
      <c r="P38" s="15"/>
      <c r="Q38" s="15" t="s">
        <v>36</v>
      </c>
      <c r="R38" s="15"/>
      <c r="S38" s="15"/>
      <c r="T38" s="15" t="s">
        <v>492</v>
      </c>
      <c r="U38" s="15"/>
      <c r="V38" s="16" t="s">
        <v>708</v>
      </c>
      <c r="W38" s="42" t="s">
        <v>709</v>
      </c>
      <c r="X38" s="15" t="s">
        <v>474</v>
      </c>
      <c r="Y38" s="15" t="s">
        <v>473</v>
      </c>
      <c r="Z38" s="15"/>
      <c r="AA38" s="15" t="s">
        <v>474</v>
      </c>
      <c r="AB38" s="15" t="s">
        <v>473</v>
      </c>
      <c r="AC38" s="15"/>
      <c r="AD38" s="15"/>
      <c r="AE38" s="30"/>
      <c r="AF38" s="30"/>
      <c r="AG38" s="30"/>
      <c r="AH38" s="15" t="s">
        <v>476</v>
      </c>
      <c r="AI38" s="15" t="s">
        <v>476</v>
      </c>
      <c r="AJ38" s="15" t="s">
        <v>699</v>
      </c>
      <c r="AK38" s="41"/>
    </row>
    <row r="39" s="95" customFormat="1" ht="102" customHeight="1" spans="1:41">
      <c r="A39" s="14"/>
      <c r="B39" s="14"/>
      <c r="C39" s="15"/>
      <c r="D39" s="15"/>
      <c r="E39" s="16"/>
      <c r="F39" s="17"/>
      <c r="G39" s="48"/>
      <c r="H39" s="16"/>
      <c r="I39" s="23" t="s">
        <v>710</v>
      </c>
      <c r="J39" s="16" t="s">
        <v>711</v>
      </c>
      <c r="K39" s="15"/>
      <c r="L39" s="15"/>
      <c r="M39" s="15"/>
      <c r="N39" s="15"/>
      <c r="O39" s="46"/>
      <c r="P39" s="15"/>
      <c r="Q39" s="15" t="s">
        <v>36</v>
      </c>
      <c r="R39" s="15"/>
      <c r="S39" s="15"/>
      <c r="T39" s="15" t="s">
        <v>492</v>
      </c>
      <c r="U39" s="15"/>
      <c r="V39" s="16" t="s">
        <v>712</v>
      </c>
      <c r="W39" s="35" t="s">
        <v>713</v>
      </c>
      <c r="X39" s="15" t="s">
        <v>474</v>
      </c>
      <c r="Y39" s="15" t="s">
        <v>473</v>
      </c>
      <c r="Z39" s="15"/>
      <c r="AA39" s="15" t="s">
        <v>474</v>
      </c>
      <c r="AB39" s="15" t="s">
        <v>473</v>
      </c>
      <c r="AC39" s="15"/>
      <c r="AD39" s="15"/>
      <c r="AE39" s="30"/>
      <c r="AF39" s="30"/>
      <c r="AG39" s="30"/>
      <c r="AH39" s="15" t="s">
        <v>476</v>
      </c>
      <c r="AI39" s="15" t="s">
        <v>476</v>
      </c>
      <c r="AJ39" s="15" t="s">
        <v>699</v>
      </c>
      <c r="AK39" s="41"/>
    </row>
    <row r="40" s="95" customFormat="1" ht="132" spans="1:41">
      <c r="A40" s="14"/>
      <c r="B40" s="14"/>
      <c r="C40" s="15" t="s">
        <v>485</v>
      </c>
      <c r="D40" s="15" t="s">
        <v>714</v>
      </c>
      <c r="E40" s="16" t="s">
        <v>715</v>
      </c>
      <c r="F40" s="49"/>
      <c r="G40" s="15" t="s">
        <v>716</v>
      </c>
      <c r="H40" s="16" t="s">
        <v>717</v>
      </c>
      <c r="I40" s="23" t="s">
        <v>718</v>
      </c>
      <c r="J40" s="16" t="s">
        <v>719</v>
      </c>
      <c r="K40" s="15"/>
      <c r="L40" s="15" t="s">
        <v>36</v>
      </c>
      <c r="M40" s="15" t="s">
        <v>36</v>
      </c>
      <c r="N40" s="15"/>
      <c r="O40" s="15"/>
      <c r="P40" s="15"/>
      <c r="Q40" s="15"/>
      <c r="R40" s="15"/>
      <c r="S40" s="15"/>
      <c r="T40" s="15" t="s">
        <v>492</v>
      </c>
      <c r="U40" s="15"/>
      <c r="V40" s="16" t="s">
        <v>720</v>
      </c>
      <c r="W40" s="38" t="s">
        <v>721</v>
      </c>
      <c r="X40" s="23" t="s">
        <v>474</v>
      </c>
      <c r="Y40" s="23" t="s">
        <v>473</v>
      </c>
      <c r="Z40" s="50"/>
      <c r="AA40" s="50" t="s">
        <v>474</v>
      </c>
      <c r="AB40" s="50" t="s">
        <v>473</v>
      </c>
      <c r="AC40" s="51"/>
      <c r="AD40" s="50"/>
      <c r="AE40" s="50"/>
      <c r="AF40" s="50"/>
      <c r="AG40" s="51"/>
      <c r="AH40" s="15" t="s">
        <v>476</v>
      </c>
      <c r="AI40" s="15" t="s">
        <v>476</v>
      </c>
      <c r="AJ40" s="15" t="s">
        <v>722</v>
      </c>
      <c r="AK40" s="23" t="s">
        <v>599</v>
      </c>
    </row>
    <row r="41" s="139" customFormat="1" ht="132" spans="1:41">
      <c r="A41" s="144"/>
      <c r="B41" s="145"/>
      <c r="C41" s="142" t="s">
        <v>485</v>
      </c>
      <c r="D41" s="146" t="s">
        <v>714</v>
      </c>
      <c r="E41" s="147" t="s">
        <v>723</v>
      </c>
      <c r="F41" s="148"/>
      <c r="G41" s="149" t="s">
        <v>724</v>
      </c>
      <c r="H41" s="147" t="s">
        <v>725</v>
      </c>
      <c r="I41" s="150" t="s">
        <v>726</v>
      </c>
      <c r="J41" s="147" t="s">
        <v>727</v>
      </c>
      <c r="K41" s="146"/>
      <c r="L41" s="146"/>
      <c r="M41" s="146"/>
      <c r="N41" s="146"/>
      <c r="O41" s="146"/>
      <c r="P41" s="146"/>
      <c r="Q41" s="146" t="s">
        <v>36</v>
      </c>
      <c r="R41" s="146" t="s">
        <v>36</v>
      </c>
      <c r="S41" s="146"/>
      <c r="T41" s="146" t="s">
        <v>492</v>
      </c>
      <c r="U41" s="146"/>
      <c r="V41" s="147" t="s">
        <v>728</v>
      </c>
      <c r="W41" s="151" t="s">
        <v>729</v>
      </c>
      <c r="X41" s="146" t="s">
        <v>474</v>
      </c>
      <c r="Y41" s="146" t="s">
        <v>473</v>
      </c>
      <c r="Z41" s="152"/>
      <c r="AA41" s="146" t="s">
        <v>474</v>
      </c>
      <c r="AB41" s="146" t="s">
        <v>473</v>
      </c>
      <c r="AC41" s="152"/>
      <c r="AD41" s="146"/>
      <c r="AE41" s="152"/>
      <c r="AF41" s="152"/>
      <c r="AG41" s="152"/>
      <c r="AH41" s="146" t="s">
        <v>476</v>
      </c>
      <c r="AI41" s="146" t="s">
        <v>476</v>
      </c>
      <c r="AJ41" s="146" t="s">
        <v>730</v>
      </c>
      <c r="AK41" s="146" t="s">
        <v>470</v>
      </c>
      <c r="AL41" s="153"/>
      <c r="AM41" s="153"/>
      <c r="AN41" s="153"/>
      <c r="AO41" s="153"/>
    </row>
    <row r="42" s="95" customFormat="1" ht="79.2" spans="1:41">
      <c r="A42" s="14" t="s">
        <v>483</v>
      </c>
      <c r="B42" s="14" t="s">
        <v>662</v>
      </c>
      <c r="C42" s="15" t="s">
        <v>485</v>
      </c>
      <c r="D42" s="15" t="s">
        <v>731</v>
      </c>
      <c r="E42" s="16" t="s">
        <v>732</v>
      </c>
      <c r="F42" s="17" t="s">
        <v>733</v>
      </c>
      <c r="G42" s="15" t="s">
        <v>734</v>
      </c>
      <c r="H42" s="16" t="s">
        <v>735</v>
      </c>
      <c r="I42" s="23" t="s">
        <v>736</v>
      </c>
      <c r="J42" s="31" t="s">
        <v>737</v>
      </c>
      <c r="K42" s="15"/>
      <c r="L42" s="15" t="s">
        <v>36</v>
      </c>
      <c r="M42" s="15" t="s">
        <v>36</v>
      </c>
      <c r="N42" s="15"/>
      <c r="O42" s="15"/>
      <c r="P42" s="15"/>
      <c r="Q42" s="15"/>
      <c r="R42" s="15"/>
      <c r="S42" s="15"/>
      <c r="T42" s="15" t="s">
        <v>492</v>
      </c>
      <c r="U42" s="15"/>
      <c r="V42" s="31" t="s">
        <v>738</v>
      </c>
      <c r="W42" s="56" t="s">
        <v>739</v>
      </c>
      <c r="X42" s="15" t="s">
        <v>474</v>
      </c>
      <c r="Y42" s="15" t="s">
        <v>473</v>
      </c>
      <c r="Z42" s="30"/>
      <c r="AA42" s="15" t="s">
        <v>474</v>
      </c>
      <c r="AB42" s="15" t="s">
        <v>473</v>
      </c>
      <c r="AC42" s="30"/>
      <c r="AD42" s="15"/>
      <c r="AE42" s="30"/>
      <c r="AF42" s="30"/>
      <c r="AG42" s="30"/>
      <c r="AH42" s="15" t="s">
        <v>476</v>
      </c>
      <c r="AI42" s="15" t="s">
        <v>476</v>
      </c>
      <c r="AJ42" s="15" t="s">
        <v>740</v>
      </c>
      <c r="AK42" s="15" t="s">
        <v>599</v>
      </c>
    </row>
    <row r="43" s="95" customFormat="1" ht="79.2" spans="1:41">
      <c r="A43" s="14"/>
      <c r="B43" s="14"/>
      <c r="C43" s="15"/>
      <c r="D43" s="15"/>
      <c r="E43" s="16"/>
      <c r="F43" s="17"/>
      <c r="G43" s="15"/>
      <c r="H43" s="16"/>
      <c r="I43" s="23" t="s">
        <v>741</v>
      </c>
      <c r="J43" s="31" t="s">
        <v>742</v>
      </c>
      <c r="K43" s="15"/>
      <c r="L43" s="15" t="s">
        <v>36</v>
      </c>
      <c r="M43" s="15" t="s">
        <v>36</v>
      </c>
      <c r="N43" s="15"/>
      <c r="O43" s="15"/>
      <c r="P43" s="15"/>
      <c r="Q43" s="15"/>
      <c r="R43" s="15"/>
      <c r="S43" s="15"/>
      <c r="T43" s="15" t="s">
        <v>492</v>
      </c>
      <c r="U43" s="15"/>
      <c r="V43" s="16" t="s">
        <v>743</v>
      </c>
      <c r="W43" s="56" t="s">
        <v>739</v>
      </c>
      <c r="X43" s="15" t="s">
        <v>474</v>
      </c>
      <c r="Y43" s="15" t="s">
        <v>473</v>
      </c>
      <c r="Z43" s="30"/>
      <c r="AA43" s="15" t="s">
        <v>474</v>
      </c>
      <c r="AB43" s="15" t="s">
        <v>473</v>
      </c>
      <c r="AC43" s="30"/>
      <c r="AD43" s="15"/>
      <c r="AE43" s="30"/>
      <c r="AF43" s="30"/>
      <c r="AG43" s="30"/>
      <c r="AH43" s="15" t="s">
        <v>476</v>
      </c>
      <c r="AI43" s="15" t="s">
        <v>476</v>
      </c>
      <c r="AJ43" s="15" t="s">
        <v>740</v>
      </c>
      <c r="AK43" s="15"/>
    </row>
    <row r="44" s="95" customFormat="1" ht="132" spans="1:41">
      <c r="A44" s="14"/>
      <c r="B44" s="14"/>
      <c r="C44" s="15"/>
      <c r="D44" s="15"/>
      <c r="E44" s="16"/>
      <c r="F44" s="17"/>
      <c r="G44" s="15"/>
      <c r="H44" s="16"/>
      <c r="I44" s="23" t="s">
        <v>744</v>
      </c>
      <c r="J44" s="31" t="s">
        <v>745</v>
      </c>
      <c r="K44" s="15"/>
      <c r="L44" s="15" t="s">
        <v>36</v>
      </c>
      <c r="M44" s="15" t="s">
        <v>36</v>
      </c>
      <c r="N44" s="15"/>
      <c r="O44" s="15"/>
      <c r="P44" s="15"/>
      <c r="Q44" s="15"/>
      <c r="R44" s="15"/>
      <c r="S44" s="15"/>
      <c r="T44" s="15" t="s">
        <v>465</v>
      </c>
      <c r="U44" s="15" t="s">
        <v>602</v>
      </c>
      <c r="V44" s="16" t="s">
        <v>743</v>
      </c>
      <c r="W44" s="56" t="s">
        <v>739</v>
      </c>
      <c r="X44" s="15" t="s">
        <v>474</v>
      </c>
      <c r="Y44" s="15" t="s">
        <v>473</v>
      </c>
      <c r="Z44" s="30"/>
      <c r="AA44" s="15" t="s">
        <v>474</v>
      </c>
      <c r="AB44" s="15" t="s">
        <v>473</v>
      </c>
      <c r="AC44" s="30"/>
      <c r="AD44" s="15"/>
      <c r="AE44" s="30"/>
      <c r="AF44" s="30"/>
      <c r="AG44" s="30"/>
      <c r="AH44" s="15" t="s">
        <v>476</v>
      </c>
      <c r="AI44" s="15" t="s">
        <v>476</v>
      </c>
      <c r="AJ44" s="15" t="s">
        <v>746</v>
      </c>
      <c r="AK44" s="15"/>
    </row>
    <row r="45" s="95" customFormat="1" ht="79.2" spans="1:41">
      <c r="A45" s="14"/>
      <c r="B45" s="14"/>
      <c r="C45" s="15"/>
      <c r="D45" s="15"/>
      <c r="E45" s="16"/>
      <c r="F45" s="17"/>
      <c r="G45" s="15"/>
      <c r="H45" s="16"/>
      <c r="I45" s="23" t="s">
        <v>747</v>
      </c>
      <c r="J45" s="31" t="s">
        <v>748</v>
      </c>
      <c r="K45" s="15"/>
      <c r="L45" s="15" t="s">
        <v>36</v>
      </c>
      <c r="M45" s="15" t="s">
        <v>36</v>
      </c>
      <c r="N45" s="15"/>
      <c r="O45" s="15"/>
      <c r="P45" s="15"/>
      <c r="Q45" s="15"/>
      <c r="R45" s="15"/>
      <c r="S45" s="15" t="s">
        <v>36</v>
      </c>
      <c r="T45" s="15" t="s">
        <v>492</v>
      </c>
      <c r="U45" s="15"/>
      <c r="V45" s="16" t="s">
        <v>743</v>
      </c>
      <c r="W45" s="56" t="s">
        <v>749</v>
      </c>
      <c r="X45" s="15" t="s">
        <v>474</v>
      </c>
      <c r="Y45" s="15" t="s">
        <v>473</v>
      </c>
      <c r="Z45" s="30"/>
      <c r="AA45" s="15" t="s">
        <v>474</v>
      </c>
      <c r="AB45" s="15" t="s">
        <v>473</v>
      </c>
      <c r="AC45" s="30"/>
      <c r="AD45" s="15"/>
      <c r="AE45" s="30"/>
      <c r="AF45" s="30"/>
      <c r="AG45" s="30"/>
      <c r="AH45" s="15" t="s">
        <v>476</v>
      </c>
      <c r="AI45" s="15" t="s">
        <v>476</v>
      </c>
      <c r="AJ45" s="15" t="s">
        <v>740</v>
      </c>
      <c r="AK45" s="15"/>
    </row>
    <row r="46" s="95" customFormat="1" ht="92.4" spans="1:41">
      <c r="A46" s="14"/>
      <c r="B46" s="14"/>
      <c r="C46" s="15" t="s">
        <v>485</v>
      </c>
      <c r="D46" s="15" t="s">
        <v>750</v>
      </c>
      <c r="E46" s="16" t="s">
        <v>751</v>
      </c>
      <c r="F46" s="17" t="s">
        <v>752</v>
      </c>
      <c r="G46" s="15" t="s">
        <v>753</v>
      </c>
      <c r="H46" s="16" t="s">
        <v>754</v>
      </c>
      <c r="I46" s="23" t="s">
        <v>755</v>
      </c>
      <c r="J46" s="52" t="s">
        <v>756</v>
      </c>
      <c r="K46" s="15"/>
      <c r="L46" s="15"/>
      <c r="M46" s="15" t="s">
        <v>36</v>
      </c>
      <c r="N46" s="15"/>
      <c r="O46" s="15" t="s">
        <v>36</v>
      </c>
      <c r="P46" s="15"/>
      <c r="Q46" s="15"/>
      <c r="R46" s="15" t="s">
        <v>36</v>
      </c>
      <c r="S46" s="15"/>
      <c r="T46" s="15" t="s">
        <v>465</v>
      </c>
      <c r="U46" s="15" t="s">
        <v>757</v>
      </c>
      <c r="V46" s="16" t="s">
        <v>758</v>
      </c>
      <c r="W46" s="15" t="s">
        <v>759</v>
      </c>
      <c r="X46" s="15" t="s">
        <v>474</v>
      </c>
      <c r="Y46" s="15" t="s">
        <v>473</v>
      </c>
      <c r="Z46" s="15"/>
      <c r="AA46" s="15" t="s">
        <v>474</v>
      </c>
      <c r="AB46" s="15" t="s">
        <v>473</v>
      </c>
      <c r="AC46" s="15"/>
      <c r="AD46" s="15" t="s">
        <v>760</v>
      </c>
      <c r="AE46" s="15" t="s">
        <v>511</v>
      </c>
      <c r="AF46" s="15"/>
      <c r="AG46" s="30"/>
      <c r="AH46" s="15" t="s">
        <v>476</v>
      </c>
      <c r="AI46" s="15" t="s">
        <v>476</v>
      </c>
      <c r="AJ46" s="15" t="s">
        <v>761</v>
      </c>
      <c r="AK46" s="15" t="s">
        <v>762</v>
      </c>
    </row>
    <row r="47" s="95" customFormat="1" ht="112" customHeight="1" spans="1:41">
      <c r="A47" s="14"/>
      <c r="B47" s="14"/>
      <c r="C47" s="15"/>
      <c r="D47" s="15"/>
      <c r="E47" s="16"/>
      <c r="F47" s="17"/>
      <c r="G47" s="15"/>
      <c r="H47" s="16"/>
      <c r="I47" s="23" t="s">
        <v>763</v>
      </c>
      <c r="J47" s="52" t="s">
        <v>764</v>
      </c>
      <c r="K47" s="15"/>
      <c r="L47" s="15"/>
      <c r="M47" s="15"/>
      <c r="N47" s="15"/>
      <c r="O47" s="15"/>
      <c r="P47" s="15"/>
      <c r="Q47" s="15"/>
      <c r="R47" s="15" t="s">
        <v>36</v>
      </c>
      <c r="S47" s="15"/>
      <c r="T47" s="15" t="s">
        <v>492</v>
      </c>
      <c r="U47" s="15"/>
      <c r="V47" s="16" t="s">
        <v>765</v>
      </c>
      <c r="W47" s="15" t="s">
        <v>766</v>
      </c>
      <c r="X47" s="15" t="s">
        <v>474</v>
      </c>
      <c r="Y47" s="15" t="s">
        <v>473</v>
      </c>
      <c r="Z47" s="15"/>
      <c r="AA47" s="15" t="s">
        <v>474</v>
      </c>
      <c r="AB47" s="15" t="s">
        <v>473</v>
      </c>
      <c r="AC47" s="15"/>
      <c r="AD47" s="15"/>
      <c r="AE47" s="15"/>
      <c r="AF47" s="15"/>
      <c r="AG47" s="30"/>
      <c r="AH47" s="15" t="s">
        <v>476</v>
      </c>
      <c r="AI47" s="15" t="s">
        <v>476</v>
      </c>
      <c r="AJ47" s="15" t="s">
        <v>767</v>
      </c>
      <c r="AK47" s="15" t="s">
        <v>599</v>
      </c>
    </row>
    <row r="48" s="95" customFormat="1" ht="94" customHeight="1" spans="1:41">
      <c r="A48" s="14"/>
      <c r="B48" s="14"/>
      <c r="C48" s="15"/>
      <c r="D48" s="15"/>
      <c r="E48" s="16"/>
      <c r="F48" s="17"/>
      <c r="G48" s="15"/>
      <c r="H48" s="16"/>
      <c r="I48" s="23" t="s">
        <v>768</v>
      </c>
      <c r="J48" s="52" t="s">
        <v>769</v>
      </c>
      <c r="K48" s="15" t="s">
        <v>36</v>
      </c>
      <c r="L48" s="15"/>
      <c r="M48" s="15"/>
      <c r="N48" s="15"/>
      <c r="O48" s="15"/>
      <c r="P48" s="15"/>
      <c r="Q48" s="15"/>
      <c r="R48" s="15" t="s">
        <v>36</v>
      </c>
      <c r="S48" s="15"/>
      <c r="T48" s="15" t="s">
        <v>492</v>
      </c>
      <c r="U48" s="15"/>
      <c r="V48" s="16" t="s">
        <v>765</v>
      </c>
      <c r="W48" s="15" t="s">
        <v>766</v>
      </c>
      <c r="X48" s="15" t="s">
        <v>474</v>
      </c>
      <c r="Y48" s="15" t="s">
        <v>473</v>
      </c>
      <c r="Z48" s="15"/>
      <c r="AA48" s="15" t="s">
        <v>474</v>
      </c>
      <c r="AB48" s="15" t="s">
        <v>473</v>
      </c>
      <c r="AC48" s="15"/>
      <c r="AD48" s="15"/>
      <c r="AE48" s="15"/>
      <c r="AF48" s="15"/>
      <c r="AG48" s="30"/>
      <c r="AH48" s="15" t="s">
        <v>476</v>
      </c>
      <c r="AI48" s="15" t="s">
        <v>476</v>
      </c>
      <c r="AJ48" s="15" t="s">
        <v>767</v>
      </c>
      <c r="AK48" s="15"/>
    </row>
    <row r="49" s="95" customFormat="1" ht="105" customHeight="1" spans="1:37">
      <c r="A49" s="63" t="s">
        <v>483</v>
      </c>
      <c r="B49" s="14" t="s">
        <v>662</v>
      </c>
      <c r="C49" s="15" t="s">
        <v>485</v>
      </c>
      <c r="D49" s="15" t="s">
        <v>770</v>
      </c>
      <c r="E49" s="16" t="s">
        <v>771</v>
      </c>
      <c r="F49" s="24"/>
      <c r="G49" s="15" t="s">
        <v>772</v>
      </c>
      <c r="H49" s="16" t="s">
        <v>773</v>
      </c>
      <c r="I49" s="23" t="s">
        <v>774</v>
      </c>
      <c r="J49" s="52" t="s">
        <v>775</v>
      </c>
      <c r="K49" s="15"/>
      <c r="L49" s="15"/>
      <c r="M49" s="15" t="s">
        <v>36</v>
      </c>
      <c r="N49" s="15"/>
      <c r="O49" s="15"/>
      <c r="P49" s="15"/>
      <c r="Q49" s="15" t="s">
        <v>36</v>
      </c>
      <c r="R49" s="15" t="s">
        <v>36</v>
      </c>
      <c r="S49" s="15"/>
      <c r="T49" s="15" t="s">
        <v>492</v>
      </c>
      <c r="U49" s="15"/>
      <c r="V49" s="16" t="s">
        <v>776</v>
      </c>
      <c r="W49" s="46" t="s">
        <v>777</v>
      </c>
      <c r="X49" s="15" t="s">
        <v>474</v>
      </c>
      <c r="Y49" s="15" t="s">
        <v>473</v>
      </c>
      <c r="Z49" s="15"/>
      <c r="AA49" s="15" t="s">
        <v>474</v>
      </c>
      <c r="AB49" s="15" t="s">
        <v>473</v>
      </c>
      <c r="AC49" s="15"/>
      <c r="AD49" s="15"/>
      <c r="AE49" s="30"/>
      <c r="AF49" s="30"/>
      <c r="AG49" s="30"/>
      <c r="AH49" s="15" t="s">
        <v>476</v>
      </c>
      <c r="AI49" s="15" t="s">
        <v>476</v>
      </c>
      <c r="AJ49" s="15" t="s">
        <v>778</v>
      </c>
      <c r="AK49" s="15" t="s">
        <v>532</v>
      </c>
    </row>
    <row r="50" s="95" customFormat="1" ht="224.4" spans="1:37">
      <c r="A50" s="63"/>
      <c r="B50" s="14"/>
      <c r="C50" s="15" t="s">
        <v>536</v>
      </c>
      <c r="D50" s="15" t="s">
        <v>779</v>
      </c>
      <c r="E50" s="16" t="s">
        <v>780</v>
      </c>
      <c r="F50" s="17" t="s">
        <v>781</v>
      </c>
      <c r="G50" s="15" t="s">
        <v>782</v>
      </c>
      <c r="H50" s="16" t="s">
        <v>783</v>
      </c>
      <c r="I50" s="23" t="s">
        <v>784</v>
      </c>
      <c r="J50" s="52" t="s">
        <v>785</v>
      </c>
      <c r="K50" s="15"/>
      <c r="L50" s="15"/>
      <c r="M50" s="15" t="s">
        <v>36</v>
      </c>
      <c r="N50" s="15"/>
      <c r="O50" s="15" t="s">
        <v>36</v>
      </c>
      <c r="P50" s="15"/>
      <c r="Q50" s="15"/>
      <c r="R50" s="15"/>
      <c r="S50" s="15"/>
      <c r="T50" s="15" t="s">
        <v>550</v>
      </c>
      <c r="U50" s="15" t="s">
        <v>786</v>
      </c>
      <c r="V50" s="16" t="s">
        <v>787</v>
      </c>
      <c r="W50" s="35" t="s">
        <v>749</v>
      </c>
      <c r="X50" s="15" t="s">
        <v>474</v>
      </c>
      <c r="Y50" s="15" t="s">
        <v>473</v>
      </c>
      <c r="Z50" s="30"/>
      <c r="AA50" s="15" t="s">
        <v>474</v>
      </c>
      <c r="AB50" s="15" t="s">
        <v>473</v>
      </c>
      <c r="AC50" s="30"/>
      <c r="AD50" s="15"/>
      <c r="AE50" s="30"/>
      <c r="AF50" s="30"/>
      <c r="AG50" s="30"/>
      <c r="AH50" s="15" t="s">
        <v>476</v>
      </c>
      <c r="AI50" s="15" t="s">
        <v>476</v>
      </c>
      <c r="AJ50" s="15" t="s">
        <v>778</v>
      </c>
      <c r="AK50" s="15" t="s">
        <v>599</v>
      </c>
    </row>
    <row r="51" s="95" customFormat="1" ht="118.8" spans="1:37">
      <c r="A51" s="63"/>
      <c r="B51" s="14"/>
      <c r="C51" s="15"/>
      <c r="D51" s="15"/>
      <c r="E51" s="16"/>
      <c r="F51" s="17"/>
      <c r="G51" s="15"/>
      <c r="H51" s="16"/>
      <c r="I51" s="23" t="s">
        <v>788</v>
      </c>
      <c r="J51" s="52" t="s">
        <v>789</v>
      </c>
      <c r="K51" s="15"/>
      <c r="L51" s="15"/>
      <c r="M51" s="15" t="s">
        <v>36</v>
      </c>
      <c r="N51" s="15"/>
      <c r="O51" s="15" t="s">
        <v>36</v>
      </c>
      <c r="P51" s="15"/>
      <c r="Q51" s="15" t="s">
        <v>36</v>
      </c>
      <c r="R51" s="15"/>
      <c r="S51" s="15"/>
      <c r="T51" s="15" t="s">
        <v>465</v>
      </c>
      <c r="U51" s="15" t="s">
        <v>790</v>
      </c>
      <c r="V51" s="16" t="s">
        <v>791</v>
      </c>
      <c r="W51" s="35" t="s">
        <v>656</v>
      </c>
      <c r="X51" s="15" t="s">
        <v>474</v>
      </c>
      <c r="Y51" s="15" t="s">
        <v>473</v>
      </c>
      <c r="Z51" s="30"/>
      <c r="AA51" s="15" t="s">
        <v>474</v>
      </c>
      <c r="AB51" s="15" t="s">
        <v>473</v>
      </c>
      <c r="AC51" s="30"/>
      <c r="AD51" s="15" t="s">
        <v>792</v>
      </c>
      <c r="AE51" s="15" t="s">
        <v>511</v>
      </c>
      <c r="AF51" s="15"/>
      <c r="AG51" s="30"/>
      <c r="AH51" s="15" t="s">
        <v>476</v>
      </c>
      <c r="AI51" s="15" t="s">
        <v>476</v>
      </c>
      <c r="AJ51" s="15" t="s">
        <v>778</v>
      </c>
      <c r="AK51" s="15" t="s">
        <v>532</v>
      </c>
    </row>
    <row r="52" s="95" customFormat="1" ht="132" spans="1:37">
      <c r="A52" s="14"/>
      <c r="B52" s="14"/>
      <c r="C52" s="41" t="s">
        <v>536</v>
      </c>
      <c r="D52" s="41" t="s">
        <v>779</v>
      </c>
      <c r="E52" s="68" t="s">
        <v>793</v>
      </c>
      <c r="F52" s="68"/>
      <c r="G52" s="142" t="s">
        <v>794</v>
      </c>
      <c r="H52" s="68" t="s">
        <v>795</v>
      </c>
      <c r="I52" s="154" t="s">
        <v>796</v>
      </c>
      <c r="J52" s="68" t="s">
        <v>797</v>
      </c>
      <c r="K52" s="142"/>
      <c r="L52" s="142"/>
      <c r="M52" s="142" t="s">
        <v>36</v>
      </c>
      <c r="N52" s="142"/>
      <c r="O52" s="142"/>
      <c r="P52" s="142"/>
      <c r="Q52" s="142" t="s">
        <v>36</v>
      </c>
      <c r="R52" s="142" t="s">
        <v>36</v>
      </c>
      <c r="S52" s="142" t="s">
        <v>36</v>
      </c>
      <c r="T52" s="142" t="s">
        <v>492</v>
      </c>
      <c r="U52" s="142"/>
      <c r="V52" s="68" t="s">
        <v>798</v>
      </c>
      <c r="W52" s="142" t="s">
        <v>799</v>
      </c>
      <c r="X52" s="142" t="s">
        <v>474</v>
      </c>
      <c r="Y52" s="142" t="s">
        <v>473</v>
      </c>
      <c r="Z52" s="155"/>
      <c r="AA52" s="142" t="s">
        <v>474</v>
      </c>
      <c r="AB52" s="142" t="s">
        <v>473</v>
      </c>
      <c r="AC52" s="155"/>
      <c r="AD52" s="142"/>
      <c r="AE52" s="155"/>
      <c r="AF52" s="155"/>
      <c r="AG52" s="155"/>
      <c r="AH52" s="142" t="s">
        <v>476</v>
      </c>
      <c r="AI52" s="142" t="s">
        <v>476</v>
      </c>
      <c r="AJ52" s="142" t="s">
        <v>800</v>
      </c>
      <c r="AK52" s="142" t="s">
        <v>470</v>
      </c>
    </row>
    <row r="53" s="95" customFormat="1" ht="83" customHeight="1" spans="1:37">
      <c r="A53" s="14"/>
      <c r="B53" s="14"/>
      <c r="C53" s="41"/>
      <c r="D53" s="41"/>
      <c r="E53" s="68" t="s">
        <v>801</v>
      </c>
      <c r="F53" s="46" t="s">
        <v>802</v>
      </c>
      <c r="G53" s="142"/>
      <c r="H53" s="52" t="s">
        <v>803</v>
      </c>
      <c r="I53" s="154" t="s">
        <v>804</v>
      </c>
      <c r="J53" s="52" t="s">
        <v>805</v>
      </c>
      <c r="K53" s="46"/>
      <c r="L53" s="46"/>
      <c r="M53" s="46" t="s">
        <v>36</v>
      </c>
      <c r="N53" s="46" t="s">
        <v>36</v>
      </c>
      <c r="O53" s="46" t="s">
        <v>36</v>
      </c>
      <c r="P53" s="46"/>
      <c r="Q53" s="46"/>
      <c r="R53" s="46"/>
      <c r="S53" s="46"/>
      <c r="T53" s="46" t="s">
        <v>492</v>
      </c>
      <c r="U53" s="46"/>
      <c r="V53" s="91" t="s">
        <v>806</v>
      </c>
      <c r="W53" s="52" t="s">
        <v>807</v>
      </c>
      <c r="X53" s="46" t="s">
        <v>474</v>
      </c>
      <c r="Y53" s="46" t="s">
        <v>473</v>
      </c>
      <c r="Z53" s="46"/>
      <c r="AA53" s="46" t="s">
        <v>474</v>
      </c>
      <c r="AB53" s="46" t="s">
        <v>473</v>
      </c>
      <c r="AC53" s="46"/>
      <c r="AD53" s="46"/>
      <c r="AE53" s="46"/>
      <c r="AF53" s="46"/>
      <c r="AG53" s="46"/>
      <c r="AH53" s="46" t="s">
        <v>476</v>
      </c>
      <c r="AI53" s="46" t="s">
        <v>476</v>
      </c>
      <c r="AJ53" s="52" t="s">
        <v>808</v>
      </c>
      <c r="AK53" s="142"/>
    </row>
    <row r="54" s="95" customFormat="1" ht="119" customHeight="1" spans="1:37">
      <c r="A54" s="14"/>
      <c r="B54" s="14"/>
      <c r="C54" s="41"/>
      <c r="D54" s="41"/>
      <c r="E54" s="68" t="s">
        <v>809</v>
      </c>
      <c r="F54" s="68"/>
      <c r="G54" s="142"/>
      <c r="H54" s="68" t="s">
        <v>810</v>
      </c>
      <c r="I54" s="154" t="s">
        <v>811</v>
      </c>
      <c r="J54" s="68" t="s">
        <v>812</v>
      </c>
      <c r="K54" s="142"/>
      <c r="L54" s="142" t="s">
        <v>36</v>
      </c>
      <c r="M54" s="142" t="s">
        <v>36</v>
      </c>
      <c r="N54" s="142"/>
      <c r="O54" s="142"/>
      <c r="P54" s="142"/>
      <c r="Q54" s="142"/>
      <c r="R54" s="142"/>
      <c r="S54" s="142" t="s">
        <v>36</v>
      </c>
      <c r="T54" s="142" t="s">
        <v>492</v>
      </c>
      <c r="U54" s="142"/>
      <c r="V54" s="68" t="s">
        <v>813</v>
      </c>
      <c r="W54" s="68" t="s">
        <v>814</v>
      </c>
      <c r="X54" s="142" t="s">
        <v>815</v>
      </c>
      <c r="Y54" s="142" t="s">
        <v>816</v>
      </c>
      <c r="Z54" s="142"/>
      <c r="AA54" s="142" t="s">
        <v>815</v>
      </c>
      <c r="AB54" s="142" t="s">
        <v>816</v>
      </c>
      <c r="AC54" s="142"/>
      <c r="AD54" s="142"/>
      <c r="AE54" s="142"/>
      <c r="AF54" s="142"/>
      <c r="AG54" s="142"/>
      <c r="AH54" s="142" t="s">
        <v>476</v>
      </c>
      <c r="AI54" s="142" t="s">
        <v>476</v>
      </c>
      <c r="AJ54" s="68" t="s">
        <v>817</v>
      </c>
      <c r="AK54" s="142" t="s">
        <v>470</v>
      </c>
    </row>
    <row r="55" s="95" customFormat="1" ht="211.2" spans="1:37">
      <c r="A55" s="63"/>
      <c r="B55" s="14"/>
      <c r="C55" s="15" t="s">
        <v>485</v>
      </c>
      <c r="D55" s="15" t="s">
        <v>818</v>
      </c>
      <c r="E55" s="16" t="s">
        <v>819</v>
      </c>
      <c r="F55" s="24"/>
      <c r="G55" s="15" t="s">
        <v>820</v>
      </c>
      <c r="H55" s="16" t="s">
        <v>821</v>
      </c>
      <c r="I55" s="23" t="s">
        <v>822</v>
      </c>
      <c r="J55" s="16" t="s">
        <v>823</v>
      </c>
      <c r="K55" s="15"/>
      <c r="L55" s="15"/>
      <c r="M55" s="15"/>
      <c r="N55" s="15"/>
      <c r="O55" s="15"/>
      <c r="P55" s="15"/>
      <c r="Q55" s="15" t="s">
        <v>36</v>
      </c>
      <c r="R55" s="15"/>
      <c r="S55" s="15"/>
      <c r="T55" s="15" t="s">
        <v>550</v>
      </c>
      <c r="U55" s="15" t="s">
        <v>467</v>
      </c>
      <c r="V55" s="16" t="s">
        <v>824</v>
      </c>
      <c r="W55" s="35" t="s">
        <v>825</v>
      </c>
      <c r="X55" s="15" t="s">
        <v>474</v>
      </c>
      <c r="Y55" s="15" t="s">
        <v>473</v>
      </c>
      <c r="Z55" s="30"/>
      <c r="AA55" s="15" t="s">
        <v>474</v>
      </c>
      <c r="AB55" s="15" t="s">
        <v>473</v>
      </c>
      <c r="AC55" s="30"/>
      <c r="AD55" s="15"/>
      <c r="AE55" s="30"/>
      <c r="AF55" s="30"/>
      <c r="AG55" s="30"/>
      <c r="AH55" s="15" t="s">
        <v>476</v>
      </c>
      <c r="AI55" s="30" t="s">
        <v>476</v>
      </c>
      <c r="AJ55" s="15" t="s">
        <v>558</v>
      </c>
      <c r="AK55" s="15" t="s">
        <v>673</v>
      </c>
    </row>
    <row r="56" s="95" customFormat="1" ht="66" spans="1:37">
      <c r="A56" s="63"/>
      <c r="B56" s="14"/>
      <c r="C56" s="15"/>
      <c r="D56" s="15"/>
      <c r="E56" s="16"/>
      <c r="F56" s="24"/>
      <c r="G56" s="15"/>
      <c r="H56" s="16"/>
      <c r="I56" s="23" t="s">
        <v>826</v>
      </c>
      <c r="J56" s="16" t="s">
        <v>827</v>
      </c>
      <c r="K56" s="15"/>
      <c r="L56" s="15"/>
      <c r="M56" s="15"/>
      <c r="N56" s="15"/>
      <c r="O56" s="15"/>
      <c r="P56" s="15"/>
      <c r="Q56" s="15"/>
      <c r="R56" s="15"/>
      <c r="S56" s="15"/>
      <c r="T56" s="15" t="s">
        <v>492</v>
      </c>
      <c r="U56" s="15"/>
      <c r="V56" s="16" t="s">
        <v>828</v>
      </c>
      <c r="W56" s="35" t="s">
        <v>829</v>
      </c>
      <c r="X56" s="15" t="s">
        <v>474</v>
      </c>
      <c r="Y56" s="15" t="s">
        <v>473</v>
      </c>
      <c r="Z56" s="30"/>
      <c r="AA56" s="15" t="s">
        <v>474</v>
      </c>
      <c r="AB56" s="15" t="s">
        <v>473</v>
      </c>
      <c r="AC56" s="30"/>
      <c r="AD56" s="15"/>
      <c r="AE56" s="30"/>
      <c r="AF56" s="30"/>
      <c r="AG56" s="30"/>
      <c r="AH56" s="15" t="s">
        <v>476</v>
      </c>
      <c r="AI56" s="30" t="s">
        <v>476</v>
      </c>
      <c r="AJ56" s="15" t="s">
        <v>558</v>
      </c>
      <c r="AK56" s="15"/>
    </row>
    <row r="57" s="95" customFormat="1" ht="118.8" spans="1:37">
      <c r="A57" s="63"/>
      <c r="B57" s="14"/>
      <c r="C57" s="15"/>
      <c r="D57" s="15"/>
      <c r="E57" s="16"/>
      <c r="F57" s="24"/>
      <c r="G57" s="15"/>
      <c r="H57" s="16"/>
      <c r="I57" s="23" t="s">
        <v>830</v>
      </c>
      <c r="J57" s="16" t="s">
        <v>831</v>
      </c>
      <c r="K57" s="15"/>
      <c r="L57" s="15"/>
      <c r="M57" s="15"/>
      <c r="N57" s="15"/>
      <c r="O57" s="15"/>
      <c r="P57" s="15"/>
      <c r="Q57" s="15"/>
      <c r="R57" s="15"/>
      <c r="S57" s="15"/>
      <c r="T57" s="15" t="s">
        <v>492</v>
      </c>
      <c r="U57" s="15"/>
      <c r="V57" s="16" t="s">
        <v>828</v>
      </c>
      <c r="W57" s="35" t="s">
        <v>671</v>
      </c>
      <c r="X57" s="15" t="s">
        <v>474</v>
      </c>
      <c r="Y57" s="15" t="s">
        <v>473</v>
      </c>
      <c r="Z57" s="30"/>
      <c r="AA57" s="15" t="s">
        <v>474</v>
      </c>
      <c r="AB57" s="15" t="s">
        <v>473</v>
      </c>
      <c r="AC57" s="30"/>
      <c r="AD57" s="15"/>
      <c r="AE57" s="30"/>
      <c r="AF57" s="30"/>
      <c r="AG57" s="30"/>
      <c r="AH57" s="15" t="s">
        <v>476</v>
      </c>
      <c r="AI57" s="30" t="s">
        <v>610</v>
      </c>
      <c r="AJ57" s="15" t="s">
        <v>832</v>
      </c>
      <c r="AK57" s="15"/>
    </row>
    <row r="58" s="95" customFormat="1" ht="277.2" spans="1:37">
      <c r="A58" s="14" t="s">
        <v>483</v>
      </c>
      <c r="B58" s="14" t="s">
        <v>833</v>
      </c>
      <c r="C58" s="15" t="s">
        <v>485</v>
      </c>
      <c r="D58" s="15" t="s">
        <v>834</v>
      </c>
      <c r="E58" s="16" t="s">
        <v>835</v>
      </c>
      <c r="F58" s="17" t="s">
        <v>836</v>
      </c>
      <c r="G58" s="15" t="s">
        <v>837</v>
      </c>
      <c r="H58" s="16" t="s">
        <v>838</v>
      </c>
      <c r="I58" s="23" t="s">
        <v>839</v>
      </c>
      <c r="J58" s="16" t="s">
        <v>840</v>
      </c>
      <c r="K58" s="15"/>
      <c r="L58" s="15"/>
      <c r="M58" s="15" t="s">
        <v>36</v>
      </c>
      <c r="N58" s="15"/>
      <c r="O58" s="15"/>
      <c r="P58" s="15"/>
      <c r="Q58" s="15"/>
      <c r="R58" s="15" t="s">
        <v>36</v>
      </c>
      <c r="S58" s="15"/>
      <c r="T58" s="15" t="s">
        <v>492</v>
      </c>
      <c r="U58" s="15"/>
      <c r="V58" s="16" t="s">
        <v>841</v>
      </c>
      <c r="W58" s="31" t="s">
        <v>842</v>
      </c>
      <c r="X58" s="15" t="s">
        <v>474</v>
      </c>
      <c r="Y58" s="15" t="s">
        <v>473</v>
      </c>
      <c r="Z58" s="30"/>
      <c r="AA58" s="15" t="s">
        <v>474</v>
      </c>
      <c r="AB58" s="15" t="s">
        <v>473</v>
      </c>
      <c r="AC58" s="30"/>
      <c r="AD58" s="15"/>
      <c r="AE58" s="15"/>
      <c r="AF58" s="15"/>
      <c r="AG58" s="30"/>
      <c r="AH58" s="15" t="s">
        <v>476</v>
      </c>
      <c r="AI58" s="15" t="s">
        <v>476</v>
      </c>
      <c r="AJ58" s="15" t="s">
        <v>843</v>
      </c>
      <c r="AK58" s="15" t="s">
        <v>599</v>
      </c>
    </row>
    <row r="59" s="95" customFormat="1" ht="145.2" spans="1:37">
      <c r="A59" s="14"/>
      <c r="B59" s="14"/>
      <c r="C59" s="15" t="s">
        <v>485</v>
      </c>
      <c r="D59" s="15" t="s">
        <v>844</v>
      </c>
      <c r="E59" s="16" t="s">
        <v>845</v>
      </c>
      <c r="F59" s="24"/>
      <c r="G59" s="15" t="s">
        <v>846</v>
      </c>
      <c r="H59" s="16" t="s">
        <v>847</v>
      </c>
      <c r="I59" s="23" t="s">
        <v>848</v>
      </c>
      <c r="J59" s="16" t="s">
        <v>849</v>
      </c>
      <c r="K59" s="15"/>
      <c r="L59" s="15"/>
      <c r="M59" s="15"/>
      <c r="N59" s="15"/>
      <c r="O59" s="15"/>
      <c r="P59" s="15"/>
      <c r="Q59" s="15"/>
      <c r="R59" s="15" t="s">
        <v>36</v>
      </c>
      <c r="S59" s="15"/>
      <c r="T59" s="15" t="s">
        <v>492</v>
      </c>
      <c r="U59" s="15"/>
      <c r="V59" s="16" t="s">
        <v>850</v>
      </c>
      <c r="W59" s="125" t="s">
        <v>851</v>
      </c>
      <c r="X59" s="15" t="s">
        <v>474</v>
      </c>
      <c r="Y59" s="15" t="s">
        <v>473</v>
      </c>
      <c r="Z59" s="15"/>
      <c r="AA59" s="15" t="s">
        <v>474</v>
      </c>
      <c r="AB59" s="15" t="s">
        <v>473</v>
      </c>
      <c r="AC59" s="15"/>
      <c r="AD59" s="15"/>
      <c r="AE59" s="30"/>
      <c r="AF59" s="30"/>
      <c r="AG59" s="30"/>
      <c r="AH59" s="15" t="s">
        <v>476</v>
      </c>
      <c r="AI59" s="15" t="s">
        <v>476</v>
      </c>
      <c r="AJ59" s="15" t="s">
        <v>852</v>
      </c>
      <c r="AK59" s="15" t="s">
        <v>853</v>
      </c>
    </row>
    <row r="60" s="95" customFormat="1" ht="105.6" spans="1:37">
      <c r="A60" s="14"/>
      <c r="B60" s="14"/>
      <c r="C60" s="15"/>
      <c r="D60" s="15"/>
      <c r="E60" s="16"/>
      <c r="F60" s="24"/>
      <c r="G60" s="15"/>
      <c r="H60" s="16"/>
      <c r="I60" s="23" t="s">
        <v>854</v>
      </c>
      <c r="J60" s="16" t="s">
        <v>855</v>
      </c>
      <c r="K60" s="15"/>
      <c r="L60" s="15"/>
      <c r="M60" s="15"/>
      <c r="N60" s="15"/>
      <c r="O60" s="15"/>
      <c r="P60" s="15"/>
      <c r="Q60" s="15"/>
      <c r="R60" s="15" t="s">
        <v>36</v>
      </c>
      <c r="S60" s="15"/>
      <c r="T60" s="15" t="s">
        <v>465</v>
      </c>
      <c r="U60" s="15" t="s">
        <v>856</v>
      </c>
      <c r="V60" s="16" t="s">
        <v>850</v>
      </c>
      <c r="W60" s="35" t="s">
        <v>857</v>
      </c>
      <c r="X60" s="15" t="s">
        <v>474</v>
      </c>
      <c r="Y60" s="15" t="s">
        <v>473</v>
      </c>
      <c r="Z60" s="15"/>
      <c r="AA60" s="15" t="s">
        <v>474</v>
      </c>
      <c r="AB60" s="15" t="s">
        <v>473</v>
      </c>
      <c r="AC60" s="15"/>
      <c r="AD60" s="15" t="s">
        <v>858</v>
      </c>
      <c r="AE60" s="15" t="s">
        <v>511</v>
      </c>
      <c r="AF60" s="15"/>
      <c r="AG60" s="30"/>
      <c r="AH60" s="15" t="s">
        <v>476</v>
      </c>
      <c r="AI60" s="15" t="s">
        <v>476</v>
      </c>
      <c r="AJ60" s="15" t="s">
        <v>859</v>
      </c>
      <c r="AK60" s="15" t="s">
        <v>860</v>
      </c>
    </row>
    <row r="61" s="95" customFormat="1" ht="79.2" spans="1:37">
      <c r="A61" s="14"/>
      <c r="B61" s="14"/>
      <c r="C61" s="15" t="s">
        <v>536</v>
      </c>
      <c r="D61" s="15" t="s">
        <v>861</v>
      </c>
      <c r="E61" s="16" t="s">
        <v>862</v>
      </c>
      <c r="F61" s="24"/>
      <c r="G61" s="15" t="s">
        <v>863</v>
      </c>
      <c r="H61" s="16" t="s">
        <v>864</v>
      </c>
      <c r="I61" s="23" t="s">
        <v>865</v>
      </c>
      <c r="J61" s="16" t="s">
        <v>866</v>
      </c>
      <c r="K61" s="15"/>
      <c r="L61" s="15"/>
      <c r="M61" s="15"/>
      <c r="N61" s="15"/>
      <c r="O61" s="15" t="s">
        <v>36</v>
      </c>
      <c r="P61" s="15"/>
      <c r="Q61" s="15"/>
      <c r="R61" s="15"/>
      <c r="S61" s="15"/>
      <c r="T61" s="15" t="s">
        <v>465</v>
      </c>
      <c r="U61" s="15" t="s">
        <v>790</v>
      </c>
      <c r="V61" s="16" t="s">
        <v>867</v>
      </c>
      <c r="W61" s="35" t="s">
        <v>868</v>
      </c>
      <c r="X61" s="15" t="s">
        <v>474</v>
      </c>
      <c r="Y61" s="15" t="s">
        <v>473</v>
      </c>
      <c r="Z61" s="30"/>
      <c r="AA61" s="15" t="s">
        <v>474</v>
      </c>
      <c r="AB61" s="15" t="s">
        <v>473</v>
      </c>
      <c r="AC61" s="30"/>
      <c r="AD61" s="15" t="s">
        <v>869</v>
      </c>
      <c r="AE61" s="15" t="s">
        <v>511</v>
      </c>
      <c r="AF61" s="15"/>
      <c r="AG61" s="30"/>
      <c r="AH61" s="15" t="s">
        <v>476</v>
      </c>
      <c r="AI61" s="30" t="s">
        <v>610</v>
      </c>
      <c r="AJ61" s="15" t="s">
        <v>870</v>
      </c>
      <c r="AK61" s="15" t="s">
        <v>673</v>
      </c>
    </row>
    <row r="62" s="95" customFormat="1" ht="66" spans="1:37">
      <c r="A62" s="14"/>
      <c r="B62" s="14"/>
      <c r="C62" s="15"/>
      <c r="D62" s="15"/>
      <c r="E62" s="16"/>
      <c r="F62" s="24"/>
      <c r="G62" s="15"/>
      <c r="H62" s="16"/>
      <c r="I62" s="23" t="s">
        <v>871</v>
      </c>
      <c r="J62" s="16" t="s">
        <v>872</v>
      </c>
      <c r="K62" s="15"/>
      <c r="L62" s="15"/>
      <c r="M62" s="15"/>
      <c r="N62" s="15"/>
      <c r="O62" s="15"/>
      <c r="P62" s="15"/>
      <c r="Q62" s="15" t="s">
        <v>36</v>
      </c>
      <c r="R62" s="15"/>
      <c r="S62" s="15"/>
      <c r="T62" s="15" t="s">
        <v>492</v>
      </c>
      <c r="U62" s="15"/>
      <c r="V62" s="16" t="s">
        <v>867</v>
      </c>
      <c r="W62" s="15" t="s">
        <v>873</v>
      </c>
      <c r="X62" s="15" t="s">
        <v>474</v>
      </c>
      <c r="Y62" s="15" t="s">
        <v>473</v>
      </c>
      <c r="Z62" s="30"/>
      <c r="AA62" s="15" t="s">
        <v>474</v>
      </c>
      <c r="AB62" s="15" t="s">
        <v>473</v>
      </c>
      <c r="AC62" s="30"/>
      <c r="AD62" s="15"/>
      <c r="AE62" s="30"/>
      <c r="AF62" s="15"/>
      <c r="AG62" s="30"/>
      <c r="AH62" s="15" t="s">
        <v>476</v>
      </c>
      <c r="AI62" s="30" t="s">
        <v>476</v>
      </c>
      <c r="AJ62" s="15" t="s">
        <v>874</v>
      </c>
      <c r="AK62" s="15" t="s">
        <v>532</v>
      </c>
    </row>
    <row r="63" s="95" customFormat="1" ht="105.6" spans="1:37">
      <c r="A63" s="14"/>
      <c r="B63" s="14"/>
      <c r="C63" s="15" t="s">
        <v>536</v>
      </c>
      <c r="D63" s="15" t="s">
        <v>875</v>
      </c>
      <c r="E63" s="16" t="s">
        <v>876</v>
      </c>
      <c r="F63" s="24"/>
      <c r="G63" s="15" t="s">
        <v>877</v>
      </c>
      <c r="H63" s="16" t="s">
        <v>878</v>
      </c>
      <c r="I63" s="23" t="s">
        <v>879</v>
      </c>
      <c r="J63" s="16" t="s">
        <v>880</v>
      </c>
      <c r="K63" s="15"/>
      <c r="L63" s="15"/>
      <c r="M63" s="15"/>
      <c r="N63" s="15"/>
      <c r="O63" s="15"/>
      <c r="P63" s="15"/>
      <c r="Q63" s="15" t="s">
        <v>36</v>
      </c>
      <c r="R63" s="15" t="s">
        <v>36</v>
      </c>
      <c r="S63" s="15"/>
      <c r="T63" s="15" t="s">
        <v>465</v>
      </c>
      <c r="U63" s="15" t="s">
        <v>881</v>
      </c>
      <c r="V63" s="16" t="s">
        <v>882</v>
      </c>
      <c r="W63" s="35" t="s">
        <v>883</v>
      </c>
      <c r="X63" s="15" t="s">
        <v>511</v>
      </c>
      <c r="Y63" s="15" t="s">
        <v>566</v>
      </c>
      <c r="Z63" s="30"/>
      <c r="AA63" s="15" t="s">
        <v>474</v>
      </c>
      <c r="AB63" s="15" t="s">
        <v>473</v>
      </c>
      <c r="AC63" s="30"/>
      <c r="AD63" s="15" t="s">
        <v>884</v>
      </c>
      <c r="AE63" s="15" t="s">
        <v>511</v>
      </c>
      <c r="AF63" s="15"/>
      <c r="AG63" s="30"/>
      <c r="AH63" s="15" t="s">
        <v>476</v>
      </c>
      <c r="AI63" s="15" t="s">
        <v>476</v>
      </c>
      <c r="AJ63" s="15" t="s">
        <v>874</v>
      </c>
      <c r="AK63" s="15" t="s">
        <v>532</v>
      </c>
    </row>
    <row r="64" s="95" customFormat="1" ht="79.2" spans="1:37">
      <c r="A64" s="14"/>
      <c r="B64" s="14"/>
      <c r="C64" s="15"/>
      <c r="D64" s="15"/>
      <c r="E64" s="16"/>
      <c r="F64" s="24"/>
      <c r="G64" s="15"/>
      <c r="H64" s="16"/>
      <c r="I64" s="23" t="s">
        <v>885</v>
      </c>
      <c r="J64" s="16" t="s">
        <v>886</v>
      </c>
      <c r="K64" s="15"/>
      <c r="L64" s="15"/>
      <c r="M64" s="15"/>
      <c r="N64" s="15"/>
      <c r="O64" s="15"/>
      <c r="P64" s="15"/>
      <c r="Q64" s="15"/>
      <c r="R64" s="15"/>
      <c r="S64" s="15"/>
      <c r="T64" s="15" t="s">
        <v>492</v>
      </c>
      <c r="U64" s="15"/>
      <c r="V64" s="16" t="s">
        <v>887</v>
      </c>
      <c r="W64" s="35" t="s">
        <v>888</v>
      </c>
      <c r="X64" s="15" t="s">
        <v>511</v>
      </c>
      <c r="Y64" s="15" t="s">
        <v>566</v>
      </c>
      <c r="Z64" s="30"/>
      <c r="AA64" s="15" t="s">
        <v>474</v>
      </c>
      <c r="AB64" s="15" t="s">
        <v>473</v>
      </c>
      <c r="AC64" s="30"/>
      <c r="AD64" s="15"/>
      <c r="AE64" s="30"/>
      <c r="AF64" s="15"/>
      <c r="AG64" s="30"/>
      <c r="AH64" s="15" t="s">
        <v>476</v>
      </c>
      <c r="AI64" s="15" t="s">
        <v>610</v>
      </c>
      <c r="AJ64" s="15" t="s">
        <v>870</v>
      </c>
      <c r="AK64" s="15" t="s">
        <v>599</v>
      </c>
    </row>
    <row r="65" s="95" customFormat="1" ht="79.2" spans="1:37">
      <c r="A65" s="14"/>
      <c r="B65" s="14"/>
      <c r="C65" s="15"/>
      <c r="D65" s="15"/>
      <c r="E65" s="16"/>
      <c r="F65" s="24"/>
      <c r="G65" s="15"/>
      <c r="H65" s="16"/>
      <c r="I65" s="23" t="s">
        <v>889</v>
      </c>
      <c r="J65" s="16" t="s">
        <v>890</v>
      </c>
      <c r="K65" s="15"/>
      <c r="L65" s="15"/>
      <c r="M65" s="15"/>
      <c r="N65" s="15"/>
      <c r="O65" s="15"/>
      <c r="P65" s="15"/>
      <c r="Q65" s="15" t="s">
        <v>36</v>
      </c>
      <c r="R65" s="15"/>
      <c r="S65" s="15"/>
      <c r="T65" s="15" t="s">
        <v>492</v>
      </c>
      <c r="U65" s="15"/>
      <c r="V65" s="16" t="s">
        <v>887</v>
      </c>
      <c r="W65" s="35" t="s">
        <v>891</v>
      </c>
      <c r="X65" s="15" t="s">
        <v>511</v>
      </c>
      <c r="Y65" s="15" t="s">
        <v>566</v>
      </c>
      <c r="Z65" s="30"/>
      <c r="AA65" s="15" t="s">
        <v>474</v>
      </c>
      <c r="AB65" s="15" t="s">
        <v>473</v>
      </c>
      <c r="AC65" s="30"/>
      <c r="AD65" s="15"/>
      <c r="AE65" s="30"/>
      <c r="AF65" s="15"/>
      <c r="AG65" s="30"/>
      <c r="AH65" s="15" t="s">
        <v>476</v>
      </c>
      <c r="AI65" s="15" t="s">
        <v>476</v>
      </c>
      <c r="AJ65" s="15" t="s">
        <v>870</v>
      </c>
      <c r="AK65" s="15" t="s">
        <v>532</v>
      </c>
    </row>
    <row r="66" s="95" customFormat="1" ht="105.6" spans="1:37">
      <c r="A66" s="14" t="s">
        <v>483</v>
      </c>
      <c r="B66" s="14" t="s">
        <v>833</v>
      </c>
      <c r="C66" s="15" t="s">
        <v>485</v>
      </c>
      <c r="D66" s="15" t="s">
        <v>892</v>
      </c>
      <c r="E66" s="16" t="s">
        <v>893</v>
      </c>
      <c r="F66" s="17" t="s">
        <v>894</v>
      </c>
      <c r="G66" s="15" t="s">
        <v>895</v>
      </c>
      <c r="H66" s="16" t="s">
        <v>896</v>
      </c>
      <c r="I66" s="23" t="s">
        <v>897</v>
      </c>
      <c r="J66" s="16" t="s">
        <v>898</v>
      </c>
      <c r="K66" s="15"/>
      <c r="L66" s="15"/>
      <c r="M66" s="15"/>
      <c r="N66" s="15"/>
      <c r="O66" s="15"/>
      <c r="P66" s="15"/>
      <c r="Q66" s="15"/>
      <c r="R66" s="15" t="s">
        <v>36</v>
      </c>
      <c r="S66" s="15"/>
      <c r="T66" s="15" t="s">
        <v>492</v>
      </c>
      <c r="U66" s="15"/>
      <c r="V66" s="16" t="s">
        <v>899</v>
      </c>
      <c r="W66" s="15" t="s">
        <v>900</v>
      </c>
      <c r="X66" s="15" t="s">
        <v>474</v>
      </c>
      <c r="Y66" s="15" t="s">
        <v>473</v>
      </c>
      <c r="Z66" s="30"/>
      <c r="AA66" s="15" t="s">
        <v>474</v>
      </c>
      <c r="AB66" s="15" t="s">
        <v>473</v>
      </c>
      <c r="AC66" s="30"/>
      <c r="AD66" s="15"/>
      <c r="AE66" s="30"/>
      <c r="AF66" s="15"/>
      <c r="AG66" s="30"/>
      <c r="AH66" s="15" t="s">
        <v>476</v>
      </c>
      <c r="AI66" s="15" t="s">
        <v>476</v>
      </c>
      <c r="AJ66" s="15" t="s">
        <v>901</v>
      </c>
      <c r="AK66" s="15" t="s">
        <v>673</v>
      </c>
    </row>
    <row r="67" s="95" customFormat="1" ht="99" customHeight="1" spans="1:37">
      <c r="A67" s="14"/>
      <c r="B67" s="14"/>
      <c r="C67" s="15"/>
      <c r="D67" s="15"/>
      <c r="E67" s="16"/>
      <c r="F67" s="17"/>
      <c r="G67" s="15"/>
      <c r="H67" s="16"/>
      <c r="I67" s="23" t="s">
        <v>902</v>
      </c>
      <c r="J67" s="16" t="s">
        <v>903</v>
      </c>
      <c r="K67" s="15"/>
      <c r="L67" s="15"/>
      <c r="M67" s="15"/>
      <c r="N67" s="15"/>
      <c r="O67" s="15"/>
      <c r="P67" s="15"/>
      <c r="Q67" s="15" t="s">
        <v>36</v>
      </c>
      <c r="R67" s="15" t="s">
        <v>36</v>
      </c>
      <c r="S67" s="15"/>
      <c r="T67" s="15" t="s">
        <v>492</v>
      </c>
      <c r="U67" s="15"/>
      <c r="V67" s="16" t="s">
        <v>904</v>
      </c>
      <c r="W67" s="35" t="s">
        <v>891</v>
      </c>
      <c r="X67" s="15" t="s">
        <v>474</v>
      </c>
      <c r="Y67" s="15" t="s">
        <v>473</v>
      </c>
      <c r="Z67" s="30"/>
      <c r="AA67" s="15" t="s">
        <v>474</v>
      </c>
      <c r="AB67" s="15" t="s">
        <v>473</v>
      </c>
      <c r="AC67" s="30"/>
      <c r="AD67" s="15"/>
      <c r="AE67" s="30"/>
      <c r="AF67" s="15"/>
      <c r="AG67" s="30"/>
      <c r="AH67" s="15" t="s">
        <v>476</v>
      </c>
      <c r="AI67" s="15" t="s">
        <v>476</v>
      </c>
      <c r="AJ67" s="15"/>
      <c r="AK67" s="15"/>
    </row>
    <row r="68" s="95" customFormat="1" ht="115" customHeight="1" spans="1:37">
      <c r="A68" s="14"/>
      <c r="B68" s="14"/>
      <c r="C68" s="15"/>
      <c r="D68" s="15"/>
      <c r="E68" s="16"/>
      <c r="F68" s="17"/>
      <c r="G68" s="15"/>
      <c r="H68" s="16"/>
      <c r="I68" s="23" t="s">
        <v>905</v>
      </c>
      <c r="J68" s="16" t="s">
        <v>906</v>
      </c>
      <c r="K68" s="15"/>
      <c r="L68" s="15"/>
      <c r="M68" s="15"/>
      <c r="N68" s="15"/>
      <c r="O68" s="15"/>
      <c r="P68" s="15"/>
      <c r="Q68" s="15"/>
      <c r="R68" s="15" t="s">
        <v>36</v>
      </c>
      <c r="S68" s="15"/>
      <c r="T68" s="15" t="s">
        <v>492</v>
      </c>
      <c r="U68" s="15"/>
      <c r="V68" s="16" t="s">
        <v>899</v>
      </c>
      <c r="W68" s="35" t="s">
        <v>907</v>
      </c>
      <c r="X68" s="15" t="s">
        <v>474</v>
      </c>
      <c r="Y68" s="15" t="s">
        <v>473</v>
      </c>
      <c r="Z68" s="30"/>
      <c r="AA68" s="15" t="s">
        <v>474</v>
      </c>
      <c r="AB68" s="15" t="s">
        <v>473</v>
      </c>
      <c r="AC68" s="30"/>
      <c r="AD68" s="15"/>
      <c r="AE68" s="30"/>
      <c r="AF68" s="15"/>
      <c r="AG68" s="30"/>
      <c r="AH68" s="15" t="s">
        <v>476</v>
      </c>
      <c r="AI68" s="15" t="s">
        <v>476</v>
      </c>
      <c r="AJ68" s="15" t="s">
        <v>908</v>
      </c>
      <c r="AK68" s="15"/>
    </row>
    <row r="69" s="95" customFormat="1" ht="137" customHeight="1" spans="1:37">
      <c r="A69" s="14"/>
      <c r="B69" s="14"/>
      <c r="C69" s="15" t="s">
        <v>485</v>
      </c>
      <c r="D69" s="15" t="s">
        <v>909</v>
      </c>
      <c r="E69" s="16" t="s">
        <v>910</v>
      </c>
      <c r="F69" s="24"/>
      <c r="G69" s="15" t="s">
        <v>911</v>
      </c>
      <c r="H69" s="16" t="s">
        <v>912</v>
      </c>
      <c r="I69" s="23" t="s">
        <v>913</v>
      </c>
      <c r="J69" s="52" t="s">
        <v>914</v>
      </c>
      <c r="K69" s="15"/>
      <c r="L69" s="15"/>
      <c r="M69" s="15"/>
      <c r="N69" s="15"/>
      <c r="O69" s="15"/>
      <c r="P69" s="15"/>
      <c r="Q69" s="15"/>
      <c r="R69" s="15" t="s">
        <v>36</v>
      </c>
      <c r="S69" s="15"/>
      <c r="T69" s="15" t="s">
        <v>492</v>
      </c>
      <c r="U69" s="15"/>
      <c r="V69" s="16" t="s">
        <v>915</v>
      </c>
      <c r="W69" s="35" t="s">
        <v>916</v>
      </c>
      <c r="X69" s="15" t="s">
        <v>474</v>
      </c>
      <c r="Y69" s="15" t="s">
        <v>473</v>
      </c>
      <c r="Z69" s="15"/>
      <c r="AA69" s="15" t="s">
        <v>474</v>
      </c>
      <c r="AB69" s="15" t="s">
        <v>473</v>
      </c>
      <c r="AC69" s="15"/>
      <c r="AD69" s="15"/>
      <c r="AE69" s="15"/>
      <c r="AF69" s="15"/>
      <c r="AG69" s="30"/>
      <c r="AH69" s="15" t="s">
        <v>476</v>
      </c>
      <c r="AI69" s="15" t="s">
        <v>476</v>
      </c>
      <c r="AJ69" s="15" t="s">
        <v>917</v>
      </c>
      <c r="AK69" s="15" t="s">
        <v>673</v>
      </c>
    </row>
    <row r="70" s="95" customFormat="1" ht="171.6" spans="1:37">
      <c r="A70" s="14"/>
      <c r="B70" s="14"/>
      <c r="C70" s="15"/>
      <c r="D70" s="15"/>
      <c r="E70" s="16"/>
      <c r="F70" s="24"/>
      <c r="G70" s="15"/>
      <c r="H70" s="16"/>
      <c r="I70" s="23" t="s">
        <v>918</v>
      </c>
      <c r="J70" s="52" t="s">
        <v>919</v>
      </c>
      <c r="K70" s="15"/>
      <c r="L70" s="15"/>
      <c r="M70" s="15"/>
      <c r="N70" s="15"/>
      <c r="O70" s="15"/>
      <c r="P70" s="15"/>
      <c r="Q70" s="15" t="s">
        <v>36</v>
      </c>
      <c r="R70" s="15" t="s">
        <v>36</v>
      </c>
      <c r="S70" s="15"/>
      <c r="T70" s="15" t="s">
        <v>492</v>
      </c>
      <c r="U70" s="15"/>
      <c r="V70" s="16" t="s">
        <v>920</v>
      </c>
      <c r="W70" s="31" t="s">
        <v>921</v>
      </c>
      <c r="X70" s="15"/>
      <c r="Y70" s="15"/>
      <c r="Z70" s="15"/>
      <c r="AA70" s="15"/>
      <c r="AB70" s="15"/>
      <c r="AC70" s="15"/>
      <c r="AD70" s="15"/>
      <c r="AE70" s="15"/>
      <c r="AF70" s="15"/>
      <c r="AG70" s="30"/>
      <c r="AH70" s="15"/>
      <c r="AI70" s="15"/>
      <c r="AJ70" s="15"/>
      <c r="AK70" s="15"/>
    </row>
    <row r="71" s="95" customFormat="1" ht="132" spans="1:37">
      <c r="A71" s="14"/>
      <c r="B71" s="14" t="s">
        <v>922</v>
      </c>
      <c r="C71" s="15" t="s">
        <v>485</v>
      </c>
      <c r="D71" s="15" t="s">
        <v>923</v>
      </c>
      <c r="E71" s="16" t="s">
        <v>924</v>
      </c>
      <c r="F71" s="24"/>
      <c r="G71" s="15" t="s">
        <v>925</v>
      </c>
      <c r="H71" s="16" t="s">
        <v>926</v>
      </c>
      <c r="I71" s="23" t="s">
        <v>927</v>
      </c>
      <c r="J71" s="16" t="s">
        <v>928</v>
      </c>
      <c r="K71" s="15"/>
      <c r="L71" s="15" t="s">
        <v>36</v>
      </c>
      <c r="M71" s="15"/>
      <c r="N71" s="15"/>
      <c r="O71" s="15"/>
      <c r="P71" s="15"/>
      <c r="Q71" s="15"/>
      <c r="R71" s="15"/>
      <c r="S71" s="15"/>
      <c r="T71" s="15" t="s">
        <v>492</v>
      </c>
      <c r="U71" s="15"/>
      <c r="V71" s="16" t="s">
        <v>929</v>
      </c>
      <c r="W71" s="35" t="s">
        <v>930</v>
      </c>
      <c r="X71" s="15" t="s">
        <v>474</v>
      </c>
      <c r="Y71" s="15" t="s">
        <v>473</v>
      </c>
      <c r="Z71" s="30"/>
      <c r="AA71" s="15" t="s">
        <v>474</v>
      </c>
      <c r="AB71" s="15" t="s">
        <v>473</v>
      </c>
      <c r="AC71" s="30"/>
      <c r="AD71" s="15"/>
      <c r="AE71" s="15"/>
      <c r="AF71" s="15"/>
      <c r="AG71" s="30"/>
      <c r="AH71" s="15" t="s">
        <v>476</v>
      </c>
      <c r="AI71" s="15" t="s">
        <v>476</v>
      </c>
      <c r="AJ71" s="15" t="s">
        <v>931</v>
      </c>
      <c r="AK71" s="15" t="s">
        <v>673</v>
      </c>
    </row>
    <row r="72" s="95" customFormat="1" ht="79.2" spans="1:37">
      <c r="A72" s="14"/>
      <c r="B72" s="14"/>
      <c r="C72" s="15"/>
      <c r="D72" s="15"/>
      <c r="E72" s="16"/>
      <c r="F72" s="24"/>
      <c r="G72" s="15"/>
      <c r="H72" s="16"/>
      <c r="I72" s="23" t="s">
        <v>932</v>
      </c>
      <c r="J72" s="16" t="s">
        <v>933</v>
      </c>
      <c r="K72" s="15"/>
      <c r="L72" s="15"/>
      <c r="M72" s="15"/>
      <c r="N72" s="15"/>
      <c r="O72" s="15"/>
      <c r="P72" s="15"/>
      <c r="Q72" s="15"/>
      <c r="R72" s="15"/>
      <c r="S72" s="15"/>
      <c r="T72" s="15" t="s">
        <v>492</v>
      </c>
      <c r="U72" s="15"/>
      <c r="V72" s="16" t="s">
        <v>934</v>
      </c>
      <c r="W72" s="35" t="s">
        <v>671</v>
      </c>
      <c r="X72" s="15" t="s">
        <v>474</v>
      </c>
      <c r="Y72" s="15" t="s">
        <v>473</v>
      </c>
      <c r="Z72" s="30"/>
      <c r="AA72" s="15" t="s">
        <v>474</v>
      </c>
      <c r="AB72" s="15" t="s">
        <v>473</v>
      </c>
      <c r="AC72" s="30"/>
      <c r="AD72" s="15"/>
      <c r="AE72" s="15"/>
      <c r="AF72" s="15"/>
      <c r="AG72" s="30"/>
      <c r="AH72" s="15" t="s">
        <v>476</v>
      </c>
      <c r="AI72" s="15" t="s">
        <v>476</v>
      </c>
      <c r="AJ72" s="15" t="s">
        <v>935</v>
      </c>
      <c r="AK72" s="15"/>
    </row>
    <row r="73" s="95" customFormat="1" ht="79.2" spans="1:37">
      <c r="A73" s="14"/>
      <c r="B73" s="14"/>
      <c r="C73" s="15"/>
      <c r="D73" s="15"/>
      <c r="E73" s="16"/>
      <c r="F73" s="24"/>
      <c r="G73" s="15"/>
      <c r="H73" s="16"/>
      <c r="I73" s="23" t="s">
        <v>936</v>
      </c>
      <c r="J73" s="16" t="s">
        <v>937</v>
      </c>
      <c r="K73" s="15"/>
      <c r="L73" s="15"/>
      <c r="M73" s="15"/>
      <c r="N73" s="15"/>
      <c r="O73" s="15"/>
      <c r="P73" s="15"/>
      <c r="Q73" s="15" t="s">
        <v>36</v>
      </c>
      <c r="R73" s="15"/>
      <c r="S73" s="15"/>
      <c r="T73" s="15" t="s">
        <v>492</v>
      </c>
      <c r="U73" s="15"/>
      <c r="V73" s="16" t="s">
        <v>938</v>
      </c>
      <c r="W73" s="35" t="s">
        <v>891</v>
      </c>
      <c r="X73" s="15" t="s">
        <v>474</v>
      </c>
      <c r="Y73" s="15" t="s">
        <v>473</v>
      </c>
      <c r="Z73" s="30"/>
      <c r="AA73" s="15" t="s">
        <v>474</v>
      </c>
      <c r="AB73" s="15" t="s">
        <v>473</v>
      </c>
      <c r="AC73" s="30"/>
      <c r="AD73" s="15"/>
      <c r="AE73" s="15"/>
      <c r="AF73" s="15"/>
      <c r="AG73" s="30"/>
      <c r="AH73" s="15" t="s">
        <v>476</v>
      </c>
      <c r="AI73" s="15" t="s">
        <v>476</v>
      </c>
      <c r="AJ73" s="15" t="s">
        <v>935</v>
      </c>
      <c r="AK73" s="15"/>
    </row>
    <row r="74" s="95" customFormat="1" ht="79.2" spans="1:37">
      <c r="A74" s="14" t="s">
        <v>483</v>
      </c>
      <c r="B74" s="14" t="s">
        <v>922</v>
      </c>
      <c r="C74" s="15" t="s">
        <v>485</v>
      </c>
      <c r="D74" s="23" t="s">
        <v>939</v>
      </c>
      <c r="E74" s="16" t="s">
        <v>940</v>
      </c>
      <c r="F74" s="24"/>
      <c r="G74" s="15" t="s">
        <v>941</v>
      </c>
      <c r="H74" s="16" t="s">
        <v>942</v>
      </c>
      <c r="I74" s="23" t="s">
        <v>943</v>
      </c>
      <c r="J74" s="16" t="s">
        <v>944</v>
      </c>
      <c r="K74" s="15"/>
      <c r="L74" s="15"/>
      <c r="M74" s="15" t="s">
        <v>36</v>
      </c>
      <c r="N74" s="15"/>
      <c r="O74" s="15"/>
      <c r="P74" s="15"/>
      <c r="Q74" s="15"/>
      <c r="R74" s="15"/>
      <c r="S74" s="15"/>
      <c r="T74" s="15" t="s">
        <v>492</v>
      </c>
      <c r="U74" s="15"/>
      <c r="V74" s="16" t="s">
        <v>945</v>
      </c>
      <c r="W74" s="35" t="s">
        <v>946</v>
      </c>
      <c r="X74" s="15" t="s">
        <v>474</v>
      </c>
      <c r="Y74" s="15" t="s">
        <v>473</v>
      </c>
      <c r="Z74" s="30"/>
      <c r="AA74" s="15" t="s">
        <v>474</v>
      </c>
      <c r="AB74" s="15" t="s">
        <v>473</v>
      </c>
      <c r="AC74" s="30"/>
      <c r="AD74" s="15"/>
      <c r="AE74" s="30"/>
      <c r="AF74" s="30"/>
      <c r="AG74" s="30"/>
      <c r="AH74" s="15" t="s">
        <v>476</v>
      </c>
      <c r="AI74" s="15" t="s">
        <v>476</v>
      </c>
      <c r="AJ74" s="15" t="s">
        <v>935</v>
      </c>
      <c r="AK74" s="15" t="s">
        <v>599</v>
      </c>
    </row>
    <row r="75" s="95" customFormat="1" ht="79.2" spans="1:37">
      <c r="A75" s="14"/>
      <c r="B75" s="14"/>
      <c r="C75" s="15"/>
      <c r="D75" s="23"/>
      <c r="E75" s="16"/>
      <c r="F75" s="24"/>
      <c r="G75" s="15"/>
      <c r="H75" s="16"/>
      <c r="I75" s="23" t="s">
        <v>947</v>
      </c>
      <c r="J75" s="16" t="s">
        <v>948</v>
      </c>
      <c r="K75" s="15"/>
      <c r="L75" s="15"/>
      <c r="M75" s="15"/>
      <c r="N75" s="15"/>
      <c r="O75" s="15"/>
      <c r="P75" s="15"/>
      <c r="Q75" s="15"/>
      <c r="R75" s="15"/>
      <c r="S75" s="15" t="s">
        <v>36</v>
      </c>
      <c r="T75" s="15" t="s">
        <v>492</v>
      </c>
      <c r="U75" s="15"/>
      <c r="V75" s="16" t="s">
        <v>945</v>
      </c>
      <c r="W75" s="35" t="s">
        <v>949</v>
      </c>
      <c r="X75" s="15" t="s">
        <v>474</v>
      </c>
      <c r="Y75" s="15" t="s">
        <v>473</v>
      </c>
      <c r="Z75" s="30"/>
      <c r="AA75" s="15" t="s">
        <v>474</v>
      </c>
      <c r="AB75" s="15" t="s">
        <v>473</v>
      </c>
      <c r="AC75" s="30"/>
      <c r="AD75" s="15"/>
      <c r="AE75" s="30"/>
      <c r="AF75" s="30"/>
      <c r="AG75" s="30"/>
      <c r="AH75" s="15" t="s">
        <v>476</v>
      </c>
      <c r="AI75" s="15" t="s">
        <v>476</v>
      </c>
      <c r="AJ75" s="15" t="s">
        <v>935</v>
      </c>
      <c r="AK75" s="15"/>
    </row>
    <row r="76" s="95" customFormat="1" ht="66" spans="1:37">
      <c r="A76" s="14"/>
      <c r="B76" s="14"/>
      <c r="C76" s="15"/>
      <c r="D76" s="23"/>
      <c r="E76" s="16" t="s">
        <v>950</v>
      </c>
      <c r="F76" s="17" t="s">
        <v>951</v>
      </c>
      <c r="G76" s="15" t="s">
        <v>952</v>
      </c>
      <c r="H76" s="16" t="s">
        <v>953</v>
      </c>
      <c r="I76" s="23" t="s">
        <v>954</v>
      </c>
      <c r="J76" s="16" t="s">
        <v>955</v>
      </c>
      <c r="K76" s="15"/>
      <c r="L76" s="15"/>
      <c r="M76" s="15" t="s">
        <v>36</v>
      </c>
      <c r="N76" s="15"/>
      <c r="O76" s="15" t="s">
        <v>36</v>
      </c>
      <c r="P76" s="15"/>
      <c r="Q76" s="15"/>
      <c r="R76" s="15" t="s">
        <v>36</v>
      </c>
      <c r="S76" s="15"/>
      <c r="T76" s="15" t="s">
        <v>492</v>
      </c>
      <c r="U76" s="15"/>
      <c r="V76" s="16" t="s">
        <v>945</v>
      </c>
      <c r="W76" s="35" t="s">
        <v>604</v>
      </c>
      <c r="X76" s="15" t="s">
        <v>474</v>
      </c>
      <c r="Y76" s="15" t="s">
        <v>473</v>
      </c>
      <c r="Z76" s="30"/>
      <c r="AA76" s="15" t="s">
        <v>474</v>
      </c>
      <c r="AB76" s="15" t="s">
        <v>473</v>
      </c>
      <c r="AC76" s="30"/>
      <c r="AD76" s="15"/>
      <c r="AE76" s="30"/>
      <c r="AF76" s="30"/>
      <c r="AG76" s="30"/>
      <c r="AH76" s="15" t="s">
        <v>476</v>
      </c>
      <c r="AI76" s="15" t="s">
        <v>476</v>
      </c>
      <c r="AJ76" s="15" t="s">
        <v>956</v>
      </c>
      <c r="AK76" s="15" t="s">
        <v>599</v>
      </c>
    </row>
    <row r="77" s="95" customFormat="1" ht="66" spans="1:37">
      <c r="A77" s="14"/>
      <c r="B77" s="14"/>
      <c r="C77" s="15"/>
      <c r="D77" s="23"/>
      <c r="E77" s="16"/>
      <c r="F77" s="17"/>
      <c r="G77" s="15"/>
      <c r="H77" s="16"/>
      <c r="I77" s="23" t="s">
        <v>957</v>
      </c>
      <c r="J77" s="16" t="s">
        <v>958</v>
      </c>
      <c r="K77" s="15"/>
      <c r="L77" s="15"/>
      <c r="M77" s="15" t="s">
        <v>36</v>
      </c>
      <c r="N77" s="15"/>
      <c r="O77" s="15" t="s">
        <v>36</v>
      </c>
      <c r="P77" s="15"/>
      <c r="Q77" s="15"/>
      <c r="R77" s="15" t="s">
        <v>36</v>
      </c>
      <c r="S77" s="15" t="s">
        <v>36</v>
      </c>
      <c r="T77" s="15" t="s">
        <v>492</v>
      </c>
      <c r="U77" s="15"/>
      <c r="V77" s="16" t="s">
        <v>945</v>
      </c>
      <c r="W77" s="35" t="s">
        <v>604</v>
      </c>
      <c r="X77" s="15" t="s">
        <v>474</v>
      </c>
      <c r="Y77" s="15" t="s">
        <v>473</v>
      </c>
      <c r="Z77" s="30"/>
      <c r="AA77" s="15" t="s">
        <v>474</v>
      </c>
      <c r="AB77" s="15" t="s">
        <v>473</v>
      </c>
      <c r="AC77" s="30"/>
      <c r="AD77" s="15"/>
      <c r="AE77" s="30"/>
      <c r="AF77" s="30"/>
      <c r="AG77" s="30"/>
      <c r="AH77" s="15" t="s">
        <v>476</v>
      </c>
      <c r="AI77" s="15" t="s">
        <v>476</v>
      </c>
      <c r="AJ77" s="15" t="s">
        <v>956</v>
      </c>
      <c r="AK77" s="15"/>
    </row>
    <row r="78" s="95" customFormat="1" ht="66" spans="1:37">
      <c r="A78" s="14"/>
      <c r="B78" s="14"/>
      <c r="C78" s="15"/>
      <c r="D78" s="23"/>
      <c r="E78" s="16" t="s">
        <v>959</v>
      </c>
      <c r="F78" s="17" t="s">
        <v>960</v>
      </c>
      <c r="G78" s="15" t="s">
        <v>961</v>
      </c>
      <c r="H78" s="16" t="s">
        <v>962</v>
      </c>
      <c r="I78" s="23" t="s">
        <v>963</v>
      </c>
      <c r="J78" s="16" t="s">
        <v>964</v>
      </c>
      <c r="K78" s="15"/>
      <c r="L78" s="15"/>
      <c r="M78" s="15"/>
      <c r="N78" s="15"/>
      <c r="O78" s="15" t="s">
        <v>36</v>
      </c>
      <c r="P78" s="15"/>
      <c r="Q78" s="15"/>
      <c r="R78" s="15"/>
      <c r="S78" s="15"/>
      <c r="T78" s="15" t="s">
        <v>492</v>
      </c>
      <c r="U78" s="15"/>
      <c r="V78" s="16" t="s">
        <v>945</v>
      </c>
      <c r="W78" s="35" t="s">
        <v>604</v>
      </c>
      <c r="X78" s="15" t="s">
        <v>565</v>
      </c>
      <c r="Y78" s="15" t="s">
        <v>473</v>
      </c>
      <c r="Z78" s="30"/>
      <c r="AA78" s="15" t="s">
        <v>474</v>
      </c>
      <c r="AB78" s="15" t="s">
        <v>473</v>
      </c>
      <c r="AC78" s="30"/>
      <c r="AD78" s="15"/>
      <c r="AE78" s="30"/>
      <c r="AF78" s="15"/>
      <c r="AG78" s="30"/>
      <c r="AH78" s="15" t="s">
        <v>476</v>
      </c>
      <c r="AI78" s="15" t="s">
        <v>476</v>
      </c>
      <c r="AJ78" s="15" t="s">
        <v>965</v>
      </c>
      <c r="AK78" s="15" t="s">
        <v>599</v>
      </c>
    </row>
    <row r="79" s="95" customFormat="1" ht="66" spans="1:37">
      <c r="A79" s="14"/>
      <c r="B79" s="14"/>
      <c r="C79" s="15"/>
      <c r="D79" s="23"/>
      <c r="E79" s="16"/>
      <c r="F79" s="17"/>
      <c r="G79" s="15"/>
      <c r="H79" s="16"/>
      <c r="I79" s="23" t="s">
        <v>966</v>
      </c>
      <c r="J79" s="16" t="s">
        <v>967</v>
      </c>
      <c r="K79" s="15"/>
      <c r="L79" s="15"/>
      <c r="M79" s="15"/>
      <c r="N79" s="15"/>
      <c r="O79" s="15" t="s">
        <v>36</v>
      </c>
      <c r="P79" s="15"/>
      <c r="Q79" s="15"/>
      <c r="R79" s="15"/>
      <c r="S79" s="15"/>
      <c r="T79" s="15" t="s">
        <v>492</v>
      </c>
      <c r="U79" s="15"/>
      <c r="V79" s="16" t="s">
        <v>945</v>
      </c>
      <c r="W79" s="35" t="s">
        <v>968</v>
      </c>
      <c r="X79" s="15" t="s">
        <v>565</v>
      </c>
      <c r="Y79" s="15" t="s">
        <v>473</v>
      </c>
      <c r="Z79" s="30"/>
      <c r="AA79" s="15" t="s">
        <v>474</v>
      </c>
      <c r="AB79" s="15" t="s">
        <v>473</v>
      </c>
      <c r="AC79" s="30"/>
      <c r="AD79" s="15"/>
      <c r="AE79" s="30"/>
      <c r="AF79" s="15"/>
      <c r="AG79" s="30"/>
      <c r="AH79" s="15" t="s">
        <v>476</v>
      </c>
      <c r="AI79" s="15" t="s">
        <v>476</v>
      </c>
      <c r="AJ79" s="15" t="s">
        <v>965</v>
      </c>
      <c r="AK79" s="15"/>
    </row>
    <row r="80" s="95" customFormat="1" ht="66" spans="1:37">
      <c r="A80" s="14"/>
      <c r="B80" s="14"/>
      <c r="C80" s="15"/>
      <c r="D80" s="23"/>
      <c r="E80" s="16"/>
      <c r="F80" s="17"/>
      <c r="G80" s="15"/>
      <c r="H80" s="16"/>
      <c r="I80" s="23" t="s">
        <v>969</v>
      </c>
      <c r="J80" s="16" t="s">
        <v>970</v>
      </c>
      <c r="K80" s="15"/>
      <c r="L80" s="15"/>
      <c r="M80" s="15"/>
      <c r="N80" s="15"/>
      <c r="O80" s="15" t="s">
        <v>36</v>
      </c>
      <c r="P80" s="15"/>
      <c r="Q80" s="15"/>
      <c r="R80" s="15"/>
      <c r="S80" s="15"/>
      <c r="T80" s="15" t="s">
        <v>492</v>
      </c>
      <c r="U80" s="15"/>
      <c r="V80" s="16" t="s">
        <v>945</v>
      </c>
      <c r="W80" s="35" t="s">
        <v>949</v>
      </c>
      <c r="X80" s="15" t="s">
        <v>565</v>
      </c>
      <c r="Y80" s="15" t="s">
        <v>473</v>
      </c>
      <c r="Z80" s="30"/>
      <c r="AA80" s="15" t="s">
        <v>474</v>
      </c>
      <c r="AB80" s="15" t="s">
        <v>473</v>
      </c>
      <c r="AC80" s="30"/>
      <c r="AD80" s="15"/>
      <c r="AE80" s="30"/>
      <c r="AF80" s="15"/>
      <c r="AG80" s="30"/>
      <c r="AH80" s="15" t="s">
        <v>476</v>
      </c>
      <c r="AI80" s="15" t="s">
        <v>476</v>
      </c>
      <c r="AJ80" s="15" t="s">
        <v>965</v>
      </c>
      <c r="AK80" s="15"/>
    </row>
    <row r="81" s="95" customFormat="1" ht="66" spans="1:37">
      <c r="A81" s="14"/>
      <c r="B81" s="14"/>
      <c r="C81" s="15"/>
      <c r="D81" s="23"/>
      <c r="E81" s="16"/>
      <c r="F81" s="17"/>
      <c r="G81" s="15"/>
      <c r="H81" s="16"/>
      <c r="I81" s="23" t="s">
        <v>971</v>
      </c>
      <c r="J81" s="16" t="s">
        <v>972</v>
      </c>
      <c r="K81" s="15"/>
      <c r="L81" s="15"/>
      <c r="M81" s="15"/>
      <c r="N81" s="15"/>
      <c r="O81" s="15"/>
      <c r="P81" s="15"/>
      <c r="Q81" s="15"/>
      <c r="R81" s="15"/>
      <c r="S81" s="15" t="s">
        <v>36</v>
      </c>
      <c r="T81" s="15" t="s">
        <v>465</v>
      </c>
      <c r="U81" s="15" t="s">
        <v>602</v>
      </c>
      <c r="V81" s="16" t="s">
        <v>945</v>
      </c>
      <c r="W81" s="35" t="s">
        <v>949</v>
      </c>
      <c r="X81" s="15" t="s">
        <v>565</v>
      </c>
      <c r="Y81" s="15" t="s">
        <v>473</v>
      </c>
      <c r="Z81" s="30"/>
      <c r="AA81" s="15" t="s">
        <v>474</v>
      </c>
      <c r="AB81" s="15" t="s">
        <v>473</v>
      </c>
      <c r="AC81" s="30"/>
      <c r="AD81" s="15" t="s">
        <v>973</v>
      </c>
      <c r="AE81" s="15" t="s">
        <v>511</v>
      </c>
      <c r="AF81" s="15"/>
      <c r="AG81" s="30"/>
      <c r="AH81" s="15" t="s">
        <v>476</v>
      </c>
      <c r="AI81" s="15" t="s">
        <v>476</v>
      </c>
      <c r="AJ81" s="15" t="s">
        <v>974</v>
      </c>
      <c r="AK81" s="15" t="s">
        <v>599</v>
      </c>
    </row>
    <row r="82" s="95" customFormat="1" ht="52.8" spans="1:37">
      <c r="A82" s="14" t="s">
        <v>483</v>
      </c>
      <c r="B82" s="14" t="s">
        <v>922</v>
      </c>
      <c r="C82" s="15" t="s">
        <v>485</v>
      </c>
      <c r="D82" s="15" t="s">
        <v>975</v>
      </c>
      <c r="E82" s="16" t="s">
        <v>976</v>
      </c>
      <c r="F82" s="24"/>
      <c r="G82" s="15" t="s">
        <v>977</v>
      </c>
      <c r="H82" s="16" t="s">
        <v>978</v>
      </c>
      <c r="I82" s="23" t="s">
        <v>979</v>
      </c>
      <c r="J82" s="16" t="s">
        <v>980</v>
      </c>
      <c r="K82" s="15"/>
      <c r="L82" s="15"/>
      <c r="M82" s="15"/>
      <c r="N82" s="15"/>
      <c r="O82" s="15" t="s">
        <v>36</v>
      </c>
      <c r="P82" s="15"/>
      <c r="Q82" s="15"/>
      <c r="R82" s="15"/>
      <c r="S82" s="15"/>
      <c r="T82" s="15" t="s">
        <v>492</v>
      </c>
      <c r="U82" s="15"/>
      <c r="V82" s="16" t="s">
        <v>981</v>
      </c>
      <c r="W82" s="35" t="s">
        <v>982</v>
      </c>
      <c r="X82" s="15" t="s">
        <v>565</v>
      </c>
      <c r="Y82" s="15" t="s">
        <v>473</v>
      </c>
      <c r="Z82" s="30"/>
      <c r="AA82" s="15" t="s">
        <v>474</v>
      </c>
      <c r="AB82" s="15" t="s">
        <v>473</v>
      </c>
      <c r="AC82" s="30"/>
      <c r="AD82" s="15"/>
      <c r="AE82" s="30"/>
      <c r="AF82" s="15"/>
      <c r="AG82" s="30"/>
      <c r="AH82" s="15" t="s">
        <v>476</v>
      </c>
      <c r="AI82" s="30" t="s">
        <v>476</v>
      </c>
      <c r="AJ82" s="15" t="s">
        <v>558</v>
      </c>
      <c r="AK82" s="15" t="s">
        <v>673</v>
      </c>
    </row>
    <row r="83" s="95" customFormat="1" ht="79.2" spans="1:37">
      <c r="A83" s="14"/>
      <c r="B83" s="14"/>
      <c r="C83" s="15"/>
      <c r="D83" s="15"/>
      <c r="E83" s="16"/>
      <c r="F83" s="24"/>
      <c r="G83" s="15"/>
      <c r="H83" s="16"/>
      <c r="I83" s="23" t="s">
        <v>983</v>
      </c>
      <c r="J83" s="16" t="s">
        <v>984</v>
      </c>
      <c r="K83" s="15"/>
      <c r="L83" s="15"/>
      <c r="M83" s="15"/>
      <c r="N83" s="15"/>
      <c r="O83" s="15" t="s">
        <v>36</v>
      </c>
      <c r="P83" s="15" t="s">
        <v>36</v>
      </c>
      <c r="Q83" s="15" t="s">
        <v>36</v>
      </c>
      <c r="R83" s="15"/>
      <c r="S83" s="15"/>
      <c r="T83" s="15" t="s">
        <v>550</v>
      </c>
      <c r="U83" s="15" t="s">
        <v>985</v>
      </c>
      <c r="V83" s="16" t="s">
        <v>986</v>
      </c>
      <c r="W83" s="35" t="s">
        <v>713</v>
      </c>
      <c r="X83" s="15" t="s">
        <v>565</v>
      </c>
      <c r="Y83" s="15" t="s">
        <v>473</v>
      </c>
      <c r="Z83" s="30"/>
      <c r="AA83" s="15" t="s">
        <v>474</v>
      </c>
      <c r="AB83" s="15" t="s">
        <v>473</v>
      </c>
      <c r="AC83" s="30"/>
      <c r="AD83" s="15"/>
      <c r="AE83" s="30"/>
      <c r="AF83" s="15"/>
      <c r="AG83" s="30"/>
      <c r="AH83" s="15" t="s">
        <v>476</v>
      </c>
      <c r="AI83" s="30" t="s">
        <v>610</v>
      </c>
      <c r="AJ83" s="15" t="s">
        <v>558</v>
      </c>
      <c r="AK83" s="15"/>
    </row>
    <row r="84" s="95" customFormat="1" ht="118.8" spans="1:37">
      <c r="A84" s="14"/>
      <c r="B84" s="14"/>
      <c r="C84" s="15"/>
      <c r="D84" s="15"/>
      <c r="E84" s="16"/>
      <c r="F84" s="24"/>
      <c r="G84" s="15"/>
      <c r="H84" s="16"/>
      <c r="I84" s="23" t="s">
        <v>987</v>
      </c>
      <c r="J84" s="16" t="s">
        <v>988</v>
      </c>
      <c r="K84" s="15"/>
      <c r="L84" s="15"/>
      <c r="M84" s="15"/>
      <c r="N84" s="15"/>
      <c r="O84" s="15" t="s">
        <v>36</v>
      </c>
      <c r="P84" s="15"/>
      <c r="Q84" s="15"/>
      <c r="R84" s="15"/>
      <c r="S84" s="15"/>
      <c r="T84" s="15" t="s">
        <v>492</v>
      </c>
      <c r="U84" s="15"/>
      <c r="V84" s="16" t="s">
        <v>989</v>
      </c>
      <c r="W84" s="35" t="s">
        <v>990</v>
      </c>
      <c r="X84" s="15" t="s">
        <v>565</v>
      </c>
      <c r="Y84" s="15" t="s">
        <v>473</v>
      </c>
      <c r="Z84" s="30"/>
      <c r="AA84" s="15" t="s">
        <v>474</v>
      </c>
      <c r="AB84" s="15" t="s">
        <v>473</v>
      </c>
      <c r="AC84" s="30"/>
      <c r="AD84" s="15"/>
      <c r="AE84" s="30"/>
      <c r="AF84" s="15"/>
      <c r="AG84" s="30"/>
      <c r="AH84" s="15" t="s">
        <v>476</v>
      </c>
      <c r="AI84" s="30" t="s">
        <v>610</v>
      </c>
      <c r="AJ84" s="15" t="s">
        <v>558</v>
      </c>
      <c r="AK84" s="15"/>
    </row>
    <row r="85" s="95" customFormat="1" ht="52.8" spans="1:37">
      <c r="A85" s="14"/>
      <c r="B85" s="14"/>
      <c r="C85" s="15"/>
      <c r="D85" s="15"/>
      <c r="E85" s="16"/>
      <c r="F85" s="24"/>
      <c r="G85" s="15"/>
      <c r="H85" s="16"/>
      <c r="I85" s="23" t="s">
        <v>991</v>
      </c>
      <c r="J85" s="16" t="s">
        <v>992</v>
      </c>
      <c r="K85" s="15"/>
      <c r="L85" s="15"/>
      <c r="M85" s="15"/>
      <c r="N85" s="15"/>
      <c r="O85" s="15" t="s">
        <v>36</v>
      </c>
      <c r="P85" s="15"/>
      <c r="Q85" s="15" t="s">
        <v>36</v>
      </c>
      <c r="R85" s="15"/>
      <c r="S85" s="15"/>
      <c r="T85" s="15" t="s">
        <v>492</v>
      </c>
      <c r="U85" s="15"/>
      <c r="V85" s="16" t="s">
        <v>981</v>
      </c>
      <c r="W85" s="35" t="s">
        <v>713</v>
      </c>
      <c r="X85" s="15" t="s">
        <v>565</v>
      </c>
      <c r="Y85" s="15" t="s">
        <v>473</v>
      </c>
      <c r="Z85" s="30"/>
      <c r="AA85" s="15" t="s">
        <v>474</v>
      </c>
      <c r="AB85" s="15" t="s">
        <v>473</v>
      </c>
      <c r="AC85" s="30"/>
      <c r="AD85" s="15"/>
      <c r="AE85" s="30"/>
      <c r="AF85" s="15"/>
      <c r="AG85" s="30"/>
      <c r="AH85" s="15" t="s">
        <v>476</v>
      </c>
      <c r="AI85" s="30" t="s">
        <v>610</v>
      </c>
      <c r="AJ85" s="15" t="s">
        <v>558</v>
      </c>
      <c r="AK85" s="15"/>
    </row>
    <row r="86" s="95" customFormat="1" ht="118.8" spans="1:37">
      <c r="A86" s="14"/>
      <c r="B86" s="14"/>
      <c r="C86" s="15"/>
      <c r="D86" s="15"/>
      <c r="E86" s="16"/>
      <c r="F86" s="24"/>
      <c r="G86" s="15"/>
      <c r="H86" s="16"/>
      <c r="I86" s="23" t="s">
        <v>993</v>
      </c>
      <c r="J86" s="16" t="s">
        <v>994</v>
      </c>
      <c r="K86" s="15"/>
      <c r="L86" s="15"/>
      <c r="M86" s="15"/>
      <c r="N86" s="15"/>
      <c r="O86" s="15" t="s">
        <v>36</v>
      </c>
      <c r="P86" s="15" t="s">
        <v>36</v>
      </c>
      <c r="Q86" s="15" t="s">
        <v>36</v>
      </c>
      <c r="R86" s="15"/>
      <c r="S86" s="15"/>
      <c r="T86" s="15" t="s">
        <v>492</v>
      </c>
      <c r="U86" s="15"/>
      <c r="V86" s="16" t="s">
        <v>989</v>
      </c>
      <c r="W86" s="35" t="s">
        <v>713</v>
      </c>
      <c r="X86" s="15" t="s">
        <v>565</v>
      </c>
      <c r="Y86" s="15" t="s">
        <v>473</v>
      </c>
      <c r="Z86" s="30"/>
      <c r="AA86" s="15" t="s">
        <v>474</v>
      </c>
      <c r="AB86" s="15" t="s">
        <v>473</v>
      </c>
      <c r="AC86" s="30"/>
      <c r="AD86" s="15"/>
      <c r="AE86" s="30"/>
      <c r="AF86" s="15"/>
      <c r="AG86" s="30"/>
      <c r="AH86" s="15" t="s">
        <v>476</v>
      </c>
      <c r="AI86" s="30" t="s">
        <v>610</v>
      </c>
      <c r="AJ86" s="15" t="s">
        <v>558</v>
      </c>
      <c r="AK86" s="15"/>
    </row>
    <row r="87" s="95" customFormat="1" ht="118.8" spans="1:37">
      <c r="A87" s="14"/>
      <c r="B87" s="14"/>
      <c r="C87" s="15" t="s">
        <v>536</v>
      </c>
      <c r="D87" s="23" t="s">
        <v>995</v>
      </c>
      <c r="E87" s="16" t="s">
        <v>996</v>
      </c>
      <c r="F87" s="24"/>
      <c r="G87" s="15" t="s">
        <v>997</v>
      </c>
      <c r="H87" s="15" t="s">
        <v>998</v>
      </c>
      <c r="I87" s="23" t="s">
        <v>999</v>
      </c>
      <c r="J87" s="16" t="s">
        <v>1000</v>
      </c>
      <c r="K87" s="15"/>
      <c r="L87" s="15"/>
      <c r="M87" s="15"/>
      <c r="N87" s="15"/>
      <c r="O87" s="15"/>
      <c r="P87" s="15"/>
      <c r="Q87" s="15" t="s">
        <v>36</v>
      </c>
      <c r="R87" s="15"/>
      <c r="S87" s="15"/>
      <c r="T87" s="15" t="s">
        <v>465</v>
      </c>
      <c r="U87" s="15" t="s">
        <v>790</v>
      </c>
      <c r="V87" s="16" t="s">
        <v>1001</v>
      </c>
      <c r="W87" s="35" t="s">
        <v>1002</v>
      </c>
      <c r="X87" s="15" t="s">
        <v>511</v>
      </c>
      <c r="Y87" s="15" t="s">
        <v>566</v>
      </c>
      <c r="Z87" s="30"/>
      <c r="AA87" s="15" t="s">
        <v>474</v>
      </c>
      <c r="AB87" s="15" t="s">
        <v>473</v>
      </c>
      <c r="AC87" s="30"/>
      <c r="AD87" s="15" t="s">
        <v>1003</v>
      </c>
      <c r="AE87" s="15" t="s">
        <v>511</v>
      </c>
      <c r="AF87" s="15"/>
      <c r="AG87" s="30"/>
      <c r="AH87" s="15" t="s">
        <v>476</v>
      </c>
      <c r="AI87" s="15" t="s">
        <v>476</v>
      </c>
      <c r="AJ87" s="15" t="s">
        <v>870</v>
      </c>
      <c r="AK87" s="15" t="s">
        <v>532</v>
      </c>
    </row>
    <row r="88" s="95" customFormat="1" ht="118.8" spans="1:37">
      <c r="A88" s="14"/>
      <c r="B88" s="14"/>
      <c r="C88" s="15"/>
      <c r="D88" s="23"/>
      <c r="E88" s="16"/>
      <c r="F88" s="24"/>
      <c r="G88" s="15"/>
      <c r="H88" s="15"/>
      <c r="I88" s="23" t="s">
        <v>1004</v>
      </c>
      <c r="J88" s="16" t="s">
        <v>1005</v>
      </c>
      <c r="K88" s="15"/>
      <c r="L88" s="15"/>
      <c r="M88" s="15"/>
      <c r="N88" s="15"/>
      <c r="O88" s="15"/>
      <c r="P88" s="15"/>
      <c r="Q88" s="15" t="s">
        <v>36</v>
      </c>
      <c r="R88" s="15"/>
      <c r="S88" s="15"/>
      <c r="T88" s="15" t="s">
        <v>465</v>
      </c>
      <c r="U88" s="15" t="s">
        <v>1006</v>
      </c>
      <c r="V88" s="16" t="s">
        <v>1001</v>
      </c>
      <c r="W88" s="35" t="s">
        <v>1002</v>
      </c>
      <c r="X88" s="15" t="s">
        <v>511</v>
      </c>
      <c r="Y88" s="15" t="s">
        <v>566</v>
      </c>
      <c r="Z88" s="30"/>
      <c r="AA88" s="15" t="s">
        <v>474</v>
      </c>
      <c r="AB88" s="15" t="s">
        <v>473</v>
      </c>
      <c r="AC88" s="30"/>
      <c r="AD88" s="15" t="s">
        <v>1003</v>
      </c>
      <c r="AE88" s="15" t="s">
        <v>511</v>
      </c>
      <c r="AF88" s="15"/>
      <c r="AG88" s="30"/>
      <c r="AH88" s="15" t="s">
        <v>476</v>
      </c>
      <c r="AI88" s="15" t="s">
        <v>476</v>
      </c>
      <c r="AJ88" s="15" t="s">
        <v>870</v>
      </c>
      <c r="AK88" s="15"/>
    </row>
    <row r="89" s="95" customFormat="1" ht="105.6" spans="1:37">
      <c r="A89" s="14" t="s">
        <v>483</v>
      </c>
      <c r="B89" s="14" t="s">
        <v>922</v>
      </c>
      <c r="C89" s="15" t="s">
        <v>536</v>
      </c>
      <c r="D89" s="23" t="s">
        <v>995</v>
      </c>
      <c r="E89" s="16" t="s">
        <v>1007</v>
      </c>
      <c r="F89" s="40"/>
      <c r="G89" s="15" t="s">
        <v>1008</v>
      </c>
      <c r="H89" s="16" t="s">
        <v>1009</v>
      </c>
      <c r="I89" s="23" t="s">
        <v>1010</v>
      </c>
      <c r="J89" s="16" t="s">
        <v>1011</v>
      </c>
      <c r="K89" s="15"/>
      <c r="L89" s="15" t="s">
        <v>36</v>
      </c>
      <c r="M89" s="15"/>
      <c r="N89" s="15"/>
      <c r="O89" s="15"/>
      <c r="P89" s="15"/>
      <c r="Q89" s="15" t="s">
        <v>36</v>
      </c>
      <c r="R89" s="15"/>
      <c r="S89" s="15"/>
      <c r="T89" s="15" t="s">
        <v>465</v>
      </c>
      <c r="U89" s="15" t="s">
        <v>467</v>
      </c>
      <c r="V89" s="16" t="s">
        <v>1012</v>
      </c>
      <c r="W89" s="35" t="s">
        <v>1013</v>
      </c>
      <c r="X89" s="15" t="s">
        <v>511</v>
      </c>
      <c r="Y89" s="15" t="s">
        <v>566</v>
      </c>
      <c r="Z89" s="30"/>
      <c r="AA89" s="15" t="s">
        <v>474</v>
      </c>
      <c r="AB89" s="15" t="s">
        <v>473</v>
      </c>
      <c r="AC89" s="30"/>
      <c r="AD89" s="15" t="s">
        <v>1014</v>
      </c>
      <c r="AE89" s="15" t="s">
        <v>511</v>
      </c>
      <c r="AF89" s="15"/>
      <c r="AG89" s="30"/>
      <c r="AH89" s="15" t="s">
        <v>476</v>
      </c>
      <c r="AI89" s="15" t="s">
        <v>476</v>
      </c>
      <c r="AJ89" s="15" t="s">
        <v>870</v>
      </c>
      <c r="AK89" s="15" t="s">
        <v>532</v>
      </c>
    </row>
    <row r="90" s="95" customFormat="1" ht="105.6" spans="1:37">
      <c r="A90" s="14"/>
      <c r="B90" s="14"/>
      <c r="C90" s="15"/>
      <c r="D90" s="23"/>
      <c r="E90" s="16"/>
      <c r="F90" s="40"/>
      <c r="G90" s="15"/>
      <c r="H90" s="16"/>
      <c r="I90" s="23" t="s">
        <v>1015</v>
      </c>
      <c r="J90" s="16" t="s">
        <v>1016</v>
      </c>
      <c r="K90" s="15"/>
      <c r="L90" s="15" t="s">
        <v>36</v>
      </c>
      <c r="M90" s="15"/>
      <c r="N90" s="15"/>
      <c r="O90" s="15"/>
      <c r="P90" s="15"/>
      <c r="Q90" s="15" t="s">
        <v>36</v>
      </c>
      <c r="R90" s="15"/>
      <c r="S90" s="15"/>
      <c r="T90" s="15" t="s">
        <v>465</v>
      </c>
      <c r="U90" s="15" t="s">
        <v>467</v>
      </c>
      <c r="V90" s="16" t="s">
        <v>1017</v>
      </c>
      <c r="W90" s="35" t="s">
        <v>1013</v>
      </c>
      <c r="X90" s="15" t="s">
        <v>511</v>
      </c>
      <c r="Y90" s="15" t="s">
        <v>566</v>
      </c>
      <c r="Z90" s="30"/>
      <c r="AA90" s="15" t="s">
        <v>474</v>
      </c>
      <c r="AB90" s="15" t="s">
        <v>473</v>
      </c>
      <c r="AC90" s="30"/>
      <c r="AD90" s="15" t="s">
        <v>1014</v>
      </c>
      <c r="AE90" s="15" t="s">
        <v>511</v>
      </c>
      <c r="AF90" s="15"/>
      <c r="AG90" s="30"/>
      <c r="AH90" s="15" t="s">
        <v>476</v>
      </c>
      <c r="AI90" s="15" t="s">
        <v>476</v>
      </c>
      <c r="AJ90" s="15" t="s">
        <v>870</v>
      </c>
      <c r="AK90" s="15"/>
    </row>
    <row r="91" s="95" customFormat="1" ht="66" customHeight="1" spans="1:37">
      <c r="A91" s="14"/>
      <c r="B91" s="14"/>
      <c r="C91" s="15"/>
      <c r="D91" s="23"/>
      <c r="E91" s="16"/>
      <c r="F91" s="40"/>
      <c r="G91" s="15"/>
      <c r="H91" s="16"/>
      <c r="I91" s="23" t="s">
        <v>1018</v>
      </c>
      <c r="J91" s="16" t="s">
        <v>1019</v>
      </c>
      <c r="K91" s="15"/>
      <c r="L91" s="15"/>
      <c r="M91" s="15"/>
      <c r="N91" s="15"/>
      <c r="O91" s="15"/>
      <c r="P91" s="15"/>
      <c r="Q91" s="15" t="s">
        <v>36</v>
      </c>
      <c r="R91" s="15"/>
      <c r="S91" s="15"/>
      <c r="T91" s="15" t="s">
        <v>550</v>
      </c>
      <c r="U91" s="15" t="s">
        <v>467</v>
      </c>
      <c r="V91" s="16" t="s">
        <v>1020</v>
      </c>
      <c r="W91" s="35" t="s">
        <v>1002</v>
      </c>
      <c r="X91" s="15" t="s">
        <v>511</v>
      </c>
      <c r="Y91" s="15" t="s">
        <v>566</v>
      </c>
      <c r="Z91" s="30"/>
      <c r="AA91" s="15" t="s">
        <v>474</v>
      </c>
      <c r="AB91" s="15" t="s">
        <v>473</v>
      </c>
      <c r="AC91" s="30"/>
      <c r="AD91" s="15"/>
      <c r="AE91" s="30"/>
      <c r="AF91" s="15"/>
      <c r="AG91" s="30"/>
      <c r="AH91" s="15" t="s">
        <v>476</v>
      </c>
      <c r="AI91" s="15" t="s">
        <v>476</v>
      </c>
      <c r="AJ91" s="15" t="s">
        <v>870</v>
      </c>
      <c r="AK91" s="15"/>
    </row>
    <row r="92" s="95" customFormat="1" ht="92.4" spans="1:37">
      <c r="A92" s="14"/>
      <c r="B92" s="14"/>
      <c r="C92" s="15" t="s">
        <v>536</v>
      </c>
      <c r="D92" s="15" t="s">
        <v>1021</v>
      </c>
      <c r="E92" s="16" t="s">
        <v>1022</v>
      </c>
      <c r="F92" s="16"/>
      <c r="G92" s="15" t="s">
        <v>1023</v>
      </c>
      <c r="H92" s="15" t="s">
        <v>1024</v>
      </c>
      <c r="I92" s="23" t="s">
        <v>1025</v>
      </c>
      <c r="J92" s="16" t="s">
        <v>1026</v>
      </c>
      <c r="K92" s="15"/>
      <c r="L92" s="15" t="s">
        <v>36</v>
      </c>
      <c r="M92" s="15"/>
      <c r="N92" s="15"/>
      <c r="O92" s="15"/>
      <c r="P92" s="15"/>
      <c r="Q92" s="15"/>
      <c r="R92" s="15"/>
      <c r="S92" s="15" t="s">
        <v>36</v>
      </c>
      <c r="T92" s="15" t="s">
        <v>492</v>
      </c>
      <c r="U92" s="15"/>
      <c r="V92" s="16" t="s">
        <v>1027</v>
      </c>
      <c r="W92" s="105" t="s">
        <v>494</v>
      </c>
      <c r="X92" s="15" t="s">
        <v>474</v>
      </c>
      <c r="Y92" s="15" t="s">
        <v>473</v>
      </c>
      <c r="Z92" s="15"/>
      <c r="AA92" s="15" t="s">
        <v>474</v>
      </c>
      <c r="AB92" s="15" t="s">
        <v>473</v>
      </c>
      <c r="AC92" s="15"/>
      <c r="AD92" s="15"/>
      <c r="AE92" s="30"/>
      <c r="AF92" s="15"/>
      <c r="AG92" s="15"/>
      <c r="AH92" s="15" t="s">
        <v>476</v>
      </c>
      <c r="AI92" s="15" t="s">
        <v>476</v>
      </c>
      <c r="AJ92" s="15" t="s">
        <v>1028</v>
      </c>
      <c r="AK92" s="15" t="s">
        <v>497</v>
      </c>
    </row>
    <row r="93" s="95" customFormat="1" ht="52.8" spans="1:37">
      <c r="A93" s="14"/>
      <c r="B93" s="14"/>
      <c r="C93" s="15"/>
      <c r="D93" s="15"/>
      <c r="E93" s="16"/>
      <c r="F93" s="16"/>
      <c r="G93" s="15"/>
      <c r="H93" s="15"/>
      <c r="I93" s="23" t="s">
        <v>1029</v>
      </c>
      <c r="J93" s="16" t="s">
        <v>1030</v>
      </c>
      <c r="K93" s="15"/>
      <c r="L93" s="15" t="s">
        <v>36</v>
      </c>
      <c r="M93" s="15"/>
      <c r="N93" s="15"/>
      <c r="O93" s="15"/>
      <c r="P93" s="15"/>
      <c r="Q93" s="15"/>
      <c r="R93" s="15"/>
      <c r="S93" s="15" t="s">
        <v>36</v>
      </c>
      <c r="T93" s="15" t="s">
        <v>492</v>
      </c>
      <c r="U93" s="15"/>
      <c r="V93" s="16" t="s">
        <v>1031</v>
      </c>
      <c r="W93" s="105" t="s">
        <v>494</v>
      </c>
      <c r="X93" s="15" t="s">
        <v>474</v>
      </c>
      <c r="Y93" s="15" t="s">
        <v>473</v>
      </c>
      <c r="Z93" s="15"/>
      <c r="AA93" s="15" t="s">
        <v>474</v>
      </c>
      <c r="AB93" s="15" t="s">
        <v>473</v>
      </c>
      <c r="AC93" s="15"/>
      <c r="AD93" s="15"/>
      <c r="AE93" s="30"/>
      <c r="AF93" s="15"/>
      <c r="AG93" s="15"/>
      <c r="AH93" s="15" t="s">
        <v>476</v>
      </c>
      <c r="AI93" s="15" t="s">
        <v>476</v>
      </c>
      <c r="AJ93" s="15" t="s">
        <v>1028</v>
      </c>
      <c r="AK93" s="15"/>
    </row>
    <row r="94" s="95" customFormat="1" ht="66" spans="1:37">
      <c r="A94" s="14"/>
      <c r="B94" s="14"/>
      <c r="C94" s="15"/>
      <c r="D94" s="15"/>
      <c r="E94" s="16"/>
      <c r="F94" s="16"/>
      <c r="G94" s="15"/>
      <c r="H94" s="15"/>
      <c r="I94" s="23" t="s">
        <v>1032</v>
      </c>
      <c r="J94" s="16" t="s">
        <v>1033</v>
      </c>
      <c r="K94" s="15"/>
      <c r="L94" s="15" t="s">
        <v>36</v>
      </c>
      <c r="M94" s="15"/>
      <c r="N94" s="15"/>
      <c r="O94" s="15"/>
      <c r="P94" s="15"/>
      <c r="Q94" s="15"/>
      <c r="R94" s="15"/>
      <c r="S94" s="15" t="s">
        <v>36</v>
      </c>
      <c r="T94" s="15" t="s">
        <v>492</v>
      </c>
      <c r="U94" s="15"/>
      <c r="V94" s="16" t="s">
        <v>1034</v>
      </c>
      <c r="W94" s="105" t="s">
        <v>494</v>
      </c>
      <c r="X94" s="15" t="s">
        <v>474</v>
      </c>
      <c r="Y94" s="15" t="s">
        <v>473</v>
      </c>
      <c r="Z94" s="15"/>
      <c r="AA94" s="15" t="s">
        <v>474</v>
      </c>
      <c r="AB94" s="15" t="s">
        <v>473</v>
      </c>
      <c r="AC94" s="15"/>
      <c r="AD94" s="15"/>
      <c r="AE94" s="30"/>
      <c r="AF94" s="15"/>
      <c r="AG94" s="15"/>
      <c r="AH94" s="15" t="s">
        <v>476</v>
      </c>
      <c r="AI94" s="15" t="s">
        <v>476</v>
      </c>
      <c r="AJ94" s="15" t="s">
        <v>1028</v>
      </c>
      <c r="AK94" s="15"/>
    </row>
    <row r="95" s="95" customFormat="1" ht="66" spans="1:37">
      <c r="A95" s="14"/>
      <c r="B95" s="14"/>
      <c r="C95" s="15"/>
      <c r="D95" s="15"/>
      <c r="E95" s="16"/>
      <c r="F95" s="16"/>
      <c r="G95" s="15"/>
      <c r="H95" s="15"/>
      <c r="I95" s="23" t="s">
        <v>1035</v>
      </c>
      <c r="J95" s="16" t="s">
        <v>1036</v>
      </c>
      <c r="K95" s="15"/>
      <c r="L95" s="15" t="s">
        <v>36</v>
      </c>
      <c r="M95" s="15"/>
      <c r="N95" s="15"/>
      <c r="O95" s="15"/>
      <c r="P95" s="15"/>
      <c r="Q95" s="15"/>
      <c r="R95" s="15"/>
      <c r="S95" s="15" t="s">
        <v>36</v>
      </c>
      <c r="T95" s="15" t="s">
        <v>492</v>
      </c>
      <c r="U95" s="15"/>
      <c r="V95" s="16" t="s">
        <v>1037</v>
      </c>
      <c r="W95" s="105" t="s">
        <v>494</v>
      </c>
      <c r="X95" s="15" t="s">
        <v>474</v>
      </c>
      <c r="Y95" s="15" t="s">
        <v>473</v>
      </c>
      <c r="Z95" s="15"/>
      <c r="AA95" s="15" t="s">
        <v>474</v>
      </c>
      <c r="AB95" s="15" t="s">
        <v>473</v>
      </c>
      <c r="AC95" s="15"/>
      <c r="AD95" s="15"/>
      <c r="AE95" s="30"/>
      <c r="AF95" s="15"/>
      <c r="AG95" s="15"/>
      <c r="AH95" s="15" t="s">
        <v>476</v>
      </c>
      <c r="AI95" s="15" t="s">
        <v>476</v>
      </c>
      <c r="AJ95" s="15" t="s">
        <v>1028</v>
      </c>
      <c r="AK95" s="15"/>
    </row>
  </sheetData>
  <sheetProtection formatCells="0" formatColumns="0" formatRows="0" insertRows="0" insertColumns="0" insertHyperlinks="0" deleteColumns="0" deleteRows="0" sort="0" autoFilter="0" pivotTables="0"/>
  <autoFilter xmlns:etc="http://www.wps.cn/officeDocument/2017/etCustomData" ref="A2:AK95" etc:filterBottomFollowUsedRange="0">
    <extLst/>
  </autoFilter>
  <mergeCells count="243">
    <mergeCell ref="A1:AK1"/>
    <mergeCell ref="K2:S2"/>
    <mergeCell ref="X2:Z2"/>
    <mergeCell ref="AA2:AC2"/>
    <mergeCell ref="AD2:AG2"/>
    <mergeCell ref="AH2:AJ2"/>
    <mergeCell ref="A2:A3"/>
    <mergeCell ref="A4:A11"/>
    <mergeCell ref="A12:A18"/>
    <mergeCell ref="A19:A28"/>
    <mergeCell ref="A29:A34"/>
    <mergeCell ref="A35:A40"/>
    <mergeCell ref="A42:A48"/>
    <mergeCell ref="A58:A65"/>
    <mergeCell ref="A66:A73"/>
    <mergeCell ref="A74:A81"/>
    <mergeCell ref="A82:A88"/>
    <mergeCell ref="A89:A95"/>
    <mergeCell ref="B2:B3"/>
    <mergeCell ref="B4:B11"/>
    <mergeCell ref="B12:B16"/>
    <mergeCell ref="B17:B18"/>
    <mergeCell ref="B19:B23"/>
    <mergeCell ref="B25:B28"/>
    <mergeCell ref="B29:B34"/>
    <mergeCell ref="B35:B40"/>
    <mergeCell ref="B42:B48"/>
    <mergeCell ref="B49:B57"/>
    <mergeCell ref="B58:B65"/>
    <mergeCell ref="B66:B70"/>
    <mergeCell ref="B71:B73"/>
    <mergeCell ref="B74:B81"/>
    <mergeCell ref="B82:B88"/>
    <mergeCell ref="B89:B95"/>
    <mergeCell ref="C2:C3"/>
    <mergeCell ref="C4:C5"/>
    <mergeCell ref="C6:C11"/>
    <mergeCell ref="C12:C16"/>
    <mergeCell ref="C17:C18"/>
    <mergeCell ref="C19:C21"/>
    <mergeCell ref="C22:C23"/>
    <mergeCell ref="C25:C28"/>
    <mergeCell ref="C29:C33"/>
    <mergeCell ref="C35:C39"/>
    <mergeCell ref="C42:C45"/>
    <mergeCell ref="C46:C48"/>
    <mergeCell ref="C50:C51"/>
    <mergeCell ref="C52:C54"/>
    <mergeCell ref="C55:C57"/>
    <mergeCell ref="C59:C60"/>
    <mergeCell ref="C61:C62"/>
    <mergeCell ref="C63:C65"/>
    <mergeCell ref="C66:C68"/>
    <mergeCell ref="C69:C70"/>
    <mergeCell ref="C71:C73"/>
    <mergeCell ref="C74:C81"/>
    <mergeCell ref="C82:C86"/>
    <mergeCell ref="C87:C88"/>
    <mergeCell ref="C89:C91"/>
    <mergeCell ref="C92:C95"/>
    <mergeCell ref="D2:D3"/>
    <mergeCell ref="D4:D5"/>
    <mergeCell ref="D6:D11"/>
    <mergeCell ref="D12:D16"/>
    <mergeCell ref="D17:D18"/>
    <mergeCell ref="D19:D21"/>
    <mergeCell ref="D22:D23"/>
    <mergeCell ref="D25:D28"/>
    <mergeCell ref="D29:D33"/>
    <mergeCell ref="D35:D39"/>
    <mergeCell ref="D42:D45"/>
    <mergeCell ref="D46:D48"/>
    <mergeCell ref="D50:D51"/>
    <mergeCell ref="D52:D54"/>
    <mergeCell ref="D55:D57"/>
    <mergeCell ref="D59:D60"/>
    <mergeCell ref="D61:D62"/>
    <mergeCell ref="D63:D65"/>
    <mergeCell ref="D66:D68"/>
    <mergeCell ref="D69:D70"/>
    <mergeCell ref="D71:D73"/>
    <mergeCell ref="D74:D81"/>
    <mergeCell ref="D82:D86"/>
    <mergeCell ref="D87:D88"/>
    <mergeCell ref="D89:D91"/>
    <mergeCell ref="D92:D95"/>
    <mergeCell ref="E2:E3"/>
    <mergeCell ref="E4:E5"/>
    <mergeCell ref="E6:E8"/>
    <mergeCell ref="E9:E11"/>
    <mergeCell ref="E12:E14"/>
    <mergeCell ref="E15:E16"/>
    <mergeCell ref="E17:E18"/>
    <mergeCell ref="E19:E21"/>
    <mergeCell ref="E22:E23"/>
    <mergeCell ref="E25:E28"/>
    <mergeCell ref="E29:E33"/>
    <mergeCell ref="E35:E39"/>
    <mergeCell ref="E42:E45"/>
    <mergeCell ref="E46:E48"/>
    <mergeCell ref="E50:E51"/>
    <mergeCell ref="E55:E57"/>
    <mergeCell ref="E59:E60"/>
    <mergeCell ref="E61:E62"/>
    <mergeCell ref="E63:E65"/>
    <mergeCell ref="E66:E68"/>
    <mergeCell ref="E69:E70"/>
    <mergeCell ref="E71:E73"/>
    <mergeCell ref="E74:E75"/>
    <mergeCell ref="E76:E77"/>
    <mergeCell ref="E78:E81"/>
    <mergeCell ref="E82:E86"/>
    <mergeCell ref="E87:E88"/>
    <mergeCell ref="E89:E91"/>
    <mergeCell ref="E92:E95"/>
    <mergeCell ref="F2:F3"/>
    <mergeCell ref="F4:F5"/>
    <mergeCell ref="F6:F8"/>
    <mergeCell ref="F9:F11"/>
    <mergeCell ref="F12:F14"/>
    <mergeCell ref="F15:F16"/>
    <mergeCell ref="F17:F18"/>
    <mergeCell ref="F19:F21"/>
    <mergeCell ref="F22:F23"/>
    <mergeCell ref="F25:F28"/>
    <mergeCell ref="F29:F33"/>
    <mergeCell ref="F35:F39"/>
    <mergeCell ref="F42:F45"/>
    <mergeCell ref="F46:F48"/>
    <mergeCell ref="F50:F51"/>
    <mergeCell ref="F55:F57"/>
    <mergeCell ref="F59:F60"/>
    <mergeCell ref="F61:F62"/>
    <mergeCell ref="F63:F65"/>
    <mergeCell ref="F66:F68"/>
    <mergeCell ref="F69:F70"/>
    <mergeCell ref="F71:F73"/>
    <mergeCell ref="F74:F75"/>
    <mergeCell ref="F76:F77"/>
    <mergeCell ref="F78:F81"/>
    <mergeCell ref="F82:F86"/>
    <mergeCell ref="F87:F88"/>
    <mergeCell ref="F89:F91"/>
    <mergeCell ref="F92:F95"/>
    <mergeCell ref="G2:G3"/>
    <mergeCell ref="G4:G5"/>
    <mergeCell ref="G6:G8"/>
    <mergeCell ref="G9:G11"/>
    <mergeCell ref="G12:G14"/>
    <mergeCell ref="G15:G16"/>
    <mergeCell ref="G17:G18"/>
    <mergeCell ref="G19:G21"/>
    <mergeCell ref="G22:G23"/>
    <mergeCell ref="G25:G28"/>
    <mergeCell ref="G29:G33"/>
    <mergeCell ref="G34:G39"/>
    <mergeCell ref="G42:G45"/>
    <mergeCell ref="G46:G48"/>
    <mergeCell ref="G50:G51"/>
    <mergeCell ref="G52:G54"/>
    <mergeCell ref="G55:G57"/>
    <mergeCell ref="G59:G60"/>
    <mergeCell ref="G61:G62"/>
    <mergeCell ref="G63:G65"/>
    <mergeCell ref="G66:G68"/>
    <mergeCell ref="G69:G70"/>
    <mergeCell ref="G71:G73"/>
    <mergeCell ref="G74:G75"/>
    <mergeCell ref="G76:G77"/>
    <mergeCell ref="G78:G81"/>
    <mergeCell ref="G82:G86"/>
    <mergeCell ref="G87:G88"/>
    <mergeCell ref="G89:G91"/>
    <mergeCell ref="G92:G95"/>
    <mergeCell ref="H2:H3"/>
    <mergeCell ref="H4:H5"/>
    <mergeCell ref="H6:H8"/>
    <mergeCell ref="H9:H11"/>
    <mergeCell ref="H12:H14"/>
    <mergeCell ref="H15:H16"/>
    <mergeCell ref="H17:H18"/>
    <mergeCell ref="H19:H21"/>
    <mergeCell ref="H22:H23"/>
    <mergeCell ref="H25:H28"/>
    <mergeCell ref="H29:H33"/>
    <mergeCell ref="H35:H39"/>
    <mergeCell ref="H42:H45"/>
    <mergeCell ref="H46:H48"/>
    <mergeCell ref="H50:H51"/>
    <mergeCell ref="H55:H57"/>
    <mergeCell ref="H59:H60"/>
    <mergeCell ref="H61:H62"/>
    <mergeCell ref="H63:H65"/>
    <mergeCell ref="H66:H68"/>
    <mergeCell ref="H69:H70"/>
    <mergeCell ref="H71:H73"/>
    <mergeCell ref="H74:H75"/>
    <mergeCell ref="H76:H77"/>
    <mergeCell ref="H78:H81"/>
    <mergeCell ref="H82:H86"/>
    <mergeCell ref="H87:H88"/>
    <mergeCell ref="H89:H91"/>
    <mergeCell ref="H92:H95"/>
    <mergeCell ref="I2:I3"/>
    <mergeCell ref="J2:J3"/>
    <mergeCell ref="T2:T3"/>
    <mergeCell ref="U2:U3"/>
    <mergeCell ref="V2:V3"/>
    <mergeCell ref="W2:W3"/>
    <mergeCell ref="X69:X70"/>
    <mergeCell ref="Y69:Y70"/>
    <mergeCell ref="Z69:Z70"/>
    <mergeCell ref="AA69:AA70"/>
    <mergeCell ref="AB69:AB70"/>
    <mergeCell ref="AC69:AC70"/>
    <mergeCell ref="AD69:AD70"/>
    <mergeCell ref="AE69:AE70"/>
    <mergeCell ref="AF69:AF70"/>
    <mergeCell ref="AG69:AG70"/>
    <mergeCell ref="AH69:AH70"/>
    <mergeCell ref="AI69:AI70"/>
    <mergeCell ref="AJ66:AJ67"/>
    <mergeCell ref="AJ69:AJ70"/>
    <mergeCell ref="AK2:AK3"/>
    <mergeCell ref="AK4:AK5"/>
    <mergeCell ref="AK13:AK14"/>
    <mergeCell ref="AK22:AK23"/>
    <mergeCell ref="AK26:AK28"/>
    <mergeCell ref="AK29:AK33"/>
    <mergeCell ref="AK35:AK39"/>
    <mergeCell ref="AK42:AK45"/>
    <mergeCell ref="AK47:AK48"/>
    <mergeCell ref="AK55:AK57"/>
    <mergeCell ref="AK66:AK68"/>
    <mergeCell ref="AK69:AK70"/>
    <mergeCell ref="AK71:AK73"/>
    <mergeCell ref="AK74:AK75"/>
    <mergeCell ref="AK76:AK77"/>
    <mergeCell ref="AK78:AK80"/>
    <mergeCell ref="AK82:AK86"/>
    <mergeCell ref="AK87:AK88"/>
    <mergeCell ref="AK89:AK91"/>
    <mergeCell ref="AK92:AK95"/>
  </mergeCells>
  <dataValidations count="2">
    <dataValidation allowBlank="1" showInputMessage="1" showErrorMessage="1" sqref="V3 U24 W28 U36 U44 U81 U83 H4:H34 H36:H95 J94:J95 U26:U31 U39:U40 U46:U48 U50:U53 U55:U61 U64:U78 U87:U89"/>
    <dataValidation type="list" allowBlank="1" showInputMessage="1" showErrorMessage="1" sqref="T25 T53 T2:T23 T29:T36 T39:T40 T42:T51 T55:T95">
      <formula1>#REF!</formula1>
    </dataValidation>
  </dataValidations>
  <pageMargins left="0.444444444444444" right="0.236111111111111" top="0.590277777777778" bottom="0.393055555555556" header="0.298611111111111" footer="0.298611111111111"/>
  <pageSetup paperSize="8" scale="54" fitToHeight="0" orientation="landscape" horizontalDpi="600"/>
  <headerFooter>
    <oddFooter>&amp;C第 &amp;P 页，共 &amp;N 页</oddFooter>
  </headerFooter>
  <rowBreaks count="11" manualBreakCount="11">
    <brk id="11" max="36" man="1"/>
    <brk id="18" max="36" man="1"/>
    <brk id="28" max="36" man="1"/>
    <brk id="34" max="36" man="1"/>
    <brk id="40" max="36" man="1"/>
    <brk id="48" max="36" man="1"/>
    <brk id="57" max="36" man="1"/>
    <brk id="65" max="36" man="1"/>
    <brk id="73" max="36" man="1"/>
    <brk id="81" max="36" man="1"/>
    <brk id="88" max="36"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C95"/>
  <sheetViews>
    <sheetView zoomScale="40" zoomScaleNormal="40" zoomScaleSheetLayoutView="70" workbookViewId="0">
      <pane xSplit="8" ySplit="3" topLeftCell="I4" activePane="bottomRight" state="frozen"/>
      <selection/>
      <selection pane="topRight"/>
      <selection pane="bottomLeft"/>
      <selection pane="bottomRight" activeCell="AQ89" sqref="AQ89"/>
    </sheetView>
  </sheetViews>
  <sheetFormatPr defaultColWidth="8.58333333333333" defaultRowHeight="21"/>
  <cols>
    <col min="1" max="1" width="4.62037037037037" style="129" customWidth="1"/>
    <col min="2" max="2" width="4.41666666666667" style="130" customWidth="1"/>
    <col min="3" max="3" width="4.18518518518519" style="95" customWidth="1"/>
    <col min="4" max="4" width="4.34259259259259" style="129" customWidth="1"/>
    <col min="5" max="5" width="12.5277777777778" style="95" customWidth="1"/>
    <col min="6" max="6" width="16" style="95" customWidth="1"/>
    <col min="7" max="8" width="12.787037037037" style="130" customWidth="1"/>
    <col min="9" max="9" width="17.4351851851852" style="130" customWidth="1"/>
    <col min="10" max="10" width="29.1388888888889" style="130" customWidth="1"/>
    <col min="11" max="17" width="3.62037037037037" style="130" customWidth="1"/>
    <col min="18" max="18" width="3.47222222222222" style="130" customWidth="1"/>
    <col min="19" max="19" width="3.52777777777778" style="130" customWidth="1"/>
    <col min="20" max="20" width="5.12037037037037" style="129" customWidth="1"/>
    <col min="21" max="21" width="12.3981481481481" style="129" customWidth="1"/>
    <col min="22" max="22" width="13.4722222222222" style="129" customWidth="1"/>
    <col min="23" max="23" width="22.0185185185185" style="95" customWidth="1"/>
    <col min="24" max="24" width="4" style="129" customWidth="1"/>
    <col min="25" max="29" width="3.62037037037037" style="95" customWidth="1"/>
    <col min="30" max="30" width="6.62037037037037" style="95" customWidth="1"/>
    <col min="31" max="35" width="3.62037037037037" style="95" customWidth="1"/>
    <col min="36" max="36" width="26.3611111111111" style="95" customWidth="1"/>
    <col min="37" max="37" width="7.96296296296296" style="95" customWidth="1"/>
    <col min="38" max="38" width="6.89814814814815" style="95" customWidth="1"/>
    <col min="39" max="39" width="6.89814814814815" style="129" customWidth="1"/>
    <col min="40" max="40" width="11.962962962963" style="131" customWidth="1"/>
    <col min="41" max="41" width="8.33333333333333" style="98" customWidth="1"/>
    <col min="42" max="42" width="17.0277777777778" style="98" customWidth="1"/>
    <col min="43" max="44" width="15.6296296296296" style="95" customWidth="1"/>
    <col min="45" max="16384" width="8.58333333333333" style="95"/>
  </cols>
  <sheetData>
    <row r="1" s="95" customFormat="1" spans="1:81">
      <c r="A1" s="9" t="s">
        <v>478</v>
      </c>
      <c r="B1" s="9"/>
      <c r="C1" s="9"/>
      <c r="D1" s="9"/>
      <c r="E1" s="9"/>
      <c r="F1" s="9"/>
      <c r="G1" s="9"/>
      <c r="H1" s="9"/>
      <c r="I1" s="9"/>
      <c r="J1" s="9"/>
      <c r="K1" s="9"/>
      <c r="L1" s="9"/>
      <c r="M1" s="9"/>
      <c r="N1" s="9"/>
      <c r="O1" s="9"/>
      <c r="P1" s="9"/>
      <c r="Q1" s="9"/>
      <c r="R1" s="9"/>
      <c r="S1" s="9"/>
      <c r="T1" s="9"/>
      <c r="U1" s="9"/>
      <c r="V1" s="9"/>
      <c r="W1" s="9"/>
      <c r="X1" s="9"/>
      <c r="Y1" s="9"/>
      <c r="Z1" s="9"/>
      <c r="AA1" s="9"/>
      <c r="AB1" s="9"/>
      <c r="AC1" s="9"/>
      <c r="AD1" s="9"/>
      <c r="AE1" s="10"/>
      <c r="AF1" s="9"/>
      <c r="AG1" s="9"/>
      <c r="AH1" s="9"/>
      <c r="AI1" s="9"/>
      <c r="AJ1" s="9"/>
      <c r="AK1" s="9"/>
      <c r="AL1" s="1"/>
      <c r="AM1" s="4"/>
      <c r="AN1" s="23"/>
      <c r="AO1" s="99"/>
      <c r="AP1" s="98"/>
    </row>
    <row r="2" s="95" customFormat="1" ht="30" customHeight="1" spans="1:81">
      <c r="A2" s="11" t="s">
        <v>415</v>
      </c>
      <c r="B2" s="11" t="s">
        <v>416</v>
      </c>
      <c r="C2" s="11" t="s">
        <v>417</v>
      </c>
      <c r="D2" s="11" t="s">
        <v>418</v>
      </c>
      <c r="E2" s="11" t="s">
        <v>419</v>
      </c>
      <c r="F2" s="11" t="s">
        <v>479</v>
      </c>
      <c r="G2" s="11" t="s">
        <v>421</v>
      </c>
      <c r="H2" s="11" t="s">
        <v>422</v>
      </c>
      <c r="I2" s="11" t="s">
        <v>424</v>
      </c>
      <c r="J2" s="11" t="s">
        <v>423</v>
      </c>
      <c r="K2" s="11" t="s">
        <v>425</v>
      </c>
      <c r="L2" s="11"/>
      <c r="M2" s="11"/>
      <c r="N2" s="11"/>
      <c r="O2" s="11"/>
      <c r="P2" s="11"/>
      <c r="Q2" s="11"/>
      <c r="R2" s="11"/>
      <c r="S2" s="11"/>
      <c r="T2" s="11" t="s">
        <v>480</v>
      </c>
      <c r="U2" s="11" t="s">
        <v>428</v>
      </c>
      <c r="V2" s="11" t="s">
        <v>481</v>
      </c>
      <c r="W2" s="11" t="s">
        <v>430</v>
      </c>
      <c r="X2" s="11" t="s">
        <v>431</v>
      </c>
      <c r="Y2" s="11"/>
      <c r="Z2" s="11"/>
      <c r="AA2" s="11" t="s">
        <v>432</v>
      </c>
      <c r="AB2" s="11"/>
      <c r="AC2" s="11"/>
      <c r="AD2" s="11" t="s">
        <v>433</v>
      </c>
      <c r="AE2" s="11"/>
      <c r="AF2" s="11"/>
      <c r="AG2" s="11"/>
      <c r="AH2" s="11" t="s">
        <v>434</v>
      </c>
      <c r="AI2" s="11"/>
      <c r="AJ2" s="11"/>
      <c r="AK2" s="11" t="s">
        <v>435</v>
      </c>
      <c r="AL2" s="11" t="s">
        <v>1038</v>
      </c>
      <c r="AM2" s="11" t="s">
        <v>1039</v>
      </c>
      <c r="AN2" s="100" t="s">
        <v>1040</v>
      </c>
      <c r="AO2" s="7">
        <v>7.22</v>
      </c>
      <c r="AP2" s="7">
        <v>7.27</v>
      </c>
      <c r="AQ2" s="95">
        <v>7.29</v>
      </c>
    </row>
    <row r="3" s="95" customFormat="1" ht="76" customHeight="1" spans="1:81">
      <c r="A3" s="11"/>
      <c r="B3" s="11"/>
      <c r="C3" s="11"/>
      <c r="D3" s="11"/>
      <c r="E3" s="11"/>
      <c r="F3" s="11"/>
      <c r="G3" s="11"/>
      <c r="H3" s="11"/>
      <c r="I3" s="11"/>
      <c r="J3" s="11"/>
      <c r="K3" s="11" t="s">
        <v>437</v>
      </c>
      <c r="L3" s="11" t="s">
        <v>438</v>
      </c>
      <c r="M3" s="13" t="s">
        <v>482</v>
      </c>
      <c r="N3" s="11" t="s">
        <v>440</v>
      </c>
      <c r="O3" s="11" t="s">
        <v>441</v>
      </c>
      <c r="P3" s="11" t="s">
        <v>442</v>
      </c>
      <c r="Q3" s="11" t="s">
        <v>443</v>
      </c>
      <c r="R3" s="11" t="s">
        <v>444</v>
      </c>
      <c r="S3" s="11" t="s">
        <v>445</v>
      </c>
      <c r="T3" s="11"/>
      <c r="U3" s="11"/>
      <c r="V3" s="11"/>
      <c r="W3" s="11"/>
      <c r="X3" s="11" t="s">
        <v>449</v>
      </c>
      <c r="Y3" s="11" t="s">
        <v>450</v>
      </c>
      <c r="Z3" s="11" t="s">
        <v>451</v>
      </c>
      <c r="AA3" s="11" t="s">
        <v>449</v>
      </c>
      <c r="AB3" s="11" t="s">
        <v>450</v>
      </c>
      <c r="AC3" s="11" t="s">
        <v>451</v>
      </c>
      <c r="AD3" s="11" t="s">
        <v>433</v>
      </c>
      <c r="AE3" s="11" t="s">
        <v>449</v>
      </c>
      <c r="AF3" s="11" t="s">
        <v>450</v>
      </c>
      <c r="AG3" s="11" t="s">
        <v>451</v>
      </c>
      <c r="AH3" s="11" t="s">
        <v>452</v>
      </c>
      <c r="AI3" s="11" t="s">
        <v>453</v>
      </c>
      <c r="AJ3" s="11" t="s">
        <v>454</v>
      </c>
      <c r="AK3" s="11"/>
      <c r="AL3" s="11"/>
      <c r="AM3" s="11"/>
      <c r="AN3" s="101"/>
      <c r="AO3" s="7"/>
      <c r="AP3" s="7"/>
    </row>
    <row r="4" s="95" customFormat="1" ht="82" hidden="1" customHeight="1" spans="1:81">
      <c r="A4" s="14" t="s">
        <v>483</v>
      </c>
      <c r="B4" s="14" t="s">
        <v>484</v>
      </c>
      <c r="C4" s="15" t="s">
        <v>485</v>
      </c>
      <c r="D4" s="15" t="s">
        <v>486</v>
      </c>
      <c r="E4" s="16" t="s">
        <v>487</v>
      </c>
      <c r="F4" s="17"/>
      <c r="G4" s="15" t="s">
        <v>488</v>
      </c>
      <c r="H4" s="16" t="s">
        <v>489</v>
      </c>
      <c r="I4" s="23" t="s">
        <v>490</v>
      </c>
      <c r="J4" s="16" t="s">
        <v>1041</v>
      </c>
      <c r="K4" s="15"/>
      <c r="L4" s="15"/>
      <c r="M4" s="15"/>
      <c r="N4" s="15"/>
      <c r="O4" s="15"/>
      <c r="P4" s="15"/>
      <c r="Q4" s="15"/>
      <c r="R4" s="15" t="s">
        <v>36</v>
      </c>
      <c r="S4" s="15"/>
      <c r="T4" s="15" t="s">
        <v>492</v>
      </c>
      <c r="U4" s="15"/>
      <c r="V4" s="16" t="s">
        <v>493</v>
      </c>
      <c r="W4" s="35" t="s">
        <v>1042</v>
      </c>
      <c r="X4" s="15" t="s">
        <v>474</v>
      </c>
      <c r="Y4" s="15" t="s">
        <v>473</v>
      </c>
      <c r="Z4" s="15"/>
      <c r="AA4" s="15" t="s">
        <v>474</v>
      </c>
      <c r="AB4" s="15" t="s">
        <v>473</v>
      </c>
      <c r="AC4" s="15"/>
      <c r="AD4" s="15" t="s">
        <v>495</v>
      </c>
      <c r="AE4" s="15" t="s">
        <v>474</v>
      </c>
      <c r="AF4" s="15"/>
      <c r="AG4" s="15"/>
      <c r="AH4" s="15" t="s">
        <v>476</v>
      </c>
      <c r="AI4" s="15" t="s">
        <v>476</v>
      </c>
      <c r="AJ4" s="15" t="s">
        <v>496</v>
      </c>
      <c r="AK4" s="15" t="s">
        <v>497</v>
      </c>
      <c r="AL4" s="102" t="s">
        <v>1043</v>
      </c>
      <c r="AM4" s="23" t="s">
        <v>1044</v>
      </c>
      <c r="AN4" s="103"/>
      <c r="AO4" s="7" t="s">
        <v>1045</v>
      </c>
      <c r="AP4" s="7" t="s">
        <v>1045</v>
      </c>
      <c r="AQ4" s="7" t="s">
        <v>1045</v>
      </c>
      <c r="AR4" s="95" t="b">
        <f t="shared" ref="AR4:AR67" si="0">AP4=AQ4</f>
        <v>1</v>
      </c>
      <c r="AS4" s="95" t="b">
        <f>A4='[2]500千伏-750千伏电网基建'!A4</f>
        <v>1</v>
      </c>
      <c r="AT4" s="95" t="b">
        <f>B4='[2]500千伏-750千伏电网基建'!B4</f>
        <v>1</v>
      </c>
      <c r="AU4" s="95" t="b">
        <f>C4='[2]500千伏-750千伏电网基建'!C4</f>
        <v>1</v>
      </c>
      <c r="AV4" s="95" t="b">
        <f>D4='[2]500千伏-750千伏电网基建'!D4</f>
        <v>1</v>
      </c>
      <c r="AW4" s="95" t="b">
        <f>E4='[2]500千伏-750千伏电网基建'!E4</f>
        <v>1</v>
      </c>
      <c r="AX4" s="95" t="b">
        <f>F4='[2]500千伏-750千伏电网基建'!F4</f>
        <v>1</v>
      </c>
      <c r="AY4" s="95" t="b">
        <f>G4='[2]500千伏-750千伏电网基建'!G4</f>
        <v>1</v>
      </c>
      <c r="AZ4" s="95" t="b">
        <f>H4='[2]500千伏-750千伏电网基建'!H4</f>
        <v>1</v>
      </c>
      <c r="BA4" s="95" t="b">
        <f>I4='[2]500千伏-750千伏电网基建'!I4</f>
        <v>1</v>
      </c>
      <c r="BB4" s="95" t="b">
        <f>J4='[2]500千伏-750千伏电网基建'!J4</f>
        <v>1</v>
      </c>
      <c r="BC4" s="95" t="b">
        <f>K4='[2]500千伏-750千伏电网基建'!K4</f>
        <v>1</v>
      </c>
      <c r="BD4" s="95" t="b">
        <f>L4='[2]500千伏-750千伏电网基建'!L4</f>
        <v>1</v>
      </c>
      <c r="BE4" s="95" t="b">
        <f>M4='[2]500千伏-750千伏电网基建'!M4</f>
        <v>1</v>
      </c>
      <c r="BF4" s="95" t="b">
        <f>N4='[2]500千伏-750千伏电网基建'!N4</f>
        <v>1</v>
      </c>
      <c r="BG4" s="95" t="b">
        <f>O4='[2]500千伏-750千伏电网基建'!O4</f>
        <v>1</v>
      </c>
      <c r="BH4" s="95" t="b">
        <f>P4='[2]500千伏-750千伏电网基建'!P4</f>
        <v>1</v>
      </c>
      <c r="BI4" s="95" t="b">
        <f>Q4='[2]500千伏-750千伏电网基建'!Q4</f>
        <v>1</v>
      </c>
      <c r="BJ4" s="95" t="b">
        <f>R4='[2]500千伏-750千伏电网基建'!R4</f>
        <v>1</v>
      </c>
      <c r="BK4" s="95" t="b">
        <f>S4='[2]500千伏-750千伏电网基建'!S4</f>
        <v>1</v>
      </c>
      <c r="BL4" s="95" t="b">
        <f>T4='[2]500千伏-750千伏电网基建'!T4</f>
        <v>1</v>
      </c>
      <c r="BM4" s="95" t="b">
        <f>U4='[2]500千伏-750千伏电网基建'!U4</f>
        <v>1</v>
      </c>
      <c r="BN4" s="95" t="b">
        <f>V4='[2]500千伏-750千伏电网基建'!V4</f>
        <v>1</v>
      </c>
      <c r="BO4" s="95" t="b">
        <f>W4='[2]500千伏-750千伏电网基建'!W4</f>
        <v>1</v>
      </c>
      <c r="BP4" s="95" t="b">
        <f>X4='[2]500千伏-750千伏电网基建'!X4</f>
        <v>1</v>
      </c>
      <c r="BQ4" s="95" t="b">
        <f>Y4='[2]500千伏-750千伏电网基建'!Y4</f>
        <v>1</v>
      </c>
      <c r="BR4" s="95" t="b">
        <f>Z4='[2]500千伏-750千伏电网基建'!Z4</f>
        <v>1</v>
      </c>
      <c r="BS4" s="95" t="b">
        <f>AA4='[2]500千伏-750千伏电网基建'!AA4</f>
        <v>1</v>
      </c>
      <c r="BT4" s="95" t="b">
        <f>AB4='[2]500千伏-750千伏电网基建'!AB4</f>
        <v>1</v>
      </c>
      <c r="BU4" s="95" t="b">
        <f>AC4='[2]500千伏-750千伏电网基建'!AC4</f>
        <v>1</v>
      </c>
      <c r="BV4" s="95" t="b">
        <f>AD4='[2]500千伏-750千伏电网基建'!AD4</f>
        <v>1</v>
      </c>
      <c r="BW4" s="95" t="b">
        <f>AE4='[2]500千伏-750千伏电网基建'!AE4</f>
        <v>1</v>
      </c>
      <c r="BX4" s="95" t="b">
        <f>AF4='[2]500千伏-750千伏电网基建'!AF4</f>
        <v>1</v>
      </c>
      <c r="BY4" s="95" t="b">
        <f>AG4='[2]500千伏-750千伏电网基建'!AG4</f>
        <v>1</v>
      </c>
      <c r="BZ4" s="95" t="b">
        <f>AH4='[2]500千伏-750千伏电网基建'!AH4</f>
        <v>1</v>
      </c>
      <c r="CA4" s="95" t="b">
        <f>AI4='[2]500千伏-750千伏电网基建'!AI4</f>
        <v>1</v>
      </c>
      <c r="CB4" s="95" t="b">
        <f>AJ4='[2]500千伏-750千伏电网基建'!AJ4</f>
        <v>1</v>
      </c>
      <c r="CC4" s="95" t="b">
        <f>AK4='[2]500千伏-750千伏电网基建'!AK4</f>
        <v>1</v>
      </c>
    </row>
    <row r="5" s="95" customFormat="1" ht="89" hidden="1" customHeight="1" spans="1:81">
      <c r="A5" s="14"/>
      <c r="B5" s="14"/>
      <c r="C5" s="15"/>
      <c r="D5" s="15"/>
      <c r="E5" s="16"/>
      <c r="F5" s="17"/>
      <c r="G5" s="15"/>
      <c r="H5" s="16"/>
      <c r="I5" s="23" t="s">
        <v>498</v>
      </c>
      <c r="J5" s="16" t="s">
        <v>499</v>
      </c>
      <c r="K5" s="15"/>
      <c r="L5" s="15" t="s">
        <v>36</v>
      </c>
      <c r="M5" s="15"/>
      <c r="N5" s="15"/>
      <c r="O5" s="15"/>
      <c r="P5" s="15"/>
      <c r="Q5" s="15"/>
      <c r="R5" s="15"/>
      <c r="S5" s="15"/>
      <c r="T5" s="15" t="s">
        <v>465</v>
      </c>
      <c r="U5" s="15" t="s">
        <v>500</v>
      </c>
      <c r="V5" s="16" t="s">
        <v>493</v>
      </c>
      <c r="W5" s="35" t="s">
        <v>501</v>
      </c>
      <c r="X5" s="15" t="s">
        <v>474</v>
      </c>
      <c r="Y5" s="15" t="s">
        <v>473</v>
      </c>
      <c r="Z5" s="15"/>
      <c r="AA5" s="15" t="s">
        <v>474</v>
      </c>
      <c r="AB5" s="15" t="s">
        <v>473</v>
      </c>
      <c r="AC5" s="15"/>
      <c r="AD5" s="15" t="s">
        <v>495</v>
      </c>
      <c r="AE5" s="15" t="s">
        <v>474</v>
      </c>
      <c r="AF5" s="15"/>
      <c r="AG5" s="15"/>
      <c r="AH5" s="15" t="s">
        <v>476</v>
      </c>
      <c r="AI5" s="15" t="s">
        <v>476</v>
      </c>
      <c r="AJ5" s="15" t="s">
        <v>496</v>
      </c>
      <c r="AK5" s="15"/>
      <c r="AL5" s="102" t="s">
        <v>1043</v>
      </c>
      <c r="AM5" s="23" t="s">
        <v>1046</v>
      </c>
      <c r="AN5" s="103"/>
      <c r="AO5" s="7" t="s">
        <v>1045</v>
      </c>
      <c r="AP5" s="7" t="s">
        <v>1045</v>
      </c>
      <c r="AQ5" s="7" t="s">
        <v>1045</v>
      </c>
      <c r="AR5" s="95" t="b">
        <f t="shared" si="0"/>
        <v>1</v>
      </c>
      <c r="AS5" s="95" t="b">
        <f>A5='[2]500千伏-750千伏电网基建'!A5</f>
        <v>1</v>
      </c>
      <c r="AT5" s="95" t="b">
        <f>B5='[2]500千伏-750千伏电网基建'!B5</f>
        <v>1</v>
      </c>
      <c r="AU5" s="95" t="b">
        <f>C5='[2]500千伏-750千伏电网基建'!C5</f>
        <v>1</v>
      </c>
      <c r="AV5" s="95" t="b">
        <f>D5='[2]500千伏-750千伏电网基建'!D5</f>
        <v>1</v>
      </c>
      <c r="AW5" s="95" t="b">
        <f>E5='[2]500千伏-750千伏电网基建'!E5</f>
        <v>1</v>
      </c>
      <c r="AX5" s="95" t="b">
        <f>F5='[2]500千伏-750千伏电网基建'!F5</f>
        <v>1</v>
      </c>
      <c r="AY5" s="95" t="b">
        <f>G5='[2]500千伏-750千伏电网基建'!G5</f>
        <v>1</v>
      </c>
      <c r="AZ5" s="95" t="b">
        <f>H5='[2]500千伏-750千伏电网基建'!H5</f>
        <v>1</v>
      </c>
      <c r="BA5" s="95" t="b">
        <f>I5='[2]500千伏-750千伏电网基建'!I5</f>
        <v>1</v>
      </c>
      <c r="BB5" s="95" t="b">
        <f>J5='[2]500千伏-750千伏电网基建'!J5</f>
        <v>1</v>
      </c>
      <c r="BC5" s="95" t="b">
        <f>K5='[2]500千伏-750千伏电网基建'!K5</f>
        <v>1</v>
      </c>
      <c r="BD5" s="95" t="b">
        <f>L5='[2]500千伏-750千伏电网基建'!L5</f>
        <v>1</v>
      </c>
      <c r="BE5" s="95" t="b">
        <f>M5='[2]500千伏-750千伏电网基建'!M5</f>
        <v>1</v>
      </c>
      <c r="BF5" s="95" t="b">
        <f>N5='[2]500千伏-750千伏电网基建'!N5</f>
        <v>1</v>
      </c>
      <c r="BG5" s="95" t="b">
        <f>O5='[2]500千伏-750千伏电网基建'!O5</f>
        <v>1</v>
      </c>
      <c r="BH5" s="95" t="b">
        <f>P5='[2]500千伏-750千伏电网基建'!P5</f>
        <v>1</v>
      </c>
      <c r="BI5" s="95" t="b">
        <f>Q5='[2]500千伏-750千伏电网基建'!Q5</f>
        <v>1</v>
      </c>
      <c r="BJ5" s="95" t="b">
        <f>R5='[2]500千伏-750千伏电网基建'!R5</f>
        <v>1</v>
      </c>
      <c r="BK5" s="95" t="b">
        <f>S5='[2]500千伏-750千伏电网基建'!S5</f>
        <v>1</v>
      </c>
      <c r="BL5" s="95" t="b">
        <f>T5='[2]500千伏-750千伏电网基建'!T5</f>
        <v>1</v>
      </c>
      <c r="BM5" s="95" t="b">
        <f>U5='[2]500千伏-750千伏电网基建'!U5</f>
        <v>1</v>
      </c>
      <c r="BN5" s="95" t="b">
        <f>V5='[2]500千伏-750千伏电网基建'!V5</f>
        <v>1</v>
      </c>
      <c r="BO5" s="95" t="b">
        <f>W5='[2]500千伏-750千伏电网基建'!W5</f>
        <v>1</v>
      </c>
      <c r="BP5" s="95" t="b">
        <f>X5='[2]500千伏-750千伏电网基建'!X5</f>
        <v>1</v>
      </c>
      <c r="BQ5" s="95" t="b">
        <f>Y5='[2]500千伏-750千伏电网基建'!Y5</f>
        <v>1</v>
      </c>
      <c r="BR5" s="95" t="b">
        <f>Z5='[2]500千伏-750千伏电网基建'!Z5</f>
        <v>1</v>
      </c>
      <c r="BS5" s="95" t="b">
        <f>AA5='[2]500千伏-750千伏电网基建'!AA5</f>
        <v>1</v>
      </c>
      <c r="BT5" s="95" t="b">
        <f>AB5='[2]500千伏-750千伏电网基建'!AB5</f>
        <v>1</v>
      </c>
      <c r="BU5" s="95" t="b">
        <f>AC5='[2]500千伏-750千伏电网基建'!AC5</f>
        <v>1</v>
      </c>
      <c r="BV5" s="95" t="b">
        <f>AD5='[2]500千伏-750千伏电网基建'!AD5</f>
        <v>1</v>
      </c>
      <c r="BW5" s="95" t="b">
        <f>AE5='[2]500千伏-750千伏电网基建'!AE5</f>
        <v>1</v>
      </c>
      <c r="BX5" s="95" t="b">
        <f>AF5='[2]500千伏-750千伏电网基建'!AF5</f>
        <v>1</v>
      </c>
      <c r="BY5" s="95" t="b">
        <f>AG5='[2]500千伏-750千伏电网基建'!AG5</f>
        <v>1</v>
      </c>
      <c r="BZ5" s="95" t="b">
        <f>AH5='[2]500千伏-750千伏电网基建'!AH5</f>
        <v>1</v>
      </c>
      <c r="CA5" s="95" t="b">
        <f>AI5='[2]500千伏-750千伏电网基建'!AI5</f>
        <v>1</v>
      </c>
      <c r="CB5" s="95" t="b">
        <f>AJ5='[2]500千伏-750千伏电网基建'!AJ5</f>
        <v>1</v>
      </c>
      <c r="CC5" s="95" t="b">
        <f>AK5='[2]500千伏-750千伏电网基建'!AK5</f>
        <v>1</v>
      </c>
    </row>
    <row r="6" s="95" customFormat="1" ht="76" hidden="1" customHeight="1" spans="1:81">
      <c r="A6" s="14"/>
      <c r="B6" s="14"/>
      <c r="C6" s="15" t="s">
        <v>485</v>
      </c>
      <c r="D6" s="15" t="s">
        <v>502</v>
      </c>
      <c r="E6" s="16" t="s">
        <v>503</v>
      </c>
      <c r="F6" s="24"/>
      <c r="G6" s="15" t="s">
        <v>504</v>
      </c>
      <c r="H6" s="16" t="s">
        <v>505</v>
      </c>
      <c r="I6" s="23" t="s">
        <v>506</v>
      </c>
      <c r="J6" s="16" t="s">
        <v>1047</v>
      </c>
      <c r="K6" s="15"/>
      <c r="L6" s="15"/>
      <c r="M6" s="15"/>
      <c r="N6" s="15" t="s">
        <v>36</v>
      </c>
      <c r="O6" s="15"/>
      <c r="P6" s="15"/>
      <c r="Q6" s="15"/>
      <c r="R6" s="15"/>
      <c r="S6" s="15"/>
      <c r="T6" s="15" t="s">
        <v>492</v>
      </c>
      <c r="U6" s="15"/>
      <c r="V6" s="16" t="s">
        <v>508</v>
      </c>
      <c r="W6" s="35" t="s">
        <v>1048</v>
      </c>
      <c r="X6" s="15" t="s">
        <v>474</v>
      </c>
      <c r="Y6" s="15" t="s">
        <v>473</v>
      </c>
      <c r="Z6" s="15"/>
      <c r="AA6" s="15" t="s">
        <v>474</v>
      </c>
      <c r="AB6" s="15" t="s">
        <v>473</v>
      </c>
      <c r="AC6" s="15"/>
      <c r="AD6" s="15" t="s">
        <v>510</v>
      </c>
      <c r="AE6" s="15" t="s">
        <v>511</v>
      </c>
      <c r="AF6" s="15"/>
      <c r="AG6" s="14"/>
      <c r="AH6" s="15" t="s">
        <v>476</v>
      </c>
      <c r="AI6" s="15" t="s">
        <v>476</v>
      </c>
      <c r="AJ6" s="15" t="s">
        <v>512</v>
      </c>
      <c r="AK6" s="15" t="s">
        <v>497</v>
      </c>
      <c r="AL6" s="102" t="s">
        <v>1043</v>
      </c>
      <c r="AM6" s="23" t="s">
        <v>1044</v>
      </c>
      <c r="AN6" s="103"/>
      <c r="AO6" s="7" t="s">
        <v>1045</v>
      </c>
      <c r="AP6" s="7" t="s">
        <v>1045</v>
      </c>
      <c r="AQ6" s="7" t="s">
        <v>1045</v>
      </c>
      <c r="AR6" s="95" t="b">
        <f t="shared" si="0"/>
        <v>1</v>
      </c>
      <c r="AS6" s="95" t="b">
        <f>A6='[2]500千伏-750千伏电网基建'!A6</f>
        <v>1</v>
      </c>
      <c r="AT6" s="95" t="b">
        <f>B6='[2]500千伏-750千伏电网基建'!B6</f>
        <v>1</v>
      </c>
      <c r="AU6" s="95" t="b">
        <f>C6='[2]500千伏-750千伏电网基建'!C6</f>
        <v>1</v>
      </c>
      <c r="AV6" s="95" t="b">
        <f>D6='[2]500千伏-750千伏电网基建'!D6</f>
        <v>1</v>
      </c>
      <c r="AW6" s="95" t="b">
        <f>E6='[2]500千伏-750千伏电网基建'!E6</f>
        <v>1</v>
      </c>
      <c r="AX6" s="95" t="b">
        <f>F6='[2]500千伏-750千伏电网基建'!F6</f>
        <v>1</v>
      </c>
      <c r="AY6" s="95" t="b">
        <f>G6='[2]500千伏-750千伏电网基建'!G6</f>
        <v>1</v>
      </c>
      <c r="AZ6" s="95" t="b">
        <f>H6='[2]500千伏-750千伏电网基建'!H6</f>
        <v>1</v>
      </c>
      <c r="BA6" s="95" t="b">
        <f>I6='[2]500千伏-750千伏电网基建'!I6</f>
        <v>1</v>
      </c>
      <c r="BB6" s="95" t="b">
        <f>J6='[2]500千伏-750千伏电网基建'!J6</f>
        <v>1</v>
      </c>
      <c r="BC6" s="95" t="b">
        <f>K6='[2]500千伏-750千伏电网基建'!K6</f>
        <v>1</v>
      </c>
      <c r="BD6" s="95" t="b">
        <f>L6='[2]500千伏-750千伏电网基建'!L6</f>
        <v>1</v>
      </c>
      <c r="BE6" s="95" t="b">
        <f>M6='[2]500千伏-750千伏电网基建'!M6</f>
        <v>1</v>
      </c>
      <c r="BF6" s="95" t="b">
        <f>N6='[2]500千伏-750千伏电网基建'!N6</f>
        <v>1</v>
      </c>
      <c r="BG6" s="95" t="b">
        <f>O6='[2]500千伏-750千伏电网基建'!O6</f>
        <v>1</v>
      </c>
      <c r="BH6" s="95" t="b">
        <f>P6='[2]500千伏-750千伏电网基建'!P6</f>
        <v>1</v>
      </c>
      <c r="BI6" s="95" t="b">
        <f>Q6='[2]500千伏-750千伏电网基建'!Q6</f>
        <v>1</v>
      </c>
      <c r="BJ6" s="95" t="b">
        <f>R6='[2]500千伏-750千伏电网基建'!R6</f>
        <v>1</v>
      </c>
      <c r="BK6" s="95" t="b">
        <f>S6='[2]500千伏-750千伏电网基建'!S6</f>
        <v>1</v>
      </c>
      <c r="BL6" s="95" t="b">
        <f>T6='[2]500千伏-750千伏电网基建'!T6</f>
        <v>1</v>
      </c>
      <c r="BM6" s="95" t="b">
        <f>U6='[2]500千伏-750千伏电网基建'!U6</f>
        <v>1</v>
      </c>
      <c r="BN6" s="95" t="b">
        <f>V6='[2]500千伏-750千伏电网基建'!V6</f>
        <v>1</v>
      </c>
      <c r="BO6" s="95" t="b">
        <f>W6='[2]500千伏-750千伏电网基建'!W6</f>
        <v>1</v>
      </c>
      <c r="BP6" s="95" t="b">
        <f>X6='[2]500千伏-750千伏电网基建'!X6</f>
        <v>1</v>
      </c>
      <c r="BQ6" s="95" t="b">
        <f>Y6='[2]500千伏-750千伏电网基建'!Y6</f>
        <v>1</v>
      </c>
      <c r="BR6" s="95" t="b">
        <f>Z6='[2]500千伏-750千伏电网基建'!Z6</f>
        <v>1</v>
      </c>
      <c r="BS6" s="95" t="b">
        <f>AA6='[2]500千伏-750千伏电网基建'!AA6</f>
        <v>1</v>
      </c>
      <c r="BT6" s="95" t="b">
        <f>AB6='[2]500千伏-750千伏电网基建'!AB6</f>
        <v>1</v>
      </c>
      <c r="BU6" s="95" t="b">
        <f>AC6='[2]500千伏-750千伏电网基建'!AC6</f>
        <v>1</v>
      </c>
      <c r="BV6" s="95" t="b">
        <f>AD6='[2]500千伏-750千伏电网基建'!AD6</f>
        <v>1</v>
      </c>
      <c r="BW6" s="95" t="b">
        <f>AE6='[2]500千伏-750千伏电网基建'!AE6</f>
        <v>1</v>
      </c>
      <c r="BX6" s="95" t="b">
        <f>AF6='[2]500千伏-750千伏电网基建'!AF6</f>
        <v>1</v>
      </c>
      <c r="BY6" s="95" t="b">
        <f>AG6='[2]500千伏-750千伏电网基建'!AG6</f>
        <v>1</v>
      </c>
      <c r="BZ6" s="95" t="b">
        <f>AH6='[2]500千伏-750千伏电网基建'!AH6</f>
        <v>1</v>
      </c>
      <c r="CA6" s="95" t="b">
        <f>AI6='[2]500千伏-750千伏电网基建'!AI6</f>
        <v>1</v>
      </c>
      <c r="CB6" s="95" t="b">
        <f>AJ6='[2]500千伏-750千伏电网基建'!AJ6</f>
        <v>1</v>
      </c>
      <c r="CC6" s="95" t="b">
        <f>AK6='[2]500千伏-750千伏电网基建'!AK6</f>
        <v>1</v>
      </c>
    </row>
    <row r="7" s="95" customFormat="1" ht="82" hidden="1" customHeight="1" spans="1:81">
      <c r="A7" s="14"/>
      <c r="B7" s="14"/>
      <c r="C7" s="15"/>
      <c r="D7" s="15"/>
      <c r="E7" s="16"/>
      <c r="F7" s="24"/>
      <c r="G7" s="15"/>
      <c r="H7" s="16"/>
      <c r="I7" s="23" t="s">
        <v>513</v>
      </c>
      <c r="J7" s="16" t="s">
        <v>1049</v>
      </c>
      <c r="K7" s="15"/>
      <c r="L7" s="15"/>
      <c r="M7" s="15"/>
      <c r="N7" s="15" t="s">
        <v>36</v>
      </c>
      <c r="O7" s="15"/>
      <c r="P7" s="15"/>
      <c r="Q7" s="15"/>
      <c r="R7" s="15"/>
      <c r="S7" s="15"/>
      <c r="T7" s="15" t="s">
        <v>492</v>
      </c>
      <c r="U7" s="15"/>
      <c r="V7" s="16" t="s">
        <v>508</v>
      </c>
      <c r="W7" s="35" t="s">
        <v>1050</v>
      </c>
      <c r="X7" s="15" t="s">
        <v>474</v>
      </c>
      <c r="Y7" s="15" t="s">
        <v>473</v>
      </c>
      <c r="Z7" s="15"/>
      <c r="AA7" s="15" t="s">
        <v>474</v>
      </c>
      <c r="AB7" s="15" t="s">
        <v>473</v>
      </c>
      <c r="AC7" s="15"/>
      <c r="AD7" s="15" t="s">
        <v>510</v>
      </c>
      <c r="AE7" s="15" t="s">
        <v>511</v>
      </c>
      <c r="AF7" s="15"/>
      <c r="AG7" s="14"/>
      <c r="AH7" s="15" t="s">
        <v>476</v>
      </c>
      <c r="AI7" s="15" t="s">
        <v>476</v>
      </c>
      <c r="AJ7" s="15" t="s">
        <v>512</v>
      </c>
      <c r="AK7" s="15" t="s">
        <v>497</v>
      </c>
      <c r="AL7" s="102" t="s">
        <v>1043</v>
      </c>
      <c r="AM7" s="23" t="s">
        <v>1044</v>
      </c>
      <c r="AN7" s="103"/>
      <c r="AO7" s="7" t="s">
        <v>1045</v>
      </c>
      <c r="AP7" s="7" t="s">
        <v>1045</v>
      </c>
      <c r="AQ7" s="7" t="s">
        <v>1045</v>
      </c>
      <c r="AR7" s="95" t="b">
        <f t="shared" si="0"/>
        <v>1</v>
      </c>
      <c r="AS7" s="95" t="b">
        <f>A7='[2]500千伏-750千伏电网基建'!A7</f>
        <v>1</v>
      </c>
      <c r="AT7" s="95" t="b">
        <f>B7='[2]500千伏-750千伏电网基建'!B7</f>
        <v>1</v>
      </c>
      <c r="AU7" s="95" t="b">
        <f>C7='[2]500千伏-750千伏电网基建'!C7</f>
        <v>1</v>
      </c>
      <c r="AV7" s="95" t="b">
        <f>D7='[2]500千伏-750千伏电网基建'!D7</f>
        <v>1</v>
      </c>
      <c r="AW7" s="95" t="b">
        <f>E7='[2]500千伏-750千伏电网基建'!E7</f>
        <v>1</v>
      </c>
      <c r="AX7" s="95" t="b">
        <f>F7='[2]500千伏-750千伏电网基建'!F7</f>
        <v>1</v>
      </c>
      <c r="AY7" s="95" t="b">
        <f>G7='[2]500千伏-750千伏电网基建'!G7</f>
        <v>1</v>
      </c>
      <c r="AZ7" s="95" t="b">
        <f>H7='[2]500千伏-750千伏电网基建'!H7</f>
        <v>1</v>
      </c>
      <c r="BA7" s="95" t="b">
        <f>I7='[2]500千伏-750千伏电网基建'!I7</f>
        <v>1</v>
      </c>
      <c r="BB7" s="95" t="b">
        <f>J7='[2]500千伏-750千伏电网基建'!J7</f>
        <v>1</v>
      </c>
      <c r="BC7" s="95" t="b">
        <f>K7='[2]500千伏-750千伏电网基建'!K7</f>
        <v>1</v>
      </c>
      <c r="BD7" s="95" t="b">
        <f>L7='[2]500千伏-750千伏电网基建'!L7</f>
        <v>1</v>
      </c>
      <c r="BE7" s="95" t="b">
        <f>M7='[2]500千伏-750千伏电网基建'!M7</f>
        <v>1</v>
      </c>
      <c r="BF7" s="95" t="b">
        <f>N7='[2]500千伏-750千伏电网基建'!N7</f>
        <v>1</v>
      </c>
      <c r="BG7" s="95" t="b">
        <f>O7='[2]500千伏-750千伏电网基建'!O7</f>
        <v>1</v>
      </c>
      <c r="BH7" s="95" t="b">
        <f>P7='[2]500千伏-750千伏电网基建'!P7</f>
        <v>1</v>
      </c>
      <c r="BI7" s="95" t="b">
        <f>Q7='[2]500千伏-750千伏电网基建'!Q7</f>
        <v>1</v>
      </c>
      <c r="BJ7" s="95" t="b">
        <f>R7='[2]500千伏-750千伏电网基建'!R7</f>
        <v>1</v>
      </c>
      <c r="BK7" s="95" t="b">
        <f>S7='[2]500千伏-750千伏电网基建'!S7</f>
        <v>1</v>
      </c>
      <c r="BL7" s="95" t="b">
        <f>T7='[2]500千伏-750千伏电网基建'!T7</f>
        <v>1</v>
      </c>
      <c r="BM7" s="95" t="b">
        <f>U7='[2]500千伏-750千伏电网基建'!U7</f>
        <v>1</v>
      </c>
      <c r="BN7" s="95" t="b">
        <f>V7='[2]500千伏-750千伏电网基建'!V7</f>
        <v>1</v>
      </c>
      <c r="BO7" s="95" t="b">
        <f>W7='[2]500千伏-750千伏电网基建'!W7</f>
        <v>1</v>
      </c>
      <c r="BP7" s="95" t="b">
        <f>X7='[2]500千伏-750千伏电网基建'!X7</f>
        <v>1</v>
      </c>
      <c r="BQ7" s="95" t="b">
        <f>Y7='[2]500千伏-750千伏电网基建'!Y7</f>
        <v>1</v>
      </c>
      <c r="BR7" s="95" t="b">
        <f>Z7='[2]500千伏-750千伏电网基建'!Z7</f>
        <v>1</v>
      </c>
      <c r="BS7" s="95" t="b">
        <f>AA7='[2]500千伏-750千伏电网基建'!AA7</f>
        <v>1</v>
      </c>
      <c r="BT7" s="95" t="b">
        <f>AB7='[2]500千伏-750千伏电网基建'!AB7</f>
        <v>1</v>
      </c>
      <c r="BU7" s="95" t="b">
        <f>AC7='[2]500千伏-750千伏电网基建'!AC7</f>
        <v>1</v>
      </c>
      <c r="BV7" s="95" t="b">
        <f>AD7='[2]500千伏-750千伏电网基建'!AD7</f>
        <v>1</v>
      </c>
      <c r="BW7" s="95" t="b">
        <f>AE7='[2]500千伏-750千伏电网基建'!AE7</f>
        <v>1</v>
      </c>
      <c r="BX7" s="95" t="b">
        <f>AF7='[2]500千伏-750千伏电网基建'!AF7</f>
        <v>1</v>
      </c>
      <c r="BY7" s="95" t="b">
        <f>AG7='[2]500千伏-750千伏电网基建'!AG7</f>
        <v>1</v>
      </c>
      <c r="BZ7" s="95" t="b">
        <f>AH7='[2]500千伏-750千伏电网基建'!AH7</f>
        <v>1</v>
      </c>
      <c r="CA7" s="95" t="b">
        <f>AI7='[2]500千伏-750千伏电网基建'!AI7</f>
        <v>1</v>
      </c>
      <c r="CB7" s="95" t="b">
        <f>AJ7='[2]500千伏-750千伏电网基建'!AJ7</f>
        <v>1</v>
      </c>
      <c r="CC7" s="95" t="b">
        <f>AK7='[2]500千伏-750千伏电网基建'!AK7</f>
        <v>1</v>
      </c>
    </row>
    <row r="8" s="95" customFormat="1" ht="145" hidden="1" customHeight="1" spans="1:81">
      <c r="A8" s="14"/>
      <c r="B8" s="14"/>
      <c r="C8" s="15"/>
      <c r="D8" s="15"/>
      <c r="E8" s="16"/>
      <c r="F8" s="24"/>
      <c r="G8" s="15"/>
      <c r="H8" s="16"/>
      <c r="I8" s="23" t="s">
        <v>516</v>
      </c>
      <c r="J8" s="16" t="s">
        <v>517</v>
      </c>
      <c r="K8" s="15"/>
      <c r="L8" s="15"/>
      <c r="M8" s="15"/>
      <c r="N8" s="15"/>
      <c r="O8" s="15"/>
      <c r="P8" s="15"/>
      <c r="Q8" s="15"/>
      <c r="R8" s="15"/>
      <c r="S8" s="15" t="s">
        <v>36</v>
      </c>
      <c r="T8" s="15" t="s">
        <v>492</v>
      </c>
      <c r="U8" s="15"/>
      <c r="V8" s="16" t="s">
        <v>508</v>
      </c>
      <c r="W8" s="35" t="s">
        <v>1051</v>
      </c>
      <c r="X8" s="15" t="s">
        <v>474</v>
      </c>
      <c r="Y8" s="15" t="s">
        <v>473</v>
      </c>
      <c r="Z8" s="15"/>
      <c r="AA8" s="15" t="s">
        <v>474</v>
      </c>
      <c r="AB8" s="104" t="s">
        <v>473</v>
      </c>
      <c r="AC8" s="15"/>
      <c r="AD8" s="15" t="s">
        <v>510</v>
      </c>
      <c r="AE8" s="15" t="s">
        <v>472</v>
      </c>
      <c r="AF8" s="15"/>
      <c r="AG8" s="14"/>
      <c r="AH8" s="15" t="s">
        <v>476</v>
      </c>
      <c r="AI8" s="15" t="s">
        <v>476</v>
      </c>
      <c r="AJ8" s="15" t="s">
        <v>512</v>
      </c>
      <c r="AK8" s="15" t="s">
        <v>519</v>
      </c>
      <c r="AL8" s="15" t="s">
        <v>1052</v>
      </c>
      <c r="AM8" s="15" t="s">
        <v>1053</v>
      </c>
      <c r="AN8" s="100" t="s">
        <v>1054</v>
      </c>
      <c r="AO8" s="7" t="s">
        <v>1045</v>
      </c>
      <c r="AP8" s="7" t="s">
        <v>1045</v>
      </c>
      <c r="AQ8" s="7" t="s">
        <v>1045</v>
      </c>
      <c r="AR8" s="95" t="b">
        <f t="shared" si="0"/>
        <v>1</v>
      </c>
      <c r="AS8" s="95" t="b">
        <f>A8='[2]500千伏-750千伏电网基建'!A8</f>
        <v>1</v>
      </c>
      <c r="AT8" s="95" t="b">
        <f>B8='[2]500千伏-750千伏电网基建'!B8</f>
        <v>1</v>
      </c>
      <c r="AU8" s="95" t="b">
        <f>C8='[2]500千伏-750千伏电网基建'!C8</f>
        <v>1</v>
      </c>
      <c r="AV8" s="95" t="b">
        <f>D8='[2]500千伏-750千伏电网基建'!D8</f>
        <v>1</v>
      </c>
      <c r="AW8" s="95" t="b">
        <f>E8='[2]500千伏-750千伏电网基建'!E8</f>
        <v>1</v>
      </c>
      <c r="AX8" s="95" t="b">
        <f>F8='[2]500千伏-750千伏电网基建'!F8</f>
        <v>1</v>
      </c>
      <c r="AY8" s="95" t="b">
        <f>G8='[2]500千伏-750千伏电网基建'!G8</f>
        <v>1</v>
      </c>
      <c r="AZ8" s="95" t="b">
        <f>H8='[2]500千伏-750千伏电网基建'!H8</f>
        <v>1</v>
      </c>
      <c r="BA8" s="95" t="b">
        <f>I8='[2]500千伏-750千伏电网基建'!I8</f>
        <v>1</v>
      </c>
      <c r="BB8" s="95" t="b">
        <f>J8='[2]500千伏-750千伏电网基建'!J8</f>
        <v>1</v>
      </c>
      <c r="BC8" s="95" t="b">
        <f>K8='[2]500千伏-750千伏电网基建'!K8</f>
        <v>1</v>
      </c>
      <c r="BD8" s="95" t="b">
        <f>L8='[2]500千伏-750千伏电网基建'!L8</f>
        <v>1</v>
      </c>
      <c r="BE8" s="95" t="b">
        <f>M8='[2]500千伏-750千伏电网基建'!M8</f>
        <v>1</v>
      </c>
      <c r="BF8" s="95" t="b">
        <f>N8='[2]500千伏-750千伏电网基建'!N8</f>
        <v>1</v>
      </c>
      <c r="BG8" s="95" t="b">
        <f>O8='[2]500千伏-750千伏电网基建'!O8</f>
        <v>1</v>
      </c>
      <c r="BH8" s="95" t="b">
        <f>P8='[2]500千伏-750千伏电网基建'!P8</f>
        <v>1</v>
      </c>
      <c r="BI8" s="95" t="b">
        <f>Q8='[2]500千伏-750千伏电网基建'!Q8</f>
        <v>1</v>
      </c>
      <c r="BJ8" s="95" t="b">
        <f>R8='[2]500千伏-750千伏电网基建'!R8</f>
        <v>1</v>
      </c>
      <c r="BK8" s="95" t="b">
        <f>S8='[2]500千伏-750千伏电网基建'!S8</f>
        <v>1</v>
      </c>
      <c r="BL8" s="95" t="b">
        <f>T8='[2]500千伏-750千伏电网基建'!T8</f>
        <v>1</v>
      </c>
      <c r="BM8" s="95" t="b">
        <f>U8='[2]500千伏-750千伏电网基建'!U8</f>
        <v>1</v>
      </c>
      <c r="BN8" s="95" t="b">
        <f>V8='[2]500千伏-750千伏电网基建'!V8</f>
        <v>1</v>
      </c>
      <c r="BO8" s="95" t="b">
        <f>W8='[2]500千伏-750千伏电网基建'!W8</f>
        <v>1</v>
      </c>
      <c r="BP8" s="95" t="b">
        <f>X8='[2]500千伏-750千伏电网基建'!X8</f>
        <v>1</v>
      </c>
      <c r="BQ8" s="95" t="b">
        <f>Y8='[2]500千伏-750千伏电网基建'!Y8</f>
        <v>1</v>
      </c>
      <c r="BR8" s="95" t="b">
        <f>Z8='[2]500千伏-750千伏电网基建'!Z8</f>
        <v>1</v>
      </c>
      <c r="BS8" s="95" t="b">
        <f>AA8='[2]500千伏-750千伏电网基建'!AA8</f>
        <v>1</v>
      </c>
      <c r="BT8" s="95" t="b">
        <f>AB8='[2]500千伏-750千伏电网基建'!AB8</f>
        <v>1</v>
      </c>
      <c r="BU8" s="95" t="b">
        <f>AC8='[2]500千伏-750千伏电网基建'!AC8</f>
        <v>1</v>
      </c>
      <c r="BV8" s="95" t="b">
        <f>AD8='[2]500千伏-750千伏电网基建'!AD8</f>
        <v>1</v>
      </c>
      <c r="BW8" s="95" t="b">
        <f>AE8='[2]500千伏-750千伏电网基建'!AE8</f>
        <v>1</v>
      </c>
      <c r="BX8" s="95" t="b">
        <f>AF8='[2]500千伏-750千伏电网基建'!AF8</f>
        <v>1</v>
      </c>
      <c r="BY8" s="95" t="b">
        <f>AG8='[2]500千伏-750千伏电网基建'!AG8</f>
        <v>1</v>
      </c>
      <c r="BZ8" s="95" t="b">
        <f>AH8='[2]500千伏-750千伏电网基建'!AH8</f>
        <v>1</v>
      </c>
      <c r="CA8" s="95" t="b">
        <f>AI8='[2]500千伏-750千伏电网基建'!AI8</f>
        <v>1</v>
      </c>
      <c r="CB8" s="95" t="b">
        <f>AJ8='[2]500千伏-750千伏电网基建'!AJ8</f>
        <v>1</v>
      </c>
      <c r="CC8" s="95" t="b">
        <f>AK8='[2]500千伏-750千伏电网基建'!AK8</f>
        <v>1</v>
      </c>
    </row>
    <row r="9" s="95" customFormat="1" ht="81" hidden="1" customHeight="1" spans="1:81">
      <c r="A9" s="14"/>
      <c r="B9" s="14"/>
      <c r="C9" s="15"/>
      <c r="D9" s="15"/>
      <c r="E9" s="16" t="s">
        <v>520</v>
      </c>
      <c r="F9" s="16"/>
      <c r="G9" s="15" t="s">
        <v>521</v>
      </c>
      <c r="H9" s="16" t="s">
        <v>522</v>
      </c>
      <c r="I9" s="23" t="s">
        <v>523</v>
      </c>
      <c r="J9" s="16" t="s">
        <v>1055</v>
      </c>
      <c r="K9" s="15"/>
      <c r="L9" s="15"/>
      <c r="M9" s="15"/>
      <c r="N9" s="15" t="s">
        <v>36</v>
      </c>
      <c r="O9" s="15"/>
      <c r="P9" s="15"/>
      <c r="Q9" s="15"/>
      <c r="R9" s="15"/>
      <c r="S9" s="15" t="s">
        <v>36</v>
      </c>
      <c r="T9" s="15" t="s">
        <v>492</v>
      </c>
      <c r="U9" s="15"/>
      <c r="V9" s="16" t="s">
        <v>525</v>
      </c>
      <c r="W9" s="35" t="s">
        <v>1056</v>
      </c>
      <c r="X9" s="15" t="s">
        <v>474</v>
      </c>
      <c r="Y9" s="15" t="s">
        <v>473</v>
      </c>
      <c r="Z9" s="15"/>
      <c r="AA9" s="15" t="s">
        <v>474</v>
      </c>
      <c r="AB9" s="15" t="s">
        <v>473</v>
      </c>
      <c r="AC9" s="15"/>
      <c r="AD9" s="15" t="s">
        <v>527</v>
      </c>
      <c r="AE9" s="15" t="s">
        <v>511</v>
      </c>
      <c r="AF9" s="15"/>
      <c r="AG9" s="14"/>
      <c r="AH9" s="15" t="s">
        <v>476</v>
      </c>
      <c r="AI9" s="15" t="s">
        <v>476</v>
      </c>
      <c r="AJ9" s="15" t="s">
        <v>512</v>
      </c>
      <c r="AK9" s="15" t="s">
        <v>497</v>
      </c>
      <c r="AL9" s="102" t="s">
        <v>1043</v>
      </c>
      <c r="AM9" s="23" t="s">
        <v>1044</v>
      </c>
      <c r="AN9" s="103"/>
      <c r="AO9" s="7" t="s">
        <v>1045</v>
      </c>
      <c r="AP9" s="7" t="s">
        <v>1045</v>
      </c>
      <c r="AQ9" s="7" t="s">
        <v>1045</v>
      </c>
      <c r="AR9" s="95" t="b">
        <f t="shared" si="0"/>
        <v>1</v>
      </c>
      <c r="AS9" s="95" t="b">
        <f>A9='[2]500千伏-750千伏电网基建'!A9</f>
        <v>1</v>
      </c>
      <c r="AT9" s="95" t="b">
        <f>B9='[2]500千伏-750千伏电网基建'!B9</f>
        <v>1</v>
      </c>
      <c r="AU9" s="95" t="b">
        <f>C9='[2]500千伏-750千伏电网基建'!C9</f>
        <v>1</v>
      </c>
      <c r="AV9" s="95" t="b">
        <f>D9='[2]500千伏-750千伏电网基建'!D9</f>
        <v>1</v>
      </c>
      <c r="AW9" s="95" t="b">
        <f>E9='[2]500千伏-750千伏电网基建'!E9</f>
        <v>1</v>
      </c>
      <c r="AX9" s="95" t="b">
        <f>F9='[2]500千伏-750千伏电网基建'!F9</f>
        <v>1</v>
      </c>
      <c r="AY9" s="95" t="b">
        <f>G9='[2]500千伏-750千伏电网基建'!G9</f>
        <v>1</v>
      </c>
      <c r="AZ9" s="95" t="b">
        <f>H9='[2]500千伏-750千伏电网基建'!H9</f>
        <v>1</v>
      </c>
      <c r="BA9" s="95" t="b">
        <f>I9='[2]500千伏-750千伏电网基建'!I9</f>
        <v>1</v>
      </c>
      <c r="BB9" s="95" t="b">
        <f>J9='[2]500千伏-750千伏电网基建'!J9</f>
        <v>1</v>
      </c>
      <c r="BC9" s="95" t="b">
        <f>K9='[2]500千伏-750千伏电网基建'!K9</f>
        <v>1</v>
      </c>
      <c r="BD9" s="95" t="b">
        <f>L9='[2]500千伏-750千伏电网基建'!L9</f>
        <v>1</v>
      </c>
      <c r="BE9" s="95" t="b">
        <f>M9='[2]500千伏-750千伏电网基建'!M9</f>
        <v>1</v>
      </c>
      <c r="BF9" s="95" t="b">
        <f>N9='[2]500千伏-750千伏电网基建'!N9</f>
        <v>1</v>
      </c>
      <c r="BG9" s="95" t="b">
        <f>O9='[2]500千伏-750千伏电网基建'!O9</f>
        <v>1</v>
      </c>
      <c r="BH9" s="95" t="b">
        <f>P9='[2]500千伏-750千伏电网基建'!P9</f>
        <v>1</v>
      </c>
      <c r="BI9" s="95" t="b">
        <f>Q9='[2]500千伏-750千伏电网基建'!Q9</f>
        <v>1</v>
      </c>
      <c r="BJ9" s="95" t="b">
        <f>R9='[2]500千伏-750千伏电网基建'!R9</f>
        <v>1</v>
      </c>
      <c r="BK9" s="95" t="b">
        <f>S9='[2]500千伏-750千伏电网基建'!S9</f>
        <v>1</v>
      </c>
      <c r="BL9" s="95" t="b">
        <f>T9='[2]500千伏-750千伏电网基建'!T9</f>
        <v>1</v>
      </c>
      <c r="BM9" s="95" t="b">
        <f>U9='[2]500千伏-750千伏电网基建'!U9</f>
        <v>1</v>
      </c>
      <c r="BN9" s="95" t="b">
        <f>V9='[2]500千伏-750千伏电网基建'!V9</f>
        <v>1</v>
      </c>
      <c r="BO9" s="95" t="b">
        <f>W9='[2]500千伏-750千伏电网基建'!W9</f>
        <v>1</v>
      </c>
      <c r="BP9" s="95" t="b">
        <f>X9='[2]500千伏-750千伏电网基建'!X9</f>
        <v>1</v>
      </c>
      <c r="BQ9" s="95" t="b">
        <f>Y9='[2]500千伏-750千伏电网基建'!Y9</f>
        <v>1</v>
      </c>
      <c r="BR9" s="95" t="b">
        <f>Z9='[2]500千伏-750千伏电网基建'!Z9</f>
        <v>1</v>
      </c>
      <c r="BS9" s="95" t="b">
        <f>AA9='[2]500千伏-750千伏电网基建'!AA9</f>
        <v>1</v>
      </c>
      <c r="BT9" s="95" t="b">
        <f>AB9='[2]500千伏-750千伏电网基建'!AB9</f>
        <v>1</v>
      </c>
      <c r="BU9" s="95" t="b">
        <f>AC9='[2]500千伏-750千伏电网基建'!AC9</f>
        <v>1</v>
      </c>
      <c r="BV9" s="95" t="b">
        <f>AD9='[2]500千伏-750千伏电网基建'!AD9</f>
        <v>1</v>
      </c>
      <c r="BW9" s="95" t="b">
        <f>AE9='[2]500千伏-750千伏电网基建'!AE9</f>
        <v>1</v>
      </c>
      <c r="BX9" s="95" t="b">
        <f>AF9='[2]500千伏-750千伏电网基建'!AF9</f>
        <v>1</v>
      </c>
      <c r="BY9" s="95" t="b">
        <f>AG9='[2]500千伏-750千伏电网基建'!AG9</f>
        <v>1</v>
      </c>
      <c r="BZ9" s="95" t="b">
        <f>AH9='[2]500千伏-750千伏电网基建'!AH9</f>
        <v>1</v>
      </c>
      <c r="CA9" s="95" t="b">
        <f>AI9='[2]500千伏-750千伏电网基建'!AI9</f>
        <v>1</v>
      </c>
      <c r="CB9" s="95" t="b">
        <f>AJ9='[2]500千伏-750千伏电网基建'!AJ9</f>
        <v>1</v>
      </c>
      <c r="CC9" s="95" t="b">
        <f>AK9='[2]500千伏-750千伏电网基建'!AK9</f>
        <v>1</v>
      </c>
    </row>
    <row r="10" s="95" customFormat="1" ht="170" hidden="1" customHeight="1" spans="1:81">
      <c r="A10" s="14"/>
      <c r="B10" s="14"/>
      <c r="C10" s="15"/>
      <c r="D10" s="15"/>
      <c r="E10" s="16"/>
      <c r="F10" s="16"/>
      <c r="G10" s="15"/>
      <c r="H10" s="16"/>
      <c r="I10" s="23" t="s">
        <v>528</v>
      </c>
      <c r="J10" s="16" t="s">
        <v>529</v>
      </c>
      <c r="K10" s="15"/>
      <c r="L10" s="15"/>
      <c r="M10" s="15"/>
      <c r="N10" s="15" t="s">
        <v>36</v>
      </c>
      <c r="O10" s="15"/>
      <c r="P10" s="15"/>
      <c r="Q10" s="15" t="s">
        <v>36</v>
      </c>
      <c r="R10" s="15"/>
      <c r="S10" s="15" t="s">
        <v>36</v>
      </c>
      <c r="T10" s="15" t="s">
        <v>465</v>
      </c>
      <c r="U10" s="15" t="s">
        <v>530</v>
      </c>
      <c r="V10" s="16" t="s">
        <v>525</v>
      </c>
      <c r="W10" s="31" t="s">
        <v>531</v>
      </c>
      <c r="X10" s="15" t="s">
        <v>474</v>
      </c>
      <c r="Y10" s="15" t="s">
        <v>473</v>
      </c>
      <c r="Z10" s="15"/>
      <c r="AA10" s="15" t="s">
        <v>474</v>
      </c>
      <c r="AB10" s="15" t="s">
        <v>473</v>
      </c>
      <c r="AC10" s="15"/>
      <c r="AD10" s="15" t="s">
        <v>527</v>
      </c>
      <c r="AE10" s="15" t="s">
        <v>511</v>
      </c>
      <c r="AF10" s="15"/>
      <c r="AG10" s="14"/>
      <c r="AH10" s="15" t="s">
        <v>476</v>
      </c>
      <c r="AI10" s="15" t="s">
        <v>476</v>
      </c>
      <c r="AJ10" s="15" t="s">
        <v>512</v>
      </c>
      <c r="AK10" s="15" t="s">
        <v>532</v>
      </c>
      <c r="AL10" s="16" t="s">
        <v>1057</v>
      </c>
      <c r="AM10" s="23" t="s">
        <v>470</v>
      </c>
      <c r="AN10" s="100" t="s">
        <v>1058</v>
      </c>
      <c r="AO10" s="7" t="s">
        <v>1059</v>
      </c>
      <c r="AP10" s="7" t="s">
        <v>1059</v>
      </c>
      <c r="AQ10" s="7" t="s">
        <v>1059</v>
      </c>
      <c r="AR10" s="95" t="b">
        <f t="shared" si="0"/>
        <v>1</v>
      </c>
      <c r="AS10" s="95" t="b">
        <f>A10='[2]500千伏-750千伏电网基建'!A10</f>
        <v>1</v>
      </c>
      <c r="AT10" s="95" t="b">
        <f>B10='[2]500千伏-750千伏电网基建'!B10</f>
        <v>1</v>
      </c>
      <c r="AU10" s="95" t="b">
        <f>C10='[2]500千伏-750千伏电网基建'!C10</f>
        <v>1</v>
      </c>
      <c r="AV10" s="95" t="b">
        <f>D10='[2]500千伏-750千伏电网基建'!D10</f>
        <v>1</v>
      </c>
      <c r="AW10" s="95" t="b">
        <f>E10='[2]500千伏-750千伏电网基建'!E10</f>
        <v>1</v>
      </c>
      <c r="AX10" s="95" t="b">
        <f>F10='[2]500千伏-750千伏电网基建'!F10</f>
        <v>1</v>
      </c>
      <c r="AY10" s="95" t="b">
        <f>G10='[2]500千伏-750千伏电网基建'!G10</f>
        <v>1</v>
      </c>
      <c r="AZ10" s="95" t="b">
        <f>H10='[2]500千伏-750千伏电网基建'!H10</f>
        <v>1</v>
      </c>
      <c r="BA10" s="95" t="b">
        <f>I10='[2]500千伏-750千伏电网基建'!I10</f>
        <v>1</v>
      </c>
      <c r="BB10" s="95" t="b">
        <f>J10='[2]500千伏-750千伏电网基建'!J10</f>
        <v>1</v>
      </c>
      <c r="BC10" s="95" t="b">
        <f>K10='[2]500千伏-750千伏电网基建'!K10</f>
        <v>1</v>
      </c>
      <c r="BD10" s="95" t="b">
        <f>L10='[2]500千伏-750千伏电网基建'!L10</f>
        <v>1</v>
      </c>
      <c r="BE10" s="95" t="b">
        <f>M10='[2]500千伏-750千伏电网基建'!M10</f>
        <v>1</v>
      </c>
      <c r="BF10" s="95" t="b">
        <f>N10='[2]500千伏-750千伏电网基建'!N10</f>
        <v>1</v>
      </c>
      <c r="BG10" s="95" t="b">
        <f>O10='[2]500千伏-750千伏电网基建'!O10</f>
        <v>1</v>
      </c>
      <c r="BH10" s="95" t="b">
        <f>P10='[2]500千伏-750千伏电网基建'!P10</f>
        <v>1</v>
      </c>
      <c r="BI10" s="95" t="b">
        <f>Q10='[2]500千伏-750千伏电网基建'!Q10</f>
        <v>1</v>
      </c>
      <c r="BJ10" s="95" t="b">
        <f>R10='[2]500千伏-750千伏电网基建'!R10</f>
        <v>1</v>
      </c>
      <c r="BK10" s="95" t="b">
        <f>S10='[2]500千伏-750千伏电网基建'!S10</f>
        <v>1</v>
      </c>
      <c r="BL10" s="95" t="b">
        <f>T10='[2]500千伏-750千伏电网基建'!T10</f>
        <v>1</v>
      </c>
      <c r="BM10" s="95" t="b">
        <f>U10='[2]500千伏-750千伏电网基建'!U10</f>
        <v>1</v>
      </c>
      <c r="BN10" s="95" t="b">
        <f>V10='[2]500千伏-750千伏电网基建'!V10</f>
        <v>1</v>
      </c>
      <c r="BO10" s="95" t="b">
        <f>W10='[2]500千伏-750千伏电网基建'!W10</f>
        <v>1</v>
      </c>
      <c r="BP10" s="95" t="b">
        <f>X10='[2]500千伏-750千伏电网基建'!X10</f>
        <v>1</v>
      </c>
      <c r="BQ10" s="95" t="b">
        <f>Y10='[2]500千伏-750千伏电网基建'!Y10</f>
        <v>1</v>
      </c>
      <c r="BR10" s="95" t="b">
        <f>Z10='[2]500千伏-750千伏电网基建'!Z10</f>
        <v>1</v>
      </c>
      <c r="BS10" s="95" t="b">
        <f>AA10='[2]500千伏-750千伏电网基建'!AA10</f>
        <v>1</v>
      </c>
      <c r="BT10" s="95" t="b">
        <f>AB10='[2]500千伏-750千伏电网基建'!AB10</f>
        <v>1</v>
      </c>
      <c r="BU10" s="95" t="b">
        <f>AC10='[2]500千伏-750千伏电网基建'!AC10</f>
        <v>1</v>
      </c>
      <c r="BV10" s="95" t="b">
        <f>AD10='[2]500千伏-750千伏电网基建'!AD10</f>
        <v>1</v>
      </c>
      <c r="BW10" s="95" t="b">
        <f>AE10='[2]500千伏-750千伏电网基建'!AE10</f>
        <v>1</v>
      </c>
      <c r="BX10" s="95" t="b">
        <f>AF10='[2]500千伏-750千伏电网基建'!AF10</f>
        <v>1</v>
      </c>
      <c r="BY10" s="95" t="b">
        <f>AG10='[2]500千伏-750千伏电网基建'!AG10</f>
        <v>1</v>
      </c>
      <c r="BZ10" s="95" t="b">
        <f>AH10='[2]500千伏-750千伏电网基建'!AH10</f>
        <v>1</v>
      </c>
      <c r="CA10" s="95" t="b">
        <f>AI10='[2]500千伏-750千伏电网基建'!AI10</f>
        <v>1</v>
      </c>
      <c r="CB10" s="95" t="b">
        <f>AJ10='[2]500千伏-750千伏电网基建'!AJ10</f>
        <v>1</v>
      </c>
      <c r="CC10" s="95" t="b">
        <f>AK10='[2]500千伏-750千伏电网基建'!AK10</f>
        <v>1</v>
      </c>
    </row>
    <row r="11" s="95" customFormat="1" ht="85" hidden="1" customHeight="1" spans="1:81">
      <c r="A11" s="14"/>
      <c r="B11" s="14"/>
      <c r="C11" s="15"/>
      <c r="D11" s="15"/>
      <c r="E11" s="16"/>
      <c r="F11" s="16"/>
      <c r="G11" s="15"/>
      <c r="H11" s="16"/>
      <c r="I11" s="23" t="s">
        <v>533</v>
      </c>
      <c r="J11" s="16" t="s">
        <v>1060</v>
      </c>
      <c r="K11" s="15"/>
      <c r="L11" s="15"/>
      <c r="M11" s="15"/>
      <c r="N11" s="15" t="s">
        <v>36</v>
      </c>
      <c r="O11" s="15"/>
      <c r="P11" s="15"/>
      <c r="Q11" s="15"/>
      <c r="R11" s="15"/>
      <c r="S11" s="15"/>
      <c r="T11" s="15" t="s">
        <v>492</v>
      </c>
      <c r="U11" s="15"/>
      <c r="V11" s="16" t="s">
        <v>525</v>
      </c>
      <c r="W11" s="105" t="s">
        <v>535</v>
      </c>
      <c r="X11" s="15" t="s">
        <v>474</v>
      </c>
      <c r="Y11" s="15" t="s">
        <v>473</v>
      </c>
      <c r="Z11" s="15"/>
      <c r="AA11" s="15" t="s">
        <v>474</v>
      </c>
      <c r="AB11" s="15" t="s">
        <v>473</v>
      </c>
      <c r="AC11" s="15"/>
      <c r="AD11" s="15" t="s">
        <v>527</v>
      </c>
      <c r="AE11" s="15" t="s">
        <v>511</v>
      </c>
      <c r="AF11" s="15"/>
      <c r="AG11" s="14"/>
      <c r="AH11" s="15" t="s">
        <v>476</v>
      </c>
      <c r="AI11" s="15" t="s">
        <v>476</v>
      </c>
      <c r="AJ11" s="15" t="s">
        <v>512</v>
      </c>
      <c r="AK11" s="15" t="s">
        <v>497</v>
      </c>
      <c r="AL11" s="102" t="s">
        <v>1043</v>
      </c>
      <c r="AM11" s="23" t="s">
        <v>1044</v>
      </c>
      <c r="AN11" s="103"/>
      <c r="AO11" s="7" t="s">
        <v>1045</v>
      </c>
      <c r="AP11" s="7" t="s">
        <v>1045</v>
      </c>
      <c r="AQ11" s="7" t="s">
        <v>1045</v>
      </c>
      <c r="AR11" s="95" t="b">
        <f t="shared" si="0"/>
        <v>1</v>
      </c>
      <c r="AS11" s="95" t="b">
        <f>A11='[2]500千伏-750千伏电网基建'!A11</f>
        <v>1</v>
      </c>
      <c r="AT11" s="95" t="b">
        <f>B11='[2]500千伏-750千伏电网基建'!B11</f>
        <v>1</v>
      </c>
      <c r="AU11" s="95" t="b">
        <f>C11='[2]500千伏-750千伏电网基建'!C11</f>
        <v>1</v>
      </c>
      <c r="AV11" s="95" t="b">
        <f>D11='[2]500千伏-750千伏电网基建'!D11</f>
        <v>1</v>
      </c>
      <c r="AW11" s="95" t="b">
        <f>E11='[2]500千伏-750千伏电网基建'!E11</f>
        <v>1</v>
      </c>
      <c r="AX11" s="95" t="b">
        <f>F11='[2]500千伏-750千伏电网基建'!F11</f>
        <v>1</v>
      </c>
      <c r="AY11" s="95" t="b">
        <f>G11='[2]500千伏-750千伏电网基建'!G11</f>
        <v>1</v>
      </c>
      <c r="AZ11" s="95" t="b">
        <f>H11='[2]500千伏-750千伏电网基建'!H11</f>
        <v>1</v>
      </c>
      <c r="BA11" s="95" t="b">
        <f>I11='[2]500千伏-750千伏电网基建'!I11</f>
        <v>1</v>
      </c>
      <c r="BB11" s="95" t="b">
        <f>J11='[2]500千伏-750千伏电网基建'!J11</f>
        <v>1</v>
      </c>
      <c r="BC11" s="95" t="b">
        <f>K11='[2]500千伏-750千伏电网基建'!K11</f>
        <v>1</v>
      </c>
      <c r="BD11" s="95" t="b">
        <f>L11='[2]500千伏-750千伏电网基建'!L11</f>
        <v>1</v>
      </c>
      <c r="BE11" s="95" t="b">
        <f>M11='[2]500千伏-750千伏电网基建'!M11</f>
        <v>1</v>
      </c>
      <c r="BF11" s="95" t="b">
        <f>N11='[2]500千伏-750千伏电网基建'!N11</f>
        <v>1</v>
      </c>
      <c r="BG11" s="95" t="b">
        <f>O11='[2]500千伏-750千伏电网基建'!O11</f>
        <v>1</v>
      </c>
      <c r="BH11" s="95" t="b">
        <f>P11='[2]500千伏-750千伏电网基建'!P11</f>
        <v>1</v>
      </c>
      <c r="BI11" s="95" t="b">
        <f>Q11='[2]500千伏-750千伏电网基建'!Q11</f>
        <v>1</v>
      </c>
      <c r="BJ11" s="95" t="b">
        <f>R11='[2]500千伏-750千伏电网基建'!R11</f>
        <v>1</v>
      </c>
      <c r="BK11" s="95" t="b">
        <f>S11='[2]500千伏-750千伏电网基建'!S11</f>
        <v>1</v>
      </c>
      <c r="BL11" s="95" t="b">
        <f>T11='[2]500千伏-750千伏电网基建'!T11</f>
        <v>1</v>
      </c>
      <c r="BM11" s="95" t="b">
        <f>U11='[2]500千伏-750千伏电网基建'!U11</f>
        <v>1</v>
      </c>
      <c r="BN11" s="95" t="b">
        <f>V11='[2]500千伏-750千伏电网基建'!V11</f>
        <v>1</v>
      </c>
      <c r="BO11" s="95" t="b">
        <f>W11='[2]500千伏-750千伏电网基建'!W11</f>
        <v>1</v>
      </c>
      <c r="BP11" s="95" t="b">
        <f>X11='[2]500千伏-750千伏电网基建'!X11</f>
        <v>1</v>
      </c>
      <c r="BQ11" s="95" t="b">
        <f>Y11='[2]500千伏-750千伏电网基建'!Y11</f>
        <v>1</v>
      </c>
      <c r="BR11" s="95" t="b">
        <f>Z11='[2]500千伏-750千伏电网基建'!Z11</f>
        <v>1</v>
      </c>
      <c r="BS11" s="95" t="b">
        <f>AA11='[2]500千伏-750千伏电网基建'!AA11</f>
        <v>1</v>
      </c>
      <c r="BT11" s="95" t="b">
        <f>AB11='[2]500千伏-750千伏电网基建'!AB11</f>
        <v>1</v>
      </c>
      <c r="BU11" s="95" t="b">
        <f>AC11='[2]500千伏-750千伏电网基建'!AC11</f>
        <v>1</v>
      </c>
      <c r="BV11" s="95" t="b">
        <f>AD11='[2]500千伏-750千伏电网基建'!AD11</f>
        <v>1</v>
      </c>
      <c r="BW11" s="95" t="b">
        <f>AE11='[2]500千伏-750千伏电网基建'!AE11</f>
        <v>1</v>
      </c>
      <c r="BX11" s="95" t="b">
        <f>AF11='[2]500千伏-750千伏电网基建'!AF11</f>
        <v>1</v>
      </c>
      <c r="BY11" s="95" t="b">
        <f>AG11='[2]500千伏-750千伏电网基建'!AG11</f>
        <v>1</v>
      </c>
      <c r="BZ11" s="95" t="b">
        <f>AH11='[2]500千伏-750千伏电网基建'!AH11</f>
        <v>1</v>
      </c>
      <c r="CA11" s="95" t="b">
        <f>AI11='[2]500千伏-750千伏电网基建'!AI11</f>
        <v>1</v>
      </c>
      <c r="CB11" s="95" t="b">
        <f>AJ11='[2]500千伏-750千伏电网基建'!AJ11</f>
        <v>1</v>
      </c>
      <c r="CC11" s="95" t="b">
        <f>AK11='[2]500千伏-750千伏电网基建'!AK11</f>
        <v>1</v>
      </c>
    </row>
    <row r="12" s="95" customFormat="1" ht="79" hidden="1" customHeight="1" spans="1:81">
      <c r="A12" s="14" t="s">
        <v>483</v>
      </c>
      <c r="B12" s="14" t="s">
        <v>484</v>
      </c>
      <c r="C12" s="15" t="s">
        <v>536</v>
      </c>
      <c r="D12" s="15" t="s">
        <v>537</v>
      </c>
      <c r="E12" s="16" t="s">
        <v>538</v>
      </c>
      <c r="F12" s="24"/>
      <c r="G12" s="15" t="s">
        <v>539</v>
      </c>
      <c r="H12" s="16" t="s">
        <v>540</v>
      </c>
      <c r="I12" s="23" t="s">
        <v>541</v>
      </c>
      <c r="J12" s="16" t="s">
        <v>542</v>
      </c>
      <c r="K12" s="15"/>
      <c r="L12" s="15" t="s">
        <v>36</v>
      </c>
      <c r="M12" s="15"/>
      <c r="N12" s="15"/>
      <c r="O12" s="15"/>
      <c r="P12" s="15"/>
      <c r="Q12" s="15"/>
      <c r="R12" s="15"/>
      <c r="S12" s="15"/>
      <c r="T12" s="15" t="s">
        <v>465</v>
      </c>
      <c r="U12" s="15" t="s">
        <v>543</v>
      </c>
      <c r="V12" s="16" t="s">
        <v>544</v>
      </c>
      <c r="W12" s="105" t="s">
        <v>545</v>
      </c>
      <c r="X12" s="15" t="s">
        <v>474</v>
      </c>
      <c r="Y12" s="15" t="s">
        <v>473</v>
      </c>
      <c r="Z12" s="15"/>
      <c r="AA12" s="15" t="s">
        <v>474</v>
      </c>
      <c r="AB12" s="15" t="s">
        <v>473</v>
      </c>
      <c r="AC12" s="15"/>
      <c r="AD12" s="15" t="s">
        <v>546</v>
      </c>
      <c r="AE12" s="15" t="s">
        <v>511</v>
      </c>
      <c r="AF12" s="30"/>
      <c r="AG12" s="14"/>
      <c r="AH12" s="15" t="s">
        <v>476</v>
      </c>
      <c r="AI12" s="30" t="s">
        <v>476</v>
      </c>
      <c r="AJ12" s="15" t="s">
        <v>547</v>
      </c>
      <c r="AK12" s="15" t="s">
        <v>497</v>
      </c>
      <c r="AL12" s="102" t="s">
        <v>1043</v>
      </c>
      <c r="AM12" s="23" t="s">
        <v>1046</v>
      </c>
      <c r="AN12" s="103"/>
      <c r="AO12" s="7" t="s">
        <v>1045</v>
      </c>
      <c r="AP12" s="7" t="s">
        <v>1045</v>
      </c>
      <c r="AQ12" s="7" t="s">
        <v>1045</v>
      </c>
      <c r="AR12" s="95" t="b">
        <f t="shared" si="0"/>
        <v>1</v>
      </c>
      <c r="AS12" s="95" t="b">
        <f>A12='[2]500千伏-750千伏电网基建'!A12</f>
        <v>1</v>
      </c>
      <c r="AT12" s="95" t="b">
        <f>B12='[2]500千伏-750千伏电网基建'!B12</f>
        <v>1</v>
      </c>
      <c r="AU12" s="95" t="b">
        <f>C12='[2]500千伏-750千伏电网基建'!C12</f>
        <v>1</v>
      </c>
      <c r="AV12" s="95" t="b">
        <f>D12='[2]500千伏-750千伏电网基建'!D12</f>
        <v>1</v>
      </c>
      <c r="AW12" s="95" t="b">
        <f>E12='[2]500千伏-750千伏电网基建'!E12</f>
        <v>1</v>
      </c>
      <c r="AX12" s="95" t="b">
        <f>F12='[2]500千伏-750千伏电网基建'!F12</f>
        <v>1</v>
      </c>
      <c r="AY12" s="95" t="b">
        <f>G12='[2]500千伏-750千伏电网基建'!G12</f>
        <v>1</v>
      </c>
      <c r="AZ12" s="95" t="b">
        <f>H12='[2]500千伏-750千伏电网基建'!H12</f>
        <v>1</v>
      </c>
      <c r="BA12" s="95" t="b">
        <f>I12='[2]500千伏-750千伏电网基建'!I12</f>
        <v>1</v>
      </c>
      <c r="BB12" s="95" t="b">
        <f>J12='[2]500千伏-750千伏电网基建'!J12</f>
        <v>1</v>
      </c>
      <c r="BC12" s="95" t="b">
        <f>K12='[2]500千伏-750千伏电网基建'!K12</f>
        <v>1</v>
      </c>
      <c r="BD12" s="95" t="b">
        <f>L12='[2]500千伏-750千伏电网基建'!L12</f>
        <v>1</v>
      </c>
      <c r="BE12" s="95" t="b">
        <f>M12='[2]500千伏-750千伏电网基建'!M12</f>
        <v>1</v>
      </c>
      <c r="BF12" s="95" t="b">
        <f>N12='[2]500千伏-750千伏电网基建'!N12</f>
        <v>1</v>
      </c>
      <c r="BG12" s="95" t="b">
        <f>O12='[2]500千伏-750千伏电网基建'!O12</f>
        <v>1</v>
      </c>
      <c r="BH12" s="95" t="b">
        <f>P12='[2]500千伏-750千伏电网基建'!P12</f>
        <v>1</v>
      </c>
      <c r="BI12" s="95" t="b">
        <f>Q12='[2]500千伏-750千伏电网基建'!Q12</f>
        <v>1</v>
      </c>
      <c r="BJ12" s="95" t="b">
        <f>R12='[2]500千伏-750千伏电网基建'!R12</f>
        <v>1</v>
      </c>
      <c r="BK12" s="95" t="b">
        <f>S12='[2]500千伏-750千伏电网基建'!S12</f>
        <v>1</v>
      </c>
      <c r="BL12" s="95" t="b">
        <f>T12='[2]500千伏-750千伏电网基建'!T12</f>
        <v>1</v>
      </c>
      <c r="BM12" s="95" t="b">
        <f>U12='[2]500千伏-750千伏电网基建'!U12</f>
        <v>1</v>
      </c>
      <c r="BN12" s="95" t="b">
        <f>V12='[2]500千伏-750千伏电网基建'!V12</f>
        <v>1</v>
      </c>
      <c r="BO12" s="95" t="b">
        <f>W12='[2]500千伏-750千伏电网基建'!W12</f>
        <v>1</v>
      </c>
      <c r="BP12" s="95" t="b">
        <f>X12='[2]500千伏-750千伏电网基建'!X12</f>
        <v>1</v>
      </c>
      <c r="BQ12" s="95" t="b">
        <f>Y12='[2]500千伏-750千伏电网基建'!Y12</f>
        <v>1</v>
      </c>
      <c r="BR12" s="95" t="b">
        <f>Z12='[2]500千伏-750千伏电网基建'!Z12</f>
        <v>1</v>
      </c>
      <c r="BS12" s="95" t="b">
        <f>AA12='[2]500千伏-750千伏电网基建'!AA12</f>
        <v>1</v>
      </c>
      <c r="BT12" s="95" t="b">
        <f>AB12='[2]500千伏-750千伏电网基建'!AB12</f>
        <v>1</v>
      </c>
      <c r="BU12" s="95" t="b">
        <f>AC12='[2]500千伏-750千伏电网基建'!AC12</f>
        <v>1</v>
      </c>
      <c r="BV12" s="95" t="b">
        <f>AD12='[2]500千伏-750千伏电网基建'!AD12</f>
        <v>1</v>
      </c>
      <c r="BW12" s="95" t="b">
        <f>AE12='[2]500千伏-750千伏电网基建'!AE12</f>
        <v>1</v>
      </c>
      <c r="BX12" s="95" t="b">
        <f>AF12='[2]500千伏-750千伏电网基建'!AF12</f>
        <v>1</v>
      </c>
      <c r="BY12" s="95" t="b">
        <f>AG12='[2]500千伏-750千伏电网基建'!AG12</f>
        <v>1</v>
      </c>
      <c r="BZ12" s="95" t="b">
        <f>AH12='[2]500千伏-750千伏电网基建'!AH12</f>
        <v>1</v>
      </c>
      <c r="CA12" s="95" t="b">
        <f>AI12='[2]500千伏-750千伏电网基建'!AI12</f>
        <v>1</v>
      </c>
      <c r="CB12" s="95" t="b">
        <f>AJ12='[2]500千伏-750千伏电网基建'!AJ12</f>
        <v>1</v>
      </c>
      <c r="CC12" s="95" t="b">
        <f>AK12='[2]500千伏-750千伏电网基建'!AK12</f>
        <v>1</v>
      </c>
    </row>
    <row r="13" s="95" customFormat="1" ht="77" hidden="1" customHeight="1" spans="1:81">
      <c r="A13" s="14"/>
      <c r="B13" s="14"/>
      <c r="C13" s="15"/>
      <c r="D13" s="15"/>
      <c r="E13" s="16"/>
      <c r="F13" s="24"/>
      <c r="G13" s="15"/>
      <c r="H13" s="16"/>
      <c r="I13" s="23" t="s">
        <v>548</v>
      </c>
      <c r="J13" s="16" t="s">
        <v>1061</v>
      </c>
      <c r="K13" s="15"/>
      <c r="L13" s="15" t="s">
        <v>36</v>
      </c>
      <c r="M13" s="15"/>
      <c r="N13" s="15"/>
      <c r="O13" s="15"/>
      <c r="P13" s="15"/>
      <c r="Q13" s="15" t="s">
        <v>36</v>
      </c>
      <c r="R13" s="15"/>
      <c r="S13" s="15"/>
      <c r="T13" s="15" t="s">
        <v>550</v>
      </c>
      <c r="U13" s="15" t="s">
        <v>551</v>
      </c>
      <c r="V13" s="16" t="s">
        <v>552</v>
      </c>
      <c r="W13" s="31" t="s">
        <v>1062</v>
      </c>
      <c r="X13" s="15" t="s">
        <v>474</v>
      </c>
      <c r="Y13" s="15" t="s">
        <v>473</v>
      </c>
      <c r="Z13" s="15"/>
      <c r="AA13" s="15" t="s">
        <v>474</v>
      </c>
      <c r="AB13" s="15" t="s">
        <v>473</v>
      </c>
      <c r="AC13" s="15"/>
      <c r="AD13" s="15"/>
      <c r="AE13" s="30"/>
      <c r="AF13" s="30"/>
      <c r="AG13" s="14"/>
      <c r="AH13" s="15" t="s">
        <v>476</v>
      </c>
      <c r="AI13" s="30" t="s">
        <v>476</v>
      </c>
      <c r="AJ13" s="15" t="s">
        <v>554</v>
      </c>
      <c r="AK13" s="15" t="s">
        <v>532</v>
      </c>
      <c r="AL13" s="16" t="s">
        <v>1057</v>
      </c>
      <c r="AM13" s="15" t="s">
        <v>470</v>
      </c>
      <c r="AN13" s="100"/>
      <c r="AO13" s="7" t="s">
        <v>1045</v>
      </c>
      <c r="AP13" s="7" t="s">
        <v>1045</v>
      </c>
      <c r="AQ13" s="7" t="s">
        <v>1045</v>
      </c>
      <c r="AR13" s="95" t="b">
        <f t="shared" si="0"/>
        <v>1</v>
      </c>
      <c r="AS13" s="95" t="b">
        <f>A13='[2]500千伏-750千伏电网基建'!A13</f>
        <v>1</v>
      </c>
      <c r="AT13" s="95" t="b">
        <f>B13='[2]500千伏-750千伏电网基建'!B13</f>
        <v>1</v>
      </c>
      <c r="AU13" s="95" t="b">
        <f>C13='[2]500千伏-750千伏电网基建'!C13</f>
        <v>1</v>
      </c>
      <c r="AV13" s="95" t="b">
        <f>D13='[2]500千伏-750千伏电网基建'!D13</f>
        <v>1</v>
      </c>
      <c r="AW13" s="95" t="b">
        <f>E13='[2]500千伏-750千伏电网基建'!E13</f>
        <v>1</v>
      </c>
      <c r="AX13" s="95" t="b">
        <f>F13='[2]500千伏-750千伏电网基建'!F13</f>
        <v>1</v>
      </c>
      <c r="AY13" s="95" t="b">
        <f>G13='[2]500千伏-750千伏电网基建'!G13</f>
        <v>1</v>
      </c>
      <c r="AZ13" s="95" t="b">
        <f>H13='[2]500千伏-750千伏电网基建'!H13</f>
        <v>1</v>
      </c>
      <c r="BA13" s="95" t="b">
        <f>I13='[2]500千伏-750千伏电网基建'!I13</f>
        <v>1</v>
      </c>
      <c r="BB13" s="95" t="b">
        <f>J13='[2]500千伏-750千伏电网基建'!J13</f>
        <v>1</v>
      </c>
      <c r="BC13" s="95" t="b">
        <f>K13='[2]500千伏-750千伏电网基建'!K13</f>
        <v>1</v>
      </c>
      <c r="BD13" s="95" t="b">
        <f>L13='[2]500千伏-750千伏电网基建'!L13</f>
        <v>1</v>
      </c>
      <c r="BE13" s="95" t="b">
        <f>M13='[2]500千伏-750千伏电网基建'!M13</f>
        <v>1</v>
      </c>
      <c r="BF13" s="95" t="b">
        <f>N13='[2]500千伏-750千伏电网基建'!N13</f>
        <v>1</v>
      </c>
      <c r="BG13" s="95" t="b">
        <f>O13='[2]500千伏-750千伏电网基建'!O13</f>
        <v>1</v>
      </c>
      <c r="BH13" s="95" t="b">
        <f>P13='[2]500千伏-750千伏电网基建'!P13</f>
        <v>1</v>
      </c>
      <c r="BI13" s="95" t="b">
        <f>Q13='[2]500千伏-750千伏电网基建'!Q13</f>
        <v>1</v>
      </c>
      <c r="BJ13" s="95" t="b">
        <f>R13='[2]500千伏-750千伏电网基建'!R13</f>
        <v>1</v>
      </c>
      <c r="BK13" s="95" t="b">
        <f>S13='[2]500千伏-750千伏电网基建'!S13</f>
        <v>1</v>
      </c>
      <c r="BL13" s="95" t="b">
        <f>T13='[2]500千伏-750千伏电网基建'!T13</f>
        <v>1</v>
      </c>
      <c r="BM13" s="95" t="b">
        <f>U13='[2]500千伏-750千伏电网基建'!U13</f>
        <v>1</v>
      </c>
      <c r="BN13" s="95" t="b">
        <f>V13='[2]500千伏-750千伏电网基建'!V13</f>
        <v>1</v>
      </c>
      <c r="BO13" s="95" t="b">
        <f>W13='[2]500千伏-750千伏电网基建'!W13</f>
        <v>1</v>
      </c>
      <c r="BP13" s="95" t="b">
        <f>X13='[2]500千伏-750千伏电网基建'!X13</f>
        <v>1</v>
      </c>
      <c r="BQ13" s="95" t="b">
        <f>Y13='[2]500千伏-750千伏电网基建'!Y13</f>
        <v>1</v>
      </c>
      <c r="BR13" s="95" t="b">
        <f>Z13='[2]500千伏-750千伏电网基建'!Z13</f>
        <v>1</v>
      </c>
      <c r="BS13" s="95" t="b">
        <f>AA13='[2]500千伏-750千伏电网基建'!AA13</f>
        <v>1</v>
      </c>
      <c r="BT13" s="95" t="b">
        <f>AB13='[2]500千伏-750千伏电网基建'!AB13</f>
        <v>1</v>
      </c>
      <c r="BU13" s="95" t="b">
        <f>AC13='[2]500千伏-750千伏电网基建'!AC13</f>
        <v>1</v>
      </c>
      <c r="BV13" s="95" t="b">
        <f>AD13='[2]500千伏-750千伏电网基建'!AD13</f>
        <v>1</v>
      </c>
      <c r="BW13" s="95" t="b">
        <f>AE13='[2]500千伏-750千伏电网基建'!AE13</f>
        <v>1</v>
      </c>
      <c r="BX13" s="95" t="b">
        <f>AF13='[2]500千伏-750千伏电网基建'!AF13</f>
        <v>1</v>
      </c>
      <c r="BY13" s="95" t="b">
        <f>AG13='[2]500千伏-750千伏电网基建'!AG13</f>
        <v>1</v>
      </c>
      <c r="BZ13" s="95" t="b">
        <f>AH13='[2]500千伏-750千伏电网基建'!AH13</f>
        <v>1</v>
      </c>
      <c r="CA13" s="95" t="b">
        <f>AI13='[2]500千伏-750千伏电网基建'!AI13</f>
        <v>1</v>
      </c>
      <c r="CB13" s="95" t="b">
        <f>AJ13='[2]500千伏-750千伏电网基建'!AJ13</f>
        <v>1</v>
      </c>
      <c r="CC13" s="95" t="b">
        <f>AK13='[2]500千伏-750千伏电网基建'!AK13</f>
        <v>1</v>
      </c>
    </row>
    <row r="14" s="95" customFormat="1" ht="78" hidden="1" customHeight="1" spans="1:81">
      <c r="A14" s="14"/>
      <c r="B14" s="14"/>
      <c r="C14" s="15"/>
      <c r="D14" s="15"/>
      <c r="E14" s="16"/>
      <c r="F14" s="24"/>
      <c r="G14" s="15"/>
      <c r="H14" s="16"/>
      <c r="I14" s="23" t="s">
        <v>555</v>
      </c>
      <c r="J14" s="16" t="s">
        <v>1063</v>
      </c>
      <c r="K14" s="15"/>
      <c r="L14" s="15"/>
      <c r="M14" s="15"/>
      <c r="N14" s="15"/>
      <c r="O14" s="15" t="s">
        <v>36</v>
      </c>
      <c r="P14" s="15" t="s">
        <v>36</v>
      </c>
      <c r="Q14" s="15" t="s">
        <v>36</v>
      </c>
      <c r="R14" s="15"/>
      <c r="S14" s="15"/>
      <c r="T14" s="15" t="s">
        <v>550</v>
      </c>
      <c r="U14" s="15" t="s">
        <v>467</v>
      </c>
      <c r="V14" s="16" t="s">
        <v>557</v>
      </c>
      <c r="W14" s="31" t="s">
        <v>553</v>
      </c>
      <c r="X14" s="15" t="s">
        <v>474</v>
      </c>
      <c r="Y14" s="15" t="s">
        <v>473</v>
      </c>
      <c r="Z14" s="15"/>
      <c r="AA14" s="15" t="s">
        <v>474</v>
      </c>
      <c r="AB14" s="15" t="s">
        <v>473</v>
      </c>
      <c r="AC14" s="15"/>
      <c r="AD14" s="15"/>
      <c r="AE14" s="30"/>
      <c r="AF14" s="30"/>
      <c r="AG14" s="14"/>
      <c r="AH14" s="15" t="s">
        <v>476</v>
      </c>
      <c r="AI14" s="30" t="s">
        <v>476</v>
      </c>
      <c r="AJ14" s="15" t="s">
        <v>558</v>
      </c>
      <c r="AK14" s="15"/>
      <c r="AL14" s="15" t="s">
        <v>1064</v>
      </c>
      <c r="AM14" s="15" t="s">
        <v>470</v>
      </c>
      <c r="AN14" s="103"/>
      <c r="AO14" s="7" t="s">
        <v>1045</v>
      </c>
      <c r="AP14" s="7" t="s">
        <v>1045</v>
      </c>
      <c r="AQ14" s="7" t="s">
        <v>1045</v>
      </c>
      <c r="AR14" s="95" t="b">
        <f t="shared" si="0"/>
        <v>1</v>
      </c>
      <c r="AS14" s="95" t="b">
        <f>A14='[2]500千伏-750千伏电网基建'!A14</f>
        <v>1</v>
      </c>
      <c r="AT14" s="95" t="b">
        <f>B14='[2]500千伏-750千伏电网基建'!B14</f>
        <v>1</v>
      </c>
      <c r="AU14" s="95" t="b">
        <f>C14='[2]500千伏-750千伏电网基建'!C14</f>
        <v>1</v>
      </c>
      <c r="AV14" s="95" t="b">
        <f>D14='[2]500千伏-750千伏电网基建'!D14</f>
        <v>1</v>
      </c>
      <c r="AW14" s="95" t="b">
        <f>E14='[2]500千伏-750千伏电网基建'!E14</f>
        <v>1</v>
      </c>
      <c r="AX14" s="95" t="b">
        <f>F14='[2]500千伏-750千伏电网基建'!F14</f>
        <v>1</v>
      </c>
      <c r="AY14" s="95" t="b">
        <f>G14='[2]500千伏-750千伏电网基建'!G14</f>
        <v>1</v>
      </c>
      <c r="AZ14" s="95" t="b">
        <f>H14='[2]500千伏-750千伏电网基建'!H14</f>
        <v>1</v>
      </c>
      <c r="BA14" s="95" t="b">
        <f>I14='[2]500千伏-750千伏电网基建'!I14</f>
        <v>1</v>
      </c>
      <c r="BB14" s="95" t="b">
        <f>J14='[2]500千伏-750千伏电网基建'!J14</f>
        <v>1</v>
      </c>
      <c r="BC14" s="95" t="b">
        <f>K14='[2]500千伏-750千伏电网基建'!K14</f>
        <v>1</v>
      </c>
      <c r="BD14" s="95" t="b">
        <f>L14='[2]500千伏-750千伏电网基建'!L14</f>
        <v>1</v>
      </c>
      <c r="BE14" s="95" t="b">
        <f>M14='[2]500千伏-750千伏电网基建'!M14</f>
        <v>1</v>
      </c>
      <c r="BF14" s="95" t="b">
        <f>N14='[2]500千伏-750千伏电网基建'!N14</f>
        <v>1</v>
      </c>
      <c r="BG14" s="95" t="b">
        <f>O14='[2]500千伏-750千伏电网基建'!O14</f>
        <v>1</v>
      </c>
      <c r="BH14" s="95" t="b">
        <f>P14='[2]500千伏-750千伏电网基建'!P14</f>
        <v>1</v>
      </c>
      <c r="BI14" s="95" t="b">
        <f>Q14='[2]500千伏-750千伏电网基建'!Q14</f>
        <v>1</v>
      </c>
      <c r="BJ14" s="95" t="b">
        <f>R14='[2]500千伏-750千伏电网基建'!R14</f>
        <v>1</v>
      </c>
      <c r="BK14" s="95" t="b">
        <f>S14='[2]500千伏-750千伏电网基建'!S14</f>
        <v>1</v>
      </c>
      <c r="BL14" s="95" t="b">
        <f>T14='[2]500千伏-750千伏电网基建'!T14</f>
        <v>1</v>
      </c>
      <c r="BM14" s="95" t="b">
        <f>U14='[2]500千伏-750千伏电网基建'!U14</f>
        <v>1</v>
      </c>
      <c r="BN14" s="95" t="b">
        <f>V14='[2]500千伏-750千伏电网基建'!V14</f>
        <v>1</v>
      </c>
      <c r="BO14" s="95" t="b">
        <f>W14='[2]500千伏-750千伏电网基建'!W14</f>
        <v>1</v>
      </c>
      <c r="BP14" s="95" t="b">
        <f>X14='[2]500千伏-750千伏电网基建'!X14</f>
        <v>1</v>
      </c>
      <c r="BQ14" s="95" t="b">
        <f>Y14='[2]500千伏-750千伏电网基建'!Y14</f>
        <v>1</v>
      </c>
      <c r="BR14" s="95" t="b">
        <f>Z14='[2]500千伏-750千伏电网基建'!Z14</f>
        <v>1</v>
      </c>
      <c r="BS14" s="95" t="b">
        <f>AA14='[2]500千伏-750千伏电网基建'!AA14</f>
        <v>1</v>
      </c>
      <c r="BT14" s="95" t="b">
        <f>AB14='[2]500千伏-750千伏电网基建'!AB14</f>
        <v>1</v>
      </c>
      <c r="BU14" s="95" t="b">
        <f>AC14='[2]500千伏-750千伏电网基建'!AC14</f>
        <v>1</v>
      </c>
      <c r="BV14" s="95" t="b">
        <f>AD14='[2]500千伏-750千伏电网基建'!AD14</f>
        <v>1</v>
      </c>
      <c r="BW14" s="95" t="b">
        <f>AE14='[2]500千伏-750千伏电网基建'!AE14</f>
        <v>1</v>
      </c>
      <c r="BX14" s="95" t="b">
        <f>AF14='[2]500千伏-750千伏电网基建'!AF14</f>
        <v>1</v>
      </c>
      <c r="BY14" s="95" t="b">
        <f>AG14='[2]500千伏-750千伏电网基建'!AG14</f>
        <v>1</v>
      </c>
      <c r="BZ14" s="95" t="b">
        <f>AH14='[2]500千伏-750千伏电网基建'!AH14</f>
        <v>1</v>
      </c>
      <c r="CA14" s="95" t="b">
        <f>AI14='[2]500千伏-750千伏电网基建'!AI14</f>
        <v>1</v>
      </c>
      <c r="CB14" s="95" t="b">
        <f>AJ14='[2]500千伏-750千伏电网基建'!AJ14</f>
        <v>1</v>
      </c>
      <c r="CC14" s="95" t="b">
        <f>AK14='[2]500千伏-750千伏电网基建'!AK14</f>
        <v>1</v>
      </c>
    </row>
    <row r="15" s="95" customFormat="1" ht="76" hidden="1" customHeight="1" spans="1:81">
      <c r="A15" s="14"/>
      <c r="B15" s="14"/>
      <c r="C15" s="15"/>
      <c r="D15" s="15"/>
      <c r="E15" s="16" t="s">
        <v>559</v>
      </c>
      <c r="F15" s="16"/>
      <c r="G15" s="15" t="s">
        <v>560</v>
      </c>
      <c r="H15" s="16" t="s">
        <v>561</v>
      </c>
      <c r="I15" s="23" t="s">
        <v>562</v>
      </c>
      <c r="J15" s="16" t="s">
        <v>1065</v>
      </c>
      <c r="K15" s="15"/>
      <c r="L15" s="15"/>
      <c r="M15" s="15"/>
      <c r="N15" s="15"/>
      <c r="O15" s="15"/>
      <c r="P15" s="15"/>
      <c r="Q15" s="15" t="s">
        <v>36</v>
      </c>
      <c r="R15" s="15"/>
      <c r="S15" s="15"/>
      <c r="T15" s="15" t="s">
        <v>465</v>
      </c>
      <c r="U15" s="15" t="s">
        <v>467</v>
      </c>
      <c r="V15" s="16" t="s">
        <v>564</v>
      </c>
      <c r="W15" s="31" t="s">
        <v>553</v>
      </c>
      <c r="X15" s="15" t="s">
        <v>565</v>
      </c>
      <c r="Y15" s="15" t="s">
        <v>566</v>
      </c>
      <c r="Z15" s="15"/>
      <c r="AA15" s="15" t="s">
        <v>474</v>
      </c>
      <c r="AB15" s="15" t="s">
        <v>473</v>
      </c>
      <c r="AC15" s="15"/>
      <c r="AD15" s="15" t="s">
        <v>567</v>
      </c>
      <c r="AE15" s="15" t="s">
        <v>511</v>
      </c>
      <c r="AF15" s="15"/>
      <c r="AG15" s="14"/>
      <c r="AH15" s="15" t="s">
        <v>476</v>
      </c>
      <c r="AI15" s="30" t="s">
        <v>476</v>
      </c>
      <c r="AJ15" s="15" t="s">
        <v>558</v>
      </c>
      <c r="AK15" s="15" t="s">
        <v>532</v>
      </c>
      <c r="AL15" s="15" t="s">
        <v>1064</v>
      </c>
      <c r="AM15" s="15" t="s">
        <v>470</v>
      </c>
      <c r="AN15" s="103"/>
      <c r="AO15" s="7" t="s">
        <v>1045</v>
      </c>
      <c r="AP15" s="7" t="s">
        <v>1045</v>
      </c>
      <c r="AQ15" s="7" t="s">
        <v>1045</v>
      </c>
      <c r="AR15" s="95" t="b">
        <f t="shared" si="0"/>
        <v>1</v>
      </c>
      <c r="AS15" s="95" t="b">
        <f>A15='[2]500千伏-750千伏电网基建'!A15</f>
        <v>1</v>
      </c>
      <c r="AT15" s="95" t="b">
        <f>B15='[2]500千伏-750千伏电网基建'!B15</f>
        <v>1</v>
      </c>
      <c r="AU15" s="95" t="b">
        <f>C15='[2]500千伏-750千伏电网基建'!C15</f>
        <v>1</v>
      </c>
      <c r="AV15" s="95" t="b">
        <f>D15='[2]500千伏-750千伏电网基建'!D15</f>
        <v>1</v>
      </c>
      <c r="AW15" s="95" t="b">
        <f>E15='[2]500千伏-750千伏电网基建'!E15</f>
        <v>1</v>
      </c>
      <c r="AX15" s="95" t="b">
        <f>F15='[2]500千伏-750千伏电网基建'!F15</f>
        <v>1</v>
      </c>
      <c r="AY15" s="95" t="b">
        <f>G15='[2]500千伏-750千伏电网基建'!G15</f>
        <v>1</v>
      </c>
      <c r="AZ15" s="95" t="b">
        <f>H15='[2]500千伏-750千伏电网基建'!H15</f>
        <v>1</v>
      </c>
      <c r="BA15" s="95" t="b">
        <f>I15='[2]500千伏-750千伏电网基建'!I15</f>
        <v>1</v>
      </c>
      <c r="BB15" s="95" t="b">
        <f>J15='[2]500千伏-750千伏电网基建'!J15</f>
        <v>1</v>
      </c>
      <c r="BC15" s="95" t="b">
        <f>K15='[2]500千伏-750千伏电网基建'!K15</f>
        <v>1</v>
      </c>
      <c r="BD15" s="95" t="b">
        <f>L15='[2]500千伏-750千伏电网基建'!L15</f>
        <v>1</v>
      </c>
      <c r="BE15" s="95" t="b">
        <f>M15='[2]500千伏-750千伏电网基建'!M15</f>
        <v>1</v>
      </c>
      <c r="BF15" s="95" t="b">
        <f>N15='[2]500千伏-750千伏电网基建'!N15</f>
        <v>1</v>
      </c>
      <c r="BG15" s="95" t="b">
        <f>O15='[2]500千伏-750千伏电网基建'!O15</f>
        <v>1</v>
      </c>
      <c r="BH15" s="95" t="b">
        <f>P15='[2]500千伏-750千伏电网基建'!P15</f>
        <v>1</v>
      </c>
      <c r="BI15" s="95" t="b">
        <f>Q15='[2]500千伏-750千伏电网基建'!Q15</f>
        <v>1</v>
      </c>
      <c r="BJ15" s="95" t="b">
        <f>R15='[2]500千伏-750千伏电网基建'!R15</f>
        <v>1</v>
      </c>
      <c r="BK15" s="95" t="b">
        <f>S15='[2]500千伏-750千伏电网基建'!S15</f>
        <v>1</v>
      </c>
      <c r="BL15" s="95" t="b">
        <f>T15='[2]500千伏-750千伏电网基建'!T15</f>
        <v>1</v>
      </c>
      <c r="BM15" s="95" t="b">
        <f>U15='[2]500千伏-750千伏电网基建'!U15</f>
        <v>1</v>
      </c>
      <c r="BN15" s="95" t="b">
        <f>V15='[2]500千伏-750千伏电网基建'!V15</f>
        <v>1</v>
      </c>
      <c r="BO15" s="95" t="b">
        <f>W15='[2]500千伏-750千伏电网基建'!W15</f>
        <v>1</v>
      </c>
      <c r="BP15" s="95" t="b">
        <f>X15='[2]500千伏-750千伏电网基建'!X15</f>
        <v>1</v>
      </c>
      <c r="BQ15" s="95" t="b">
        <f>Y15='[2]500千伏-750千伏电网基建'!Y15</f>
        <v>1</v>
      </c>
      <c r="BR15" s="95" t="b">
        <f>Z15='[2]500千伏-750千伏电网基建'!Z15</f>
        <v>1</v>
      </c>
      <c r="BS15" s="95" t="b">
        <f>AA15='[2]500千伏-750千伏电网基建'!AA15</f>
        <v>1</v>
      </c>
      <c r="BT15" s="95" t="b">
        <f>AB15='[2]500千伏-750千伏电网基建'!AB15</f>
        <v>1</v>
      </c>
      <c r="BU15" s="95" t="b">
        <f>AC15='[2]500千伏-750千伏电网基建'!AC15</f>
        <v>1</v>
      </c>
      <c r="BV15" s="95" t="b">
        <f>AD15='[2]500千伏-750千伏电网基建'!AD15</f>
        <v>1</v>
      </c>
      <c r="BW15" s="95" t="b">
        <f>AE15='[2]500千伏-750千伏电网基建'!AE15</f>
        <v>1</v>
      </c>
      <c r="BX15" s="95" t="b">
        <f>AF15='[2]500千伏-750千伏电网基建'!AF15</f>
        <v>1</v>
      </c>
      <c r="BY15" s="95" t="b">
        <f>AG15='[2]500千伏-750千伏电网基建'!AG15</f>
        <v>1</v>
      </c>
      <c r="BZ15" s="95" t="b">
        <f>AH15='[2]500千伏-750千伏电网基建'!AH15</f>
        <v>1</v>
      </c>
      <c r="CA15" s="95" t="b">
        <f>AI15='[2]500千伏-750千伏电网基建'!AI15</f>
        <v>1</v>
      </c>
      <c r="CB15" s="95" t="b">
        <f>AJ15='[2]500千伏-750千伏电网基建'!AJ15</f>
        <v>1</v>
      </c>
      <c r="CC15" s="95" t="b">
        <f>AK15='[2]500千伏-750千伏电网基建'!AK15</f>
        <v>1</v>
      </c>
    </row>
    <row r="16" s="95" customFormat="1" ht="114" hidden="1" customHeight="1" spans="1:81">
      <c r="A16" s="14"/>
      <c r="B16" s="14"/>
      <c r="C16" s="15"/>
      <c r="D16" s="15"/>
      <c r="E16" s="16"/>
      <c r="F16" s="16"/>
      <c r="G16" s="15"/>
      <c r="H16" s="16"/>
      <c r="I16" s="23" t="s">
        <v>568</v>
      </c>
      <c r="J16" s="16" t="s">
        <v>569</v>
      </c>
      <c r="K16" s="15"/>
      <c r="L16" s="15" t="s">
        <v>36</v>
      </c>
      <c r="M16" s="15"/>
      <c r="N16" s="15"/>
      <c r="O16" s="15"/>
      <c r="P16" s="15"/>
      <c r="Q16" s="15"/>
      <c r="R16" s="15"/>
      <c r="S16" s="15"/>
      <c r="T16" s="15" t="s">
        <v>492</v>
      </c>
      <c r="U16" s="15"/>
      <c r="V16" s="16" t="s">
        <v>570</v>
      </c>
      <c r="W16" s="31" t="s">
        <v>1066</v>
      </c>
      <c r="X16" s="15" t="s">
        <v>565</v>
      </c>
      <c r="Y16" s="15" t="s">
        <v>566</v>
      </c>
      <c r="Z16" s="15"/>
      <c r="AA16" s="15" t="s">
        <v>474</v>
      </c>
      <c r="AB16" s="15" t="s">
        <v>473</v>
      </c>
      <c r="AC16" s="15"/>
      <c r="AD16" s="15"/>
      <c r="AE16" s="15"/>
      <c r="AF16" s="15"/>
      <c r="AG16" s="14"/>
      <c r="AH16" s="15" t="s">
        <v>476</v>
      </c>
      <c r="AI16" s="30" t="s">
        <v>476</v>
      </c>
      <c r="AJ16" s="15" t="s">
        <v>572</v>
      </c>
      <c r="AK16" s="15" t="s">
        <v>497</v>
      </c>
      <c r="AL16" s="16" t="s">
        <v>1067</v>
      </c>
      <c r="AM16" s="15" t="s">
        <v>1053</v>
      </c>
      <c r="AN16" s="100"/>
      <c r="AO16" s="7" t="s">
        <v>1045</v>
      </c>
      <c r="AP16" s="7" t="s">
        <v>1045</v>
      </c>
      <c r="AQ16" s="7" t="s">
        <v>1045</v>
      </c>
      <c r="AR16" s="95" t="b">
        <f t="shared" si="0"/>
        <v>1</v>
      </c>
      <c r="AS16" s="95" t="b">
        <f>A16='[2]500千伏-750千伏电网基建'!A16</f>
        <v>1</v>
      </c>
      <c r="AT16" s="95" t="b">
        <f>B16='[2]500千伏-750千伏电网基建'!B16</f>
        <v>1</v>
      </c>
      <c r="AU16" s="95" t="b">
        <f>C16='[2]500千伏-750千伏电网基建'!C16</f>
        <v>1</v>
      </c>
      <c r="AV16" s="95" t="b">
        <f>D16='[2]500千伏-750千伏电网基建'!D16</f>
        <v>1</v>
      </c>
      <c r="AW16" s="95" t="b">
        <f>E16='[2]500千伏-750千伏电网基建'!E16</f>
        <v>1</v>
      </c>
      <c r="AX16" s="95" t="b">
        <f>F16='[2]500千伏-750千伏电网基建'!F16</f>
        <v>1</v>
      </c>
      <c r="AY16" s="95" t="b">
        <f>G16='[2]500千伏-750千伏电网基建'!G16</f>
        <v>1</v>
      </c>
      <c r="AZ16" s="95" t="b">
        <f>H16='[2]500千伏-750千伏电网基建'!H16</f>
        <v>1</v>
      </c>
      <c r="BA16" s="95" t="b">
        <f>I16='[2]500千伏-750千伏电网基建'!I16</f>
        <v>1</v>
      </c>
      <c r="BB16" s="95" t="b">
        <f>J16='[2]500千伏-750千伏电网基建'!J16</f>
        <v>1</v>
      </c>
      <c r="BC16" s="95" t="b">
        <f>K16='[2]500千伏-750千伏电网基建'!K16</f>
        <v>1</v>
      </c>
      <c r="BD16" s="95" t="b">
        <f>L16='[2]500千伏-750千伏电网基建'!L16</f>
        <v>1</v>
      </c>
      <c r="BE16" s="95" t="b">
        <f>M16='[2]500千伏-750千伏电网基建'!M16</f>
        <v>1</v>
      </c>
      <c r="BF16" s="95" t="b">
        <f>N16='[2]500千伏-750千伏电网基建'!N16</f>
        <v>1</v>
      </c>
      <c r="BG16" s="95" t="b">
        <f>O16='[2]500千伏-750千伏电网基建'!O16</f>
        <v>1</v>
      </c>
      <c r="BH16" s="95" t="b">
        <f>P16='[2]500千伏-750千伏电网基建'!P16</f>
        <v>1</v>
      </c>
      <c r="BI16" s="95" t="b">
        <f>Q16='[2]500千伏-750千伏电网基建'!Q16</f>
        <v>1</v>
      </c>
      <c r="BJ16" s="95" t="b">
        <f>R16='[2]500千伏-750千伏电网基建'!R16</f>
        <v>1</v>
      </c>
      <c r="BK16" s="95" t="b">
        <f>S16='[2]500千伏-750千伏电网基建'!S16</f>
        <v>1</v>
      </c>
      <c r="BL16" s="95" t="b">
        <f>T16='[2]500千伏-750千伏电网基建'!T16</f>
        <v>1</v>
      </c>
      <c r="BM16" s="95" t="b">
        <f>U16='[2]500千伏-750千伏电网基建'!U16</f>
        <v>1</v>
      </c>
      <c r="BN16" s="95" t="b">
        <f>V16='[2]500千伏-750千伏电网基建'!V16</f>
        <v>1</v>
      </c>
      <c r="BO16" s="95" t="b">
        <f>W16='[2]500千伏-750千伏电网基建'!W16</f>
        <v>1</v>
      </c>
      <c r="BP16" s="95" t="b">
        <f>X16='[2]500千伏-750千伏电网基建'!X16</f>
        <v>1</v>
      </c>
      <c r="BQ16" s="95" t="b">
        <f>Y16='[2]500千伏-750千伏电网基建'!Y16</f>
        <v>1</v>
      </c>
      <c r="BR16" s="95" t="b">
        <f>Z16='[2]500千伏-750千伏电网基建'!Z16</f>
        <v>1</v>
      </c>
      <c r="BS16" s="95" t="b">
        <f>AA16='[2]500千伏-750千伏电网基建'!AA16</f>
        <v>1</v>
      </c>
      <c r="BT16" s="95" t="b">
        <f>AB16='[2]500千伏-750千伏电网基建'!AB16</f>
        <v>1</v>
      </c>
      <c r="BU16" s="95" t="b">
        <f>AC16='[2]500千伏-750千伏电网基建'!AC16</f>
        <v>1</v>
      </c>
      <c r="BV16" s="95" t="b">
        <f>AD16='[2]500千伏-750千伏电网基建'!AD16</f>
        <v>1</v>
      </c>
      <c r="BW16" s="95" t="b">
        <f>AE16='[2]500千伏-750千伏电网基建'!AE16</f>
        <v>1</v>
      </c>
      <c r="BX16" s="95" t="b">
        <f>AF16='[2]500千伏-750千伏电网基建'!AF16</f>
        <v>1</v>
      </c>
      <c r="BY16" s="95" t="b">
        <f>AG16='[2]500千伏-750千伏电网基建'!AG16</f>
        <v>1</v>
      </c>
      <c r="BZ16" s="95" t="b">
        <f>AH16='[2]500千伏-750千伏电网基建'!AH16</f>
        <v>1</v>
      </c>
      <c r="CA16" s="95" t="b">
        <f>AI16='[2]500千伏-750千伏电网基建'!AI16</f>
        <v>1</v>
      </c>
      <c r="CB16" s="95" t="b">
        <f>AJ16='[2]500千伏-750千伏电网基建'!AJ16</f>
        <v>1</v>
      </c>
      <c r="CC16" s="95" t="b">
        <f>AK16='[2]500千伏-750千伏电网基建'!AK16</f>
        <v>1</v>
      </c>
    </row>
    <row r="17" s="95" customFormat="1" ht="85" hidden="1" customHeight="1" spans="1:81">
      <c r="A17" s="14"/>
      <c r="B17" s="14" t="s">
        <v>573</v>
      </c>
      <c r="C17" s="15" t="s">
        <v>485</v>
      </c>
      <c r="D17" s="15" t="s">
        <v>574</v>
      </c>
      <c r="E17" s="16" t="s">
        <v>575</v>
      </c>
      <c r="F17" s="17" t="s">
        <v>576</v>
      </c>
      <c r="G17" s="15" t="s">
        <v>577</v>
      </c>
      <c r="H17" s="16" t="s">
        <v>578</v>
      </c>
      <c r="I17" s="23" t="s">
        <v>579</v>
      </c>
      <c r="J17" s="16" t="s">
        <v>1068</v>
      </c>
      <c r="K17" s="15"/>
      <c r="L17" s="15" t="s">
        <v>36</v>
      </c>
      <c r="M17" s="15"/>
      <c r="N17" s="15"/>
      <c r="O17" s="15"/>
      <c r="P17" s="15"/>
      <c r="Q17" s="15"/>
      <c r="R17" s="15"/>
      <c r="S17" s="15"/>
      <c r="T17" s="15" t="s">
        <v>465</v>
      </c>
      <c r="U17" s="15" t="s">
        <v>500</v>
      </c>
      <c r="V17" s="16" t="s">
        <v>581</v>
      </c>
      <c r="W17" s="31" t="s">
        <v>1069</v>
      </c>
      <c r="X17" s="15" t="s">
        <v>474</v>
      </c>
      <c r="Y17" s="15" t="s">
        <v>473</v>
      </c>
      <c r="Z17" s="15"/>
      <c r="AA17" s="15" t="s">
        <v>474</v>
      </c>
      <c r="AB17" s="15" t="s">
        <v>473</v>
      </c>
      <c r="AC17" s="15"/>
      <c r="AD17" s="15" t="s">
        <v>583</v>
      </c>
      <c r="AE17" s="15" t="s">
        <v>511</v>
      </c>
      <c r="AF17" s="15"/>
      <c r="AG17" s="14"/>
      <c r="AH17" s="15" t="s">
        <v>476</v>
      </c>
      <c r="AI17" s="15" t="s">
        <v>476</v>
      </c>
      <c r="AJ17" s="15" t="s">
        <v>584</v>
      </c>
      <c r="AK17" s="15" t="s">
        <v>497</v>
      </c>
      <c r="AL17" s="102" t="s">
        <v>1043</v>
      </c>
      <c r="AM17" s="23" t="s">
        <v>1044</v>
      </c>
      <c r="AN17" s="103"/>
      <c r="AO17" s="7" t="s">
        <v>1045</v>
      </c>
      <c r="AP17" s="7" t="s">
        <v>1045</v>
      </c>
      <c r="AQ17" s="7" t="s">
        <v>1045</v>
      </c>
      <c r="AR17" s="95" t="b">
        <f t="shared" si="0"/>
        <v>1</v>
      </c>
      <c r="AS17" s="95" t="b">
        <f>A17='[2]500千伏-750千伏电网基建'!A17</f>
        <v>1</v>
      </c>
      <c r="AT17" s="95" t="b">
        <f>B17='[2]500千伏-750千伏电网基建'!B17</f>
        <v>1</v>
      </c>
      <c r="AU17" s="95" t="b">
        <f>C17='[2]500千伏-750千伏电网基建'!C17</f>
        <v>1</v>
      </c>
      <c r="AV17" s="95" t="b">
        <f>D17='[2]500千伏-750千伏电网基建'!D17</f>
        <v>1</v>
      </c>
      <c r="AW17" s="95" t="b">
        <f>E17='[2]500千伏-750千伏电网基建'!E17</f>
        <v>1</v>
      </c>
      <c r="AX17" s="95" t="b">
        <f>F17='[2]500千伏-750千伏电网基建'!F17</f>
        <v>1</v>
      </c>
      <c r="AY17" s="95" t="b">
        <f>G17='[2]500千伏-750千伏电网基建'!G17</f>
        <v>1</v>
      </c>
      <c r="AZ17" s="95" t="b">
        <f>H17='[2]500千伏-750千伏电网基建'!H17</f>
        <v>1</v>
      </c>
      <c r="BA17" s="95" t="b">
        <f>I17='[2]500千伏-750千伏电网基建'!I17</f>
        <v>1</v>
      </c>
      <c r="BB17" s="95" t="b">
        <f>J17='[2]500千伏-750千伏电网基建'!J17</f>
        <v>1</v>
      </c>
      <c r="BC17" s="95" t="b">
        <f>K17='[2]500千伏-750千伏电网基建'!K17</f>
        <v>1</v>
      </c>
      <c r="BD17" s="95" t="b">
        <f>L17='[2]500千伏-750千伏电网基建'!L17</f>
        <v>1</v>
      </c>
      <c r="BE17" s="95" t="b">
        <f>M17='[2]500千伏-750千伏电网基建'!M17</f>
        <v>1</v>
      </c>
      <c r="BF17" s="95" t="b">
        <f>N17='[2]500千伏-750千伏电网基建'!N17</f>
        <v>1</v>
      </c>
      <c r="BG17" s="95" t="b">
        <f>O17='[2]500千伏-750千伏电网基建'!O17</f>
        <v>1</v>
      </c>
      <c r="BH17" s="95" t="b">
        <f>P17='[2]500千伏-750千伏电网基建'!P17</f>
        <v>1</v>
      </c>
      <c r="BI17" s="95" t="b">
        <f>Q17='[2]500千伏-750千伏电网基建'!Q17</f>
        <v>1</v>
      </c>
      <c r="BJ17" s="95" t="b">
        <f>R17='[2]500千伏-750千伏电网基建'!R17</f>
        <v>1</v>
      </c>
      <c r="BK17" s="95" t="b">
        <f>S17='[2]500千伏-750千伏电网基建'!S17</f>
        <v>1</v>
      </c>
      <c r="BL17" s="95" t="b">
        <f>T17='[2]500千伏-750千伏电网基建'!T17</f>
        <v>1</v>
      </c>
      <c r="BM17" s="95" t="b">
        <f>U17='[2]500千伏-750千伏电网基建'!U17</f>
        <v>1</v>
      </c>
      <c r="BN17" s="95" t="b">
        <f>V17='[2]500千伏-750千伏电网基建'!V17</f>
        <v>1</v>
      </c>
      <c r="BO17" s="95" t="b">
        <f>W17='[2]500千伏-750千伏电网基建'!W17</f>
        <v>1</v>
      </c>
      <c r="BP17" s="95" t="b">
        <f>X17='[2]500千伏-750千伏电网基建'!X17</f>
        <v>1</v>
      </c>
      <c r="BQ17" s="95" t="b">
        <f>Y17='[2]500千伏-750千伏电网基建'!Y17</f>
        <v>1</v>
      </c>
      <c r="BR17" s="95" t="b">
        <f>Z17='[2]500千伏-750千伏电网基建'!Z17</f>
        <v>1</v>
      </c>
      <c r="BS17" s="95" t="b">
        <f>AA17='[2]500千伏-750千伏电网基建'!AA17</f>
        <v>1</v>
      </c>
      <c r="BT17" s="95" t="b">
        <f>AB17='[2]500千伏-750千伏电网基建'!AB17</f>
        <v>1</v>
      </c>
      <c r="BU17" s="95" t="b">
        <f>AC17='[2]500千伏-750千伏电网基建'!AC17</f>
        <v>1</v>
      </c>
      <c r="BV17" s="95" t="b">
        <f>AD17='[2]500千伏-750千伏电网基建'!AD17</f>
        <v>1</v>
      </c>
      <c r="BW17" s="95" t="b">
        <f>AE17='[2]500千伏-750千伏电网基建'!AE17</f>
        <v>1</v>
      </c>
      <c r="BX17" s="95" t="b">
        <f>AF17='[2]500千伏-750千伏电网基建'!AF17</f>
        <v>1</v>
      </c>
      <c r="BY17" s="95" t="b">
        <f>AG17='[2]500千伏-750千伏电网基建'!AG17</f>
        <v>1</v>
      </c>
      <c r="BZ17" s="95" t="b">
        <f>AH17='[2]500千伏-750千伏电网基建'!AH17</f>
        <v>1</v>
      </c>
      <c r="CA17" s="95" t="b">
        <f>AI17='[2]500千伏-750千伏电网基建'!AI17</f>
        <v>1</v>
      </c>
      <c r="CB17" s="95" t="b">
        <f>AJ17='[2]500千伏-750千伏电网基建'!AJ17</f>
        <v>1</v>
      </c>
      <c r="CC17" s="95" t="b">
        <f>AK17='[2]500千伏-750千伏电网基建'!AK17</f>
        <v>1</v>
      </c>
    </row>
    <row r="18" s="95" customFormat="1" ht="98" hidden="1" customHeight="1" spans="1:81">
      <c r="A18" s="14"/>
      <c r="B18" s="14"/>
      <c r="C18" s="15"/>
      <c r="D18" s="15"/>
      <c r="E18" s="16"/>
      <c r="F18" s="17"/>
      <c r="G18" s="15"/>
      <c r="H18" s="16"/>
      <c r="I18" s="23" t="s">
        <v>585</v>
      </c>
      <c r="J18" s="132" t="s">
        <v>1070</v>
      </c>
      <c r="K18" s="15"/>
      <c r="L18" s="15"/>
      <c r="M18" s="15"/>
      <c r="N18" s="15" t="s">
        <v>36</v>
      </c>
      <c r="O18" s="15"/>
      <c r="P18" s="15"/>
      <c r="Q18" s="15" t="s">
        <v>36</v>
      </c>
      <c r="R18" s="15"/>
      <c r="S18" s="15"/>
      <c r="T18" s="15" t="s">
        <v>465</v>
      </c>
      <c r="U18" s="15" t="s">
        <v>587</v>
      </c>
      <c r="V18" s="16" t="s">
        <v>588</v>
      </c>
      <c r="W18" s="31" t="s">
        <v>589</v>
      </c>
      <c r="X18" s="15" t="s">
        <v>474</v>
      </c>
      <c r="Y18" s="15" t="s">
        <v>473</v>
      </c>
      <c r="Z18" s="15"/>
      <c r="AA18" s="15" t="s">
        <v>474</v>
      </c>
      <c r="AB18" s="15" t="s">
        <v>473</v>
      </c>
      <c r="AC18" s="15"/>
      <c r="AD18" s="15"/>
      <c r="AE18" s="15"/>
      <c r="AF18" s="15"/>
      <c r="AG18" s="14"/>
      <c r="AH18" s="15" t="s">
        <v>476</v>
      </c>
      <c r="AI18" s="15" t="s">
        <v>476</v>
      </c>
      <c r="AJ18" s="15" t="s">
        <v>584</v>
      </c>
      <c r="AK18" s="15" t="s">
        <v>532</v>
      </c>
      <c r="AL18" s="16" t="s">
        <v>1057</v>
      </c>
      <c r="AM18" s="15" t="s">
        <v>470</v>
      </c>
      <c r="AN18" s="100" t="s">
        <v>1071</v>
      </c>
      <c r="AO18" s="7" t="s">
        <v>1045</v>
      </c>
      <c r="AP18" s="7" t="s">
        <v>1059</v>
      </c>
      <c r="AQ18" s="129" t="s">
        <v>1059</v>
      </c>
      <c r="AR18" s="95" t="b">
        <f t="shared" si="0"/>
        <v>1</v>
      </c>
      <c r="AS18" s="95" t="b">
        <f>A18='[2]500千伏-750千伏电网基建'!A18</f>
        <v>1</v>
      </c>
      <c r="AT18" s="95" t="b">
        <f>B18='[2]500千伏-750千伏电网基建'!B18</f>
        <v>1</v>
      </c>
      <c r="AU18" s="95" t="b">
        <f>C18='[2]500千伏-750千伏电网基建'!C18</f>
        <v>1</v>
      </c>
      <c r="AV18" s="95" t="b">
        <f>D18='[2]500千伏-750千伏电网基建'!D18</f>
        <v>1</v>
      </c>
      <c r="AW18" s="95" t="b">
        <f>E18='[2]500千伏-750千伏电网基建'!E18</f>
        <v>1</v>
      </c>
      <c r="AX18" s="95" t="b">
        <f>F18='[2]500千伏-750千伏电网基建'!F18</f>
        <v>1</v>
      </c>
      <c r="AY18" s="95" t="b">
        <f>G18='[2]500千伏-750千伏电网基建'!G18</f>
        <v>1</v>
      </c>
      <c r="AZ18" s="95" t="b">
        <f>H18='[2]500千伏-750千伏电网基建'!H18</f>
        <v>1</v>
      </c>
      <c r="BA18" s="95" t="b">
        <f>I18='[2]500千伏-750千伏电网基建'!I18</f>
        <v>1</v>
      </c>
      <c r="BB18" s="133" t="b">
        <f>J18='[2]500千伏-750千伏电网基建'!J18</f>
        <v>0</v>
      </c>
      <c r="BC18" s="95" t="b">
        <f>K18='[2]500千伏-750千伏电网基建'!K18</f>
        <v>1</v>
      </c>
      <c r="BD18" s="95" t="b">
        <f>L18='[2]500千伏-750千伏电网基建'!L18</f>
        <v>1</v>
      </c>
      <c r="BE18" s="95" t="b">
        <f>M18='[2]500千伏-750千伏电网基建'!M18</f>
        <v>1</v>
      </c>
      <c r="BF18" s="95" t="b">
        <f>N18='[2]500千伏-750千伏电网基建'!N18</f>
        <v>1</v>
      </c>
      <c r="BG18" s="95" t="b">
        <f>O18='[2]500千伏-750千伏电网基建'!O18</f>
        <v>1</v>
      </c>
      <c r="BH18" s="95" t="b">
        <f>P18='[2]500千伏-750千伏电网基建'!P18</f>
        <v>1</v>
      </c>
      <c r="BI18" s="95" t="b">
        <f>Q18='[2]500千伏-750千伏电网基建'!Q18</f>
        <v>1</v>
      </c>
      <c r="BJ18" s="95" t="b">
        <f>R18='[2]500千伏-750千伏电网基建'!R18</f>
        <v>1</v>
      </c>
      <c r="BK18" s="95" t="b">
        <f>S18='[2]500千伏-750千伏电网基建'!S18</f>
        <v>1</v>
      </c>
      <c r="BL18" s="95" t="b">
        <f>T18='[2]500千伏-750千伏电网基建'!T18</f>
        <v>1</v>
      </c>
      <c r="BM18" s="95" t="b">
        <f>U18='[2]500千伏-750千伏电网基建'!U18</f>
        <v>1</v>
      </c>
      <c r="BN18" s="95" t="b">
        <f>V18='[2]500千伏-750千伏电网基建'!V18</f>
        <v>1</v>
      </c>
      <c r="BO18" s="95" t="b">
        <f>W18='[2]500千伏-750千伏电网基建'!W18</f>
        <v>1</v>
      </c>
      <c r="BP18" s="95" t="b">
        <f>X18='[2]500千伏-750千伏电网基建'!X18</f>
        <v>1</v>
      </c>
      <c r="BQ18" s="95" t="b">
        <f>Y18='[2]500千伏-750千伏电网基建'!Y18</f>
        <v>1</v>
      </c>
      <c r="BR18" s="95" t="b">
        <f>Z18='[2]500千伏-750千伏电网基建'!Z18</f>
        <v>1</v>
      </c>
      <c r="BS18" s="95" t="b">
        <f>AA18='[2]500千伏-750千伏电网基建'!AA18</f>
        <v>1</v>
      </c>
      <c r="BT18" s="95" t="b">
        <f>AB18='[2]500千伏-750千伏电网基建'!AB18</f>
        <v>1</v>
      </c>
      <c r="BU18" s="95" t="b">
        <f>AC18='[2]500千伏-750千伏电网基建'!AC18</f>
        <v>1</v>
      </c>
      <c r="BV18" s="95" t="b">
        <f>AD18='[2]500千伏-750千伏电网基建'!AD18</f>
        <v>1</v>
      </c>
      <c r="BW18" s="95" t="b">
        <f>AE18='[2]500千伏-750千伏电网基建'!AE18</f>
        <v>1</v>
      </c>
      <c r="BX18" s="95" t="b">
        <f>AF18='[2]500千伏-750千伏电网基建'!AF18</f>
        <v>1</v>
      </c>
      <c r="BY18" s="95" t="b">
        <f>AG18='[2]500千伏-750千伏电网基建'!AG18</f>
        <v>1</v>
      </c>
      <c r="BZ18" s="95" t="b">
        <f>AH18='[2]500千伏-750千伏电网基建'!AH18</f>
        <v>1</v>
      </c>
      <c r="CA18" s="95" t="b">
        <f>AI18='[2]500千伏-750千伏电网基建'!AI18</f>
        <v>1</v>
      </c>
      <c r="CB18" s="95" t="b">
        <f>AJ18='[2]500千伏-750千伏电网基建'!AJ18</f>
        <v>1</v>
      </c>
      <c r="CC18" s="95" t="b">
        <f>AK18='[2]500千伏-750千伏电网基建'!AK18</f>
        <v>1</v>
      </c>
    </row>
    <row r="19" s="95" customFormat="1" ht="77" hidden="1" customHeight="1" spans="1:81">
      <c r="A19" s="14" t="s">
        <v>483</v>
      </c>
      <c r="B19" s="14" t="s">
        <v>573</v>
      </c>
      <c r="C19" s="15" t="s">
        <v>485</v>
      </c>
      <c r="D19" s="15" t="s">
        <v>590</v>
      </c>
      <c r="E19" s="16" t="s">
        <v>591</v>
      </c>
      <c r="F19" s="17" t="s">
        <v>592</v>
      </c>
      <c r="G19" s="15" t="s">
        <v>593</v>
      </c>
      <c r="H19" s="16" t="s">
        <v>594</v>
      </c>
      <c r="I19" s="23" t="s">
        <v>595</v>
      </c>
      <c r="J19" s="16" t="s">
        <v>1072</v>
      </c>
      <c r="K19" s="15"/>
      <c r="L19" s="15" t="s">
        <v>36</v>
      </c>
      <c r="M19" s="15"/>
      <c r="N19" s="15"/>
      <c r="O19" s="15"/>
      <c r="P19" s="15"/>
      <c r="Q19" s="15"/>
      <c r="R19" s="15"/>
      <c r="S19" s="15" t="s">
        <v>36</v>
      </c>
      <c r="T19" s="15" t="s">
        <v>492</v>
      </c>
      <c r="U19" s="35"/>
      <c r="V19" s="16" t="s">
        <v>597</v>
      </c>
      <c r="W19" s="38" t="s">
        <v>515</v>
      </c>
      <c r="X19" s="15" t="s">
        <v>474</v>
      </c>
      <c r="Y19" s="15" t="s">
        <v>473</v>
      </c>
      <c r="Z19" s="15"/>
      <c r="AA19" s="15" t="s">
        <v>474</v>
      </c>
      <c r="AB19" s="15" t="s">
        <v>473</v>
      </c>
      <c r="AC19" s="15"/>
      <c r="AD19" s="15"/>
      <c r="AE19" s="15"/>
      <c r="AF19" s="15"/>
      <c r="AG19" s="30"/>
      <c r="AH19" s="15" t="s">
        <v>476</v>
      </c>
      <c r="AI19" s="15" t="s">
        <v>476</v>
      </c>
      <c r="AJ19" s="15" t="s">
        <v>598</v>
      </c>
      <c r="AK19" s="15" t="s">
        <v>599</v>
      </c>
      <c r="AL19" s="107" t="s">
        <v>1073</v>
      </c>
      <c r="AM19" s="23" t="s">
        <v>1044</v>
      </c>
      <c r="AN19" s="103"/>
      <c r="AO19" s="7" t="s">
        <v>1045</v>
      </c>
      <c r="AP19" s="7" t="s">
        <v>1045</v>
      </c>
      <c r="AQ19" s="7" t="s">
        <v>1045</v>
      </c>
      <c r="AR19" s="95" t="b">
        <f t="shared" si="0"/>
        <v>1</v>
      </c>
      <c r="AS19" s="95" t="b">
        <f>A19='[2]500千伏-750千伏电网基建'!A19</f>
        <v>1</v>
      </c>
      <c r="AT19" s="95" t="b">
        <f>B19='[2]500千伏-750千伏电网基建'!B19</f>
        <v>1</v>
      </c>
      <c r="AU19" s="95" t="b">
        <f>C19='[2]500千伏-750千伏电网基建'!C19</f>
        <v>1</v>
      </c>
      <c r="AV19" s="95" t="b">
        <f>D19='[2]500千伏-750千伏电网基建'!D19</f>
        <v>1</v>
      </c>
      <c r="AW19" s="95" t="b">
        <f>E19='[2]500千伏-750千伏电网基建'!E19</f>
        <v>1</v>
      </c>
      <c r="AX19" s="95" t="b">
        <f>F19='[2]500千伏-750千伏电网基建'!F19</f>
        <v>1</v>
      </c>
      <c r="AY19" s="95" t="b">
        <f>G19='[2]500千伏-750千伏电网基建'!G19</f>
        <v>1</v>
      </c>
      <c r="AZ19" s="95" t="b">
        <f>H19='[2]500千伏-750千伏电网基建'!H19</f>
        <v>1</v>
      </c>
      <c r="BA19" s="95" t="b">
        <f>I19='[2]500千伏-750千伏电网基建'!I19</f>
        <v>1</v>
      </c>
      <c r="BB19" s="95" t="b">
        <f>J19='[2]500千伏-750千伏电网基建'!J19</f>
        <v>1</v>
      </c>
      <c r="BC19" s="95" t="b">
        <f>K19='[2]500千伏-750千伏电网基建'!K19</f>
        <v>1</v>
      </c>
      <c r="BD19" s="95" t="b">
        <f>L19='[2]500千伏-750千伏电网基建'!L19</f>
        <v>1</v>
      </c>
      <c r="BE19" s="95" t="b">
        <f>M19='[2]500千伏-750千伏电网基建'!M19</f>
        <v>1</v>
      </c>
      <c r="BF19" s="95" t="b">
        <f>N19='[2]500千伏-750千伏电网基建'!N19</f>
        <v>1</v>
      </c>
      <c r="BG19" s="95" t="b">
        <f>O19='[2]500千伏-750千伏电网基建'!O19</f>
        <v>1</v>
      </c>
      <c r="BH19" s="95" t="b">
        <f>P19='[2]500千伏-750千伏电网基建'!P19</f>
        <v>1</v>
      </c>
      <c r="BI19" s="95" t="b">
        <f>Q19='[2]500千伏-750千伏电网基建'!Q19</f>
        <v>1</v>
      </c>
      <c r="BJ19" s="95" t="b">
        <f>R19='[2]500千伏-750千伏电网基建'!R19</f>
        <v>1</v>
      </c>
      <c r="BK19" s="95" t="b">
        <f>S19='[2]500千伏-750千伏电网基建'!S19</f>
        <v>1</v>
      </c>
      <c r="BL19" s="95" t="b">
        <f>T19='[2]500千伏-750千伏电网基建'!T19</f>
        <v>1</v>
      </c>
      <c r="BM19" s="95" t="b">
        <f>U19='[2]500千伏-750千伏电网基建'!U19</f>
        <v>1</v>
      </c>
      <c r="BN19" s="95" t="b">
        <f>V19='[2]500千伏-750千伏电网基建'!V19</f>
        <v>1</v>
      </c>
      <c r="BO19" s="95" t="b">
        <f>W19='[2]500千伏-750千伏电网基建'!W19</f>
        <v>1</v>
      </c>
      <c r="BP19" s="95" t="b">
        <f>X19='[2]500千伏-750千伏电网基建'!X19</f>
        <v>1</v>
      </c>
      <c r="BQ19" s="95" t="b">
        <f>Y19='[2]500千伏-750千伏电网基建'!Y19</f>
        <v>1</v>
      </c>
      <c r="BR19" s="95" t="b">
        <f>Z19='[2]500千伏-750千伏电网基建'!Z19</f>
        <v>1</v>
      </c>
      <c r="BS19" s="95" t="b">
        <f>AA19='[2]500千伏-750千伏电网基建'!AA19</f>
        <v>1</v>
      </c>
      <c r="BT19" s="95" t="b">
        <f>AB19='[2]500千伏-750千伏电网基建'!AB19</f>
        <v>1</v>
      </c>
      <c r="BU19" s="95" t="b">
        <f>AC19='[2]500千伏-750千伏电网基建'!AC19</f>
        <v>1</v>
      </c>
      <c r="BV19" s="95" t="b">
        <f>AD19='[2]500千伏-750千伏电网基建'!AD19</f>
        <v>1</v>
      </c>
      <c r="BW19" s="95" t="b">
        <f>AE19='[2]500千伏-750千伏电网基建'!AE19</f>
        <v>1</v>
      </c>
      <c r="BX19" s="95" t="b">
        <f>AF19='[2]500千伏-750千伏电网基建'!AF19</f>
        <v>1</v>
      </c>
      <c r="BY19" s="95" t="b">
        <f>AG19='[2]500千伏-750千伏电网基建'!AG19</f>
        <v>1</v>
      </c>
      <c r="BZ19" s="95" t="b">
        <f>AH19='[2]500千伏-750千伏电网基建'!AH19</f>
        <v>1</v>
      </c>
      <c r="CA19" s="95" t="b">
        <f>AI19='[2]500千伏-750千伏电网基建'!AI19</f>
        <v>1</v>
      </c>
      <c r="CB19" s="95" t="b">
        <f>AJ19='[2]500千伏-750千伏电网基建'!AJ19</f>
        <v>1</v>
      </c>
      <c r="CC19" s="95" t="b">
        <f>AK19='[2]500千伏-750千伏电网基建'!AK19</f>
        <v>1</v>
      </c>
    </row>
    <row r="20" s="95" customFormat="1" ht="70" hidden="1" customHeight="1" spans="1:81">
      <c r="A20" s="14"/>
      <c r="B20" s="14"/>
      <c r="C20" s="15"/>
      <c r="D20" s="15"/>
      <c r="E20" s="16"/>
      <c r="F20" s="17"/>
      <c r="G20" s="15"/>
      <c r="H20" s="16"/>
      <c r="I20" s="23" t="s">
        <v>600</v>
      </c>
      <c r="J20" s="16" t="s">
        <v>1074</v>
      </c>
      <c r="K20" s="15"/>
      <c r="L20" s="15" t="s">
        <v>36</v>
      </c>
      <c r="M20" s="15"/>
      <c r="N20" s="15" t="s">
        <v>36</v>
      </c>
      <c r="O20" s="15"/>
      <c r="P20" s="15"/>
      <c r="Q20" s="15" t="s">
        <v>36</v>
      </c>
      <c r="R20" s="15"/>
      <c r="S20" s="15"/>
      <c r="T20" s="15" t="s">
        <v>550</v>
      </c>
      <c r="U20" s="15" t="s">
        <v>602</v>
      </c>
      <c r="V20" s="16" t="s">
        <v>603</v>
      </c>
      <c r="W20" s="38" t="s">
        <v>604</v>
      </c>
      <c r="X20" s="15" t="s">
        <v>474</v>
      </c>
      <c r="Y20" s="15" t="s">
        <v>473</v>
      </c>
      <c r="Z20" s="15"/>
      <c r="AA20" s="15" t="s">
        <v>474</v>
      </c>
      <c r="AB20" s="15" t="s">
        <v>473</v>
      </c>
      <c r="AC20" s="15"/>
      <c r="AD20" s="15"/>
      <c r="AE20" s="15"/>
      <c r="AF20" s="15"/>
      <c r="AG20" s="30"/>
      <c r="AH20" s="15" t="s">
        <v>476</v>
      </c>
      <c r="AI20" s="30" t="s">
        <v>476</v>
      </c>
      <c r="AJ20" s="15" t="s">
        <v>605</v>
      </c>
      <c r="AK20" s="15" t="s">
        <v>599</v>
      </c>
      <c r="AL20" s="39" t="s">
        <v>1064</v>
      </c>
      <c r="AM20" s="16" t="s">
        <v>1075</v>
      </c>
      <c r="AN20" s="103"/>
      <c r="AO20" s="7" t="s">
        <v>1045</v>
      </c>
      <c r="AP20" s="7" t="s">
        <v>1045</v>
      </c>
      <c r="AQ20" s="7" t="s">
        <v>1045</v>
      </c>
      <c r="AR20" s="95" t="b">
        <f t="shared" si="0"/>
        <v>1</v>
      </c>
      <c r="AS20" s="95" t="b">
        <f>A20='[2]500千伏-750千伏电网基建'!A20</f>
        <v>1</v>
      </c>
      <c r="AT20" s="95" t="b">
        <f>B20='[2]500千伏-750千伏电网基建'!B20</f>
        <v>1</v>
      </c>
      <c r="AU20" s="95" t="b">
        <f>C20='[2]500千伏-750千伏电网基建'!C20</f>
        <v>1</v>
      </c>
      <c r="AV20" s="95" t="b">
        <f>D20='[2]500千伏-750千伏电网基建'!D20</f>
        <v>1</v>
      </c>
      <c r="AW20" s="95" t="b">
        <f>E20='[2]500千伏-750千伏电网基建'!E20</f>
        <v>1</v>
      </c>
      <c r="AX20" s="95" t="b">
        <f>F20='[2]500千伏-750千伏电网基建'!F20</f>
        <v>1</v>
      </c>
      <c r="AY20" s="95" t="b">
        <f>G20='[2]500千伏-750千伏电网基建'!G20</f>
        <v>1</v>
      </c>
      <c r="AZ20" s="95" t="b">
        <f>H20='[2]500千伏-750千伏电网基建'!H20</f>
        <v>1</v>
      </c>
      <c r="BA20" s="95" t="b">
        <f>I20='[2]500千伏-750千伏电网基建'!I20</f>
        <v>1</v>
      </c>
      <c r="BB20" s="95" t="b">
        <f>J20='[2]500千伏-750千伏电网基建'!J20</f>
        <v>1</v>
      </c>
      <c r="BC20" s="95" t="b">
        <f>K20='[2]500千伏-750千伏电网基建'!K20</f>
        <v>1</v>
      </c>
      <c r="BD20" s="95" t="b">
        <f>L20='[2]500千伏-750千伏电网基建'!L20</f>
        <v>1</v>
      </c>
      <c r="BE20" s="95" t="b">
        <f>M20='[2]500千伏-750千伏电网基建'!M20</f>
        <v>1</v>
      </c>
      <c r="BF20" s="95" t="b">
        <f>N20='[2]500千伏-750千伏电网基建'!N20</f>
        <v>1</v>
      </c>
      <c r="BG20" s="95" t="b">
        <f>O20='[2]500千伏-750千伏电网基建'!O20</f>
        <v>1</v>
      </c>
      <c r="BH20" s="95" t="b">
        <f>P20='[2]500千伏-750千伏电网基建'!P20</f>
        <v>1</v>
      </c>
      <c r="BI20" s="95" t="b">
        <f>Q20='[2]500千伏-750千伏电网基建'!Q20</f>
        <v>1</v>
      </c>
      <c r="BJ20" s="95" t="b">
        <f>R20='[2]500千伏-750千伏电网基建'!R20</f>
        <v>1</v>
      </c>
      <c r="BK20" s="95" t="b">
        <f>S20='[2]500千伏-750千伏电网基建'!S20</f>
        <v>1</v>
      </c>
      <c r="BL20" s="95" t="b">
        <f>T20='[2]500千伏-750千伏电网基建'!T20</f>
        <v>1</v>
      </c>
      <c r="BM20" s="95" t="b">
        <f>U20='[2]500千伏-750千伏电网基建'!U20</f>
        <v>1</v>
      </c>
      <c r="BN20" s="95" t="b">
        <f>V20='[2]500千伏-750千伏电网基建'!V20</f>
        <v>1</v>
      </c>
      <c r="BO20" s="95" t="b">
        <f>W20='[2]500千伏-750千伏电网基建'!W20</f>
        <v>1</v>
      </c>
      <c r="BP20" s="95" t="b">
        <f>X20='[2]500千伏-750千伏电网基建'!X20</f>
        <v>1</v>
      </c>
      <c r="BQ20" s="95" t="b">
        <f>Y20='[2]500千伏-750千伏电网基建'!Y20</f>
        <v>1</v>
      </c>
      <c r="BR20" s="95" t="b">
        <f>Z20='[2]500千伏-750千伏电网基建'!Z20</f>
        <v>1</v>
      </c>
      <c r="BS20" s="95" t="b">
        <f>AA20='[2]500千伏-750千伏电网基建'!AA20</f>
        <v>1</v>
      </c>
      <c r="BT20" s="95" t="b">
        <f>AB20='[2]500千伏-750千伏电网基建'!AB20</f>
        <v>1</v>
      </c>
      <c r="BU20" s="95" t="b">
        <f>AC20='[2]500千伏-750千伏电网基建'!AC20</f>
        <v>1</v>
      </c>
      <c r="BV20" s="95" t="b">
        <f>AD20='[2]500千伏-750千伏电网基建'!AD20</f>
        <v>1</v>
      </c>
      <c r="BW20" s="95" t="b">
        <f>AE20='[2]500千伏-750千伏电网基建'!AE20</f>
        <v>1</v>
      </c>
      <c r="BX20" s="95" t="b">
        <f>AF20='[2]500千伏-750千伏电网基建'!AF20</f>
        <v>1</v>
      </c>
      <c r="BY20" s="95" t="b">
        <f>AG20='[2]500千伏-750千伏电网基建'!AG20</f>
        <v>1</v>
      </c>
      <c r="BZ20" s="95" t="b">
        <f>AH20='[2]500千伏-750千伏电网基建'!AH20</f>
        <v>1</v>
      </c>
      <c r="CA20" s="95" t="b">
        <f>AI20='[2]500千伏-750千伏电网基建'!AI20</f>
        <v>1</v>
      </c>
      <c r="CB20" s="95" t="b">
        <f>AJ20='[2]500千伏-750千伏电网基建'!AJ20</f>
        <v>1</v>
      </c>
      <c r="CC20" s="95" t="b">
        <f>AK20='[2]500千伏-750千伏电网基建'!AK20</f>
        <v>1</v>
      </c>
    </row>
    <row r="21" s="95" customFormat="1" ht="105.6" hidden="1" spans="1:81">
      <c r="A21" s="14"/>
      <c r="B21" s="14"/>
      <c r="C21" s="15"/>
      <c r="D21" s="15"/>
      <c r="E21" s="16"/>
      <c r="F21" s="17"/>
      <c r="G21" s="15"/>
      <c r="H21" s="16"/>
      <c r="I21" s="23" t="s">
        <v>606</v>
      </c>
      <c r="J21" s="16" t="s">
        <v>1076</v>
      </c>
      <c r="K21" s="15"/>
      <c r="L21" s="15" t="s">
        <v>36</v>
      </c>
      <c r="M21" s="15"/>
      <c r="N21" s="15" t="s">
        <v>36</v>
      </c>
      <c r="O21" s="15"/>
      <c r="P21" s="15"/>
      <c r="Q21" s="15"/>
      <c r="R21" s="15"/>
      <c r="S21" s="15"/>
      <c r="T21" s="15" t="s">
        <v>465</v>
      </c>
      <c r="U21" s="15" t="s">
        <v>602</v>
      </c>
      <c r="V21" s="16" t="s">
        <v>603</v>
      </c>
      <c r="W21" s="38" t="s">
        <v>608</v>
      </c>
      <c r="X21" s="15" t="s">
        <v>474</v>
      </c>
      <c r="Y21" s="15" t="s">
        <v>473</v>
      </c>
      <c r="Z21" s="15"/>
      <c r="AA21" s="15" t="s">
        <v>474</v>
      </c>
      <c r="AB21" s="15" t="s">
        <v>473</v>
      </c>
      <c r="AC21" s="15"/>
      <c r="AD21" s="15" t="s">
        <v>609</v>
      </c>
      <c r="AE21" s="15" t="s">
        <v>511</v>
      </c>
      <c r="AF21" s="15"/>
      <c r="AG21" s="30"/>
      <c r="AH21" s="15" t="s">
        <v>476</v>
      </c>
      <c r="AI21" s="30" t="s">
        <v>610</v>
      </c>
      <c r="AJ21" s="15" t="s">
        <v>611</v>
      </c>
      <c r="AK21" s="15" t="s">
        <v>599</v>
      </c>
      <c r="AL21" s="39" t="s">
        <v>1064</v>
      </c>
      <c r="AM21" s="16" t="s">
        <v>1075</v>
      </c>
      <c r="AN21" s="1"/>
      <c r="AO21" s="7" t="s">
        <v>1045</v>
      </c>
      <c r="AP21" s="7" t="s">
        <v>1059</v>
      </c>
      <c r="AQ21" s="7" t="s">
        <v>1059</v>
      </c>
      <c r="AR21" s="95" t="b">
        <f t="shared" si="0"/>
        <v>1</v>
      </c>
      <c r="AS21" s="95" t="b">
        <f>A21='[2]500千伏-750千伏电网基建'!A21</f>
        <v>1</v>
      </c>
      <c r="AT21" s="95" t="b">
        <f>B21='[2]500千伏-750千伏电网基建'!B21</f>
        <v>1</v>
      </c>
      <c r="AU21" s="95" t="b">
        <f>C21='[2]500千伏-750千伏电网基建'!C21</f>
        <v>1</v>
      </c>
      <c r="AV21" s="95" t="b">
        <f>D21='[2]500千伏-750千伏电网基建'!D21</f>
        <v>1</v>
      </c>
      <c r="AW21" s="95" t="b">
        <f>E21='[2]500千伏-750千伏电网基建'!E21</f>
        <v>1</v>
      </c>
      <c r="AX21" s="95" t="b">
        <f>F21='[2]500千伏-750千伏电网基建'!F21</f>
        <v>1</v>
      </c>
      <c r="AY21" s="95" t="b">
        <f>G21='[2]500千伏-750千伏电网基建'!G21</f>
        <v>1</v>
      </c>
      <c r="AZ21" s="95" t="b">
        <f>H21='[2]500千伏-750千伏电网基建'!H21</f>
        <v>1</v>
      </c>
      <c r="BA21" s="95" t="b">
        <f>I21='[2]500千伏-750千伏电网基建'!I21</f>
        <v>1</v>
      </c>
      <c r="BB21" s="95" t="b">
        <f>J21='[2]500千伏-750千伏电网基建'!J21</f>
        <v>1</v>
      </c>
      <c r="BC21" s="95" t="b">
        <f>K21='[2]500千伏-750千伏电网基建'!K21</f>
        <v>1</v>
      </c>
      <c r="BD21" s="95" t="b">
        <f>L21='[2]500千伏-750千伏电网基建'!L21</f>
        <v>1</v>
      </c>
      <c r="BE21" s="95" t="b">
        <f>M21='[2]500千伏-750千伏电网基建'!M21</f>
        <v>1</v>
      </c>
      <c r="BF21" s="95" t="b">
        <f>N21='[2]500千伏-750千伏电网基建'!N21</f>
        <v>1</v>
      </c>
      <c r="BG21" s="95" t="b">
        <f>O21='[2]500千伏-750千伏电网基建'!O21</f>
        <v>1</v>
      </c>
      <c r="BH21" s="95" t="b">
        <f>P21='[2]500千伏-750千伏电网基建'!P21</f>
        <v>1</v>
      </c>
      <c r="BI21" s="95" t="b">
        <f>Q21='[2]500千伏-750千伏电网基建'!Q21</f>
        <v>1</v>
      </c>
      <c r="BJ21" s="95" t="b">
        <f>R21='[2]500千伏-750千伏电网基建'!R21</f>
        <v>1</v>
      </c>
      <c r="BK21" s="95" t="b">
        <f>S21='[2]500千伏-750千伏电网基建'!S21</f>
        <v>1</v>
      </c>
      <c r="BL21" s="95" t="b">
        <f>T21='[2]500千伏-750千伏电网基建'!T21</f>
        <v>1</v>
      </c>
      <c r="BM21" s="95" t="b">
        <f>U21='[2]500千伏-750千伏电网基建'!U21</f>
        <v>1</v>
      </c>
      <c r="BN21" s="95" t="b">
        <f>V21='[2]500千伏-750千伏电网基建'!V21</f>
        <v>1</v>
      </c>
      <c r="BO21" s="95" t="b">
        <f>W21='[2]500千伏-750千伏电网基建'!W21</f>
        <v>1</v>
      </c>
      <c r="BP21" s="95" t="b">
        <f>X21='[2]500千伏-750千伏电网基建'!X21</f>
        <v>1</v>
      </c>
      <c r="BQ21" s="95" t="b">
        <f>Y21='[2]500千伏-750千伏电网基建'!Y21</f>
        <v>1</v>
      </c>
      <c r="BR21" s="95" t="b">
        <f>Z21='[2]500千伏-750千伏电网基建'!Z21</f>
        <v>1</v>
      </c>
      <c r="BS21" s="95" t="b">
        <f>AA21='[2]500千伏-750千伏电网基建'!AA21</f>
        <v>1</v>
      </c>
      <c r="BT21" s="95" t="b">
        <f>AB21='[2]500千伏-750千伏电网基建'!AB21</f>
        <v>1</v>
      </c>
      <c r="BU21" s="95" t="b">
        <f>AC21='[2]500千伏-750千伏电网基建'!AC21</f>
        <v>1</v>
      </c>
      <c r="BV21" s="95" t="b">
        <f>AD21='[2]500千伏-750千伏电网基建'!AD21</f>
        <v>1</v>
      </c>
      <c r="BW21" s="95" t="b">
        <f>AE21='[2]500千伏-750千伏电网基建'!AE21</f>
        <v>1</v>
      </c>
      <c r="BX21" s="95" t="b">
        <f>AF21='[2]500千伏-750千伏电网基建'!AF21</f>
        <v>1</v>
      </c>
      <c r="BY21" s="95" t="b">
        <f>AG21='[2]500千伏-750千伏电网基建'!AG21</f>
        <v>1</v>
      </c>
      <c r="BZ21" s="95" t="b">
        <f>AH21='[2]500千伏-750千伏电网基建'!AH21</f>
        <v>1</v>
      </c>
      <c r="CA21" s="95" t="b">
        <f>AI21='[2]500千伏-750千伏电网基建'!AI21</f>
        <v>1</v>
      </c>
      <c r="CB21" s="95" t="b">
        <f>AJ21='[2]500千伏-750千伏电网基建'!AJ21</f>
        <v>1</v>
      </c>
      <c r="CC21" s="95" t="b">
        <f>AK21='[2]500千伏-750千伏电网基建'!AK21</f>
        <v>1</v>
      </c>
    </row>
    <row r="22" s="95" customFormat="1" ht="132" hidden="1" customHeight="1" spans="1:81">
      <c r="A22" s="14"/>
      <c r="B22" s="14"/>
      <c r="C22" s="15" t="s">
        <v>536</v>
      </c>
      <c r="D22" s="15" t="s">
        <v>612</v>
      </c>
      <c r="E22" s="16" t="s">
        <v>613</v>
      </c>
      <c r="F22" s="24"/>
      <c r="G22" s="15" t="s">
        <v>614</v>
      </c>
      <c r="H22" s="16" t="s">
        <v>615</v>
      </c>
      <c r="I22" s="23" t="s">
        <v>616</v>
      </c>
      <c r="J22" s="16" t="s">
        <v>617</v>
      </c>
      <c r="K22" s="15"/>
      <c r="L22" s="15"/>
      <c r="M22" s="15"/>
      <c r="N22" s="15" t="s">
        <v>36</v>
      </c>
      <c r="O22" s="15"/>
      <c r="P22" s="15"/>
      <c r="Q22" s="15" t="s">
        <v>36</v>
      </c>
      <c r="R22" s="15"/>
      <c r="S22" s="15"/>
      <c r="T22" s="15" t="s">
        <v>465</v>
      </c>
      <c r="U22" s="15" t="s">
        <v>467</v>
      </c>
      <c r="V22" s="16" t="s">
        <v>618</v>
      </c>
      <c r="W22" s="31" t="s">
        <v>1077</v>
      </c>
      <c r="X22" s="15" t="s">
        <v>565</v>
      </c>
      <c r="Y22" s="15" t="s">
        <v>473</v>
      </c>
      <c r="Z22" s="15"/>
      <c r="AA22" s="15" t="s">
        <v>474</v>
      </c>
      <c r="AB22" s="15" t="s">
        <v>473</v>
      </c>
      <c r="AC22" s="15"/>
      <c r="AD22" s="15" t="s">
        <v>620</v>
      </c>
      <c r="AE22" s="15" t="s">
        <v>511</v>
      </c>
      <c r="AF22" s="15"/>
      <c r="AG22" s="30"/>
      <c r="AH22" s="15" t="s">
        <v>476</v>
      </c>
      <c r="AI22" s="30" t="s">
        <v>476</v>
      </c>
      <c r="AJ22" s="15" t="s">
        <v>621</v>
      </c>
      <c r="AK22" s="15" t="s">
        <v>532</v>
      </c>
      <c r="AL22" s="16" t="s">
        <v>1057</v>
      </c>
      <c r="AM22" s="23" t="s">
        <v>470</v>
      </c>
      <c r="AN22" s="23" t="s">
        <v>1078</v>
      </c>
      <c r="AO22" s="7" t="s">
        <v>1045</v>
      </c>
      <c r="AP22" s="7" t="s">
        <v>1045</v>
      </c>
      <c r="AQ22" s="7" t="s">
        <v>1045</v>
      </c>
      <c r="AR22" s="95" t="b">
        <f t="shared" si="0"/>
        <v>1</v>
      </c>
      <c r="AS22" s="95" t="b">
        <f>A22='[2]500千伏-750千伏电网基建'!A22</f>
        <v>1</v>
      </c>
      <c r="AT22" s="95" t="b">
        <f>B22='[2]500千伏-750千伏电网基建'!B22</f>
        <v>1</v>
      </c>
      <c r="AU22" s="95" t="b">
        <f>C22='[2]500千伏-750千伏电网基建'!C22</f>
        <v>1</v>
      </c>
      <c r="AV22" s="95" t="b">
        <f>D22='[2]500千伏-750千伏电网基建'!D22</f>
        <v>1</v>
      </c>
      <c r="AW22" s="95" t="b">
        <f>E22='[2]500千伏-750千伏电网基建'!E22</f>
        <v>1</v>
      </c>
      <c r="AX22" s="95" t="b">
        <f>F22='[2]500千伏-750千伏电网基建'!F22</f>
        <v>1</v>
      </c>
      <c r="AY22" s="95" t="b">
        <f>G22='[2]500千伏-750千伏电网基建'!G22</f>
        <v>1</v>
      </c>
      <c r="AZ22" s="95" t="b">
        <f>H22='[2]500千伏-750千伏电网基建'!H22</f>
        <v>1</v>
      </c>
      <c r="BA22" s="95" t="b">
        <f>I22='[2]500千伏-750千伏电网基建'!I22</f>
        <v>1</v>
      </c>
      <c r="BB22" s="95" t="b">
        <f>J22='[2]500千伏-750千伏电网基建'!J22</f>
        <v>1</v>
      </c>
      <c r="BC22" s="95" t="b">
        <f>K22='[2]500千伏-750千伏电网基建'!K22</f>
        <v>1</v>
      </c>
      <c r="BD22" s="95" t="b">
        <f>L22='[2]500千伏-750千伏电网基建'!L22</f>
        <v>1</v>
      </c>
      <c r="BE22" s="95" t="b">
        <f>M22='[2]500千伏-750千伏电网基建'!M22</f>
        <v>1</v>
      </c>
      <c r="BF22" s="95" t="b">
        <f>N22='[2]500千伏-750千伏电网基建'!N22</f>
        <v>1</v>
      </c>
      <c r="BG22" s="95" t="b">
        <f>O22='[2]500千伏-750千伏电网基建'!O22</f>
        <v>1</v>
      </c>
      <c r="BH22" s="95" t="b">
        <f>P22='[2]500千伏-750千伏电网基建'!P22</f>
        <v>1</v>
      </c>
      <c r="BI22" s="95" t="b">
        <f>Q22='[2]500千伏-750千伏电网基建'!Q22</f>
        <v>1</v>
      </c>
      <c r="BJ22" s="95" t="b">
        <f>R22='[2]500千伏-750千伏电网基建'!R22</f>
        <v>1</v>
      </c>
      <c r="BK22" s="95" t="b">
        <f>S22='[2]500千伏-750千伏电网基建'!S22</f>
        <v>1</v>
      </c>
      <c r="BL22" s="95" t="b">
        <f>T22='[2]500千伏-750千伏电网基建'!T22</f>
        <v>1</v>
      </c>
      <c r="BM22" s="95" t="b">
        <f>U22='[2]500千伏-750千伏电网基建'!U22</f>
        <v>1</v>
      </c>
      <c r="BN22" s="95" t="b">
        <f>V22='[2]500千伏-750千伏电网基建'!V22</f>
        <v>1</v>
      </c>
      <c r="BO22" s="95" t="b">
        <f>W22='[2]500千伏-750千伏电网基建'!W22</f>
        <v>1</v>
      </c>
      <c r="BP22" s="95" t="b">
        <f>X22='[2]500千伏-750千伏电网基建'!X22</f>
        <v>1</v>
      </c>
      <c r="BQ22" s="95" t="b">
        <f>Y22='[2]500千伏-750千伏电网基建'!Y22</f>
        <v>1</v>
      </c>
      <c r="BR22" s="95" t="b">
        <f>Z22='[2]500千伏-750千伏电网基建'!Z22</f>
        <v>1</v>
      </c>
      <c r="BS22" s="95" t="b">
        <f>AA22='[2]500千伏-750千伏电网基建'!AA22</f>
        <v>1</v>
      </c>
      <c r="BT22" s="95" t="b">
        <f>AB22='[2]500千伏-750千伏电网基建'!AB22</f>
        <v>1</v>
      </c>
      <c r="BU22" s="95" t="b">
        <f>AC22='[2]500千伏-750千伏电网基建'!AC22</f>
        <v>1</v>
      </c>
      <c r="BV22" s="95" t="b">
        <f>AD22='[2]500千伏-750千伏电网基建'!AD22</f>
        <v>1</v>
      </c>
      <c r="BW22" s="95" t="b">
        <f>AE22='[2]500千伏-750千伏电网基建'!AE22</f>
        <v>1</v>
      </c>
      <c r="BX22" s="95" t="b">
        <f>AF22='[2]500千伏-750千伏电网基建'!AF22</f>
        <v>1</v>
      </c>
      <c r="BY22" s="95" t="b">
        <f>AG22='[2]500千伏-750千伏电网基建'!AG22</f>
        <v>1</v>
      </c>
      <c r="BZ22" s="95" t="b">
        <f>AH22='[2]500千伏-750千伏电网基建'!AH22</f>
        <v>1</v>
      </c>
      <c r="CA22" s="95" t="b">
        <f>AI22='[2]500千伏-750千伏电网基建'!AI22</f>
        <v>1</v>
      </c>
      <c r="CB22" s="95" t="b">
        <f>AJ22='[2]500千伏-750千伏电网基建'!AJ22</f>
        <v>1</v>
      </c>
      <c r="CC22" s="95" t="b">
        <f>AK22='[2]500千伏-750千伏电网基建'!AK22</f>
        <v>1</v>
      </c>
    </row>
    <row r="23" s="95" customFormat="1" ht="96" hidden="1" customHeight="1" spans="1:81">
      <c r="A23" s="14"/>
      <c r="B23" s="14"/>
      <c r="C23" s="15"/>
      <c r="D23" s="15"/>
      <c r="E23" s="16"/>
      <c r="F23" s="24"/>
      <c r="G23" s="15"/>
      <c r="H23" s="16"/>
      <c r="I23" s="23" t="s">
        <v>622</v>
      </c>
      <c r="J23" s="16" t="s">
        <v>1079</v>
      </c>
      <c r="K23" s="15"/>
      <c r="L23" s="15"/>
      <c r="M23" s="15"/>
      <c r="N23" s="15" t="s">
        <v>36</v>
      </c>
      <c r="O23" s="15"/>
      <c r="P23" s="15"/>
      <c r="Q23" s="15" t="s">
        <v>36</v>
      </c>
      <c r="R23" s="15"/>
      <c r="S23" s="15"/>
      <c r="T23" s="15" t="s">
        <v>465</v>
      </c>
      <c r="U23" s="15" t="s">
        <v>467</v>
      </c>
      <c r="V23" s="16" t="s">
        <v>618</v>
      </c>
      <c r="W23" s="31" t="s">
        <v>1080</v>
      </c>
      <c r="X23" s="15" t="s">
        <v>565</v>
      </c>
      <c r="Y23" s="15" t="s">
        <v>473</v>
      </c>
      <c r="Z23" s="15"/>
      <c r="AA23" s="15" t="s">
        <v>474</v>
      </c>
      <c r="AB23" s="15" t="s">
        <v>473</v>
      </c>
      <c r="AC23" s="15"/>
      <c r="AD23" s="15" t="s">
        <v>620</v>
      </c>
      <c r="AE23" s="15" t="s">
        <v>511</v>
      </c>
      <c r="AF23" s="15"/>
      <c r="AG23" s="30"/>
      <c r="AH23" s="15" t="s">
        <v>476</v>
      </c>
      <c r="AI23" s="30" t="s">
        <v>476</v>
      </c>
      <c r="AJ23" s="15" t="s">
        <v>621</v>
      </c>
      <c r="AK23" s="15"/>
      <c r="AL23" s="16" t="s">
        <v>1057</v>
      </c>
      <c r="AM23" s="15" t="s">
        <v>470</v>
      </c>
      <c r="AN23" s="23"/>
      <c r="AO23" s="7" t="s">
        <v>1045</v>
      </c>
      <c r="AP23" s="7" t="s">
        <v>1045</v>
      </c>
      <c r="AQ23" s="7" t="s">
        <v>1045</v>
      </c>
      <c r="AR23" s="95" t="b">
        <f t="shared" si="0"/>
        <v>1</v>
      </c>
      <c r="AS23" s="95" t="b">
        <f>A23='[2]500千伏-750千伏电网基建'!A23</f>
        <v>1</v>
      </c>
      <c r="AT23" s="95" t="b">
        <f>B23='[2]500千伏-750千伏电网基建'!B23</f>
        <v>1</v>
      </c>
      <c r="AU23" s="95" t="b">
        <f>C23='[2]500千伏-750千伏电网基建'!C23</f>
        <v>1</v>
      </c>
      <c r="AV23" s="95" t="b">
        <f>D23='[2]500千伏-750千伏电网基建'!D23</f>
        <v>1</v>
      </c>
      <c r="AW23" s="95" t="b">
        <f>E23='[2]500千伏-750千伏电网基建'!E23</f>
        <v>1</v>
      </c>
      <c r="AX23" s="95" t="b">
        <f>F23='[2]500千伏-750千伏电网基建'!F23</f>
        <v>1</v>
      </c>
      <c r="AY23" s="95" t="b">
        <f>G23='[2]500千伏-750千伏电网基建'!G23</f>
        <v>1</v>
      </c>
      <c r="AZ23" s="95" t="b">
        <f>H23='[2]500千伏-750千伏电网基建'!H23</f>
        <v>1</v>
      </c>
      <c r="BA23" s="95" t="b">
        <f>I23='[2]500千伏-750千伏电网基建'!I23</f>
        <v>1</v>
      </c>
      <c r="BB23" s="95" t="b">
        <f>J23='[2]500千伏-750千伏电网基建'!J23</f>
        <v>1</v>
      </c>
      <c r="BC23" s="95" t="b">
        <f>K23='[2]500千伏-750千伏电网基建'!K23</f>
        <v>1</v>
      </c>
      <c r="BD23" s="95" t="b">
        <f>L23='[2]500千伏-750千伏电网基建'!L23</f>
        <v>1</v>
      </c>
      <c r="BE23" s="95" t="b">
        <f>M23='[2]500千伏-750千伏电网基建'!M23</f>
        <v>1</v>
      </c>
      <c r="BF23" s="95" t="b">
        <f>N23='[2]500千伏-750千伏电网基建'!N23</f>
        <v>1</v>
      </c>
      <c r="BG23" s="95" t="b">
        <f>O23='[2]500千伏-750千伏电网基建'!O23</f>
        <v>1</v>
      </c>
      <c r="BH23" s="95" t="b">
        <f>P23='[2]500千伏-750千伏电网基建'!P23</f>
        <v>1</v>
      </c>
      <c r="BI23" s="95" t="b">
        <f>Q23='[2]500千伏-750千伏电网基建'!Q23</f>
        <v>1</v>
      </c>
      <c r="BJ23" s="95" t="b">
        <f>R23='[2]500千伏-750千伏电网基建'!R23</f>
        <v>1</v>
      </c>
      <c r="BK23" s="95" t="b">
        <f>S23='[2]500千伏-750千伏电网基建'!S23</f>
        <v>1</v>
      </c>
      <c r="BL23" s="95" t="b">
        <f>T23='[2]500千伏-750千伏电网基建'!T23</f>
        <v>1</v>
      </c>
      <c r="BM23" s="95" t="b">
        <f>U23='[2]500千伏-750千伏电网基建'!U23</f>
        <v>1</v>
      </c>
      <c r="BN23" s="95" t="b">
        <f>V23='[2]500千伏-750千伏电网基建'!V23</f>
        <v>1</v>
      </c>
      <c r="BO23" s="95" t="b">
        <f>W23='[2]500千伏-750千伏电网基建'!W23</f>
        <v>1</v>
      </c>
      <c r="BP23" s="95" t="b">
        <f>X23='[2]500千伏-750千伏电网基建'!X23</f>
        <v>1</v>
      </c>
      <c r="BQ23" s="95" t="b">
        <f>Y23='[2]500千伏-750千伏电网基建'!Y23</f>
        <v>1</v>
      </c>
      <c r="BR23" s="95" t="b">
        <f>Z23='[2]500千伏-750千伏电网基建'!Z23</f>
        <v>1</v>
      </c>
      <c r="BS23" s="95" t="b">
        <f>AA23='[2]500千伏-750千伏电网基建'!AA23</f>
        <v>1</v>
      </c>
      <c r="BT23" s="95" t="b">
        <f>AB23='[2]500千伏-750千伏电网基建'!AB23</f>
        <v>1</v>
      </c>
      <c r="BU23" s="95" t="b">
        <f>AC23='[2]500千伏-750千伏电网基建'!AC23</f>
        <v>1</v>
      </c>
      <c r="BV23" s="95" t="b">
        <f>AD23='[2]500千伏-750千伏电网基建'!AD23</f>
        <v>1</v>
      </c>
      <c r="BW23" s="95" t="b">
        <f>AE23='[2]500千伏-750千伏电网基建'!AE23</f>
        <v>1</v>
      </c>
      <c r="BX23" s="95" t="b">
        <f>AF23='[2]500千伏-750千伏电网基建'!AF23</f>
        <v>1</v>
      </c>
      <c r="BY23" s="95" t="b">
        <f>AG23='[2]500千伏-750千伏电网基建'!AG23</f>
        <v>1</v>
      </c>
      <c r="BZ23" s="95" t="b">
        <f>AH23='[2]500千伏-750千伏电网基建'!AH23</f>
        <v>1</v>
      </c>
      <c r="CA23" s="95" t="b">
        <f>AI23='[2]500千伏-750千伏电网基建'!AI23</f>
        <v>1</v>
      </c>
      <c r="CB23" s="95" t="b">
        <f>AJ23='[2]500千伏-750千伏电网基建'!AJ23</f>
        <v>1</v>
      </c>
      <c r="CC23" s="95" t="b">
        <f>AK23='[2]500千伏-750千伏电网基建'!AK23</f>
        <v>1</v>
      </c>
    </row>
    <row r="24" s="95" customFormat="1" ht="105" hidden="1" customHeight="1" spans="1:81">
      <c r="A24" s="14"/>
      <c r="B24" s="14" t="s">
        <v>662</v>
      </c>
      <c r="C24" s="15" t="s">
        <v>485</v>
      </c>
      <c r="D24" s="15" t="s">
        <v>636</v>
      </c>
      <c r="E24" s="16" t="s">
        <v>637</v>
      </c>
      <c r="F24" s="24"/>
      <c r="G24" s="15" t="s">
        <v>1081</v>
      </c>
      <c r="H24" s="16" t="s">
        <v>639</v>
      </c>
      <c r="I24" s="23" t="s">
        <v>1082</v>
      </c>
      <c r="J24" s="16" t="s">
        <v>1083</v>
      </c>
      <c r="K24" s="15"/>
      <c r="L24" s="15" t="s">
        <v>36</v>
      </c>
      <c r="M24" s="15"/>
      <c r="N24" s="15"/>
      <c r="O24" s="15" t="s">
        <v>36</v>
      </c>
      <c r="P24" s="15"/>
      <c r="Q24" s="15"/>
      <c r="R24" s="15"/>
      <c r="S24" s="15"/>
      <c r="T24" s="15" t="s">
        <v>465</v>
      </c>
      <c r="U24" s="15" t="s">
        <v>642</v>
      </c>
      <c r="V24" s="16" t="s">
        <v>643</v>
      </c>
      <c r="W24" s="31" t="s">
        <v>644</v>
      </c>
      <c r="X24" s="15" t="s">
        <v>474</v>
      </c>
      <c r="Y24" s="15" t="s">
        <v>473</v>
      </c>
      <c r="Z24" s="30"/>
      <c r="AA24" s="15" t="s">
        <v>474</v>
      </c>
      <c r="AB24" s="15" t="s">
        <v>473</v>
      </c>
      <c r="AC24" s="30"/>
      <c r="AD24" s="15" t="s">
        <v>645</v>
      </c>
      <c r="AE24" s="15" t="s">
        <v>511</v>
      </c>
      <c r="AF24" s="15"/>
      <c r="AG24" s="30"/>
      <c r="AH24" s="15" t="s">
        <v>476</v>
      </c>
      <c r="AI24" s="15" t="s">
        <v>476</v>
      </c>
      <c r="AJ24" s="15" t="s">
        <v>646</v>
      </c>
      <c r="AK24" s="15" t="s">
        <v>647</v>
      </c>
      <c r="AL24" s="1" t="s">
        <v>1064</v>
      </c>
      <c r="AM24" s="23" t="s">
        <v>1046</v>
      </c>
      <c r="AN24" s="1"/>
      <c r="AO24" s="7" t="s">
        <v>1045</v>
      </c>
      <c r="AP24" s="7" t="s">
        <v>1045</v>
      </c>
      <c r="AQ24" s="7" t="s">
        <v>1045</v>
      </c>
      <c r="AR24" s="95" t="b">
        <f t="shared" si="0"/>
        <v>1</v>
      </c>
      <c r="AS24" s="95" t="b">
        <f>A24='[2]500千伏-750千伏电网基建'!A24</f>
        <v>1</v>
      </c>
      <c r="AT24" s="95" t="b">
        <f>B24='[2]500千伏-750千伏电网基建'!B24</f>
        <v>1</v>
      </c>
      <c r="AU24" s="95" t="b">
        <f>C24='[2]500千伏-750千伏电网基建'!C24</f>
        <v>1</v>
      </c>
      <c r="AV24" s="95" t="b">
        <f>D24='[2]500千伏-750千伏电网基建'!D24</f>
        <v>1</v>
      </c>
      <c r="AW24" s="95" t="b">
        <f>E24='[2]500千伏-750千伏电网基建'!E24</f>
        <v>1</v>
      </c>
      <c r="AX24" s="95" t="b">
        <f>F24='[2]500千伏-750千伏电网基建'!F24</f>
        <v>1</v>
      </c>
      <c r="AY24" s="95" t="b">
        <f>G24='[2]500千伏-750千伏电网基建'!G24</f>
        <v>1</v>
      </c>
      <c r="AZ24" s="95" t="b">
        <f>H24='[2]500千伏-750千伏电网基建'!H24</f>
        <v>1</v>
      </c>
      <c r="BA24" s="95" t="b">
        <f>I24='[2]500千伏-750千伏电网基建'!I24</f>
        <v>1</v>
      </c>
      <c r="BB24" s="95" t="b">
        <f>J24='[2]500千伏-750千伏电网基建'!J24</f>
        <v>1</v>
      </c>
      <c r="BC24" s="95" t="b">
        <f>K24='[2]500千伏-750千伏电网基建'!K24</f>
        <v>1</v>
      </c>
      <c r="BD24" s="95" t="b">
        <f>L24='[2]500千伏-750千伏电网基建'!L24</f>
        <v>1</v>
      </c>
      <c r="BE24" s="95" t="b">
        <f>M24='[2]500千伏-750千伏电网基建'!M24</f>
        <v>1</v>
      </c>
      <c r="BF24" s="95" t="b">
        <f>N24='[2]500千伏-750千伏电网基建'!N24</f>
        <v>1</v>
      </c>
      <c r="BG24" s="95" t="b">
        <f>O24='[2]500千伏-750千伏电网基建'!O24</f>
        <v>1</v>
      </c>
      <c r="BH24" s="95" t="b">
        <f>P24='[2]500千伏-750千伏电网基建'!P24</f>
        <v>1</v>
      </c>
      <c r="BI24" s="95" t="b">
        <f>Q24='[2]500千伏-750千伏电网基建'!Q24</f>
        <v>1</v>
      </c>
      <c r="BJ24" s="95" t="b">
        <f>R24='[2]500千伏-750千伏电网基建'!R24</f>
        <v>1</v>
      </c>
      <c r="BK24" s="95" t="b">
        <f>S24='[2]500千伏-750千伏电网基建'!S24</f>
        <v>1</v>
      </c>
      <c r="BL24" s="95" t="b">
        <f>T24='[2]500千伏-750千伏电网基建'!T24</f>
        <v>1</v>
      </c>
      <c r="BM24" s="95" t="b">
        <f>U24='[2]500千伏-750千伏电网基建'!U24</f>
        <v>1</v>
      </c>
      <c r="BN24" s="95" t="b">
        <f>V24='[2]500千伏-750千伏电网基建'!V24</f>
        <v>1</v>
      </c>
      <c r="BO24" s="95" t="b">
        <f>W24='[2]500千伏-750千伏电网基建'!W24</f>
        <v>1</v>
      </c>
      <c r="BP24" s="95" t="b">
        <f>X24='[2]500千伏-750千伏电网基建'!X24</f>
        <v>1</v>
      </c>
      <c r="BQ24" s="95" t="b">
        <f>Y24='[2]500千伏-750千伏电网基建'!Y24</f>
        <v>1</v>
      </c>
      <c r="BR24" s="95" t="b">
        <f>Z24='[2]500千伏-750千伏电网基建'!Z24</f>
        <v>1</v>
      </c>
      <c r="BS24" s="95" t="b">
        <f>AA24='[2]500千伏-750千伏电网基建'!AA24</f>
        <v>1</v>
      </c>
      <c r="BT24" s="95" t="b">
        <f>AB24='[2]500千伏-750千伏电网基建'!AB24</f>
        <v>1</v>
      </c>
      <c r="BU24" s="95" t="b">
        <f>AC24='[2]500千伏-750千伏电网基建'!AC24</f>
        <v>1</v>
      </c>
      <c r="BV24" s="95" t="b">
        <f>AD24='[2]500千伏-750千伏电网基建'!AD24</f>
        <v>1</v>
      </c>
      <c r="BW24" s="95" t="b">
        <f>AE24='[2]500千伏-750千伏电网基建'!AE24</f>
        <v>1</v>
      </c>
      <c r="BX24" s="95" t="b">
        <f>AF24='[2]500千伏-750千伏电网基建'!AF24</f>
        <v>1</v>
      </c>
      <c r="BY24" s="95" t="b">
        <f>AG24='[2]500千伏-750千伏电网基建'!AG24</f>
        <v>1</v>
      </c>
      <c r="BZ24" s="95" t="b">
        <f>AH24='[2]500千伏-750千伏电网基建'!AH24</f>
        <v>1</v>
      </c>
      <c r="CA24" s="95" t="b">
        <f>AI24='[2]500千伏-750千伏电网基建'!AI24</f>
        <v>1</v>
      </c>
      <c r="CB24" s="95" t="b">
        <f>AJ24='[2]500千伏-750千伏电网基建'!AJ24</f>
        <v>1</v>
      </c>
      <c r="CC24" s="95" t="b">
        <f>AK24='[2]500千伏-750千伏电网基建'!AK24</f>
        <v>1</v>
      </c>
    </row>
    <row r="25" s="95" customFormat="1" ht="81" hidden="1" customHeight="1" spans="1:81">
      <c r="A25" s="14"/>
      <c r="B25" s="14"/>
      <c r="C25" s="15"/>
      <c r="D25" s="15"/>
      <c r="E25" s="16"/>
      <c r="F25" s="24"/>
      <c r="G25" s="15"/>
      <c r="H25" s="16"/>
      <c r="I25" s="23" t="s">
        <v>1084</v>
      </c>
      <c r="J25" s="16" t="s">
        <v>1085</v>
      </c>
      <c r="K25" s="15"/>
      <c r="L25" s="15" t="s">
        <v>36</v>
      </c>
      <c r="M25" s="15"/>
      <c r="N25" s="15"/>
      <c r="O25" s="15" t="s">
        <v>36</v>
      </c>
      <c r="P25" s="15"/>
      <c r="Q25" s="15"/>
      <c r="R25" s="15"/>
      <c r="S25" s="15"/>
      <c r="T25" s="15" t="s">
        <v>492</v>
      </c>
      <c r="U25" s="15"/>
      <c r="V25" s="16" t="s">
        <v>643</v>
      </c>
      <c r="W25" s="35" t="s">
        <v>651</v>
      </c>
      <c r="X25" s="15" t="s">
        <v>474</v>
      </c>
      <c r="Y25" s="15" t="s">
        <v>473</v>
      </c>
      <c r="Z25" s="30"/>
      <c r="AA25" s="15" t="s">
        <v>474</v>
      </c>
      <c r="AB25" s="15" t="s">
        <v>473</v>
      </c>
      <c r="AC25" s="30"/>
      <c r="AD25" s="15"/>
      <c r="AE25" s="30"/>
      <c r="AF25" s="30"/>
      <c r="AG25" s="30"/>
      <c r="AH25" s="15" t="s">
        <v>476</v>
      </c>
      <c r="AI25" s="15" t="s">
        <v>476</v>
      </c>
      <c r="AJ25" s="15" t="s">
        <v>652</v>
      </c>
      <c r="AK25" s="15" t="s">
        <v>653</v>
      </c>
      <c r="AL25" s="1" t="s">
        <v>1064</v>
      </c>
      <c r="AM25" s="15" t="s">
        <v>1086</v>
      </c>
      <c r="AN25" s="1"/>
      <c r="AO25" s="7" t="s">
        <v>1045</v>
      </c>
      <c r="AP25" s="7" t="s">
        <v>1045</v>
      </c>
      <c r="AQ25" s="7" t="s">
        <v>1045</v>
      </c>
      <c r="AR25" s="95" t="b">
        <f t="shared" si="0"/>
        <v>1</v>
      </c>
      <c r="AS25" s="95" t="b">
        <f>A25='[2]500千伏-750千伏电网基建'!A25</f>
        <v>1</v>
      </c>
      <c r="AT25" s="95" t="b">
        <f>B25='[2]500千伏-750千伏电网基建'!B25</f>
        <v>1</v>
      </c>
      <c r="AU25" s="95" t="b">
        <f>C25='[2]500千伏-750千伏电网基建'!C25</f>
        <v>1</v>
      </c>
      <c r="AV25" s="95" t="b">
        <f>D25='[2]500千伏-750千伏电网基建'!D25</f>
        <v>1</v>
      </c>
      <c r="AW25" s="95" t="b">
        <f>E25='[2]500千伏-750千伏电网基建'!E25</f>
        <v>1</v>
      </c>
      <c r="AX25" s="95" t="b">
        <f>F25='[2]500千伏-750千伏电网基建'!F25</f>
        <v>1</v>
      </c>
      <c r="AY25" s="95" t="b">
        <f>G25='[2]500千伏-750千伏电网基建'!G25</f>
        <v>1</v>
      </c>
      <c r="AZ25" s="95" t="b">
        <f>H25='[2]500千伏-750千伏电网基建'!H25</f>
        <v>1</v>
      </c>
      <c r="BA25" s="95" t="b">
        <f>I25='[2]500千伏-750千伏电网基建'!I25</f>
        <v>1</v>
      </c>
      <c r="BB25" s="95" t="b">
        <f>J25='[2]500千伏-750千伏电网基建'!J25</f>
        <v>1</v>
      </c>
      <c r="BC25" s="95" t="b">
        <f>K25='[2]500千伏-750千伏电网基建'!K25</f>
        <v>1</v>
      </c>
      <c r="BD25" s="95" t="b">
        <f>L25='[2]500千伏-750千伏电网基建'!L25</f>
        <v>1</v>
      </c>
      <c r="BE25" s="95" t="b">
        <f>M25='[2]500千伏-750千伏电网基建'!M25</f>
        <v>1</v>
      </c>
      <c r="BF25" s="95" t="b">
        <f>N25='[2]500千伏-750千伏电网基建'!N25</f>
        <v>1</v>
      </c>
      <c r="BG25" s="95" t="b">
        <f>O25='[2]500千伏-750千伏电网基建'!O25</f>
        <v>1</v>
      </c>
      <c r="BH25" s="95" t="b">
        <f>P25='[2]500千伏-750千伏电网基建'!P25</f>
        <v>1</v>
      </c>
      <c r="BI25" s="95" t="b">
        <f>Q25='[2]500千伏-750千伏电网基建'!Q25</f>
        <v>1</v>
      </c>
      <c r="BJ25" s="95" t="b">
        <f>R25='[2]500千伏-750千伏电网基建'!R25</f>
        <v>1</v>
      </c>
      <c r="BK25" s="95" t="b">
        <f>S25='[2]500千伏-750千伏电网基建'!S25</f>
        <v>1</v>
      </c>
      <c r="BL25" s="95" t="b">
        <f>T25='[2]500千伏-750千伏电网基建'!T25</f>
        <v>1</v>
      </c>
      <c r="BM25" s="95" t="b">
        <f>U25='[2]500千伏-750千伏电网基建'!U25</f>
        <v>1</v>
      </c>
      <c r="BN25" s="95" t="b">
        <f>V25='[2]500千伏-750千伏电网基建'!V25</f>
        <v>1</v>
      </c>
      <c r="BO25" s="95" t="b">
        <f>W25='[2]500千伏-750千伏电网基建'!W25</f>
        <v>1</v>
      </c>
      <c r="BP25" s="95" t="b">
        <f>X25='[2]500千伏-750千伏电网基建'!X25</f>
        <v>1</v>
      </c>
      <c r="BQ25" s="95" t="b">
        <f>Y25='[2]500千伏-750千伏电网基建'!Y25</f>
        <v>1</v>
      </c>
      <c r="BR25" s="95" t="b">
        <f>Z25='[2]500千伏-750千伏电网基建'!Z25</f>
        <v>1</v>
      </c>
      <c r="BS25" s="95" t="b">
        <f>AA25='[2]500千伏-750千伏电网基建'!AA25</f>
        <v>1</v>
      </c>
      <c r="BT25" s="95" t="b">
        <f>AB25='[2]500千伏-750千伏电网基建'!AB25</f>
        <v>1</v>
      </c>
      <c r="BU25" s="95" t="b">
        <f>AC25='[2]500千伏-750千伏电网基建'!AC25</f>
        <v>1</v>
      </c>
      <c r="BV25" s="95" t="b">
        <f>AD25='[2]500千伏-750千伏电网基建'!AD25</f>
        <v>1</v>
      </c>
      <c r="BW25" s="95" t="b">
        <f>AE25='[2]500千伏-750千伏电网基建'!AE25</f>
        <v>1</v>
      </c>
      <c r="BX25" s="95" t="b">
        <f>AF25='[2]500千伏-750千伏电网基建'!AF25</f>
        <v>1</v>
      </c>
      <c r="BY25" s="95" t="b">
        <f>AG25='[2]500千伏-750千伏电网基建'!AG25</f>
        <v>1</v>
      </c>
      <c r="BZ25" s="95" t="b">
        <f>AH25='[2]500千伏-750千伏电网基建'!AH25</f>
        <v>1</v>
      </c>
      <c r="CA25" s="95" t="b">
        <f>AI25='[2]500千伏-750千伏电网基建'!AI25</f>
        <v>1</v>
      </c>
      <c r="CB25" s="95" t="b">
        <f>AJ25='[2]500千伏-750千伏电网基建'!AJ25</f>
        <v>1</v>
      </c>
      <c r="CC25" s="95" t="b">
        <f>AK25='[2]500千伏-750千伏电网基建'!AK25</f>
        <v>1</v>
      </c>
    </row>
    <row r="26" s="95" customFormat="1" ht="78" hidden="1" customHeight="1" spans="1:81">
      <c r="A26" s="14"/>
      <c r="B26" s="14"/>
      <c r="C26" s="15"/>
      <c r="D26" s="15"/>
      <c r="E26" s="16"/>
      <c r="F26" s="24"/>
      <c r="G26" s="15"/>
      <c r="H26" s="16"/>
      <c r="I26" s="23" t="s">
        <v>1087</v>
      </c>
      <c r="J26" s="16" t="s">
        <v>1088</v>
      </c>
      <c r="K26" s="15"/>
      <c r="L26" s="15" t="s">
        <v>36</v>
      </c>
      <c r="M26" s="15"/>
      <c r="N26" s="15"/>
      <c r="O26" s="15" t="s">
        <v>36</v>
      </c>
      <c r="P26" s="15"/>
      <c r="Q26" s="15"/>
      <c r="R26" s="15"/>
      <c r="S26" s="15"/>
      <c r="T26" s="15" t="s">
        <v>492</v>
      </c>
      <c r="U26" s="15"/>
      <c r="V26" s="16" t="s">
        <v>643</v>
      </c>
      <c r="W26" s="35" t="s">
        <v>656</v>
      </c>
      <c r="X26" s="15" t="s">
        <v>474</v>
      </c>
      <c r="Y26" s="15" t="s">
        <v>473</v>
      </c>
      <c r="Z26" s="30"/>
      <c r="AA26" s="15" t="s">
        <v>474</v>
      </c>
      <c r="AB26" s="15" t="s">
        <v>473</v>
      </c>
      <c r="AC26" s="30"/>
      <c r="AD26" s="15"/>
      <c r="AE26" s="30"/>
      <c r="AF26" s="30"/>
      <c r="AG26" s="30"/>
      <c r="AH26" s="15" t="s">
        <v>476</v>
      </c>
      <c r="AI26" s="15" t="s">
        <v>476</v>
      </c>
      <c r="AJ26" s="15" t="s">
        <v>657</v>
      </c>
      <c r="AK26" s="15"/>
      <c r="AL26" s="1" t="s">
        <v>1064</v>
      </c>
      <c r="AM26" s="15" t="s">
        <v>470</v>
      </c>
      <c r="AN26" s="1"/>
      <c r="AO26" s="7" t="s">
        <v>1045</v>
      </c>
      <c r="AP26" s="7" t="s">
        <v>1045</v>
      </c>
      <c r="AQ26" s="7" t="s">
        <v>1045</v>
      </c>
      <c r="AR26" s="95" t="b">
        <f t="shared" si="0"/>
        <v>1</v>
      </c>
      <c r="AS26" s="95" t="b">
        <f>A26='[2]500千伏-750千伏电网基建'!A26</f>
        <v>1</v>
      </c>
      <c r="AT26" s="95" t="b">
        <f>B26='[2]500千伏-750千伏电网基建'!B26</f>
        <v>1</v>
      </c>
      <c r="AU26" s="95" t="b">
        <f>C26='[2]500千伏-750千伏电网基建'!C26</f>
        <v>1</v>
      </c>
      <c r="AV26" s="95" t="b">
        <f>D26='[2]500千伏-750千伏电网基建'!D26</f>
        <v>1</v>
      </c>
      <c r="AW26" s="95" t="b">
        <f>E26='[2]500千伏-750千伏电网基建'!E26</f>
        <v>1</v>
      </c>
      <c r="AX26" s="95" t="b">
        <f>F26='[2]500千伏-750千伏电网基建'!F26</f>
        <v>1</v>
      </c>
      <c r="AY26" s="95" t="b">
        <f>G26='[2]500千伏-750千伏电网基建'!G26</f>
        <v>1</v>
      </c>
      <c r="AZ26" s="95" t="b">
        <f>H26='[2]500千伏-750千伏电网基建'!H26</f>
        <v>1</v>
      </c>
      <c r="BA26" s="95" t="b">
        <f>I26='[2]500千伏-750千伏电网基建'!I26</f>
        <v>1</v>
      </c>
      <c r="BB26" s="95" t="b">
        <f>J26='[2]500千伏-750千伏电网基建'!J26</f>
        <v>1</v>
      </c>
      <c r="BC26" s="95" t="b">
        <f>K26='[2]500千伏-750千伏电网基建'!K26</f>
        <v>1</v>
      </c>
      <c r="BD26" s="95" t="b">
        <f>L26='[2]500千伏-750千伏电网基建'!L26</f>
        <v>1</v>
      </c>
      <c r="BE26" s="95" t="b">
        <f>M26='[2]500千伏-750千伏电网基建'!M26</f>
        <v>1</v>
      </c>
      <c r="BF26" s="95" t="b">
        <f>N26='[2]500千伏-750千伏电网基建'!N26</f>
        <v>1</v>
      </c>
      <c r="BG26" s="95" t="b">
        <f>O26='[2]500千伏-750千伏电网基建'!O26</f>
        <v>1</v>
      </c>
      <c r="BH26" s="95" t="b">
        <f>P26='[2]500千伏-750千伏电网基建'!P26</f>
        <v>1</v>
      </c>
      <c r="BI26" s="95" t="b">
        <f>Q26='[2]500千伏-750千伏电网基建'!Q26</f>
        <v>1</v>
      </c>
      <c r="BJ26" s="95" t="b">
        <f>R26='[2]500千伏-750千伏电网基建'!R26</f>
        <v>1</v>
      </c>
      <c r="BK26" s="95" t="b">
        <f>S26='[2]500千伏-750千伏电网基建'!S26</f>
        <v>1</v>
      </c>
      <c r="BL26" s="95" t="b">
        <f>T26='[2]500千伏-750千伏电网基建'!T26</f>
        <v>1</v>
      </c>
      <c r="BM26" s="95" t="b">
        <f>U26='[2]500千伏-750千伏电网基建'!U26</f>
        <v>1</v>
      </c>
      <c r="BN26" s="95" t="b">
        <f>V26='[2]500千伏-750千伏电网基建'!V26</f>
        <v>1</v>
      </c>
      <c r="BO26" s="95" t="b">
        <f>W26='[2]500千伏-750千伏电网基建'!W26</f>
        <v>1</v>
      </c>
      <c r="BP26" s="95" t="b">
        <f>X26='[2]500千伏-750千伏电网基建'!X26</f>
        <v>1</v>
      </c>
      <c r="BQ26" s="95" t="b">
        <f>Y26='[2]500千伏-750千伏电网基建'!Y26</f>
        <v>1</v>
      </c>
      <c r="BR26" s="95" t="b">
        <f>Z26='[2]500千伏-750千伏电网基建'!Z26</f>
        <v>1</v>
      </c>
      <c r="BS26" s="95" t="b">
        <f>AA26='[2]500千伏-750千伏电网基建'!AA26</f>
        <v>1</v>
      </c>
      <c r="BT26" s="95" t="b">
        <f>AB26='[2]500千伏-750千伏电网基建'!AB26</f>
        <v>1</v>
      </c>
      <c r="BU26" s="95" t="b">
        <f>AC26='[2]500千伏-750千伏电网基建'!AC26</f>
        <v>1</v>
      </c>
      <c r="BV26" s="95" t="b">
        <f>AD26='[2]500千伏-750千伏电网基建'!AD26</f>
        <v>1</v>
      </c>
      <c r="BW26" s="95" t="b">
        <f>AE26='[2]500千伏-750千伏电网基建'!AE26</f>
        <v>1</v>
      </c>
      <c r="BX26" s="95" t="b">
        <f>AF26='[2]500千伏-750千伏电网基建'!AF26</f>
        <v>1</v>
      </c>
      <c r="BY26" s="95" t="b">
        <f>AG26='[2]500千伏-750千伏电网基建'!AG26</f>
        <v>1</v>
      </c>
      <c r="BZ26" s="95" t="b">
        <f>AH26='[2]500千伏-750千伏电网基建'!AH26</f>
        <v>1</v>
      </c>
      <c r="CA26" s="95" t="b">
        <f>AI26='[2]500千伏-750千伏电网基建'!AI26</f>
        <v>1</v>
      </c>
      <c r="CB26" s="95" t="b">
        <f>AJ26='[2]500千伏-750千伏电网基建'!AJ26</f>
        <v>1</v>
      </c>
      <c r="CC26" s="95" t="b">
        <f>AK26='[2]500千伏-750千伏电网基建'!AK26</f>
        <v>1</v>
      </c>
    </row>
    <row r="27" s="95" customFormat="1" ht="85" hidden="1" customHeight="1" spans="1:81">
      <c r="A27" s="14"/>
      <c r="B27" s="14"/>
      <c r="C27" s="15"/>
      <c r="D27" s="15"/>
      <c r="E27" s="16"/>
      <c r="F27" s="24"/>
      <c r="G27" s="15"/>
      <c r="H27" s="16"/>
      <c r="I27" s="23" t="s">
        <v>1089</v>
      </c>
      <c r="J27" s="134" t="s">
        <v>1090</v>
      </c>
      <c r="K27" s="15"/>
      <c r="L27" s="15" t="s">
        <v>36</v>
      </c>
      <c r="M27" s="15"/>
      <c r="N27" s="15"/>
      <c r="O27" s="15" t="s">
        <v>36</v>
      </c>
      <c r="P27" s="15"/>
      <c r="Q27" s="15"/>
      <c r="R27" s="15"/>
      <c r="S27" s="15"/>
      <c r="T27" s="15" t="s">
        <v>492</v>
      </c>
      <c r="U27" s="15"/>
      <c r="V27" s="16" t="s">
        <v>643</v>
      </c>
      <c r="W27" s="35" t="s">
        <v>660</v>
      </c>
      <c r="X27" s="15" t="s">
        <v>474</v>
      </c>
      <c r="Y27" s="15" t="s">
        <v>473</v>
      </c>
      <c r="Z27" s="30"/>
      <c r="AA27" s="15" t="s">
        <v>474</v>
      </c>
      <c r="AB27" s="15" t="s">
        <v>473</v>
      </c>
      <c r="AC27" s="30"/>
      <c r="AD27" s="15"/>
      <c r="AE27" s="30"/>
      <c r="AF27" s="30"/>
      <c r="AG27" s="30"/>
      <c r="AH27" s="15" t="s">
        <v>476</v>
      </c>
      <c r="AI27" s="15" t="s">
        <v>476</v>
      </c>
      <c r="AJ27" s="15" t="s">
        <v>661</v>
      </c>
      <c r="AK27" s="15"/>
      <c r="AL27" s="1" t="s">
        <v>1064</v>
      </c>
      <c r="AM27" s="15" t="s">
        <v>1091</v>
      </c>
      <c r="AN27" s="1"/>
      <c r="AO27" s="7" t="s">
        <v>1045</v>
      </c>
      <c r="AP27" s="7" t="s">
        <v>1059</v>
      </c>
      <c r="AQ27" s="7" t="s">
        <v>1059</v>
      </c>
      <c r="AR27" s="95" t="b">
        <f t="shared" si="0"/>
        <v>1</v>
      </c>
      <c r="AS27" s="95" t="b">
        <f>A27='[2]500千伏-750千伏电网基建'!A27</f>
        <v>1</v>
      </c>
      <c r="AT27" s="95" t="b">
        <f>B27='[2]500千伏-750千伏电网基建'!B27</f>
        <v>1</v>
      </c>
      <c r="AU27" s="95" t="b">
        <f>C27='[2]500千伏-750千伏电网基建'!C27</f>
        <v>1</v>
      </c>
      <c r="AV27" s="95" t="b">
        <f>D27='[2]500千伏-750千伏电网基建'!D27</f>
        <v>1</v>
      </c>
      <c r="AW27" s="95" t="b">
        <f>E27='[2]500千伏-750千伏电网基建'!E27</f>
        <v>1</v>
      </c>
      <c r="AX27" s="95" t="b">
        <f>F27='[2]500千伏-750千伏电网基建'!F27</f>
        <v>1</v>
      </c>
      <c r="AY27" s="95" t="b">
        <f>G27='[2]500千伏-750千伏电网基建'!G27</f>
        <v>1</v>
      </c>
      <c r="AZ27" s="95" t="b">
        <f>H27='[2]500千伏-750千伏电网基建'!H27</f>
        <v>1</v>
      </c>
      <c r="BA27" s="95" t="b">
        <f>I27='[2]500千伏-750千伏电网基建'!I27</f>
        <v>1</v>
      </c>
      <c r="BB27" s="133" t="b">
        <f>J27='[2]500千伏-750千伏电网基建'!J27</f>
        <v>0</v>
      </c>
      <c r="BC27" s="95" t="b">
        <f>K27='[2]500千伏-750千伏电网基建'!K27</f>
        <v>1</v>
      </c>
      <c r="BD27" s="95" t="b">
        <f>L27='[2]500千伏-750千伏电网基建'!L27</f>
        <v>1</v>
      </c>
      <c r="BE27" s="95" t="b">
        <f>M27='[2]500千伏-750千伏电网基建'!M27</f>
        <v>1</v>
      </c>
      <c r="BF27" s="95" t="b">
        <f>N27='[2]500千伏-750千伏电网基建'!N27</f>
        <v>1</v>
      </c>
      <c r="BG27" s="95" t="b">
        <f>O27='[2]500千伏-750千伏电网基建'!O27</f>
        <v>1</v>
      </c>
      <c r="BH27" s="95" t="b">
        <f>P27='[2]500千伏-750千伏电网基建'!P27</f>
        <v>1</v>
      </c>
      <c r="BI27" s="95" t="b">
        <f>Q27='[2]500千伏-750千伏电网基建'!Q27</f>
        <v>1</v>
      </c>
      <c r="BJ27" s="95" t="b">
        <f>R27='[2]500千伏-750千伏电网基建'!R27</f>
        <v>1</v>
      </c>
      <c r="BK27" s="95" t="b">
        <f>S27='[2]500千伏-750千伏电网基建'!S27</f>
        <v>1</v>
      </c>
      <c r="BL27" s="95" t="b">
        <f>T27='[2]500千伏-750千伏电网基建'!T27</f>
        <v>1</v>
      </c>
      <c r="BM27" s="95" t="b">
        <f>U27='[2]500千伏-750千伏电网基建'!U27</f>
        <v>1</v>
      </c>
      <c r="BN27" s="95" t="b">
        <f>V27='[2]500千伏-750千伏电网基建'!V27</f>
        <v>1</v>
      </c>
      <c r="BO27" s="95" t="b">
        <f>W27='[2]500千伏-750千伏电网基建'!W27</f>
        <v>1</v>
      </c>
      <c r="BP27" s="95" t="b">
        <f>X27='[2]500千伏-750千伏电网基建'!X27</f>
        <v>1</v>
      </c>
      <c r="BQ27" s="95" t="b">
        <f>Y27='[2]500千伏-750千伏电网基建'!Y27</f>
        <v>1</v>
      </c>
      <c r="BR27" s="95" t="b">
        <f>Z27='[2]500千伏-750千伏电网基建'!Z27</f>
        <v>1</v>
      </c>
      <c r="BS27" s="95" t="b">
        <f>AA27='[2]500千伏-750千伏电网基建'!AA27</f>
        <v>1</v>
      </c>
      <c r="BT27" s="95" t="b">
        <f>AB27='[2]500千伏-750千伏电网基建'!AB27</f>
        <v>1</v>
      </c>
      <c r="BU27" s="95" t="b">
        <f>AC27='[2]500千伏-750千伏电网基建'!AC27</f>
        <v>1</v>
      </c>
      <c r="BV27" s="95" t="b">
        <f>AD27='[2]500千伏-750千伏电网基建'!AD27</f>
        <v>1</v>
      </c>
      <c r="BW27" s="95" t="b">
        <f>AE27='[2]500千伏-750千伏电网基建'!AE27</f>
        <v>1</v>
      </c>
      <c r="BX27" s="95" t="b">
        <f>AF27='[2]500千伏-750千伏电网基建'!AF27</f>
        <v>1</v>
      </c>
      <c r="BY27" s="95" t="b">
        <f>AG27='[2]500千伏-750千伏电网基建'!AG27</f>
        <v>1</v>
      </c>
      <c r="BZ27" s="95" t="b">
        <f>AH27='[2]500千伏-750千伏电网基建'!AH27</f>
        <v>1</v>
      </c>
      <c r="CA27" s="95" t="b">
        <f>AI27='[2]500千伏-750千伏电网基建'!AI27</f>
        <v>1</v>
      </c>
      <c r="CB27" s="95" t="b">
        <f>AJ27='[2]500千伏-750千伏电网基建'!AJ27</f>
        <v>1</v>
      </c>
      <c r="CC27" s="95" t="b">
        <f>AK27='[2]500千伏-750千伏电网基建'!AK27</f>
        <v>1</v>
      </c>
    </row>
    <row r="28" s="95" customFormat="1" ht="119" hidden="1" customHeight="1" spans="1:81">
      <c r="A28" s="14" t="s">
        <v>483</v>
      </c>
      <c r="B28" s="14" t="s">
        <v>662</v>
      </c>
      <c r="C28" s="15" t="s">
        <v>485</v>
      </c>
      <c r="D28" s="41" t="s">
        <v>636</v>
      </c>
      <c r="E28" s="24" t="s">
        <v>663</v>
      </c>
      <c r="F28" s="17" t="s">
        <v>664</v>
      </c>
      <c r="G28" s="15" t="s">
        <v>1092</v>
      </c>
      <c r="H28" s="16" t="s">
        <v>666</v>
      </c>
      <c r="I28" s="23" t="s">
        <v>1093</v>
      </c>
      <c r="J28" s="16" t="s">
        <v>1094</v>
      </c>
      <c r="K28" s="15"/>
      <c r="L28" s="15"/>
      <c r="M28" s="15"/>
      <c r="N28" s="15"/>
      <c r="O28" s="15" t="s">
        <v>36</v>
      </c>
      <c r="P28" s="15"/>
      <c r="Q28" s="15"/>
      <c r="R28" s="15"/>
      <c r="S28" s="15"/>
      <c r="T28" s="15" t="s">
        <v>550</v>
      </c>
      <c r="U28" s="15" t="s">
        <v>669</v>
      </c>
      <c r="V28" s="16" t="s">
        <v>670</v>
      </c>
      <c r="W28" s="42" t="s">
        <v>671</v>
      </c>
      <c r="X28" s="41" t="s">
        <v>474</v>
      </c>
      <c r="Y28" s="41" t="s">
        <v>473</v>
      </c>
      <c r="Z28" s="41"/>
      <c r="AA28" s="41" t="s">
        <v>474</v>
      </c>
      <c r="AB28" s="41" t="s">
        <v>473</v>
      </c>
      <c r="AC28" s="41"/>
      <c r="AD28" s="41"/>
      <c r="AE28" s="41"/>
      <c r="AF28" s="41"/>
      <c r="AG28" s="43"/>
      <c r="AH28" s="41" t="s">
        <v>476</v>
      </c>
      <c r="AI28" s="43" t="s">
        <v>476</v>
      </c>
      <c r="AJ28" s="41" t="s">
        <v>672</v>
      </c>
      <c r="AK28" s="41" t="s">
        <v>673</v>
      </c>
      <c r="AL28" s="1" t="s">
        <v>1064</v>
      </c>
      <c r="AM28" s="15" t="s">
        <v>1091</v>
      </c>
      <c r="AN28" s="1"/>
      <c r="AO28" s="7" t="s">
        <v>1045</v>
      </c>
      <c r="AP28" s="7" t="s">
        <v>1045</v>
      </c>
      <c r="AQ28" s="7" t="s">
        <v>1045</v>
      </c>
      <c r="AR28" s="95" t="b">
        <f t="shared" si="0"/>
        <v>1</v>
      </c>
      <c r="AS28" s="95" t="b">
        <f>A28='[2]500千伏-750千伏电网基建'!A28</f>
        <v>1</v>
      </c>
      <c r="AT28" s="95" t="b">
        <f>B28='[2]500千伏-750千伏电网基建'!B28</f>
        <v>1</v>
      </c>
      <c r="AU28" s="95" t="b">
        <f>C28='[2]500千伏-750千伏电网基建'!C28</f>
        <v>1</v>
      </c>
      <c r="AV28" s="95" t="b">
        <f>D28='[2]500千伏-750千伏电网基建'!D28</f>
        <v>1</v>
      </c>
      <c r="AW28" s="95" t="b">
        <f>E28='[2]500千伏-750千伏电网基建'!E28</f>
        <v>1</v>
      </c>
      <c r="AX28" s="95" t="b">
        <f>F28='[2]500千伏-750千伏电网基建'!F28</f>
        <v>1</v>
      </c>
      <c r="AY28" s="95" t="b">
        <f>G28='[2]500千伏-750千伏电网基建'!G28</f>
        <v>1</v>
      </c>
      <c r="AZ28" s="95" t="b">
        <f>H28='[2]500千伏-750千伏电网基建'!H28</f>
        <v>1</v>
      </c>
      <c r="BA28" s="95" t="b">
        <f>I28='[2]500千伏-750千伏电网基建'!I28</f>
        <v>1</v>
      </c>
      <c r="BB28" s="95" t="b">
        <f>J28='[2]500千伏-750千伏电网基建'!J28</f>
        <v>1</v>
      </c>
      <c r="BC28" s="95" t="b">
        <f>K28='[2]500千伏-750千伏电网基建'!K28</f>
        <v>1</v>
      </c>
      <c r="BD28" s="95" t="b">
        <f>L28='[2]500千伏-750千伏电网基建'!L28</f>
        <v>1</v>
      </c>
      <c r="BE28" s="95" t="b">
        <f>M28='[2]500千伏-750千伏电网基建'!M28</f>
        <v>1</v>
      </c>
      <c r="BF28" s="95" t="b">
        <f>N28='[2]500千伏-750千伏电网基建'!N28</f>
        <v>1</v>
      </c>
      <c r="BG28" s="95" t="b">
        <f>O28='[2]500千伏-750千伏电网基建'!O28</f>
        <v>1</v>
      </c>
      <c r="BH28" s="95" t="b">
        <f>P28='[2]500千伏-750千伏电网基建'!P28</f>
        <v>1</v>
      </c>
      <c r="BI28" s="95" t="b">
        <f>Q28='[2]500千伏-750千伏电网基建'!Q28</f>
        <v>1</v>
      </c>
      <c r="BJ28" s="95" t="b">
        <f>R28='[2]500千伏-750千伏电网基建'!R28</f>
        <v>1</v>
      </c>
      <c r="BK28" s="95" t="b">
        <f>S28='[2]500千伏-750千伏电网基建'!S28</f>
        <v>1</v>
      </c>
      <c r="BL28" s="95" t="b">
        <f>T28='[2]500千伏-750千伏电网基建'!T28</f>
        <v>1</v>
      </c>
      <c r="BM28" s="95" t="b">
        <f>U28='[2]500千伏-750千伏电网基建'!U28</f>
        <v>1</v>
      </c>
      <c r="BN28" s="95" t="b">
        <f>V28='[2]500千伏-750千伏电网基建'!V28</f>
        <v>1</v>
      </c>
      <c r="BO28" s="95" t="b">
        <f>W28='[2]500千伏-750千伏电网基建'!W28</f>
        <v>1</v>
      </c>
      <c r="BP28" s="95" t="b">
        <f>X28='[2]500千伏-750千伏电网基建'!X28</f>
        <v>1</v>
      </c>
      <c r="BQ28" s="95" t="b">
        <f>Y28='[2]500千伏-750千伏电网基建'!Y28</f>
        <v>1</v>
      </c>
      <c r="BR28" s="95" t="b">
        <f>Z28='[2]500千伏-750千伏电网基建'!Z28</f>
        <v>1</v>
      </c>
      <c r="BS28" s="95" t="b">
        <f>AA28='[2]500千伏-750千伏电网基建'!AA28</f>
        <v>1</v>
      </c>
      <c r="BT28" s="95" t="b">
        <f>AB28='[2]500千伏-750千伏电网基建'!AB28</f>
        <v>1</v>
      </c>
      <c r="BU28" s="95" t="b">
        <f>AC28='[2]500千伏-750千伏电网基建'!AC28</f>
        <v>1</v>
      </c>
      <c r="BV28" s="95" t="b">
        <f>AD28='[2]500千伏-750千伏电网基建'!AD28</f>
        <v>1</v>
      </c>
      <c r="BW28" s="95" t="b">
        <f>AE28='[2]500千伏-750千伏电网基建'!AE28</f>
        <v>1</v>
      </c>
      <c r="BX28" s="95" t="b">
        <f>AF28='[2]500千伏-750千伏电网基建'!AF28</f>
        <v>1</v>
      </c>
      <c r="BY28" s="95" t="b">
        <f>AG28='[2]500千伏-750千伏电网基建'!AG28</f>
        <v>1</v>
      </c>
      <c r="BZ28" s="95" t="b">
        <f>AH28='[2]500千伏-750千伏电网基建'!AH28</f>
        <v>1</v>
      </c>
      <c r="CA28" s="95" t="b">
        <f>AI28='[2]500千伏-750千伏电网基建'!AI28</f>
        <v>1</v>
      </c>
      <c r="CB28" s="95" t="b">
        <f>AJ28='[2]500千伏-750千伏电网基建'!AJ28</f>
        <v>1</v>
      </c>
      <c r="CC28" s="95" t="b">
        <f>AK28='[2]500千伏-750千伏电网基建'!AK28</f>
        <v>1</v>
      </c>
    </row>
    <row r="29" s="95" customFormat="1" ht="149" hidden="1" customHeight="1" spans="1:81">
      <c r="A29" s="14"/>
      <c r="B29" s="14"/>
      <c r="C29" s="15"/>
      <c r="D29" s="41"/>
      <c r="E29" s="24"/>
      <c r="F29" s="17"/>
      <c r="G29" s="15"/>
      <c r="H29" s="16"/>
      <c r="I29" s="23" t="s">
        <v>1095</v>
      </c>
      <c r="J29" s="16" t="s">
        <v>1096</v>
      </c>
      <c r="K29" s="15"/>
      <c r="L29" s="15"/>
      <c r="M29" s="15"/>
      <c r="N29" s="15"/>
      <c r="O29" s="15" t="s">
        <v>36</v>
      </c>
      <c r="P29" s="15"/>
      <c r="Q29" s="15"/>
      <c r="R29" s="15"/>
      <c r="S29" s="15" t="s">
        <v>36</v>
      </c>
      <c r="T29" s="15" t="s">
        <v>550</v>
      </c>
      <c r="U29" s="15" t="s">
        <v>669</v>
      </c>
      <c r="V29" s="16" t="s">
        <v>670</v>
      </c>
      <c r="W29" s="42" t="s">
        <v>1097</v>
      </c>
      <c r="X29" s="41" t="s">
        <v>474</v>
      </c>
      <c r="Y29" s="41" t="s">
        <v>473</v>
      </c>
      <c r="Z29" s="41"/>
      <c r="AA29" s="41" t="s">
        <v>474</v>
      </c>
      <c r="AB29" s="41" t="s">
        <v>473</v>
      </c>
      <c r="AC29" s="41"/>
      <c r="AD29" s="41"/>
      <c r="AE29" s="41"/>
      <c r="AF29" s="41"/>
      <c r="AG29" s="43"/>
      <c r="AH29" s="41" t="s">
        <v>476</v>
      </c>
      <c r="AI29" s="43" t="s">
        <v>476</v>
      </c>
      <c r="AJ29" s="41" t="s">
        <v>672</v>
      </c>
      <c r="AK29" s="41"/>
      <c r="AL29" s="1" t="s">
        <v>1064</v>
      </c>
      <c r="AM29" s="15" t="s">
        <v>1091</v>
      </c>
      <c r="AN29" s="1"/>
      <c r="AO29" s="7" t="s">
        <v>1059</v>
      </c>
      <c r="AP29" s="7" t="s">
        <v>1045</v>
      </c>
      <c r="AQ29" s="7" t="s">
        <v>1045</v>
      </c>
      <c r="AR29" s="95" t="b">
        <f t="shared" si="0"/>
        <v>1</v>
      </c>
      <c r="AS29" s="95" t="b">
        <f>A29='[2]500千伏-750千伏电网基建'!A29</f>
        <v>1</v>
      </c>
      <c r="AT29" s="95" t="b">
        <f>B29='[2]500千伏-750千伏电网基建'!B29</f>
        <v>1</v>
      </c>
      <c r="AU29" s="95" t="b">
        <f>C29='[2]500千伏-750千伏电网基建'!C29</f>
        <v>1</v>
      </c>
      <c r="AV29" s="95" t="b">
        <f>D29='[2]500千伏-750千伏电网基建'!D29</f>
        <v>1</v>
      </c>
      <c r="AW29" s="95" t="b">
        <f>E29='[2]500千伏-750千伏电网基建'!E29</f>
        <v>1</v>
      </c>
      <c r="AX29" s="95" t="b">
        <f>F29='[2]500千伏-750千伏电网基建'!F29</f>
        <v>1</v>
      </c>
      <c r="AY29" s="95" t="b">
        <f>G29='[2]500千伏-750千伏电网基建'!G29</f>
        <v>1</v>
      </c>
      <c r="AZ29" s="95" t="b">
        <f>H29='[2]500千伏-750千伏电网基建'!H29</f>
        <v>1</v>
      </c>
      <c r="BA29" s="95" t="b">
        <f>I29='[2]500千伏-750千伏电网基建'!I29</f>
        <v>1</v>
      </c>
      <c r="BB29" s="95" t="b">
        <f>J29='[2]500千伏-750千伏电网基建'!J29</f>
        <v>1</v>
      </c>
      <c r="BC29" s="95" t="b">
        <f>K29='[2]500千伏-750千伏电网基建'!K29</f>
        <v>1</v>
      </c>
      <c r="BD29" s="95" t="b">
        <f>L29='[2]500千伏-750千伏电网基建'!L29</f>
        <v>1</v>
      </c>
      <c r="BE29" s="95" t="b">
        <f>M29='[2]500千伏-750千伏电网基建'!M29</f>
        <v>1</v>
      </c>
      <c r="BF29" s="95" t="b">
        <f>N29='[2]500千伏-750千伏电网基建'!N29</f>
        <v>1</v>
      </c>
      <c r="BG29" s="95" t="b">
        <f>O29='[2]500千伏-750千伏电网基建'!O29</f>
        <v>1</v>
      </c>
      <c r="BH29" s="95" t="b">
        <f>P29='[2]500千伏-750千伏电网基建'!P29</f>
        <v>1</v>
      </c>
      <c r="BI29" s="95" t="b">
        <f>Q29='[2]500千伏-750千伏电网基建'!Q29</f>
        <v>1</v>
      </c>
      <c r="BJ29" s="95" t="b">
        <f>R29='[2]500千伏-750千伏电网基建'!R29</f>
        <v>1</v>
      </c>
      <c r="BK29" s="95" t="b">
        <f>S29='[2]500千伏-750千伏电网基建'!S29</f>
        <v>1</v>
      </c>
      <c r="BL29" s="95" t="b">
        <f>T29='[2]500千伏-750千伏电网基建'!T29</f>
        <v>1</v>
      </c>
      <c r="BM29" s="95" t="b">
        <f>U29='[2]500千伏-750千伏电网基建'!U29</f>
        <v>1</v>
      </c>
      <c r="BN29" s="95" t="b">
        <f>V29='[2]500千伏-750千伏电网基建'!V29</f>
        <v>1</v>
      </c>
      <c r="BO29" s="95" t="b">
        <f>W29='[2]500千伏-750千伏电网基建'!W29</f>
        <v>1</v>
      </c>
      <c r="BP29" s="95" t="b">
        <f>X29='[2]500千伏-750千伏电网基建'!X29</f>
        <v>1</v>
      </c>
      <c r="BQ29" s="95" t="b">
        <f>Y29='[2]500千伏-750千伏电网基建'!Y29</f>
        <v>1</v>
      </c>
      <c r="BR29" s="95" t="b">
        <f>Z29='[2]500千伏-750千伏电网基建'!Z29</f>
        <v>1</v>
      </c>
      <c r="BS29" s="95" t="b">
        <f>AA29='[2]500千伏-750千伏电网基建'!AA29</f>
        <v>1</v>
      </c>
      <c r="BT29" s="95" t="b">
        <f>AB29='[2]500千伏-750千伏电网基建'!AB29</f>
        <v>1</v>
      </c>
      <c r="BU29" s="95" t="b">
        <f>AC29='[2]500千伏-750千伏电网基建'!AC29</f>
        <v>1</v>
      </c>
      <c r="BV29" s="95" t="b">
        <f>AD29='[2]500千伏-750千伏电网基建'!AD29</f>
        <v>1</v>
      </c>
      <c r="BW29" s="95" t="b">
        <f>AE29='[2]500千伏-750千伏电网基建'!AE29</f>
        <v>1</v>
      </c>
      <c r="BX29" s="95" t="b">
        <f>AF29='[2]500千伏-750千伏电网基建'!AF29</f>
        <v>1</v>
      </c>
      <c r="BY29" s="95" t="b">
        <f>AG29='[2]500千伏-750千伏电网基建'!AG29</f>
        <v>1</v>
      </c>
      <c r="BZ29" s="95" t="b">
        <f>AH29='[2]500千伏-750千伏电网基建'!AH29</f>
        <v>1</v>
      </c>
      <c r="CA29" s="95" t="b">
        <f>AI29='[2]500千伏-750千伏电网基建'!AI29</f>
        <v>1</v>
      </c>
      <c r="CB29" s="95" t="b">
        <f>AJ29='[2]500千伏-750千伏电网基建'!AJ29</f>
        <v>1</v>
      </c>
      <c r="CC29" s="95" t="b">
        <f>AK29='[2]500千伏-750千伏电网基建'!AK29</f>
        <v>1</v>
      </c>
    </row>
    <row r="30" s="95" customFormat="1" ht="131" hidden="1" customHeight="1" spans="1:81">
      <c r="A30" s="14"/>
      <c r="B30" s="14"/>
      <c r="C30" s="15"/>
      <c r="D30" s="41"/>
      <c r="E30" s="24"/>
      <c r="F30" s="17"/>
      <c r="G30" s="15"/>
      <c r="H30" s="16"/>
      <c r="I30" s="23" t="s">
        <v>1098</v>
      </c>
      <c r="J30" s="16" t="s">
        <v>1099</v>
      </c>
      <c r="K30" s="15"/>
      <c r="L30" s="15"/>
      <c r="M30" s="15"/>
      <c r="N30" s="15"/>
      <c r="O30" s="15" t="s">
        <v>36</v>
      </c>
      <c r="P30" s="15"/>
      <c r="Q30" s="15"/>
      <c r="R30" s="15"/>
      <c r="S30" s="15" t="s">
        <v>36</v>
      </c>
      <c r="T30" s="15" t="s">
        <v>492</v>
      </c>
      <c r="U30" s="15"/>
      <c r="V30" s="16" t="s">
        <v>679</v>
      </c>
      <c r="W30" s="42" t="s">
        <v>671</v>
      </c>
      <c r="X30" s="41" t="s">
        <v>474</v>
      </c>
      <c r="Y30" s="41" t="s">
        <v>473</v>
      </c>
      <c r="Z30" s="41"/>
      <c r="AA30" s="41" t="s">
        <v>474</v>
      </c>
      <c r="AB30" s="41" t="s">
        <v>473</v>
      </c>
      <c r="AC30" s="41"/>
      <c r="AD30" s="41"/>
      <c r="AE30" s="41"/>
      <c r="AF30" s="41"/>
      <c r="AG30" s="43"/>
      <c r="AH30" s="41" t="s">
        <v>476</v>
      </c>
      <c r="AI30" s="43" t="s">
        <v>476</v>
      </c>
      <c r="AJ30" s="41" t="s">
        <v>672</v>
      </c>
      <c r="AK30" s="41"/>
      <c r="AL30" s="1" t="s">
        <v>1064</v>
      </c>
      <c r="AM30" s="15" t="s">
        <v>1091</v>
      </c>
      <c r="AN30" s="1"/>
      <c r="AO30" s="7" t="s">
        <v>1045</v>
      </c>
      <c r="AP30" s="7" t="s">
        <v>1045</v>
      </c>
      <c r="AQ30" s="7" t="s">
        <v>1045</v>
      </c>
      <c r="AR30" s="95" t="b">
        <f t="shared" si="0"/>
        <v>1</v>
      </c>
      <c r="AS30" s="95" t="b">
        <f>A30='[2]500千伏-750千伏电网基建'!A30</f>
        <v>1</v>
      </c>
      <c r="AT30" s="95" t="b">
        <f>B30='[2]500千伏-750千伏电网基建'!B30</f>
        <v>1</v>
      </c>
      <c r="AU30" s="95" t="b">
        <f>C30='[2]500千伏-750千伏电网基建'!C30</f>
        <v>1</v>
      </c>
      <c r="AV30" s="95" t="b">
        <f>D30='[2]500千伏-750千伏电网基建'!D30</f>
        <v>1</v>
      </c>
      <c r="AW30" s="95" t="b">
        <f>E30='[2]500千伏-750千伏电网基建'!E30</f>
        <v>1</v>
      </c>
      <c r="AX30" s="95" t="b">
        <f>F30='[2]500千伏-750千伏电网基建'!F30</f>
        <v>1</v>
      </c>
      <c r="AY30" s="95" t="b">
        <f>G30='[2]500千伏-750千伏电网基建'!G30</f>
        <v>1</v>
      </c>
      <c r="AZ30" s="95" t="b">
        <f>H30='[2]500千伏-750千伏电网基建'!H30</f>
        <v>1</v>
      </c>
      <c r="BA30" s="95" t="b">
        <f>I30='[2]500千伏-750千伏电网基建'!I30</f>
        <v>1</v>
      </c>
      <c r="BB30" s="95" t="b">
        <f>J30='[2]500千伏-750千伏电网基建'!J30</f>
        <v>1</v>
      </c>
      <c r="BC30" s="95" t="b">
        <f>K30='[2]500千伏-750千伏电网基建'!K30</f>
        <v>1</v>
      </c>
      <c r="BD30" s="95" t="b">
        <f>L30='[2]500千伏-750千伏电网基建'!L30</f>
        <v>1</v>
      </c>
      <c r="BE30" s="95" t="b">
        <f>M30='[2]500千伏-750千伏电网基建'!M30</f>
        <v>1</v>
      </c>
      <c r="BF30" s="95" t="b">
        <f>N30='[2]500千伏-750千伏电网基建'!N30</f>
        <v>1</v>
      </c>
      <c r="BG30" s="95" t="b">
        <f>O30='[2]500千伏-750千伏电网基建'!O30</f>
        <v>1</v>
      </c>
      <c r="BH30" s="95" t="b">
        <f>P30='[2]500千伏-750千伏电网基建'!P30</f>
        <v>1</v>
      </c>
      <c r="BI30" s="95" t="b">
        <f>Q30='[2]500千伏-750千伏电网基建'!Q30</f>
        <v>1</v>
      </c>
      <c r="BJ30" s="95" t="b">
        <f>R30='[2]500千伏-750千伏电网基建'!R30</f>
        <v>1</v>
      </c>
      <c r="BK30" s="95" t="b">
        <f>S30='[2]500千伏-750千伏电网基建'!S30</f>
        <v>1</v>
      </c>
      <c r="BL30" s="95" t="b">
        <f>T30='[2]500千伏-750千伏电网基建'!T30</f>
        <v>1</v>
      </c>
      <c r="BM30" s="95" t="b">
        <f>U30='[2]500千伏-750千伏电网基建'!U30</f>
        <v>1</v>
      </c>
      <c r="BN30" s="95" t="b">
        <f>V30='[2]500千伏-750千伏电网基建'!V30</f>
        <v>1</v>
      </c>
      <c r="BO30" s="95" t="b">
        <f>W30='[2]500千伏-750千伏电网基建'!W30</f>
        <v>1</v>
      </c>
      <c r="BP30" s="95" t="b">
        <f>X30='[2]500千伏-750千伏电网基建'!X30</f>
        <v>1</v>
      </c>
      <c r="BQ30" s="95" t="b">
        <f>Y30='[2]500千伏-750千伏电网基建'!Y30</f>
        <v>1</v>
      </c>
      <c r="BR30" s="95" t="b">
        <f>Z30='[2]500千伏-750千伏电网基建'!Z30</f>
        <v>1</v>
      </c>
      <c r="BS30" s="95" t="b">
        <f>AA30='[2]500千伏-750千伏电网基建'!AA30</f>
        <v>1</v>
      </c>
      <c r="BT30" s="95" t="b">
        <f>AB30='[2]500千伏-750千伏电网基建'!AB30</f>
        <v>1</v>
      </c>
      <c r="BU30" s="95" t="b">
        <f>AC30='[2]500千伏-750千伏电网基建'!AC30</f>
        <v>1</v>
      </c>
      <c r="BV30" s="95" t="b">
        <f>AD30='[2]500千伏-750千伏电网基建'!AD30</f>
        <v>1</v>
      </c>
      <c r="BW30" s="95" t="b">
        <f>AE30='[2]500千伏-750千伏电网基建'!AE30</f>
        <v>1</v>
      </c>
      <c r="BX30" s="95" t="b">
        <f>AF30='[2]500千伏-750千伏电网基建'!AF30</f>
        <v>1</v>
      </c>
      <c r="BY30" s="95" t="b">
        <f>AG30='[2]500千伏-750千伏电网基建'!AG30</f>
        <v>1</v>
      </c>
      <c r="BZ30" s="95" t="b">
        <f>AH30='[2]500千伏-750千伏电网基建'!AH30</f>
        <v>1</v>
      </c>
      <c r="CA30" s="95" t="b">
        <f>AI30='[2]500千伏-750千伏电网基建'!AI30</f>
        <v>1</v>
      </c>
      <c r="CB30" s="95" t="b">
        <f>AJ30='[2]500千伏-750千伏电网基建'!AJ30</f>
        <v>1</v>
      </c>
      <c r="CC30" s="95" t="b">
        <f>AK30='[2]500千伏-750千伏电网基建'!AK30</f>
        <v>1</v>
      </c>
    </row>
    <row r="31" s="95" customFormat="1" ht="147" hidden="1" customHeight="1" spans="1:81">
      <c r="A31" s="14"/>
      <c r="B31" s="14"/>
      <c r="C31" s="15"/>
      <c r="D31" s="41"/>
      <c r="E31" s="24"/>
      <c r="F31" s="17"/>
      <c r="G31" s="15"/>
      <c r="H31" s="16"/>
      <c r="I31" s="23" t="s">
        <v>1100</v>
      </c>
      <c r="J31" s="16" t="s">
        <v>1101</v>
      </c>
      <c r="K31" s="15"/>
      <c r="L31" s="15" t="s">
        <v>36</v>
      </c>
      <c r="M31" s="15" t="s">
        <v>36</v>
      </c>
      <c r="N31" s="15"/>
      <c r="O31" s="15" t="s">
        <v>36</v>
      </c>
      <c r="P31" s="15" t="s">
        <v>36</v>
      </c>
      <c r="Q31" s="15" t="s">
        <v>36</v>
      </c>
      <c r="R31" s="15"/>
      <c r="S31" s="15"/>
      <c r="T31" s="15" t="s">
        <v>550</v>
      </c>
      <c r="U31" s="15" t="s">
        <v>682</v>
      </c>
      <c r="V31" s="16" t="s">
        <v>683</v>
      </c>
      <c r="W31" s="35" t="s">
        <v>684</v>
      </c>
      <c r="X31" s="41" t="s">
        <v>474</v>
      </c>
      <c r="Y31" s="41" t="s">
        <v>473</v>
      </c>
      <c r="Z31" s="41"/>
      <c r="AA31" s="41" t="s">
        <v>474</v>
      </c>
      <c r="AB31" s="41" t="s">
        <v>473</v>
      </c>
      <c r="AC31" s="41"/>
      <c r="AD31" s="41"/>
      <c r="AE31" s="41"/>
      <c r="AF31" s="41"/>
      <c r="AG31" s="43"/>
      <c r="AH31" s="41" t="s">
        <v>476</v>
      </c>
      <c r="AI31" s="43" t="s">
        <v>476</v>
      </c>
      <c r="AJ31" s="41" t="s">
        <v>672</v>
      </c>
      <c r="AK31" s="41"/>
      <c r="AL31" s="1" t="s">
        <v>1064</v>
      </c>
      <c r="AM31" s="23" t="s">
        <v>1102</v>
      </c>
      <c r="AN31" s="1"/>
      <c r="AO31" s="7" t="s">
        <v>1045</v>
      </c>
      <c r="AP31" s="7" t="s">
        <v>1045</v>
      </c>
      <c r="AQ31" s="7" t="s">
        <v>1045</v>
      </c>
      <c r="AR31" s="95" t="b">
        <f t="shared" si="0"/>
        <v>1</v>
      </c>
      <c r="AS31" s="95" t="b">
        <f>A31='[2]500千伏-750千伏电网基建'!A31</f>
        <v>1</v>
      </c>
      <c r="AT31" s="95" t="b">
        <f>B31='[2]500千伏-750千伏电网基建'!B31</f>
        <v>1</v>
      </c>
      <c r="AU31" s="95" t="b">
        <f>C31='[2]500千伏-750千伏电网基建'!C31</f>
        <v>1</v>
      </c>
      <c r="AV31" s="95" t="b">
        <f>D31='[2]500千伏-750千伏电网基建'!D31</f>
        <v>1</v>
      </c>
      <c r="AW31" s="95" t="b">
        <f>E31='[2]500千伏-750千伏电网基建'!E31</f>
        <v>1</v>
      </c>
      <c r="AX31" s="95" t="b">
        <f>F31='[2]500千伏-750千伏电网基建'!F31</f>
        <v>1</v>
      </c>
      <c r="AY31" s="95" t="b">
        <f>G31='[2]500千伏-750千伏电网基建'!G31</f>
        <v>1</v>
      </c>
      <c r="AZ31" s="95" t="b">
        <f>H31='[2]500千伏-750千伏电网基建'!H31</f>
        <v>1</v>
      </c>
      <c r="BA31" s="95" t="b">
        <f>I31='[2]500千伏-750千伏电网基建'!I31</f>
        <v>1</v>
      </c>
      <c r="BB31" s="95" t="b">
        <f>J31='[2]500千伏-750千伏电网基建'!J31</f>
        <v>1</v>
      </c>
      <c r="BC31" s="95" t="b">
        <f>K31='[2]500千伏-750千伏电网基建'!K31</f>
        <v>1</v>
      </c>
      <c r="BD31" s="95" t="b">
        <f>L31='[2]500千伏-750千伏电网基建'!L31</f>
        <v>1</v>
      </c>
      <c r="BE31" s="95" t="b">
        <f>M31='[2]500千伏-750千伏电网基建'!M31</f>
        <v>1</v>
      </c>
      <c r="BF31" s="95" t="b">
        <f>N31='[2]500千伏-750千伏电网基建'!N31</f>
        <v>1</v>
      </c>
      <c r="BG31" s="95" t="b">
        <f>O31='[2]500千伏-750千伏电网基建'!O31</f>
        <v>1</v>
      </c>
      <c r="BH31" s="95" t="b">
        <f>P31='[2]500千伏-750千伏电网基建'!P31</f>
        <v>1</v>
      </c>
      <c r="BI31" s="95" t="b">
        <f>Q31='[2]500千伏-750千伏电网基建'!Q31</f>
        <v>1</v>
      </c>
      <c r="BJ31" s="95" t="b">
        <f>R31='[2]500千伏-750千伏电网基建'!R31</f>
        <v>1</v>
      </c>
      <c r="BK31" s="95" t="b">
        <f>S31='[2]500千伏-750千伏电网基建'!S31</f>
        <v>1</v>
      </c>
      <c r="BL31" s="95" t="b">
        <f>T31='[2]500千伏-750千伏电网基建'!T31</f>
        <v>1</v>
      </c>
      <c r="BM31" s="95" t="b">
        <f>U31='[2]500千伏-750千伏电网基建'!U31</f>
        <v>1</v>
      </c>
      <c r="BN31" s="95" t="b">
        <f>V31='[2]500千伏-750千伏电网基建'!V31</f>
        <v>1</v>
      </c>
      <c r="BO31" s="95" t="b">
        <f>W31='[2]500千伏-750千伏电网基建'!W31</f>
        <v>1</v>
      </c>
      <c r="BP31" s="95" t="b">
        <f>X31='[2]500千伏-750千伏电网基建'!X31</f>
        <v>1</v>
      </c>
      <c r="BQ31" s="95" t="b">
        <f>Y31='[2]500千伏-750千伏电网基建'!Y31</f>
        <v>1</v>
      </c>
      <c r="BR31" s="95" t="b">
        <f>Z31='[2]500千伏-750千伏电网基建'!Z31</f>
        <v>1</v>
      </c>
      <c r="BS31" s="95" t="b">
        <f>AA31='[2]500千伏-750千伏电网基建'!AA31</f>
        <v>1</v>
      </c>
      <c r="BT31" s="95" t="b">
        <f>AB31='[2]500千伏-750千伏电网基建'!AB31</f>
        <v>1</v>
      </c>
      <c r="BU31" s="95" t="b">
        <f>AC31='[2]500千伏-750千伏电网基建'!AC31</f>
        <v>1</v>
      </c>
      <c r="BV31" s="95" t="b">
        <f>AD31='[2]500千伏-750千伏电网基建'!AD31</f>
        <v>1</v>
      </c>
      <c r="BW31" s="95" t="b">
        <f>AE31='[2]500千伏-750千伏电网基建'!AE31</f>
        <v>1</v>
      </c>
      <c r="BX31" s="95" t="b">
        <f>AF31='[2]500千伏-750千伏电网基建'!AF31</f>
        <v>1</v>
      </c>
      <c r="BY31" s="95" t="b">
        <f>AG31='[2]500千伏-750千伏电网基建'!AG31</f>
        <v>1</v>
      </c>
      <c r="BZ31" s="95" t="b">
        <f>AH31='[2]500千伏-750千伏电网基建'!AH31</f>
        <v>1</v>
      </c>
      <c r="CA31" s="95" t="b">
        <f>AI31='[2]500千伏-750千伏电网基建'!AI31</f>
        <v>1</v>
      </c>
      <c r="CB31" s="95" t="b">
        <f>AJ31='[2]500千伏-750千伏电网基建'!AJ31</f>
        <v>1</v>
      </c>
      <c r="CC31" s="95" t="b">
        <f>AK31='[2]500千伏-750千伏电网基建'!AK31</f>
        <v>1</v>
      </c>
    </row>
    <row r="32" s="95" customFormat="1" ht="121" hidden="1" customHeight="1" spans="1:81">
      <c r="A32" s="14"/>
      <c r="B32" s="14"/>
      <c r="C32" s="15"/>
      <c r="D32" s="41"/>
      <c r="E32" s="24"/>
      <c r="F32" s="17"/>
      <c r="G32" s="15"/>
      <c r="H32" s="16"/>
      <c r="I32" s="23" t="s">
        <v>1103</v>
      </c>
      <c r="J32" s="16" t="s">
        <v>1104</v>
      </c>
      <c r="K32" s="15"/>
      <c r="L32" s="15"/>
      <c r="M32" s="15"/>
      <c r="N32" s="15"/>
      <c r="O32" s="15"/>
      <c r="P32" s="15" t="s">
        <v>36</v>
      </c>
      <c r="Q32" s="15" t="s">
        <v>36</v>
      </c>
      <c r="R32" s="15"/>
      <c r="S32" s="15" t="s">
        <v>36</v>
      </c>
      <c r="T32" s="15" t="s">
        <v>492</v>
      </c>
      <c r="U32" s="15"/>
      <c r="V32" s="16" t="s">
        <v>687</v>
      </c>
      <c r="W32" s="42" t="s">
        <v>671</v>
      </c>
      <c r="X32" s="41" t="s">
        <v>474</v>
      </c>
      <c r="Y32" s="41" t="s">
        <v>473</v>
      </c>
      <c r="Z32" s="41"/>
      <c r="AA32" s="41" t="s">
        <v>474</v>
      </c>
      <c r="AB32" s="41" t="s">
        <v>473</v>
      </c>
      <c r="AC32" s="41"/>
      <c r="AD32" s="41"/>
      <c r="AE32" s="41"/>
      <c r="AF32" s="41"/>
      <c r="AG32" s="43"/>
      <c r="AH32" s="41" t="s">
        <v>476</v>
      </c>
      <c r="AI32" s="43" t="s">
        <v>476</v>
      </c>
      <c r="AJ32" s="41" t="s">
        <v>672</v>
      </c>
      <c r="AK32" s="41"/>
      <c r="AL32" s="1" t="s">
        <v>1064</v>
      </c>
      <c r="AM32" s="23" t="s">
        <v>1091</v>
      </c>
      <c r="AN32" s="1"/>
      <c r="AO32" s="7" t="s">
        <v>1045</v>
      </c>
      <c r="AP32" s="7" t="s">
        <v>1045</v>
      </c>
      <c r="AQ32" s="7" t="s">
        <v>1045</v>
      </c>
      <c r="AR32" s="95" t="b">
        <f t="shared" si="0"/>
        <v>1</v>
      </c>
      <c r="AS32" s="95" t="b">
        <f>A32='[2]500千伏-750千伏电网基建'!A32</f>
        <v>1</v>
      </c>
      <c r="AT32" s="95" t="b">
        <f>B32='[2]500千伏-750千伏电网基建'!B32</f>
        <v>1</v>
      </c>
      <c r="AU32" s="95" t="b">
        <f>C32='[2]500千伏-750千伏电网基建'!C32</f>
        <v>1</v>
      </c>
      <c r="AV32" s="95" t="b">
        <f>D32='[2]500千伏-750千伏电网基建'!D32</f>
        <v>1</v>
      </c>
      <c r="AW32" s="95" t="b">
        <f>E32='[2]500千伏-750千伏电网基建'!E32</f>
        <v>1</v>
      </c>
      <c r="AX32" s="95" t="b">
        <f>F32='[2]500千伏-750千伏电网基建'!F32</f>
        <v>1</v>
      </c>
      <c r="AY32" s="95" t="b">
        <f>G32='[2]500千伏-750千伏电网基建'!G32</f>
        <v>1</v>
      </c>
      <c r="AZ32" s="95" t="b">
        <f>H32='[2]500千伏-750千伏电网基建'!H32</f>
        <v>1</v>
      </c>
      <c r="BA32" s="95" t="b">
        <f>I32='[2]500千伏-750千伏电网基建'!I32</f>
        <v>1</v>
      </c>
      <c r="BB32" s="95" t="b">
        <f>J32='[2]500千伏-750千伏电网基建'!J32</f>
        <v>1</v>
      </c>
      <c r="BC32" s="95" t="b">
        <f>K32='[2]500千伏-750千伏电网基建'!K32</f>
        <v>1</v>
      </c>
      <c r="BD32" s="95" t="b">
        <f>L32='[2]500千伏-750千伏电网基建'!L32</f>
        <v>1</v>
      </c>
      <c r="BE32" s="95" t="b">
        <f>M32='[2]500千伏-750千伏电网基建'!M32</f>
        <v>1</v>
      </c>
      <c r="BF32" s="95" t="b">
        <f>N32='[2]500千伏-750千伏电网基建'!N32</f>
        <v>1</v>
      </c>
      <c r="BG32" s="95" t="b">
        <f>O32='[2]500千伏-750千伏电网基建'!O32</f>
        <v>1</v>
      </c>
      <c r="BH32" s="95" t="b">
        <f>P32='[2]500千伏-750千伏电网基建'!P32</f>
        <v>1</v>
      </c>
      <c r="BI32" s="95" t="b">
        <f>Q32='[2]500千伏-750千伏电网基建'!Q32</f>
        <v>1</v>
      </c>
      <c r="BJ32" s="95" t="b">
        <f>R32='[2]500千伏-750千伏电网基建'!R32</f>
        <v>1</v>
      </c>
      <c r="BK32" s="95" t="b">
        <f>S32='[2]500千伏-750千伏电网基建'!S32</f>
        <v>1</v>
      </c>
      <c r="BL32" s="95" t="b">
        <f>T32='[2]500千伏-750千伏电网基建'!T32</f>
        <v>1</v>
      </c>
      <c r="BM32" s="95" t="b">
        <f>U32='[2]500千伏-750千伏电网基建'!U32</f>
        <v>1</v>
      </c>
      <c r="BN32" s="95" t="b">
        <f>V32='[2]500千伏-750千伏电网基建'!V32</f>
        <v>1</v>
      </c>
      <c r="BO32" s="95" t="b">
        <f>W32='[2]500千伏-750千伏电网基建'!W32</f>
        <v>1</v>
      </c>
      <c r="BP32" s="95" t="b">
        <f>X32='[2]500千伏-750千伏电网基建'!X32</f>
        <v>1</v>
      </c>
      <c r="BQ32" s="95" t="b">
        <f>Y32='[2]500千伏-750千伏电网基建'!Y32</f>
        <v>1</v>
      </c>
      <c r="BR32" s="95" t="b">
        <f>Z32='[2]500千伏-750千伏电网基建'!Z32</f>
        <v>1</v>
      </c>
      <c r="BS32" s="95" t="b">
        <f>AA32='[2]500千伏-750千伏电网基建'!AA32</f>
        <v>1</v>
      </c>
      <c r="BT32" s="95" t="b">
        <f>AB32='[2]500千伏-750千伏电网基建'!AB32</f>
        <v>1</v>
      </c>
      <c r="BU32" s="95" t="b">
        <f>AC32='[2]500千伏-750千伏电网基建'!AC32</f>
        <v>1</v>
      </c>
      <c r="BV32" s="95" t="b">
        <f>AD32='[2]500千伏-750千伏电网基建'!AD32</f>
        <v>1</v>
      </c>
      <c r="BW32" s="95" t="b">
        <f>AE32='[2]500千伏-750千伏电网基建'!AE32</f>
        <v>1</v>
      </c>
      <c r="BX32" s="95" t="b">
        <f>AF32='[2]500千伏-750千伏电网基建'!AF32</f>
        <v>1</v>
      </c>
      <c r="BY32" s="95" t="b">
        <f>AG32='[2]500千伏-750千伏电网基建'!AG32</f>
        <v>1</v>
      </c>
      <c r="BZ32" s="95" t="b">
        <f>AH32='[2]500千伏-750千伏电网基建'!AH32</f>
        <v>1</v>
      </c>
      <c r="CA32" s="95" t="b">
        <f>AI32='[2]500千伏-750千伏电网基建'!AI32</f>
        <v>1</v>
      </c>
      <c r="CB32" s="95" t="b">
        <f>AJ32='[2]500千伏-750千伏电网基建'!AJ32</f>
        <v>1</v>
      </c>
      <c r="CC32" s="95" t="b">
        <f>AK32='[2]500千伏-750千伏电网基建'!AK32</f>
        <v>1</v>
      </c>
    </row>
    <row r="33" s="95" customFormat="1" ht="120" hidden="1" customHeight="1" spans="1:81">
      <c r="A33" s="14"/>
      <c r="B33" s="14"/>
      <c r="C33" s="15" t="s">
        <v>485</v>
      </c>
      <c r="D33" s="15" t="s">
        <v>688</v>
      </c>
      <c r="E33" s="16" t="s">
        <v>689</v>
      </c>
      <c r="F33" s="17" t="s">
        <v>690</v>
      </c>
      <c r="G33" s="15" t="s">
        <v>1105</v>
      </c>
      <c r="H33" s="16" t="s">
        <v>692</v>
      </c>
      <c r="I33" s="23" t="s">
        <v>1106</v>
      </c>
      <c r="J33" s="31" t="s">
        <v>1107</v>
      </c>
      <c r="K33" s="15"/>
      <c r="L33" s="15"/>
      <c r="M33" s="15"/>
      <c r="N33" s="15"/>
      <c r="O33" s="15"/>
      <c r="P33" s="15"/>
      <c r="Q33" s="15"/>
      <c r="R33" s="15"/>
      <c r="S33" s="15"/>
      <c r="T33" s="15" t="s">
        <v>492</v>
      </c>
      <c r="U33" s="15"/>
      <c r="V33" s="16"/>
      <c r="W33" s="42" t="s">
        <v>695</v>
      </c>
      <c r="X33" s="41"/>
      <c r="Y33" s="41"/>
      <c r="Z33" s="41"/>
      <c r="AA33" s="41"/>
      <c r="AB33" s="41"/>
      <c r="AC33" s="41"/>
      <c r="AD33" s="41"/>
      <c r="AE33" s="41"/>
      <c r="AF33" s="41"/>
      <c r="AG33" s="39"/>
      <c r="AH33" s="43" t="s">
        <v>610</v>
      </c>
      <c r="AI33" s="43" t="s">
        <v>610</v>
      </c>
      <c r="AJ33" s="41"/>
      <c r="AK33" s="41" t="s">
        <v>673</v>
      </c>
      <c r="AL33" s="1" t="s">
        <v>1064</v>
      </c>
      <c r="AM33" s="23" t="s">
        <v>1091</v>
      </c>
      <c r="AN33" s="1"/>
      <c r="AO33" s="7" t="s">
        <v>1059</v>
      </c>
      <c r="AP33" s="7" t="s">
        <v>1059</v>
      </c>
      <c r="AQ33" s="129" t="s">
        <v>1059</v>
      </c>
      <c r="AR33" s="95" t="b">
        <f t="shared" si="0"/>
        <v>1</v>
      </c>
      <c r="AS33" s="95" t="b">
        <f>A33='[2]500千伏-750千伏电网基建'!A33</f>
        <v>1</v>
      </c>
      <c r="AT33" s="95" t="b">
        <f>B33='[2]500千伏-750千伏电网基建'!B33</f>
        <v>1</v>
      </c>
      <c r="AU33" s="95" t="b">
        <f>C33='[2]500千伏-750千伏电网基建'!C33</f>
        <v>1</v>
      </c>
      <c r="AV33" s="95" t="b">
        <f>D33='[2]500千伏-750千伏电网基建'!D33</f>
        <v>1</v>
      </c>
      <c r="AW33" s="95" t="b">
        <f>E33='[2]500千伏-750千伏电网基建'!E33</f>
        <v>1</v>
      </c>
      <c r="AX33" s="95" t="b">
        <f>F33='[2]500千伏-750千伏电网基建'!F33</f>
        <v>1</v>
      </c>
      <c r="AY33" s="95" t="b">
        <f>G33='[2]500千伏-750千伏电网基建'!G33</f>
        <v>1</v>
      </c>
      <c r="AZ33" s="95" t="b">
        <f>H33='[2]500千伏-750千伏电网基建'!H33</f>
        <v>1</v>
      </c>
      <c r="BA33" s="95" t="b">
        <f>I33='[2]500千伏-750千伏电网基建'!I33</f>
        <v>1</v>
      </c>
      <c r="BB33" s="95" t="b">
        <f>J33='[2]500千伏-750千伏电网基建'!J33</f>
        <v>1</v>
      </c>
      <c r="BC33" s="95" t="b">
        <f>K33='[2]500千伏-750千伏电网基建'!K33</f>
        <v>1</v>
      </c>
      <c r="BD33" s="95" t="b">
        <f>L33='[2]500千伏-750千伏电网基建'!L33</f>
        <v>1</v>
      </c>
      <c r="BE33" s="95" t="b">
        <f>M33='[2]500千伏-750千伏电网基建'!M33</f>
        <v>1</v>
      </c>
      <c r="BF33" s="95" t="b">
        <f>N33='[2]500千伏-750千伏电网基建'!N33</f>
        <v>1</v>
      </c>
      <c r="BG33" s="95" t="b">
        <f>O33='[2]500千伏-750千伏电网基建'!O33</f>
        <v>1</v>
      </c>
      <c r="BH33" s="95" t="b">
        <f>P33='[2]500千伏-750千伏电网基建'!P33</f>
        <v>1</v>
      </c>
      <c r="BI33" s="95" t="b">
        <f>Q33='[2]500千伏-750千伏电网基建'!Q33</f>
        <v>1</v>
      </c>
      <c r="BJ33" s="95" t="b">
        <f>R33='[2]500千伏-750千伏电网基建'!R33</f>
        <v>1</v>
      </c>
      <c r="BK33" s="95" t="b">
        <f>S33='[2]500千伏-750千伏电网基建'!S33</f>
        <v>1</v>
      </c>
      <c r="BL33" s="95" t="b">
        <f>T33='[2]500千伏-750千伏电网基建'!T33</f>
        <v>1</v>
      </c>
      <c r="BM33" s="95" t="b">
        <f>U33='[2]500千伏-750千伏电网基建'!U33</f>
        <v>1</v>
      </c>
      <c r="BN33" s="95" t="b">
        <f>V33='[2]500千伏-750千伏电网基建'!V33</f>
        <v>1</v>
      </c>
      <c r="BO33" s="95" t="b">
        <f>W33='[2]500千伏-750千伏电网基建'!W33</f>
        <v>1</v>
      </c>
      <c r="BP33" s="95" t="b">
        <f>X33='[2]500千伏-750千伏电网基建'!X33</f>
        <v>1</v>
      </c>
      <c r="BQ33" s="95" t="b">
        <f>Y33='[2]500千伏-750千伏电网基建'!Y33</f>
        <v>1</v>
      </c>
      <c r="BR33" s="95" t="b">
        <f>Z33='[2]500千伏-750千伏电网基建'!Z33</f>
        <v>1</v>
      </c>
      <c r="BS33" s="95" t="b">
        <f>AA33='[2]500千伏-750千伏电网基建'!AA33</f>
        <v>1</v>
      </c>
      <c r="BT33" s="95" t="b">
        <f>AB33='[2]500千伏-750千伏电网基建'!AB33</f>
        <v>1</v>
      </c>
      <c r="BU33" s="95" t="b">
        <f>AC33='[2]500千伏-750千伏电网基建'!AC33</f>
        <v>1</v>
      </c>
      <c r="BV33" s="95" t="b">
        <f>AD33='[2]500千伏-750千伏电网基建'!AD33</f>
        <v>1</v>
      </c>
      <c r="BW33" s="95" t="b">
        <f>AE33='[2]500千伏-750千伏电网基建'!AE33</f>
        <v>1</v>
      </c>
      <c r="BX33" s="95" t="b">
        <f>AF33='[2]500千伏-750千伏电网基建'!AF33</f>
        <v>1</v>
      </c>
      <c r="BY33" s="95" t="b">
        <f>AG33='[2]500千伏-750千伏电网基建'!AG33</f>
        <v>1</v>
      </c>
      <c r="BZ33" s="95" t="b">
        <f>AH33='[2]500千伏-750千伏电网基建'!AH33</f>
        <v>1</v>
      </c>
      <c r="CA33" s="95" t="b">
        <f>AI33='[2]500千伏-750千伏电网基建'!AI33</f>
        <v>1</v>
      </c>
      <c r="CB33" s="95" t="b">
        <f>AJ33='[2]500千伏-750千伏电网基建'!AJ33</f>
        <v>1</v>
      </c>
      <c r="CC33" s="95" t="b">
        <f>AK33='[2]500千伏-750千伏电网基建'!AK33</f>
        <v>1</v>
      </c>
    </row>
    <row r="34" s="95" customFormat="1" ht="98" hidden="1" customHeight="1" spans="1:81">
      <c r="A34" s="14" t="s">
        <v>483</v>
      </c>
      <c r="B34" s="14" t="s">
        <v>662</v>
      </c>
      <c r="C34" s="15" t="s">
        <v>485</v>
      </c>
      <c r="D34" s="15" t="s">
        <v>688</v>
      </c>
      <c r="E34" s="16" t="s">
        <v>689</v>
      </c>
      <c r="F34" s="17" t="s">
        <v>690</v>
      </c>
      <c r="G34" s="15" t="s">
        <v>1105</v>
      </c>
      <c r="H34" s="16" t="s">
        <v>692</v>
      </c>
      <c r="I34" s="23" t="s">
        <v>1108</v>
      </c>
      <c r="J34" s="16" t="s">
        <v>1109</v>
      </c>
      <c r="K34" s="15"/>
      <c r="L34" s="15"/>
      <c r="M34" s="15" t="s">
        <v>36</v>
      </c>
      <c r="N34" s="15"/>
      <c r="O34" s="15"/>
      <c r="P34" s="15"/>
      <c r="Q34" s="15"/>
      <c r="R34" s="15"/>
      <c r="S34" s="15"/>
      <c r="T34" s="15" t="s">
        <v>492</v>
      </c>
      <c r="U34" s="15"/>
      <c r="V34" s="16" t="s">
        <v>698</v>
      </c>
      <c r="W34" s="42" t="s">
        <v>671</v>
      </c>
      <c r="X34" s="15" t="s">
        <v>474</v>
      </c>
      <c r="Y34" s="15" t="s">
        <v>473</v>
      </c>
      <c r="Z34" s="15"/>
      <c r="AA34" s="15" t="s">
        <v>474</v>
      </c>
      <c r="AB34" s="15" t="s">
        <v>473</v>
      </c>
      <c r="AC34" s="41"/>
      <c r="AD34" s="41"/>
      <c r="AE34" s="41"/>
      <c r="AF34" s="41"/>
      <c r="AG34" s="39"/>
      <c r="AH34" s="135" t="s">
        <v>476</v>
      </c>
      <c r="AI34" s="135" t="s">
        <v>476</v>
      </c>
      <c r="AJ34" s="136" t="s">
        <v>699</v>
      </c>
      <c r="AK34" s="115" t="s">
        <v>673</v>
      </c>
      <c r="AL34" s="1" t="s">
        <v>1064</v>
      </c>
      <c r="AM34" s="23" t="s">
        <v>1091</v>
      </c>
      <c r="AN34" s="1"/>
      <c r="AO34" s="7" t="s">
        <v>1110</v>
      </c>
      <c r="AP34" s="7" t="s">
        <v>1045</v>
      </c>
      <c r="AQ34" s="7" t="s">
        <v>1045</v>
      </c>
      <c r="AR34" s="95" t="b">
        <f t="shared" si="0"/>
        <v>1</v>
      </c>
      <c r="AS34" s="95" t="b">
        <f>A34='[2]500千伏-750千伏电网基建'!A34</f>
        <v>1</v>
      </c>
      <c r="AT34" s="95" t="b">
        <f>B34='[2]500千伏-750千伏电网基建'!B34</f>
        <v>1</v>
      </c>
      <c r="AU34" s="95" t="b">
        <f>C34='[2]500千伏-750千伏电网基建'!C34</f>
        <v>1</v>
      </c>
      <c r="AV34" s="95" t="b">
        <f>D34='[2]500千伏-750千伏电网基建'!D34</f>
        <v>1</v>
      </c>
      <c r="AW34" s="95" t="b">
        <f>E34='[2]500千伏-750千伏电网基建'!E34</f>
        <v>1</v>
      </c>
      <c r="AX34" s="95" t="b">
        <f>F34='[2]500千伏-750千伏电网基建'!F34</f>
        <v>1</v>
      </c>
      <c r="AY34" s="95" t="b">
        <f>G34='[2]500千伏-750千伏电网基建'!G34</f>
        <v>1</v>
      </c>
      <c r="AZ34" s="95" t="b">
        <f>H34='[2]500千伏-750千伏电网基建'!H34</f>
        <v>1</v>
      </c>
      <c r="BA34" s="95" t="b">
        <f>I34='[2]500千伏-750千伏电网基建'!I34</f>
        <v>1</v>
      </c>
      <c r="BB34" s="95" t="b">
        <f>J34='[2]500千伏-750千伏电网基建'!J34</f>
        <v>1</v>
      </c>
      <c r="BC34" s="95" t="b">
        <f>K34='[2]500千伏-750千伏电网基建'!K34</f>
        <v>1</v>
      </c>
      <c r="BD34" s="95" t="b">
        <f>L34='[2]500千伏-750千伏电网基建'!L34</f>
        <v>1</v>
      </c>
      <c r="BE34" s="95" t="b">
        <f>M34='[2]500千伏-750千伏电网基建'!M34</f>
        <v>1</v>
      </c>
      <c r="BF34" s="95" t="b">
        <f>N34='[2]500千伏-750千伏电网基建'!N34</f>
        <v>1</v>
      </c>
      <c r="BG34" s="95" t="b">
        <f>O34='[2]500千伏-750千伏电网基建'!O34</f>
        <v>1</v>
      </c>
      <c r="BH34" s="95" t="b">
        <f>P34='[2]500千伏-750千伏电网基建'!P34</f>
        <v>1</v>
      </c>
      <c r="BI34" s="95" t="b">
        <f>Q34='[2]500千伏-750千伏电网基建'!Q34</f>
        <v>1</v>
      </c>
      <c r="BJ34" s="95" t="b">
        <f>R34='[2]500千伏-750千伏电网基建'!R34</f>
        <v>1</v>
      </c>
      <c r="BK34" s="95" t="b">
        <f>S34='[2]500千伏-750千伏电网基建'!S34</f>
        <v>1</v>
      </c>
      <c r="BL34" s="95" t="b">
        <f>T34='[2]500千伏-750千伏电网基建'!T34</f>
        <v>1</v>
      </c>
      <c r="BM34" s="95" t="b">
        <f>U34='[2]500千伏-750千伏电网基建'!U34</f>
        <v>1</v>
      </c>
      <c r="BN34" s="95" t="b">
        <f>V34='[2]500千伏-750千伏电网基建'!V34</f>
        <v>1</v>
      </c>
      <c r="BO34" s="95" t="b">
        <f>W34='[2]500千伏-750千伏电网基建'!W34</f>
        <v>1</v>
      </c>
      <c r="BP34" s="95" t="b">
        <f>X34='[2]500千伏-750千伏电网基建'!X34</f>
        <v>1</v>
      </c>
      <c r="BQ34" s="95" t="b">
        <f>Y34='[2]500千伏-750千伏电网基建'!Y34</f>
        <v>1</v>
      </c>
      <c r="BR34" s="95" t="b">
        <f>Z34='[2]500千伏-750千伏电网基建'!Z34</f>
        <v>1</v>
      </c>
      <c r="BS34" s="95" t="b">
        <f>AA34='[2]500千伏-750千伏电网基建'!AA34</f>
        <v>1</v>
      </c>
      <c r="BT34" s="95" t="b">
        <f>AB34='[2]500千伏-750千伏电网基建'!AB34</f>
        <v>1</v>
      </c>
      <c r="BU34" s="95" t="b">
        <f>AC34='[2]500千伏-750千伏电网基建'!AC34</f>
        <v>1</v>
      </c>
      <c r="BV34" s="95" t="b">
        <f>AD34='[2]500千伏-750千伏电网基建'!AD34</f>
        <v>1</v>
      </c>
      <c r="BW34" s="95" t="b">
        <f>AE34='[2]500千伏-750千伏电网基建'!AE34</f>
        <v>1</v>
      </c>
      <c r="BX34" s="95" t="b">
        <f>AF34='[2]500千伏-750千伏电网基建'!AF34</f>
        <v>1</v>
      </c>
      <c r="BY34" s="95" t="b">
        <f>AG34='[2]500千伏-750千伏电网基建'!AG34</f>
        <v>1</v>
      </c>
      <c r="BZ34" s="133" t="b">
        <f>AH34='[2]500千伏-750千伏电网基建'!AH34</f>
        <v>0</v>
      </c>
      <c r="CA34" s="133" t="b">
        <f>AI34='[2]500千伏-750千伏电网基建'!AI34</f>
        <v>0</v>
      </c>
      <c r="CB34" s="95" t="b">
        <f>AJ34='[2]500千伏-750千伏电网基建'!AJ34</f>
        <v>1</v>
      </c>
      <c r="CC34" s="95" t="b">
        <f>AK34='[2]500千伏-750千伏电网基建'!AK34</f>
        <v>1</v>
      </c>
    </row>
    <row r="35" s="95" customFormat="1" ht="92" hidden="1" customHeight="1" spans="1:81">
      <c r="A35" s="14"/>
      <c r="B35" s="14"/>
      <c r="C35" s="15"/>
      <c r="D35" s="15"/>
      <c r="E35" s="16"/>
      <c r="F35" s="17"/>
      <c r="G35" s="15"/>
      <c r="H35" s="16"/>
      <c r="I35" s="23" t="s">
        <v>1111</v>
      </c>
      <c r="J35" s="16" t="s">
        <v>1112</v>
      </c>
      <c r="K35" s="15"/>
      <c r="L35" s="15"/>
      <c r="M35" s="15" t="s">
        <v>36</v>
      </c>
      <c r="N35" s="15"/>
      <c r="O35" s="15"/>
      <c r="P35" s="15"/>
      <c r="Q35" s="15"/>
      <c r="R35" s="15"/>
      <c r="S35" s="15"/>
      <c r="T35" s="15" t="s">
        <v>492</v>
      </c>
      <c r="U35" s="15"/>
      <c r="V35" s="16" t="s">
        <v>698</v>
      </c>
      <c r="W35" s="42" t="s">
        <v>671</v>
      </c>
      <c r="X35" s="15" t="s">
        <v>474</v>
      </c>
      <c r="Y35" s="15" t="s">
        <v>473</v>
      </c>
      <c r="Z35" s="15"/>
      <c r="AA35" s="15" t="s">
        <v>474</v>
      </c>
      <c r="AB35" s="15" t="s">
        <v>473</v>
      </c>
      <c r="AC35" s="15"/>
      <c r="AD35" s="15"/>
      <c r="AE35" s="30"/>
      <c r="AF35" s="30"/>
      <c r="AG35" s="30"/>
      <c r="AH35" s="15" t="s">
        <v>476</v>
      </c>
      <c r="AI35" s="15" t="s">
        <v>476</v>
      </c>
      <c r="AJ35" s="15" t="s">
        <v>699</v>
      </c>
      <c r="AK35" s="116"/>
      <c r="AL35" s="1" t="s">
        <v>1064</v>
      </c>
      <c r="AM35" s="23" t="s">
        <v>1091</v>
      </c>
      <c r="AN35" s="1"/>
      <c r="AO35" s="7" t="s">
        <v>1045</v>
      </c>
      <c r="AP35" s="7" t="s">
        <v>1045</v>
      </c>
      <c r="AQ35" s="7" t="s">
        <v>1045</v>
      </c>
      <c r="AR35" s="95" t="b">
        <f t="shared" si="0"/>
        <v>1</v>
      </c>
      <c r="AS35" s="95" t="b">
        <f>A35='[2]500千伏-750千伏电网基建'!A35</f>
        <v>1</v>
      </c>
      <c r="AT35" s="95" t="b">
        <f>B35='[2]500千伏-750千伏电网基建'!B35</f>
        <v>1</v>
      </c>
      <c r="AU35" s="95" t="b">
        <f>C35='[2]500千伏-750千伏电网基建'!C35</f>
        <v>1</v>
      </c>
      <c r="AV35" s="95" t="b">
        <f>D35='[2]500千伏-750千伏电网基建'!D35</f>
        <v>1</v>
      </c>
      <c r="AW35" s="95" t="b">
        <f>E35='[2]500千伏-750千伏电网基建'!E35</f>
        <v>1</v>
      </c>
      <c r="AX35" s="95" t="b">
        <f>F35='[2]500千伏-750千伏电网基建'!F35</f>
        <v>1</v>
      </c>
      <c r="AY35" s="95" t="b">
        <f>G35='[2]500千伏-750千伏电网基建'!G35</f>
        <v>1</v>
      </c>
      <c r="AZ35" s="95" t="b">
        <f>H35='[2]500千伏-750千伏电网基建'!H35</f>
        <v>1</v>
      </c>
      <c r="BA35" s="95" t="b">
        <f>I35='[2]500千伏-750千伏电网基建'!I35</f>
        <v>1</v>
      </c>
      <c r="BB35" s="95" t="b">
        <f>J35='[2]500千伏-750千伏电网基建'!J35</f>
        <v>1</v>
      </c>
      <c r="BC35" s="95" t="b">
        <f>K35='[2]500千伏-750千伏电网基建'!K35</f>
        <v>1</v>
      </c>
      <c r="BD35" s="95" t="b">
        <f>L35='[2]500千伏-750千伏电网基建'!L35</f>
        <v>1</v>
      </c>
      <c r="BE35" s="95" t="b">
        <f>M35='[2]500千伏-750千伏电网基建'!M35</f>
        <v>1</v>
      </c>
      <c r="BF35" s="95" t="b">
        <f>N35='[2]500千伏-750千伏电网基建'!N35</f>
        <v>1</v>
      </c>
      <c r="BG35" s="95" t="b">
        <f>O35='[2]500千伏-750千伏电网基建'!O35</f>
        <v>1</v>
      </c>
      <c r="BH35" s="95" t="b">
        <f>P35='[2]500千伏-750千伏电网基建'!P35</f>
        <v>1</v>
      </c>
      <c r="BI35" s="95" t="b">
        <f>Q35='[2]500千伏-750千伏电网基建'!Q35</f>
        <v>1</v>
      </c>
      <c r="BJ35" s="95" t="b">
        <f>R35='[2]500千伏-750千伏电网基建'!R35</f>
        <v>1</v>
      </c>
      <c r="BK35" s="95" t="b">
        <f>S35='[2]500千伏-750千伏电网基建'!S35</f>
        <v>1</v>
      </c>
      <c r="BL35" s="95" t="b">
        <f>T35='[2]500千伏-750千伏电网基建'!T35</f>
        <v>1</v>
      </c>
      <c r="BM35" s="95" t="b">
        <f>U35='[2]500千伏-750千伏电网基建'!U35</f>
        <v>1</v>
      </c>
      <c r="BN35" s="95" t="b">
        <f>V35='[2]500千伏-750千伏电网基建'!V35</f>
        <v>1</v>
      </c>
      <c r="BO35" s="95" t="b">
        <f>W35='[2]500千伏-750千伏电网基建'!W35</f>
        <v>1</v>
      </c>
      <c r="BP35" s="95" t="b">
        <f>X35='[2]500千伏-750千伏电网基建'!X35</f>
        <v>1</v>
      </c>
      <c r="BQ35" s="95" t="b">
        <f>Y35='[2]500千伏-750千伏电网基建'!Y35</f>
        <v>1</v>
      </c>
      <c r="BR35" s="95" t="b">
        <f>Z35='[2]500千伏-750千伏电网基建'!Z35</f>
        <v>1</v>
      </c>
      <c r="BS35" s="95" t="b">
        <f>AA35='[2]500千伏-750千伏电网基建'!AA35</f>
        <v>1</v>
      </c>
      <c r="BT35" s="95" t="b">
        <f>AB35='[2]500千伏-750千伏电网基建'!AB35</f>
        <v>1</v>
      </c>
      <c r="BU35" s="95" t="b">
        <f>AC35='[2]500千伏-750千伏电网基建'!AC35</f>
        <v>1</v>
      </c>
      <c r="BV35" s="95" t="b">
        <f>AD35='[2]500千伏-750千伏电网基建'!AD35</f>
        <v>1</v>
      </c>
      <c r="BW35" s="95" t="b">
        <f>AE35='[2]500千伏-750千伏电网基建'!AE35</f>
        <v>1</v>
      </c>
      <c r="BX35" s="95" t="b">
        <f>AF35='[2]500千伏-750千伏电网基建'!AF35</f>
        <v>1</v>
      </c>
      <c r="BY35" s="95" t="b">
        <f>AG35='[2]500千伏-750千伏电网基建'!AG35</f>
        <v>1</v>
      </c>
      <c r="BZ35" s="95" t="b">
        <f>AH35='[2]500千伏-750千伏电网基建'!AH35</f>
        <v>1</v>
      </c>
      <c r="CA35" s="95" t="b">
        <f>AI35='[2]500千伏-750千伏电网基建'!AI35</f>
        <v>1</v>
      </c>
      <c r="CB35" s="95" t="b">
        <f>AJ35='[2]500千伏-750千伏电网基建'!AJ35</f>
        <v>1</v>
      </c>
      <c r="CC35" s="133" t="b">
        <f>AK35='[2]500千伏-750千伏电网基建'!AK35</f>
        <v>0</v>
      </c>
    </row>
    <row r="36" s="95" customFormat="1" ht="194" hidden="1" customHeight="1" spans="1:81">
      <c r="A36" s="14"/>
      <c r="B36" s="14"/>
      <c r="C36" s="15"/>
      <c r="D36" s="15"/>
      <c r="E36" s="16"/>
      <c r="F36" s="17"/>
      <c r="G36" s="15"/>
      <c r="H36" s="16"/>
      <c r="I36" s="23" t="s">
        <v>1113</v>
      </c>
      <c r="J36" s="16" t="s">
        <v>1114</v>
      </c>
      <c r="K36" s="15"/>
      <c r="L36" s="15"/>
      <c r="M36" s="46" t="s">
        <v>36</v>
      </c>
      <c r="N36" s="15"/>
      <c r="O36" s="15"/>
      <c r="P36" s="15"/>
      <c r="Q36" s="15"/>
      <c r="R36" s="15"/>
      <c r="S36" s="15"/>
      <c r="T36" s="35" t="s">
        <v>1115</v>
      </c>
      <c r="U36" s="35" t="s">
        <v>669</v>
      </c>
      <c r="V36" s="31" t="s">
        <v>1116</v>
      </c>
      <c r="W36" s="42" t="s">
        <v>705</v>
      </c>
      <c r="X36" s="15" t="s">
        <v>474</v>
      </c>
      <c r="Y36" s="15" t="s">
        <v>473</v>
      </c>
      <c r="Z36" s="15"/>
      <c r="AA36" s="15" t="s">
        <v>474</v>
      </c>
      <c r="AB36" s="15" t="s">
        <v>473</v>
      </c>
      <c r="AC36" s="15"/>
      <c r="AD36" s="15"/>
      <c r="AE36" s="30"/>
      <c r="AF36" s="30"/>
      <c r="AG36" s="30"/>
      <c r="AH36" s="15" t="s">
        <v>476</v>
      </c>
      <c r="AI36" s="15" t="s">
        <v>476</v>
      </c>
      <c r="AJ36" s="15" t="s">
        <v>699</v>
      </c>
      <c r="AK36" s="116"/>
      <c r="AL36" s="1" t="s">
        <v>1064</v>
      </c>
      <c r="AM36" s="23" t="s">
        <v>1091</v>
      </c>
      <c r="AN36" s="1"/>
      <c r="AO36" s="7" t="s">
        <v>1117</v>
      </c>
      <c r="AP36" s="7" t="s">
        <v>1117</v>
      </c>
      <c r="AQ36" s="95" t="s">
        <v>1117</v>
      </c>
      <c r="AR36" s="95" t="b">
        <f t="shared" si="0"/>
        <v>1</v>
      </c>
      <c r="AS36" s="95" t="b">
        <f>A36='[2]500千伏-750千伏电网基建'!A36</f>
        <v>1</v>
      </c>
      <c r="AT36" s="95" t="b">
        <f>B36='[2]500千伏-750千伏电网基建'!B36</f>
        <v>1</v>
      </c>
      <c r="AU36" s="95" t="b">
        <f>C36='[2]500千伏-750千伏电网基建'!C36</f>
        <v>1</v>
      </c>
      <c r="AV36" s="95" t="b">
        <f>D36='[2]500千伏-750千伏电网基建'!D36</f>
        <v>1</v>
      </c>
      <c r="AW36" s="95" t="b">
        <f>E36='[2]500千伏-750千伏电网基建'!E36</f>
        <v>1</v>
      </c>
      <c r="AX36" s="95" t="b">
        <f>F36='[2]500千伏-750千伏电网基建'!F36</f>
        <v>1</v>
      </c>
      <c r="AY36" s="95" t="b">
        <f>G36='[2]500千伏-750千伏电网基建'!G36</f>
        <v>1</v>
      </c>
      <c r="AZ36" s="95" t="b">
        <f>H36='[2]500千伏-750千伏电网基建'!H36</f>
        <v>1</v>
      </c>
      <c r="BA36" s="95" t="b">
        <f>I36='[2]500千伏-750千伏电网基建'!I36</f>
        <v>1</v>
      </c>
      <c r="BB36" s="95" t="b">
        <f>J36='[2]500千伏-750千伏电网基建'!J36</f>
        <v>1</v>
      </c>
      <c r="BC36" s="95" t="b">
        <f>K36='[2]500千伏-750千伏电网基建'!K36</f>
        <v>1</v>
      </c>
      <c r="BD36" s="95" t="b">
        <f>L36='[2]500千伏-750千伏电网基建'!L36</f>
        <v>1</v>
      </c>
      <c r="BE36" s="95" t="b">
        <f>M36='[2]500千伏-750千伏电网基建'!M36</f>
        <v>1</v>
      </c>
      <c r="BF36" s="95" t="b">
        <f>N36='[2]500千伏-750千伏电网基建'!N36</f>
        <v>1</v>
      </c>
      <c r="BG36" s="95" t="b">
        <f>O36='[2]500千伏-750千伏电网基建'!O36</f>
        <v>1</v>
      </c>
      <c r="BH36" s="95" t="b">
        <f>P36='[2]500千伏-750千伏电网基建'!P36</f>
        <v>1</v>
      </c>
      <c r="BI36" s="95" t="b">
        <f>Q36='[2]500千伏-750千伏电网基建'!Q36</f>
        <v>1</v>
      </c>
      <c r="BJ36" s="95" t="b">
        <f>R36='[2]500千伏-750千伏电网基建'!R36</f>
        <v>1</v>
      </c>
      <c r="BK36" s="95" t="b">
        <f>S36='[2]500千伏-750千伏电网基建'!S36</f>
        <v>1</v>
      </c>
      <c r="BL36" s="95" t="b">
        <f>T36='[2]500千伏-750千伏电网基建'!T36</f>
        <v>1</v>
      </c>
      <c r="BM36" s="95" t="b">
        <f>U36='[2]500千伏-750千伏电网基建'!U36</f>
        <v>1</v>
      </c>
      <c r="BN36" s="95" t="b">
        <f>V36='[2]500千伏-750千伏电网基建'!V36</f>
        <v>1</v>
      </c>
      <c r="BO36" s="95" t="b">
        <f>W36='[2]500千伏-750千伏电网基建'!W36</f>
        <v>1</v>
      </c>
      <c r="BP36" s="95" t="b">
        <f>X36='[2]500千伏-750千伏电网基建'!X36</f>
        <v>1</v>
      </c>
      <c r="BQ36" s="95" t="b">
        <f>Y36='[2]500千伏-750千伏电网基建'!Y36</f>
        <v>1</v>
      </c>
      <c r="BR36" s="95" t="b">
        <f>Z36='[2]500千伏-750千伏电网基建'!Z36</f>
        <v>1</v>
      </c>
      <c r="BS36" s="95" t="b">
        <f>AA36='[2]500千伏-750千伏电网基建'!AA36</f>
        <v>1</v>
      </c>
      <c r="BT36" s="95" t="b">
        <f>AB36='[2]500千伏-750千伏电网基建'!AB36</f>
        <v>1</v>
      </c>
      <c r="BU36" s="95" t="b">
        <f>AC36='[2]500千伏-750千伏电网基建'!AC36</f>
        <v>1</v>
      </c>
      <c r="BV36" s="95" t="b">
        <f>AD36='[2]500千伏-750千伏电网基建'!AD36</f>
        <v>1</v>
      </c>
      <c r="BW36" s="95" t="b">
        <f>AE36='[2]500千伏-750千伏电网基建'!AE36</f>
        <v>1</v>
      </c>
      <c r="BX36" s="95" t="b">
        <f>AF36='[2]500千伏-750千伏电网基建'!AF36</f>
        <v>1</v>
      </c>
      <c r="BY36" s="95" t="b">
        <f>AG36='[2]500千伏-750千伏电网基建'!AG36</f>
        <v>1</v>
      </c>
      <c r="BZ36" s="95" t="b">
        <f>AH36='[2]500千伏-750千伏电网基建'!AH36</f>
        <v>1</v>
      </c>
      <c r="CA36" s="95" t="b">
        <f>AI36='[2]500千伏-750千伏电网基建'!AI36</f>
        <v>1</v>
      </c>
      <c r="CB36" s="95" t="b">
        <f>AJ36='[2]500千伏-750千伏电网基建'!AJ36</f>
        <v>1</v>
      </c>
      <c r="CC36" s="95" t="b">
        <f>AK36='[2]500千伏-750千伏电网基建'!AK36</f>
        <v>1</v>
      </c>
    </row>
    <row r="37" s="95" customFormat="1" ht="118" customHeight="1" spans="1:81">
      <c r="A37" s="14"/>
      <c r="B37" s="14"/>
      <c r="C37" s="15"/>
      <c r="D37" s="15"/>
      <c r="E37" s="16"/>
      <c r="F37" s="17"/>
      <c r="G37" s="15"/>
      <c r="H37" s="16"/>
      <c r="I37" s="23" t="s">
        <v>1118</v>
      </c>
      <c r="J37" s="16" t="s">
        <v>1119</v>
      </c>
      <c r="K37" s="15"/>
      <c r="L37" s="15"/>
      <c r="M37" s="15"/>
      <c r="N37" s="15"/>
      <c r="O37" s="15" t="s">
        <v>36</v>
      </c>
      <c r="P37" s="15"/>
      <c r="Q37" s="15" t="s">
        <v>36</v>
      </c>
      <c r="R37" s="15"/>
      <c r="S37" s="15"/>
      <c r="T37" s="35" t="s">
        <v>1120</v>
      </c>
      <c r="U37" s="46" t="s">
        <v>669</v>
      </c>
      <c r="V37" s="16" t="s">
        <v>1121</v>
      </c>
      <c r="W37" s="42" t="s">
        <v>1122</v>
      </c>
      <c r="X37" s="15" t="s">
        <v>474</v>
      </c>
      <c r="Y37" s="15" t="s">
        <v>473</v>
      </c>
      <c r="Z37" s="15"/>
      <c r="AA37" s="15" t="s">
        <v>474</v>
      </c>
      <c r="AB37" s="15" t="s">
        <v>473</v>
      </c>
      <c r="AC37" s="15"/>
      <c r="AD37" s="15"/>
      <c r="AE37" s="30"/>
      <c r="AF37" s="30"/>
      <c r="AG37" s="30"/>
      <c r="AH37" s="15" t="s">
        <v>476</v>
      </c>
      <c r="AI37" s="15" t="s">
        <v>476</v>
      </c>
      <c r="AJ37" s="15" t="s">
        <v>699</v>
      </c>
      <c r="AK37" s="116"/>
      <c r="AL37" s="1" t="s">
        <v>1064</v>
      </c>
      <c r="AM37" s="23" t="s">
        <v>1091</v>
      </c>
      <c r="AN37" s="1"/>
      <c r="AO37" s="7" t="s">
        <v>1117</v>
      </c>
      <c r="AP37" s="7" t="s">
        <v>1123</v>
      </c>
      <c r="AQ37" s="129" t="s">
        <v>1124</v>
      </c>
      <c r="AR37" s="95" t="b">
        <f t="shared" si="0"/>
        <v>0</v>
      </c>
      <c r="AS37" s="95" t="b">
        <f>A37='[2]500千伏-750千伏电网基建'!A37</f>
        <v>1</v>
      </c>
      <c r="AT37" s="95" t="b">
        <f>B37='[2]500千伏-750千伏电网基建'!B37</f>
        <v>1</v>
      </c>
      <c r="AU37" s="95" t="b">
        <f>C37='[2]500千伏-750千伏电网基建'!C37</f>
        <v>1</v>
      </c>
      <c r="AV37" s="95" t="b">
        <f>D37='[2]500千伏-750千伏电网基建'!D37</f>
        <v>1</v>
      </c>
      <c r="AW37" s="95" t="b">
        <f>E37='[2]500千伏-750千伏电网基建'!E37</f>
        <v>1</v>
      </c>
      <c r="AX37" s="95" t="b">
        <f>F37='[2]500千伏-750千伏电网基建'!F37</f>
        <v>1</v>
      </c>
      <c r="AY37" s="95" t="b">
        <f>G37='[2]500千伏-750千伏电网基建'!G37</f>
        <v>1</v>
      </c>
      <c r="AZ37" s="95" t="b">
        <f>H37='[2]500千伏-750千伏电网基建'!H37</f>
        <v>1</v>
      </c>
      <c r="BA37" s="95" t="b">
        <f>I37='[2]500千伏-750千伏电网基建'!I37</f>
        <v>1</v>
      </c>
      <c r="BB37" s="95" t="b">
        <f>J37='[2]500千伏-750千伏电网基建'!J37</f>
        <v>1</v>
      </c>
      <c r="BC37" s="95" t="b">
        <f>K37='[2]500千伏-750千伏电网基建'!K37</f>
        <v>1</v>
      </c>
      <c r="BD37" s="95" t="b">
        <f>L37='[2]500千伏-750千伏电网基建'!L37</f>
        <v>1</v>
      </c>
      <c r="BE37" s="95" t="b">
        <f>M37='[2]500千伏-750千伏电网基建'!M37</f>
        <v>1</v>
      </c>
      <c r="BF37" s="95" t="b">
        <f>N37='[2]500千伏-750千伏电网基建'!N37</f>
        <v>1</v>
      </c>
      <c r="BG37" s="95" t="b">
        <f>O37='[2]500千伏-750千伏电网基建'!O37</f>
        <v>1</v>
      </c>
      <c r="BH37" s="95" t="b">
        <f>P37='[2]500千伏-750千伏电网基建'!P37</f>
        <v>1</v>
      </c>
      <c r="BI37" s="95" t="b">
        <f>Q37='[2]500千伏-750千伏电网基建'!Q37</f>
        <v>1</v>
      </c>
      <c r="BJ37" s="95" t="b">
        <f>R37='[2]500千伏-750千伏电网基建'!R37</f>
        <v>1</v>
      </c>
      <c r="BK37" s="95" t="b">
        <f>S37='[2]500千伏-750千伏电网基建'!S37</f>
        <v>1</v>
      </c>
      <c r="BL37" s="95" t="b">
        <f>T37='[2]500千伏-750千伏电网基建'!T37</f>
        <v>1</v>
      </c>
      <c r="BM37" s="95" t="b">
        <f>U37='[2]500千伏-750千伏电网基建'!U37</f>
        <v>1</v>
      </c>
      <c r="BN37" s="95" t="b">
        <f>V37='[2]500千伏-750千伏电网基建'!V37</f>
        <v>1</v>
      </c>
      <c r="BO37" s="95" t="b">
        <f>W37='[2]500千伏-750千伏电网基建'!W37</f>
        <v>1</v>
      </c>
      <c r="BP37" s="95" t="b">
        <f>X37='[2]500千伏-750千伏电网基建'!X37</f>
        <v>1</v>
      </c>
      <c r="BQ37" s="95" t="b">
        <f>Y37='[2]500千伏-750千伏电网基建'!Y37</f>
        <v>1</v>
      </c>
      <c r="BR37" s="95" t="b">
        <f>Z37='[2]500千伏-750千伏电网基建'!Z37</f>
        <v>1</v>
      </c>
      <c r="BS37" s="95" t="b">
        <f>AA37='[2]500千伏-750千伏电网基建'!AA37</f>
        <v>1</v>
      </c>
      <c r="BT37" s="95" t="b">
        <f>AB37='[2]500千伏-750千伏电网基建'!AB37</f>
        <v>1</v>
      </c>
      <c r="BU37" s="95" t="b">
        <f>AC37='[2]500千伏-750千伏电网基建'!AC37</f>
        <v>1</v>
      </c>
      <c r="BV37" s="95" t="b">
        <f>AD37='[2]500千伏-750千伏电网基建'!AD37</f>
        <v>1</v>
      </c>
      <c r="BW37" s="95" t="b">
        <f>AE37='[2]500千伏-750千伏电网基建'!AE37</f>
        <v>1</v>
      </c>
      <c r="BX37" s="95" t="b">
        <f>AF37='[2]500千伏-750千伏电网基建'!AF37</f>
        <v>1</v>
      </c>
      <c r="BY37" s="95" t="b">
        <f>AG37='[2]500千伏-750千伏电网基建'!AG37</f>
        <v>1</v>
      </c>
      <c r="BZ37" s="95" t="b">
        <f>AH37='[2]500千伏-750千伏电网基建'!AH37</f>
        <v>1</v>
      </c>
      <c r="CA37" s="95" t="b">
        <f>AI37='[2]500千伏-750千伏电网基建'!AI37</f>
        <v>1</v>
      </c>
      <c r="CB37" s="95" t="b">
        <f>AJ37='[2]500千伏-750千伏电网基建'!AJ37</f>
        <v>1</v>
      </c>
      <c r="CC37" s="95" t="b">
        <f>AK37='[2]500千伏-750千伏电网基建'!AK37</f>
        <v>1</v>
      </c>
    </row>
    <row r="38" s="95" customFormat="1" ht="118" hidden="1" customHeight="1" spans="1:81">
      <c r="A38" s="14"/>
      <c r="B38" s="14"/>
      <c r="C38" s="15"/>
      <c r="D38" s="15"/>
      <c r="E38" s="16"/>
      <c r="F38" s="17"/>
      <c r="G38" s="15"/>
      <c r="H38" s="16"/>
      <c r="I38" s="23" t="s">
        <v>1125</v>
      </c>
      <c r="J38" s="16" t="s">
        <v>1126</v>
      </c>
      <c r="K38" s="15"/>
      <c r="L38" s="15"/>
      <c r="M38" s="15"/>
      <c r="N38" s="15"/>
      <c r="O38" s="46" t="s">
        <v>36</v>
      </c>
      <c r="P38" s="15"/>
      <c r="Q38" s="15" t="s">
        <v>36</v>
      </c>
      <c r="R38" s="15"/>
      <c r="S38" s="15"/>
      <c r="T38" s="15" t="s">
        <v>492</v>
      </c>
      <c r="U38" s="15"/>
      <c r="V38" s="16" t="s">
        <v>1127</v>
      </c>
      <c r="W38" s="35" t="s">
        <v>713</v>
      </c>
      <c r="X38" s="15" t="s">
        <v>474</v>
      </c>
      <c r="Y38" s="15" t="s">
        <v>473</v>
      </c>
      <c r="Z38" s="15"/>
      <c r="AA38" s="15" t="s">
        <v>474</v>
      </c>
      <c r="AB38" s="15" t="s">
        <v>473</v>
      </c>
      <c r="AC38" s="15"/>
      <c r="AD38" s="15"/>
      <c r="AE38" s="30"/>
      <c r="AF38" s="30"/>
      <c r="AG38" s="30"/>
      <c r="AH38" s="15" t="s">
        <v>476</v>
      </c>
      <c r="AI38" s="15" t="s">
        <v>476</v>
      </c>
      <c r="AJ38" s="15" t="s">
        <v>699</v>
      </c>
      <c r="AK38" s="118"/>
      <c r="AL38" s="1" t="s">
        <v>1064</v>
      </c>
      <c r="AM38" s="23" t="s">
        <v>470</v>
      </c>
      <c r="AN38" s="1"/>
      <c r="AO38" s="7" t="s">
        <v>1128</v>
      </c>
      <c r="AP38" s="7" t="s">
        <v>1128</v>
      </c>
      <c r="AQ38" s="95" t="s">
        <v>1128</v>
      </c>
      <c r="AR38" s="95" t="b">
        <f t="shared" si="0"/>
        <v>1</v>
      </c>
      <c r="AS38" s="95" t="b">
        <f>A38='[2]500千伏-750千伏电网基建'!A38</f>
        <v>1</v>
      </c>
      <c r="AT38" s="95" t="b">
        <f>B38='[2]500千伏-750千伏电网基建'!B38</f>
        <v>1</v>
      </c>
      <c r="AU38" s="95" t="b">
        <f>C38='[2]500千伏-750千伏电网基建'!C38</f>
        <v>1</v>
      </c>
      <c r="AV38" s="95" t="b">
        <f>D38='[2]500千伏-750千伏电网基建'!D38</f>
        <v>1</v>
      </c>
      <c r="AW38" s="95" t="b">
        <f>E38='[2]500千伏-750千伏电网基建'!E38</f>
        <v>1</v>
      </c>
      <c r="AX38" s="95" t="b">
        <f>F38='[2]500千伏-750千伏电网基建'!F38</f>
        <v>1</v>
      </c>
      <c r="AY38" s="95" t="b">
        <f>G38='[2]500千伏-750千伏电网基建'!G38</f>
        <v>1</v>
      </c>
      <c r="AZ38" s="95" t="b">
        <f>H38='[2]500千伏-750千伏电网基建'!H38</f>
        <v>1</v>
      </c>
      <c r="BA38" s="95" t="b">
        <f>I38='[2]500千伏-750千伏电网基建'!I38</f>
        <v>1</v>
      </c>
      <c r="BB38" s="95" t="b">
        <f>J38='[2]500千伏-750千伏电网基建'!J38</f>
        <v>1</v>
      </c>
      <c r="BC38" s="95" t="b">
        <f>K38='[2]500千伏-750千伏电网基建'!K38</f>
        <v>1</v>
      </c>
      <c r="BD38" s="95" t="b">
        <f>L38='[2]500千伏-750千伏电网基建'!L38</f>
        <v>1</v>
      </c>
      <c r="BE38" s="95" t="b">
        <f>M38='[2]500千伏-750千伏电网基建'!M38</f>
        <v>1</v>
      </c>
      <c r="BF38" s="95" t="b">
        <f>N38='[2]500千伏-750千伏电网基建'!N38</f>
        <v>1</v>
      </c>
      <c r="BG38" s="95" t="b">
        <f>O38='[2]500千伏-750千伏电网基建'!O38</f>
        <v>1</v>
      </c>
      <c r="BH38" s="95" t="b">
        <f>P38='[2]500千伏-750千伏电网基建'!P38</f>
        <v>1</v>
      </c>
      <c r="BI38" s="95" t="b">
        <f>Q38='[2]500千伏-750千伏电网基建'!Q38</f>
        <v>1</v>
      </c>
      <c r="BJ38" s="95" t="b">
        <f>R38='[2]500千伏-750千伏电网基建'!R38</f>
        <v>1</v>
      </c>
      <c r="BK38" s="95" t="b">
        <f>S38='[2]500千伏-750千伏电网基建'!S38</f>
        <v>1</v>
      </c>
      <c r="BL38" s="95" t="b">
        <f>T38='[2]500千伏-750千伏电网基建'!T38</f>
        <v>1</v>
      </c>
      <c r="BM38" s="95" t="b">
        <f>U38='[2]500千伏-750千伏电网基建'!U38</f>
        <v>1</v>
      </c>
      <c r="BN38" s="95" t="b">
        <f>V38='[2]500千伏-750千伏电网基建'!V38</f>
        <v>1</v>
      </c>
      <c r="BO38" s="95" t="b">
        <f>W38='[2]500千伏-750千伏电网基建'!W38</f>
        <v>1</v>
      </c>
      <c r="BP38" s="95" t="b">
        <f>X38='[2]500千伏-750千伏电网基建'!X38</f>
        <v>1</v>
      </c>
      <c r="BQ38" s="95" t="b">
        <f>Y38='[2]500千伏-750千伏电网基建'!Y38</f>
        <v>1</v>
      </c>
      <c r="BR38" s="95" t="b">
        <f>Z38='[2]500千伏-750千伏电网基建'!Z38</f>
        <v>1</v>
      </c>
      <c r="BS38" s="95" t="b">
        <f>AA38='[2]500千伏-750千伏电网基建'!AA38</f>
        <v>1</v>
      </c>
      <c r="BT38" s="95" t="b">
        <f>AB38='[2]500千伏-750千伏电网基建'!AB38</f>
        <v>1</v>
      </c>
      <c r="BU38" s="95" t="b">
        <f>AC38='[2]500千伏-750千伏电网基建'!AC38</f>
        <v>1</v>
      </c>
      <c r="BV38" s="95" t="b">
        <f>AD38='[2]500千伏-750千伏电网基建'!AD38</f>
        <v>1</v>
      </c>
      <c r="BW38" s="95" t="b">
        <f>AE38='[2]500千伏-750千伏电网基建'!AE38</f>
        <v>1</v>
      </c>
      <c r="BX38" s="95" t="b">
        <f>AF38='[2]500千伏-750千伏电网基建'!AF38</f>
        <v>1</v>
      </c>
      <c r="BY38" s="95" t="b">
        <f>AG38='[2]500千伏-750千伏电网基建'!AG38</f>
        <v>1</v>
      </c>
      <c r="BZ38" s="95" t="b">
        <f>AH38='[2]500千伏-750千伏电网基建'!AH38</f>
        <v>1</v>
      </c>
      <c r="CA38" s="95" t="b">
        <f>AI38='[2]500千伏-750千伏电网基建'!AI38</f>
        <v>1</v>
      </c>
      <c r="CB38" s="95" t="b">
        <f>AJ38='[2]500千伏-750千伏电网基建'!AJ38</f>
        <v>1</v>
      </c>
      <c r="CC38" s="95" t="b">
        <f>AK38='[2]500千伏-750千伏电网基建'!AK38</f>
        <v>1</v>
      </c>
    </row>
    <row r="39" s="95" customFormat="1" ht="101" hidden="1" customHeight="1" spans="1:81">
      <c r="A39" s="14"/>
      <c r="B39" s="14"/>
      <c r="C39" s="15" t="s">
        <v>485</v>
      </c>
      <c r="D39" s="15" t="s">
        <v>714</v>
      </c>
      <c r="E39" s="16" t="s">
        <v>715</v>
      </c>
      <c r="F39" s="49"/>
      <c r="G39" s="15" t="s">
        <v>1129</v>
      </c>
      <c r="H39" s="16" t="s">
        <v>717</v>
      </c>
      <c r="I39" s="23" t="s">
        <v>1130</v>
      </c>
      <c r="J39" s="16" t="s">
        <v>1131</v>
      </c>
      <c r="K39" s="15"/>
      <c r="L39" s="15" t="s">
        <v>36</v>
      </c>
      <c r="M39" s="15" t="s">
        <v>36</v>
      </c>
      <c r="N39" s="15"/>
      <c r="O39" s="15"/>
      <c r="P39" s="15"/>
      <c r="Q39" s="15"/>
      <c r="R39" s="15"/>
      <c r="S39" s="15"/>
      <c r="T39" s="15" t="s">
        <v>492</v>
      </c>
      <c r="U39" s="15"/>
      <c r="V39" s="16" t="s">
        <v>720</v>
      </c>
      <c r="W39" s="38" t="s">
        <v>721</v>
      </c>
      <c r="X39" s="23" t="s">
        <v>474</v>
      </c>
      <c r="Y39" s="23" t="s">
        <v>473</v>
      </c>
      <c r="Z39" s="50"/>
      <c r="AA39" s="50" t="s">
        <v>474</v>
      </c>
      <c r="AB39" s="50" t="s">
        <v>473</v>
      </c>
      <c r="AC39" s="51"/>
      <c r="AD39" s="50"/>
      <c r="AE39" s="50"/>
      <c r="AF39" s="50"/>
      <c r="AG39" s="51"/>
      <c r="AH39" s="15" t="s">
        <v>476</v>
      </c>
      <c r="AI39" s="15" t="s">
        <v>476</v>
      </c>
      <c r="AJ39" s="15" t="s">
        <v>722</v>
      </c>
      <c r="AK39" s="23" t="s">
        <v>599</v>
      </c>
      <c r="AL39" s="107" t="s">
        <v>1073</v>
      </c>
      <c r="AM39" s="23" t="s">
        <v>1053</v>
      </c>
      <c r="AN39" s="1"/>
      <c r="AO39" s="7" t="s">
        <v>1045</v>
      </c>
      <c r="AP39" s="7" t="s">
        <v>1045</v>
      </c>
      <c r="AQ39" s="7" t="s">
        <v>1045</v>
      </c>
      <c r="AR39" s="95" t="b">
        <f t="shared" si="0"/>
        <v>1</v>
      </c>
      <c r="AS39" s="95" t="b">
        <f>A39='[2]500千伏-750千伏电网基建'!A39</f>
        <v>1</v>
      </c>
      <c r="AT39" s="95" t="b">
        <f>B39='[2]500千伏-750千伏电网基建'!B39</f>
        <v>1</v>
      </c>
      <c r="AU39" s="95" t="b">
        <f>C39='[2]500千伏-750千伏电网基建'!C39</f>
        <v>1</v>
      </c>
      <c r="AV39" s="95" t="b">
        <f>D39='[2]500千伏-750千伏电网基建'!D39</f>
        <v>1</v>
      </c>
      <c r="AW39" s="95" t="b">
        <f>E39='[2]500千伏-750千伏电网基建'!E39</f>
        <v>1</v>
      </c>
      <c r="AX39" s="95" t="b">
        <f>F39='[2]500千伏-750千伏电网基建'!F39</f>
        <v>1</v>
      </c>
      <c r="AY39" s="95" t="b">
        <f>G39='[2]500千伏-750千伏电网基建'!G39</f>
        <v>1</v>
      </c>
      <c r="AZ39" s="95" t="b">
        <f>H39='[2]500千伏-750千伏电网基建'!H39</f>
        <v>1</v>
      </c>
      <c r="BA39" s="95" t="b">
        <f>I39='[2]500千伏-750千伏电网基建'!I39</f>
        <v>1</v>
      </c>
      <c r="BB39" s="95" t="b">
        <f>J39='[2]500千伏-750千伏电网基建'!J39</f>
        <v>1</v>
      </c>
      <c r="BC39" s="95" t="b">
        <f>K39='[2]500千伏-750千伏电网基建'!K39</f>
        <v>1</v>
      </c>
      <c r="BD39" s="95" t="b">
        <f>L39='[2]500千伏-750千伏电网基建'!L39</f>
        <v>1</v>
      </c>
      <c r="BE39" s="95" t="b">
        <f>M39='[2]500千伏-750千伏电网基建'!M39</f>
        <v>1</v>
      </c>
      <c r="BF39" s="95" t="b">
        <f>N39='[2]500千伏-750千伏电网基建'!N39</f>
        <v>1</v>
      </c>
      <c r="BG39" s="95" t="b">
        <f>O39='[2]500千伏-750千伏电网基建'!O39</f>
        <v>1</v>
      </c>
      <c r="BH39" s="95" t="b">
        <f>P39='[2]500千伏-750千伏电网基建'!P39</f>
        <v>1</v>
      </c>
      <c r="BI39" s="95" t="b">
        <f>Q39='[2]500千伏-750千伏电网基建'!Q39</f>
        <v>1</v>
      </c>
      <c r="BJ39" s="95" t="b">
        <f>R39='[2]500千伏-750千伏电网基建'!R39</f>
        <v>1</v>
      </c>
      <c r="BK39" s="95" t="b">
        <f>S39='[2]500千伏-750千伏电网基建'!S39</f>
        <v>1</v>
      </c>
      <c r="BL39" s="95" t="b">
        <f>T39='[2]500千伏-750千伏电网基建'!T39</f>
        <v>1</v>
      </c>
      <c r="BM39" s="95" t="b">
        <f>U39='[2]500千伏-750千伏电网基建'!U39</f>
        <v>1</v>
      </c>
      <c r="BN39" s="95" t="b">
        <f>V39='[2]500千伏-750千伏电网基建'!V39</f>
        <v>1</v>
      </c>
      <c r="BO39" s="95" t="b">
        <f>W39='[2]500千伏-750千伏电网基建'!W39</f>
        <v>1</v>
      </c>
      <c r="BP39" s="95" t="b">
        <f>X39='[2]500千伏-750千伏电网基建'!X39</f>
        <v>1</v>
      </c>
      <c r="BQ39" s="95" t="b">
        <f>Y39='[2]500千伏-750千伏电网基建'!Y39</f>
        <v>1</v>
      </c>
      <c r="BR39" s="95" t="b">
        <f>Z39='[2]500千伏-750千伏电网基建'!Z39</f>
        <v>1</v>
      </c>
      <c r="BS39" s="95" t="b">
        <f>AA39='[2]500千伏-750千伏电网基建'!AA39</f>
        <v>1</v>
      </c>
      <c r="BT39" s="95" t="b">
        <f>AB39='[2]500千伏-750千伏电网基建'!AB39</f>
        <v>1</v>
      </c>
      <c r="BU39" s="95" t="b">
        <f>AC39='[2]500千伏-750千伏电网基建'!AC39</f>
        <v>1</v>
      </c>
      <c r="BV39" s="95" t="b">
        <f>AD39='[2]500千伏-750千伏电网基建'!AD39</f>
        <v>1</v>
      </c>
      <c r="BW39" s="95" t="b">
        <f>AE39='[2]500千伏-750千伏电网基建'!AE39</f>
        <v>1</v>
      </c>
      <c r="BX39" s="95" t="b">
        <f>AF39='[2]500千伏-750千伏电网基建'!AF39</f>
        <v>1</v>
      </c>
      <c r="BY39" s="95" t="b">
        <f>AG39='[2]500千伏-750千伏电网基建'!AG39</f>
        <v>1</v>
      </c>
      <c r="BZ39" s="95" t="b">
        <f>AH39='[2]500千伏-750千伏电网基建'!AH39</f>
        <v>1</v>
      </c>
      <c r="CA39" s="95" t="b">
        <f>AI39='[2]500千伏-750千伏电网基建'!AI39</f>
        <v>1</v>
      </c>
      <c r="CB39" s="95" t="b">
        <f>AJ39='[2]500千伏-750千伏电网基建'!AJ39</f>
        <v>1</v>
      </c>
      <c r="CC39" s="95" t="b">
        <f>AK39='[2]500千伏-750千伏电网基建'!AK39</f>
        <v>1</v>
      </c>
    </row>
    <row r="40" s="95" customFormat="1" ht="137" hidden="1" customHeight="1" spans="1:81">
      <c r="A40" s="14"/>
      <c r="B40" s="46" t="s">
        <v>1132</v>
      </c>
      <c r="C40" s="15"/>
      <c r="D40" s="15"/>
      <c r="E40" s="52" t="s">
        <v>1133</v>
      </c>
      <c r="F40" s="53"/>
      <c r="G40" s="46" t="s">
        <v>1134</v>
      </c>
      <c r="H40" s="52" t="s">
        <v>1135</v>
      </c>
      <c r="I40" s="54" t="s">
        <v>1136</v>
      </c>
      <c r="J40" s="52" t="s">
        <v>1137</v>
      </c>
      <c r="K40" s="46"/>
      <c r="L40" s="46"/>
      <c r="M40" s="46"/>
      <c r="N40" s="46"/>
      <c r="O40" s="46"/>
      <c r="P40" s="46"/>
      <c r="Q40" s="46"/>
      <c r="R40" s="46"/>
      <c r="S40" s="46"/>
      <c r="T40" s="46" t="s">
        <v>492</v>
      </c>
      <c r="U40" s="46"/>
      <c r="V40" s="52" t="s">
        <v>1138</v>
      </c>
      <c r="W40" s="55" t="s">
        <v>1139</v>
      </c>
      <c r="X40" s="23"/>
      <c r="Y40" s="23"/>
      <c r="Z40" s="50"/>
      <c r="AA40" s="50"/>
      <c r="AB40" s="50"/>
      <c r="AC40" s="51"/>
      <c r="AD40" s="50"/>
      <c r="AE40" s="50"/>
      <c r="AF40" s="50"/>
      <c r="AG40" s="51"/>
      <c r="AH40" s="15"/>
      <c r="AI40" s="15"/>
      <c r="AJ40" s="46" t="s">
        <v>1140</v>
      </c>
      <c r="AK40" s="54" t="s">
        <v>470</v>
      </c>
      <c r="AL40" s="1" t="s">
        <v>1064</v>
      </c>
      <c r="AM40" s="54" t="s">
        <v>1141</v>
      </c>
      <c r="AN40" s="23" t="s">
        <v>1142</v>
      </c>
      <c r="AO40" s="7" t="s">
        <v>1143</v>
      </c>
      <c r="AP40" s="7" t="s">
        <v>1144</v>
      </c>
      <c r="AQ40" s="7" t="s">
        <v>1144</v>
      </c>
      <c r="AR40" s="95" t="b">
        <f t="shared" si="0"/>
        <v>1</v>
      </c>
      <c r="AS40" s="95" t="b">
        <f>A40='[2]500千伏-750千伏电网基建'!A40</f>
        <v>1</v>
      </c>
      <c r="AT40" s="95" t="b">
        <f>B40='[2]500千伏-750千伏电网基建'!B40</f>
        <v>1</v>
      </c>
      <c r="AU40" s="95" t="b">
        <f>C40='[2]500千伏-750千伏电网基建'!C40</f>
        <v>1</v>
      </c>
      <c r="AV40" s="95" t="b">
        <f>D40='[2]500千伏-750千伏电网基建'!D40</f>
        <v>1</v>
      </c>
      <c r="AW40" s="95" t="b">
        <f>E40='[2]500千伏-750千伏电网基建'!E40</f>
        <v>1</v>
      </c>
      <c r="AX40" s="95" t="b">
        <f>F40='[2]500千伏-750千伏电网基建'!F40</f>
        <v>1</v>
      </c>
      <c r="AY40" s="95" t="b">
        <f>G40='[2]500千伏-750千伏电网基建'!G40</f>
        <v>1</v>
      </c>
      <c r="AZ40" s="95" t="b">
        <f>H40='[2]500千伏-750千伏电网基建'!H40</f>
        <v>1</v>
      </c>
      <c r="BA40" s="95" t="b">
        <f>I40='[2]500千伏-750千伏电网基建'!I40</f>
        <v>1</v>
      </c>
      <c r="BB40" s="95" t="b">
        <f>J40='[2]500千伏-750千伏电网基建'!J40</f>
        <v>1</v>
      </c>
      <c r="BC40" s="95" t="b">
        <f>K40='[2]500千伏-750千伏电网基建'!K40</f>
        <v>1</v>
      </c>
      <c r="BD40" s="95" t="b">
        <f>L40='[2]500千伏-750千伏电网基建'!L40</f>
        <v>1</v>
      </c>
      <c r="BE40" s="95" t="b">
        <f>M40='[2]500千伏-750千伏电网基建'!M40</f>
        <v>1</v>
      </c>
      <c r="BF40" s="95" t="b">
        <f>N40='[2]500千伏-750千伏电网基建'!N40</f>
        <v>1</v>
      </c>
      <c r="BG40" s="95" t="b">
        <f>O40='[2]500千伏-750千伏电网基建'!O40</f>
        <v>1</v>
      </c>
      <c r="BH40" s="95" t="b">
        <f>P40='[2]500千伏-750千伏电网基建'!P40</f>
        <v>1</v>
      </c>
      <c r="BI40" s="95" t="b">
        <f>Q40='[2]500千伏-750千伏电网基建'!Q40</f>
        <v>1</v>
      </c>
      <c r="BJ40" s="95" t="b">
        <f>R40='[2]500千伏-750千伏电网基建'!R40</f>
        <v>1</v>
      </c>
      <c r="BK40" s="95" t="b">
        <f>S40='[2]500千伏-750千伏电网基建'!S40</f>
        <v>1</v>
      </c>
      <c r="BL40" s="95" t="b">
        <f>T40='[2]500千伏-750千伏电网基建'!T40</f>
        <v>1</v>
      </c>
      <c r="BM40" s="95" t="b">
        <f>U40='[2]500千伏-750千伏电网基建'!U40</f>
        <v>1</v>
      </c>
      <c r="BN40" s="95" t="b">
        <f>V40='[2]500千伏-750千伏电网基建'!V40</f>
        <v>1</v>
      </c>
      <c r="BO40" s="95" t="b">
        <f>W40='[2]500千伏-750千伏电网基建'!W40</f>
        <v>1</v>
      </c>
      <c r="BP40" s="95" t="b">
        <f>X40='[2]500千伏-750千伏电网基建'!X40</f>
        <v>1</v>
      </c>
      <c r="BQ40" s="95" t="b">
        <f>Y40='[2]500千伏-750千伏电网基建'!Y40</f>
        <v>1</v>
      </c>
      <c r="BR40" s="95" t="b">
        <f>Z40='[2]500千伏-750千伏电网基建'!Z40</f>
        <v>1</v>
      </c>
      <c r="BS40" s="95" t="b">
        <f>AA40='[2]500千伏-750千伏电网基建'!AA40</f>
        <v>1</v>
      </c>
      <c r="BT40" s="95" t="b">
        <f>AB40='[2]500千伏-750千伏电网基建'!AB40</f>
        <v>1</v>
      </c>
      <c r="BU40" s="95" t="b">
        <f>AC40='[2]500千伏-750千伏电网基建'!AC40</f>
        <v>1</v>
      </c>
      <c r="BV40" s="95" t="b">
        <f>AD40='[2]500千伏-750千伏电网基建'!AD40</f>
        <v>1</v>
      </c>
      <c r="BW40" s="95" t="b">
        <f>AE40='[2]500千伏-750千伏电网基建'!AE40</f>
        <v>1</v>
      </c>
      <c r="BX40" s="95" t="b">
        <f>AF40='[2]500千伏-750千伏电网基建'!AF40</f>
        <v>1</v>
      </c>
      <c r="BY40" s="95" t="b">
        <f>AG40='[2]500千伏-750千伏电网基建'!AG40</f>
        <v>1</v>
      </c>
      <c r="BZ40" s="95" t="b">
        <f>AH40='[2]500千伏-750千伏电网基建'!AH40</f>
        <v>1</v>
      </c>
      <c r="CA40" s="95" t="b">
        <f>AI40='[2]500千伏-750千伏电网基建'!AI40</f>
        <v>1</v>
      </c>
      <c r="CB40" s="95" t="b">
        <f>AJ40='[2]500千伏-750千伏电网基建'!AJ40</f>
        <v>1</v>
      </c>
      <c r="CC40" s="95" t="b">
        <f>AK40='[2]500千伏-750千伏电网基建'!AK40</f>
        <v>1</v>
      </c>
    </row>
    <row r="41" s="95" customFormat="1" ht="122" hidden="1" customHeight="1" spans="1:81">
      <c r="A41" s="14" t="s">
        <v>483</v>
      </c>
      <c r="B41" s="14" t="s">
        <v>662</v>
      </c>
      <c r="C41" s="15" t="s">
        <v>485</v>
      </c>
      <c r="D41" s="15" t="s">
        <v>731</v>
      </c>
      <c r="E41" s="16" t="s">
        <v>732</v>
      </c>
      <c r="F41" s="17" t="s">
        <v>733</v>
      </c>
      <c r="G41" s="15" t="s">
        <v>1145</v>
      </c>
      <c r="H41" s="16" t="s">
        <v>735</v>
      </c>
      <c r="I41" s="23" t="s">
        <v>1146</v>
      </c>
      <c r="J41" s="132" t="s">
        <v>737</v>
      </c>
      <c r="K41" s="15"/>
      <c r="L41" s="15" t="s">
        <v>36</v>
      </c>
      <c r="M41" s="15" t="s">
        <v>36</v>
      </c>
      <c r="N41" s="15"/>
      <c r="O41" s="15"/>
      <c r="P41" s="15"/>
      <c r="Q41" s="15"/>
      <c r="R41" s="15"/>
      <c r="S41" s="15"/>
      <c r="T41" s="15" t="s">
        <v>492</v>
      </c>
      <c r="U41" s="15"/>
      <c r="V41" s="31" t="s">
        <v>738</v>
      </c>
      <c r="W41" s="56" t="s">
        <v>739</v>
      </c>
      <c r="X41" s="15" t="s">
        <v>474</v>
      </c>
      <c r="Y41" s="15" t="s">
        <v>473</v>
      </c>
      <c r="Z41" s="30"/>
      <c r="AA41" s="15" t="s">
        <v>474</v>
      </c>
      <c r="AB41" s="15" t="s">
        <v>473</v>
      </c>
      <c r="AC41" s="30"/>
      <c r="AD41" s="15"/>
      <c r="AE41" s="30"/>
      <c r="AF41" s="30"/>
      <c r="AG41" s="30"/>
      <c r="AH41" s="15" t="s">
        <v>476</v>
      </c>
      <c r="AI41" s="15" t="s">
        <v>476</v>
      </c>
      <c r="AJ41" s="15" t="s">
        <v>740</v>
      </c>
      <c r="AK41" s="15" t="s">
        <v>599</v>
      </c>
      <c r="AL41" s="1" t="s">
        <v>1064</v>
      </c>
      <c r="AM41" s="23" t="s">
        <v>1091</v>
      </c>
      <c r="AN41" s="23" t="s">
        <v>1147</v>
      </c>
      <c r="AO41" s="7" t="s">
        <v>1148</v>
      </c>
      <c r="AP41" s="7" t="s">
        <v>1148</v>
      </c>
      <c r="AQ41" s="7" t="s">
        <v>1148</v>
      </c>
      <c r="AR41" s="95" t="b">
        <f t="shared" si="0"/>
        <v>1</v>
      </c>
      <c r="AS41" s="95" t="b">
        <f>A41='[2]500千伏-750千伏电网基建'!A41</f>
        <v>1</v>
      </c>
      <c r="AT41" s="95" t="b">
        <f>B41='[2]500千伏-750千伏电网基建'!B41</f>
        <v>1</v>
      </c>
      <c r="AU41" s="95" t="b">
        <f>C41='[2]500千伏-750千伏电网基建'!C41</f>
        <v>1</v>
      </c>
      <c r="AV41" s="95" t="b">
        <f>D41='[2]500千伏-750千伏电网基建'!D41</f>
        <v>1</v>
      </c>
      <c r="AW41" s="95" t="b">
        <f>E41='[2]500千伏-750千伏电网基建'!E41</f>
        <v>1</v>
      </c>
      <c r="AX41" s="95" t="b">
        <f>F41='[2]500千伏-750千伏电网基建'!F41</f>
        <v>1</v>
      </c>
      <c r="AY41" s="95" t="b">
        <f>G41='[2]500千伏-750千伏电网基建'!G41</f>
        <v>1</v>
      </c>
      <c r="AZ41" s="95" t="b">
        <f>H41='[2]500千伏-750千伏电网基建'!H41</f>
        <v>1</v>
      </c>
      <c r="BA41" s="95" t="b">
        <f>I41='[2]500千伏-750千伏电网基建'!I41</f>
        <v>1</v>
      </c>
      <c r="BB41" s="133" t="b">
        <f>J41='[2]500千伏-750千伏电网基建'!J41</f>
        <v>0</v>
      </c>
      <c r="BC41" s="95" t="b">
        <f>K41='[2]500千伏-750千伏电网基建'!K41</f>
        <v>1</v>
      </c>
      <c r="BD41" s="95" t="b">
        <f>L41='[2]500千伏-750千伏电网基建'!L41</f>
        <v>1</v>
      </c>
      <c r="BE41" s="95" t="b">
        <f>M41='[2]500千伏-750千伏电网基建'!M41</f>
        <v>1</v>
      </c>
      <c r="BF41" s="95" t="b">
        <f>N41='[2]500千伏-750千伏电网基建'!N41</f>
        <v>1</v>
      </c>
      <c r="BG41" s="95" t="b">
        <f>O41='[2]500千伏-750千伏电网基建'!O41</f>
        <v>1</v>
      </c>
      <c r="BH41" s="95" t="b">
        <f>P41='[2]500千伏-750千伏电网基建'!P41</f>
        <v>1</v>
      </c>
      <c r="BI41" s="95" t="b">
        <f>Q41='[2]500千伏-750千伏电网基建'!Q41</f>
        <v>1</v>
      </c>
      <c r="BJ41" s="95" t="b">
        <f>R41='[2]500千伏-750千伏电网基建'!R41</f>
        <v>1</v>
      </c>
      <c r="BK41" s="95" t="b">
        <f>S41='[2]500千伏-750千伏电网基建'!S41</f>
        <v>1</v>
      </c>
      <c r="BL41" s="95" t="b">
        <f>T41='[2]500千伏-750千伏电网基建'!T41</f>
        <v>1</v>
      </c>
      <c r="BM41" s="95" t="b">
        <f>U41='[2]500千伏-750千伏电网基建'!U41</f>
        <v>1</v>
      </c>
      <c r="BN41" s="95" t="b">
        <f>V41='[2]500千伏-750千伏电网基建'!V41</f>
        <v>1</v>
      </c>
      <c r="BO41" s="95" t="b">
        <f>W41='[2]500千伏-750千伏电网基建'!W41</f>
        <v>1</v>
      </c>
      <c r="BP41" s="95" t="b">
        <f>X41='[2]500千伏-750千伏电网基建'!X41</f>
        <v>1</v>
      </c>
      <c r="BQ41" s="95" t="b">
        <f>Y41='[2]500千伏-750千伏电网基建'!Y41</f>
        <v>1</v>
      </c>
      <c r="BR41" s="95" t="b">
        <f>Z41='[2]500千伏-750千伏电网基建'!Z41</f>
        <v>1</v>
      </c>
      <c r="BS41" s="95" t="b">
        <f>AA41='[2]500千伏-750千伏电网基建'!AA41</f>
        <v>1</v>
      </c>
      <c r="BT41" s="95" t="b">
        <f>AB41='[2]500千伏-750千伏电网基建'!AB41</f>
        <v>1</v>
      </c>
      <c r="BU41" s="95" t="b">
        <f>AC41='[2]500千伏-750千伏电网基建'!AC41</f>
        <v>1</v>
      </c>
      <c r="BV41" s="95" t="b">
        <f>AD41='[2]500千伏-750千伏电网基建'!AD41</f>
        <v>1</v>
      </c>
      <c r="BW41" s="95" t="b">
        <f>AE41='[2]500千伏-750千伏电网基建'!AE41</f>
        <v>1</v>
      </c>
      <c r="BX41" s="95" t="b">
        <f>AF41='[2]500千伏-750千伏电网基建'!AF41</f>
        <v>1</v>
      </c>
      <c r="BY41" s="95" t="b">
        <f>AG41='[2]500千伏-750千伏电网基建'!AG41</f>
        <v>1</v>
      </c>
      <c r="BZ41" s="95" t="b">
        <f>AH41='[2]500千伏-750千伏电网基建'!AH41</f>
        <v>1</v>
      </c>
      <c r="CA41" s="95" t="b">
        <f>AI41='[2]500千伏-750千伏电网基建'!AI41</f>
        <v>1</v>
      </c>
      <c r="CB41" s="95" t="b">
        <f>AJ41='[2]500千伏-750千伏电网基建'!AJ41</f>
        <v>1</v>
      </c>
      <c r="CC41" s="95" t="b">
        <f>AK41='[2]500千伏-750千伏电网基建'!AK41</f>
        <v>1</v>
      </c>
    </row>
    <row r="42" s="95" customFormat="1" ht="132" hidden="1" customHeight="1" spans="1:81">
      <c r="A42" s="14"/>
      <c r="B42" s="14"/>
      <c r="C42" s="15"/>
      <c r="D42" s="15"/>
      <c r="E42" s="16"/>
      <c r="F42" s="17"/>
      <c r="G42" s="15"/>
      <c r="H42" s="16"/>
      <c r="I42" s="23" t="s">
        <v>1149</v>
      </c>
      <c r="J42" s="132" t="s">
        <v>742</v>
      </c>
      <c r="K42" s="15"/>
      <c r="L42" s="15" t="s">
        <v>36</v>
      </c>
      <c r="M42" s="15" t="s">
        <v>36</v>
      </c>
      <c r="N42" s="15"/>
      <c r="O42" s="15"/>
      <c r="P42" s="15"/>
      <c r="Q42" s="15"/>
      <c r="R42" s="15"/>
      <c r="S42" s="15"/>
      <c r="T42" s="15" t="s">
        <v>492</v>
      </c>
      <c r="U42" s="15"/>
      <c r="V42" s="16" t="s">
        <v>743</v>
      </c>
      <c r="W42" s="56" t="s">
        <v>739</v>
      </c>
      <c r="X42" s="15" t="s">
        <v>474</v>
      </c>
      <c r="Y42" s="15" t="s">
        <v>473</v>
      </c>
      <c r="Z42" s="30"/>
      <c r="AA42" s="15" t="s">
        <v>474</v>
      </c>
      <c r="AB42" s="15" t="s">
        <v>473</v>
      </c>
      <c r="AC42" s="30"/>
      <c r="AD42" s="15"/>
      <c r="AE42" s="30"/>
      <c r="AF42" s="30"/>
      <c r="AG42" s="30"/>
      <c r="AH42" s="15" t="s">
        <v>476</v>
      </c>
      <c r="AI42" s="15" t="s">
        <v>476</v>
      </c>
      <c r="AJ42" s="15" t="s">
        <v>740</v>
      </c>
      <c r="AK42" s="15"/>
      <c r="AL42" s="1" t="s">
        <v>1064</v>
      </c>
      <c r="AM42" s="23" t="s">
        <v>1091</v>
      </c>
      <c r="AN42" s="1"/>
      <c r="AO42" s="7" t="s">
        <v>1045</v>
      </c>
      <c r="AP42" s="7" t="s">
        <v>1059</v>
      </c>
      <c r="AQ42" s="7" t="s">
        <v>1059</v>
      </c>
      <c r="AR42" s="95" t="b">
        <f t="shared" si="0"/>
        <v>1</v>
      </c>
      <c r="AS42" s="95" t="b">
        <f>A42='[2]500千伏-750千伏电网基建'!A42</f>
        <v>1</v>
      </c>
      <c r="AT42" s="95" t="b">
        <f>B42='[2]500千伏-750千伏电网基建'!B42</f>
        <v>1</v>
      </c>
      <c r="AU42" s="95" t="b">
        <f>C42='[2]500千伏-750千伏电网基建'!C42</f>
        <v>1</v>
      </c>
      <c r="AV42" s="95" t="b">
        <f>D42='[2]500千伏-750千伏电网基建'!D42</f>
        <v>1</v>
      </c>
      <c r="AW42" s="95" t="b">
        <f>E42='[2]500千伏-750千伏电网基建'!E42</f>
        <v>1</v>
      </c>
      <c r="AX42" s="95" t="b">
        <f>F42='[2]500千伏-750千伏电网基建'!F42</f>
        <v>1</v>
      </c>
      <c r="AY42" s="95" t="b">
        <f>G42='[2]500千伏-750千伏电网基建'!G42</f>
        <v>1</v>
      </c>
      <c r="AZ42" s="95" t="b">
        <f>H42='[2]500千伏-750千伏电网基建'!H42</f>
        <v>1</v>
      </c>
      <c r="BA42" s="95" t="b">
        <f>I42='[2]500千伏-750千伏电网基建'!I42</f>
        <v>1</v>
      </c>
      <c r="BB42" s="133" t="b">
        <f>J42='[2]500千伏-750千伏电网基建'!J42</f>
        <v>0</v>
      </c>
      <c r="BC42" s="95" t="b">
        <f>K42='[2]500千伏-750千伏电网基建'!K42</f>
        <v>1</v>
      </c>
      <c r="BD42" s="95" t="b">
        <f>L42='[2]500千伏-750千伏电网基建'!L42</f>
        <v>1</v>
      </c>
      <c r="BE42" s="95" t="b">
        <f>M42='[2]500千伏-750千伏电网基建'!M42</f>
        <v>1</v>
      </c>
      <c r="BF42" s="95" t="b">
        <f>N42='[2]500千伏-750千伏电网基建'!N42</f>
        <v>1</v>
      </c>
      <c r="BG42" s="95" t="b">
        <f>O42='[2]500千伏-750千伏电网基建'!O42</f>
        <v>1</v>
      </c>
      <c r="BH42" s="95" t="b">
        <f>P42='[2]500千伏-750千伏电网基建'!P42</f>
        <v>1</v>
      </c>
      <c r="BI42" s="95" t="b">
        <f>Q42='[2]500千伏-750千伏电网基建'!Q42</f>
        <v>1</v>
      </c>
      <c r="BJ42" s="95" t="b">
        <f>R42='[2]500千伏-750千伏电网基建'!R42</f>
        <v>1</v>
      </c>
      <c r="BK42" s="95" t="b">
        <f>S42='[2]500千伏-750千伏电网基建'!S42</f>
        <v>1</v>
      </c>
      <c r="BL42" s="95" t="b">
        <f>T42='[2]500千伏-750千伏电网基建'!T42</f>
        <v>1</v>
      </c>
      <c r="BM42" s="95" t="b">
        <f>U42='[2]500千伏-750千伏电网基建'!U42</f>
        <v>1</v>
      </c>
      <c r="BN42" s="95" t="b">
        <f>V42='[2]500千伏-750千伏电网基建'!V42</f>
        <v>1</v>
      </c>
      <c r="BO42" s="95" t="b">
        <f>W42='[2]500千伏-750千伏电网基建'!W42</f>
        <v>1</v>
      </c>
      <c r="BP42" s="95" t="b">
        <f>X42='[2]500千伏-750千伏电网基建'!X42</f>
        <v>1</v>
      </c>
      <c r="BQ42" s="95" t="b">
        <f>Y42='[2]500千伏-750千伏电网基建'!Y42</f>
        <v>1</v>
      </c>
      <c r="BR42" s="95" t="b">
        <f>Z42='[2]500千伏-750千伏电网基建'!Z42</f>
        <v>1</v>
      </c>
      <c r="BS42" s="95" t="b">
        <f>AA42='[2]500千伏-750千伏电网基建'!AA42</f>
        <v>1</v>
      </c>
      <c r="BT42" s="95" t="b">
        <f>AB42='[2]500千伏-750千伏电网基建'!AB42</f>
        <v>1</v>
      </c>
      <c r="BU42" s="95" t="b">
        <f>AC42='[2]500千伏-750千伏电网基建'!AC42</f>
        <v>1</v>
      </c>
      <c r="BV42" s="95" t="b">
        <f>AD42='[2]500千伏-750千伏电网基建'!AD42</f>
        <v>1</v>
      </c>
      <c r="BW42" s="95" t="b">
        <f>AE42='[2]500千伏-750千伏电网基建'!AE42</f>
        <v>1</v>
      </c>
      <c r="BX42" s="95" t="b">
        <f>AF42='[2]500千伏-750千伏电网基建'!AF42</f>
        <v>1</v>
      </c>
      <c r="BY42" s="95" t="b">
        <f>AG42='[2]500千伏-750千伏电网基建'!AG42</f>
        <v>1</v>
      </c>
      <c r="BZ42" s="95" t="b">
        <f>AH42='[2]500千伏-750千伏电网基建'!AH42</f>
        <v>1</v>
      </c>
      <c r="CA42" s="95" t="b">
        <f>AI42='[2]500千伏-750千伏电网基建'!AI42</f>
        <v>1</v>
      </c>
      <c r="CB42" s="95" t="b">
        <f>AJ42='[2]500千伏-750千伏电网基建'!AJ42</f>
        <v>1</v>
      </c>
      <c r="CC42" s="95" t="b">
        <f>AK42='[2]500千伏-750千伏电网基建'!AK42</f>
        <v>1</v>
      </c>
    </row>
    <row r="43" s="95" customFormat="1" ht="78" hidden="1" customHeight="1" spans="1:81">
      <c r="A43" s="14"/>
      <c r="B43" s="14"/>
      <c r="C43" s="15"/>
      <c r="D43" s="15"/>
      <c r="E43" s="16"/>
      <c r="F43" s="17"/>
      <c r="G43" s="15"/>
      <c r="H43" s="16"/>
      <c r="I43" s="23" t="s">
        <v>1150</v>
      </c>
      <c r="J43" s="31" t="s">
        <v>1151</v>
      </c>
      <c r="K43" s="15"/>
      <c r="L43" s="15" t="s">
        <v>36</v>
      </c>
      <c r="M43" s="15" t="s">
        <v>36</v>
      </c>
      <c r="N43" s="15"/>
      <c r="O43" s="15"/>
      <c r="P43" s="15"/>
      <c r="Q43" s="15"/>
      <c r="R43" s="15"/>
      <c r="S43" s="15"/>
      <c r="T43" s="15" t="s">
        <v>465</v>
      </c>
      <c r="U43" s="15" t="s">
        <v>602</v>
      </c>
      <c r="V43" s="16" t="s">
        <v>743</v>
      </c>
      <c r="W43" s="56" t="s">
        <v>739</v>
      </c>
      <c r="X43" s="15" t="s">
        <v>474</v>
      </c>
      <c r="Y43" s="15" t="s">
        <v>473</v>
      </c>
      <c r="Z43" s="30"/>
      <c r="AA43" s="15" t="s">
        <v>474</v>
      </c>
      <c r="AB43" s="15" t="s">
        <v>473</v>
      </c>
      <c r="AC43" s="30"/>
      <c r="AD43" s="15"/>
      <c r="AE43" s="30"/>
      <c r="AF43" s="30"/>
      <c r="AG43" s="30"/>
      <c r="AH43" s="15" t="s">
        <v>476</v>
      </c>
      <c r="AI43" s="15" t="s">
        <v>476</v>
      </c>
      <c r="AJ43" s="15" t="s">
        <v>746</v>
      </c>
      <c r="AK43" s="15"/>
      <c r="AL43" s="1" t="s">
        <v>1064</v>
      </c>
      <c r="AM43" s="23" t="s">
        <v>1075</v>
      </c>
      <c r="AN43" s="1"/>
      <c r="AO43" s="7" t="s">
        <v>1152</v>
      </c>
      <c r="AP43" s="7" t="s">
        <v>1152</v>
      </c>
      <c r="AQ43" s="7" t="s">
        <v>1152</v>
      </c>
      <c r="AR43" s="95" t="b">
        <f t="shared" si="0"/>
        <v>1</v>
      </c>
      <c r="AS43" s="95" t="b">
        <f>A43='[2]500千伏-750千伏电网基建'!A43</f>
        <v>1</v>
      </c>
      <c r="AT43" s="95" t="b">
        <f>B43='[2]500千伏-750千伏电网基建'!B43</f>
        <v>1</v>
      </c>
      <c r="AU43" s="95" t="b">
        <f>C43='[2]500千伏-750千伏电网基建'!C43</f>
        <v>1</v>
      </c>
      <c r="AV43" s="95" t="b">
        <f>D43='[2]500千伏-750千伏电网基建'!D43</f>
        <v>1</v>
      </c>
      <c r="AW43" s="95" t="b">
        <f>E43='[2]500千伏-750千伏电网基建'!E43</f>
        <v>1</v>
      </c>
      <c r="AX43" s="95" t="b">
        <f>F43='[2]500千伏-750千伏电网基建'!F43</f>
        <v>1</v>
      </c>
      <c r="AY43" s="95" t="b">
        <f>G43='[2]500千伏-750千伏电网基建'!G43</f>
        <v>1</v>
      </c>
      <c r="AZ43" s="95" t="b">
        <f>H43='[2]500千伏-750千伏电网基建'!H43</f>
        <v>1</v>
      </c>
      <c r="BA43" s="95" t="b">
        <f>I43='[2]500千伏-750千伏电网基建'!I43</f>
        <v>1</v>
      </c>
      <c r="BB43" s="133" t="b">
        <f>J43='[2]500千伏-750千伏电网基建'!J43</f>
        <v>0</v>
      </c>
      <c r="BC43" s="95" t="b">
        <f>K43='[2]500千伏-750千伏电网基建'!K43</f>
        <v>1</v>
      </c>
      <c r="BD43" s="95" t="b">
        <f>L43='[2]500千伏-750千伏电网基建'!L43</f>
        <v>1</v>
      </c>
      <c r="BE43" s="95" t="b">
        <f>M43='[2]500千伏-750千伏电网基建'!M43</f>
        <v>1</v>
      </c>
      <c r="BF43" s="95" t="b">
        <f>N43='[2]500千伏-750千伏电网基建'!N43</f>
        <v>1</v>
      </c>
      <c r="BG43" s="95" t="b">
        <f>O43='[2]500千伏-750千伏电网基建'!O43</f>
        <v>1</v>
      </c>
      <c r="BH43" s="95" t="b">
        <f>P43='[2]500千伏-750千伏电网基建'!P43</f>
        <v>1</v>
      </c>
      <c r="BI43" s="95" t="b">
        <f>Q43='[2]500千伏-750千伏电网基建'!Q43</f>
        <v>1</v>
      </c>
      <c r="BJ43" s="95" t="b">
        <f>R43='[2]500千伏-750千伏电网基建'!R43</f>
        <v>1</v>
      </c>
      <c r="BK43" s="95" t="b">
        <f>S43='[2]500千伏-750千伏电网基建'!S43</f>
        <v>1</v>
      </c>
      <c r="BL43" s="95" t="b">
        <f>T43='[2]500千伏-750千伏电网基建'!T43</f>
        <v>1</v>
      </c>
      <c r="BM43" s="95" t="b">
        <f>U43='[2]500千伏-750千伏电网基建'!U43</f>
        <v>1</v>
      </c>
      <c r="BN43" s="95" t="b">
        <f>V43='[2]500千伏-750千伏电网基建'!V43</f>
        <v>1</v>
      </c>
      <c r="BO43" s="95" t="b">
        <f>W43='[2]500千伏-750千伏电网基建'!W43</f>
        <v>1</v>
      </c>
      <c r="BP43" s="95" t="b">
        <f>X43='[2]500千伏-750千伏电网基建'!X43</f>
        <v>1</v>
      </c>
      <c r="BQ43" s="95" t="b">
        <f>Y43='[2]500千伏-750千伏电网基建'!Y43</f>
        <v>1</v>
      </c>
      <c r="BR43" s="95" t="b">
        <f>Z43='[2]500千伏-750千伏电网基建'!Z43</f>
        <v>1</v>
      </c>
      <c r="BS43" s="95" t="b">
        <f>AA43='[2]500千伏-750千伏电网基建'!AA43</f>
        <v>1</v>
      </c>
      <c r="BT43" s="95" t="b">
        <f>AB43='[2]500千伏-750千伏电网基建'!AB43</f>
        <v>1</v>
      </c>
      <c r="BU43" s="95" t="b">
        <f>AC43='[2]500千伏-750千伏电网基建'!AC43</f>
        <v>1</v>
      </c>
      <c r="BV43" s="95" t="b">
        <f>AD43='[2]500千伏-750千伏电网基建'!AD43</f>
        <v>1</v>
      </c>
      <c r="BW43" s="95" t="b">
        <f>AE43='[2]500千伏-750千伏电网基建'!AE43</f>
        <v>1</v>
      </c>
      <c r="BX43" s="95" t="b">
        <f>AF43='[2]500千伏-750千伏电网基建'!AF43</f>
        <v>1</v>
      </c>
      <c r="BY43" s="95" t="b">
        <f>AG43='[2]500千伏-750千伏电网基建'!AG43</f>
        <v>1</v>
      </c>
      <c r="BZ43" s="95" t="b">
        <f>AH43='[2]500千伏-750千伏电网基建'!AH43</f>
        <v>1</v>
      </c>
      <c r="CA43" s="95" t="b">
        <f>AI43='[2]500千伏-750千伏电网基建'!AI43</f>
        <v>1</v>
      </c>
      <c r="CB43" s="95" t="b">
        <f>AJ43='[2]500千伏-750千伏电网基建'!AJ43</f>
        <v>1</v>
      </c>
      <c r="CC43" s="95" t="b">
        <f>AK43='[2]500千伏-750千伏电网基建'!AK43</f>
        <v>1</v>
      </c>
    </row>
    <row r="44" s="95" customFormat="1" ht="80" customHeight="1" spans="1:81">
      <c r="A44" s="14"/>
      <c r="B44" s="14"/>
      <c r="C44" s="15"/>
      <c r="D44" s="15"/>
      <c r="E44" s="16"/>
      <c r="F44" s="17"/>
      <c r="G44" s="15"/>
      <c r="H44" s="16"/>
      <c r="I44" s="23" t="s">
        <v>1153</v>
      </c>
      <c r="J44" s="31" t="s">
        <v>1154</v>
      </c>
      <c r="K44" s="15"/>
      <c r="L44" s="15" t="s">
        <v>36</v>
      </c>
      <c r="M44" s="15" t="s">
        <v>36</v>
      </c>
      <c r="N44" s="15"/>
      <c r="O44" s="15"/>
      <c r="P44" s="15"/>
      <c r="Q44" s="15"/>
      <c r="R44" s="15"/>
      <c r="S44" s="15" t="s">
        <v>36</v>
      </c>
      <c r="T44" s="15" t="s">
        <v>492</v>
      </c>
      <c r="U44" s="15"/>
      <c r="V44" s="16" t="s">
        <v>743</v>
      </c>
      <c r="W44" s="56" t="s">
        <v>749</v>
      </c>
      <c r="X44" s="15" t="s">
        <v>474</v>
      </c>
      <c r="Y44" s="15" t="s">
        <v>473</v>
      </c>
      <c r="Z44" s="30"/>
      <c r="AA44" s="15" t="s">
        <v>474</v>
      </c>
      <c r="AB44" s="15" t="s">
        <v>473</v>
      </c>
      <c r="AC44" s="30"/>
      <c r="AD44" s="15"/>
      <c r="AE44" s="30"/>
      <c r="AF44" s="30"/>
      <c r="AG44" s="30"/>
      <c r="AH44" s="15" t="s">
        <v>476</v>
      </c>
      <c r="AI44" s="15" t="s">
        <v>476</v>
      </c>
      <c r="AJ44" s="15" t="s">
        <v>740</v>
      </c>
      <c r="AK44" s="15"/>
      <c r="AL44" s="1" t="s">
        <v>1064</v>
      </c>
      <c r="AM44" s="23" t="s">
        <v>1075</v>
      </c>
      <c r="AN44" s="54" t="s">
        <v>1155</v>
      </c>
      <c r="AO44" s="7" t="s">
        <v>1045</v>
      </c>
      <c r="AP44" s="7" t="s">
        <v>1045</v>
      </c>
      <c r="AQ44" s="7" t="s">
        <v>1059</v>
      </c>
      <c r="AR44" s="95" t="b">
        <f t="shared" si="0"/>
        <v>0</v>
      </c>
      <c r="AS44" s="95" t="b">
        <f>A44='[2]500千伏-750千伏电网基建'!A44</f>
        <v>1</v>
      </c>
      <c r="AT44" s="95" t="b">
        <f>B44='[2]500千伏-750千伏电网基建'!B44</f>
        <v>1</v>
      </c>
      <c r="AU44" s="95" t="b">
        <f>C44='[2]500千伏-750千伏电网基建'!C44</f>
        <v>1</v>
      </c>
      <c r="AV44" s="95" t="b">
        <f>D44='[2]500千伏-750千伏电网基建'!D44</f>
        <v>1</v>
      </c>
      <c r="AW44" s="95" t="b">
        <f>E44='[2]500千伏-750千伏电网基建'!E44</f>
        <v>1</v>
      </c>
      <c r="AX44" s="95" t="b">
        <f>F44='[2]500千伏-750千伏电网基建'!F44</f>
        <v>1</v>
      </c>
      <c r="AY44" s="95" t="b">
        <f>G44='[2]500千伏-750千伏电网基建'!G44</f>
        <v>1</v>
      </c>
      <c r="AZ44" s="95" t="b">
        <f>H44='[2]500千伏-750千伏电网基建'!H44</f>
        <v>1</v>
      </c>
      <c r="BA44" s="95" t="b">
        <f>I44='[2]500千伏-750千伏电网基建'!I44</f>
        <v>1</v>
      </c>
      <c r="BB44" s="133" t="b">
        <f>J44='[2]500千伏-750千伏电网基建'!J44</f>
        <v>0</v>
      </c>
      <c r="BC44" s="95" t="b">
        <f>K44='[2]500千伏-750千伏电网基建'!K44</f>
        <v>1</v>
      </c>
      <c r="BD44" s="95" t="b">
        <f>L44='[2]500千伏-750千伏电网基建'!L44</f>
        <v>1</v>
      </c>
      <c r="BE44" s="95" t="b">
        <f>M44='[2]500千伏-750千伏电网基建'!M44</f>
        <v>1</v>
      </c>
      <c r="BF44" s="95" t="b">
        <f>N44='[2]500千伏-750千伏电网基建'!N44</f>
        <v>1</v>
      </c>
      <c r="BG44" s="95" t="b">
        <f>O44='[2]500千伏-750千伏电网基建'!O44</f>
        <v>1</v>
      </c>
      <c r="BH44" s="95" t="b">
        <f>P44='[2]500千伏-750千伏电网基建'!P44</f>
        <v>1</v>
      </c>
      <c r="BI44" s="95" t="b">
        <f>Q44='[2]500千伏-750千伏电网基建'!Q44</f>
        <v>1</v>
      </c>
      <c r="BJ44" s="95" t="b">
        <f>R44='[2]500千伏-750千伏电网基建'!R44</f>
        <v>1</v>
      </c>
      <c r="BK44" s="95" t="b">
        <f>S44='[2]500千伏-750千伏电网基建'!S44</f>
        <v>1</v>
      </c>
      <c r="BL44" s="95" t="b">
        <f>T44='[2]500千伏-750千伏电网基建'!T44</f>
        <v>1</v>
      </c>
      <c r="BM44" s="95" t="b">
        <f>U44='[2]500千伏-750千伏电网基建'!U44</f>
        <v>1</v>
      </c>
      <c r="BN44" s="95" t="b">
        <f>V44='[2]500千伏-750千伏电网基建'!V44</f>
        <v>1</v>
      </c>
      <c r="BO44" s="95" t="b">
        <f>W44='[2]500千伏-750千伏电网基建'!W44</f>
        <v>1</v>
      </c>
      <c r="BP44" s="95" t="b">
        <f>X44='[2]500千伏-750千伏电网基建'!X44</f>
        <v>1</v>
      </c>
      <c r="BQ44" s="95" t="b">
        <f>Y44='[2]500千伏-750千伏电网基建'!Y44</f>
        <v>1</v>
      </c>
      <c r="BR44" s="95" t="b">
        <f>Z44='[2]500千伏-750千伏电网基建'!Z44</f>
        <v>1</v>
      </c>
      <c r="BS44" s="95" t="b">
        <f>AA44='[2]500千伏-750千伏电网基建'!AA44</f>
        <v>1</v>
      </c>
      <c r="BT44" s="95" t="b">
        <f>AB44='[2]500千伏-750千伏电网基建'!AB44</f>
        <v>1</v>
      </c>
      <c r="BU44" s="95" t="b">
        <f>AC44='[2]500千伏-750千伏电网基建'!AC44</f>
        <v>1</v>
      </c>
      <c r="BV44" s="95" t="b">
        <f>AD44='[2]500千伏-750千伏电网基建'!AD44</f>
        <v>1</v>
      </c>
      <c r="BW44" s="95" t="b">
        <f>AE44='[2]500千伏-750千伏电网基建'!AE44</f>
        <v>1</v>
      </c>
      <c r="BX44" s="95" t="b">
        <f>AF44='[2]500千伏-750千伏电网基建'!AF44</f>
        <v>1</v>
      </c>
      <c r="BY44" s="95" t="b">
        <f>AG44='[2]500千伏-750千伏电网基建'!AG44</f>
        <v>1</v>
      </c>
      <c r="BZ44" s="95" t="b">
        <f>AH44='[2]500千伏-750千伏电网基建'!AH44</f>
        <v>1</v>
      </c>
      <c r="CA44" s="95" t="b">
        <f>AI44='[2]500千伏-750千伏电网基建'!AI44</f>
        <v>1</v>
      </c>
      <c r="CB44" s="95" t="b">
        <f>AJ44='[2]500千伏-750千伏电网基建'!AJ44</f>
        <v>1</v>
      </c>
      <c r="CC44" s="95" t="b">
        <f>AK44='[2]500千伏-750千伏电网基建'!AK44</f>
        <v>1</v>
      </c>
    </row>
    <row r="45" s="95" customFormat="1" ht="73" hidden="1" customHeight="1" spans="1:81">
      <c r="A45" s="14"/>
      <c r="B45" s="14"/>
      <c r="C45" s="15" t="s">
        <v>485</v>
      </c>
      <c r="D45" s="15" t="s">
        <v>750</v>
      </c>
      <c r="E45" s="16" t="s">
        <v>751</v>
      </c>
      <c r="F45" s="17" t="s">
        <v>752</v>
      </c>
      <c r="G45" s="15" t="s">
        <v>1156</v>
      </c>
      <c r="H45" s="16" t="s">
        <v>754</v>
      </c>
      <c r="I45" s="23" t="s">
        <v>1157</v>
      </c>
      <c r="J45" s="16" t="s">
        <v>1158</v>
      </c>
      <c r="K45" s="15"/>
      <c r="L45" s="15"/>
      <c r="M45" s="15" t="s">
        <v>36</v>
      </c>
      <c r="N45" s="15"/>
      <c r="O45" s="15" t="s">
        <v>36</v>
      </c>
      <c r="P45" s="15"/>
      <c r="Q45" s="15"/>
      <c r="R45" s="15" t="s">
        <v>36</v>
      </c>
      <c r="S45" s="15"/>
      <c r="T45" s="15" t="s">
        <v>465</v>
      </c>
      <c r="U45" s="15" t="s">
        <v>757</v>
      </c>
      <c r="V45" s="16" t="s">
        <v>758</v>
      </c>
      <c r="W45" s="110" t="s">
        <v>1159</v>
      </c>
      <c r="X45" s="15" t="s">
        <v>474</v>
      </c>
      <c r="Y45" s="15" t="s">
        <v>473</v>
      </c>
      <c r="Z45" s="15"/>
      <c r="AA45" s="15" t="s">
        <v>474</v>
      </c>
      <c r="AB45" s="15" t="s">
        <v>473</v>
      </c>
      <c r="AC45" s="15"/>
      <c r="AD45" s="15" t="s">
        <v>760</v>
      </c>
      <c r="AE45" s="15" t="s">
        <v>511</v>
      </c>
      <c r="AF45" s="15"/>
      <c r="AG45" s="30"/>
      <c r="AH45" s="15" t="s">
        <v>476</v>
      </c>
      <c r="AI45" s="15" t="s">
        <v>476</v>
      </c>
      <c r="AJ45" s="15" t="s">
        <v>761</v>
      </c>
      <c r="AK45" s="15" t="s">
        <v>762</v>
      </c>
      <c r="AL45" s="45" t="s">
        <v>1160</v>
      </c>
      <c r="AM45" s="23" t="s">
        <v>1161</v>
      </c>
      <c r="AN45" s="1"/>
      <c r="AO45" s="7" t="s">
        <v>1059</v>
      </c>
      <c r="AP45" s="7" t="s">
        <v>1059</v>
      </c>
      <c r="AQ45" s="7" t="s">
        <v>1059</v>
      </c>
      <c r="AR45" s="95" t="b">
        <f t="shared" si="0"/>
        <v>1</v>
      </c>
      <c r="AS45" s="95" t="b">
        <f>A45='[2]500千伏-750千伏电网基建'!A45</f>
        <v>1</v>
      </c>
      <c r="AT45" s="95" t="b">
        <f>B45='[2]500千伏-750千伏电网基建'!B45</f>
        <v>1</v>
      </c>
      <c r="AU45" s="95" t="b">
        <f>C45='[2]500千伏-750千伏电网基建'!C45</f>
        <v>1</v>
      </c>
      <c r="AV45" s="95" t="b">
        <f>D45='[2]500千伏-750千伏电网基建'!D45</f>
        <v>1</v>
      </c>
      <c r="AW45" s="95" t="b">
        <f>E45='[2]500千伏-750千伏电网基建'!E45</f>
        <v>1</v>
      </c>
      <c r="AX45" s="95" t="b">
        <f>F45='[2]500千伏-750千伏电网基建'!F45</f>
        <v>1</v>
      </c>
      <c r="AY45" s="95" t="b">
        <f>G45='[2]500千伏-750千伏电网基建'!G45</f>
        <v>1</v>
      </c>
      <c r="AZ45" s="95" t="b">
        <f>H45='[2]500千伏-750千伏电网基建'!H45</f>
        <v>1</v>
      </c>
      <c r="BA45" s="95" t="b">
        <f>I45='[2]500千伏-750千伏电网基建'!I45</f>
        <v>1</v>
      </c>
      <c r="BB45" s="95" t="b">
        <f>J45='[2]500千伏-750千伏电网基建'!J45</f>
        <v>1</v>
      </c>
      <c r="BC45" s="95" t="b">
        <f>K45='[2]500千伏-750千伏电网基建'!K45</f>
        <v>1</v>
      </c>
      <c r="BD45" s="95" t="b">
        <f>L45='[2]500千伏-750千伏电网基建'!L45</f>
        <v>1</v>
      </c>
      <c r="BE45" s="95" t="b">
        <f>M45='[2]500千伏-750千伏电网基建'!M45</f>
        <v>1</v>
      </c>
      <c r="BF45" s="95" t="b">
        <f>N45='[2]500千伏-750千伏电网基建'!N45</f>
        <v>1</v>
      </c>
      <c r="BG45" s="95" t="b">
        <f>O45='[2]500千伏-750千伏电网基建'!O45</f>
        <v>1</v>
      </c>
      <c r="BH45" s="95" t="b">
        <f>P45='[2]500千伏-750千伏电网基建'!P45</f>
        <v>1</v>
      </c>
      <c r="BI45" s="95" t="b">
        <f>Q45='[2]500千伏-750千伏电网基建'!Q45</f>
        <v>1</v>
      </c>
      <c r="BJ45" s="95" t="b">
        <f>R45='[2]500千伏-750千伏电网基建'!R45</f>
        <v>1</v>
      </c>
      <c r="BK45" s="95" t="b">
        <f>S45='[2]500千伏-750千伏电网基建'!S45</f>
        <v>1</v>
      </c>
      <c r="BL45" s="95" t="b">
        <f>T45='[2]500千伏-750千伏电网基建'!T45</f>
        <v>1</v>
      </c>
      <c r="BM45" s="95" t="b">
        <f>U45='[2]500千伏-750千伏电网基建'!U45</f>
        <v>1</v>
      </c>
      <c r="BN45" s="95" t="b">
        <f>V45='[2]500千伏-750千伏电网基建'!V45</f>
        <v>1</v>
      </c>
      <c r="BO45" s="95" t="b">
        <f>W45='[2]500千伏-750千伏电网基建'!W45</f>
        <v>1</v>
      </c>
      <c r="BP45" s="95" t="b">
        <f>X45='[2]500千伏-750千伏电网基建'!X45</f>
        <v>1</v>
      </c>
      <c r="BQ45" s="95" t="b">
        <f>Y45='[2]500千伏-750千伏电网基建'!Y45</f>
        <v>1</v>
      </c>
      <c r="BR45" s="95" t="b">
        <f>Z45='[2]500千伏-750千伏电网基建'!Z45</f>
        <v>1</v>
      </c>
      <c r="BS45" s="95" t="b">
        <f>AA45='[2]500千伏-750千伏电网基建'!AA45</f>
        <v>1</v>
      </c>
      <c r="BT45" s="95" t="b">
        <f>AB45='[2]500千伏-750千伏电网基建'!AB45</f>
        <v>1</v>
      </c>
      <c r="BU45" s="95" t="b">
        <f>AC45='[2]500千伏-750千伏电网基建'!AC45</f>
        <v>1</v>
      </c>
      <c r="BV45" s="95" t="b">
        <f>AD45='[2]500千伏-750千伏电网基建'!AD45</f>
        <v>1</v>
      </c>
      <c r="BW45" s="95" t="b">
        <f>AE45='[2]500千伏-750千伏电网基建'!AE45</f>
        <v>1</v>
      </c>
      <c r="BX45" s="95" t="b">
        <f>AF45='[2]500千伏-750千伏电网基建'!AF45</f>
        <v>1</v>
      </c>
      <c r="BY45" s="95" t="b">
        <f>AG45='[2]500千伏-750千伏电网基建'!AG45</f>
        <v>1</v>
      </c>
      <c r="BZ45" s="95" t="b">
        <f>AH45='[2]500千伏-750千伏电网基建'!AH45</f>
        <v>1</v>
      </c>
      <c r="CA45" s="95" t="b">
        <f>AI45='[2]500千伏-750千伏电网基建'!AI45</f>
        <v>1</v>
      </c>
      <c r="CB45" s="95" t="b">
        <f>AJ45='[2]500千伏-750千伏电网基建'!AJ45</f>
        <v>1</v>
      </c>
      <c r="CC45" s="95" t="b">
        <f>AK45='[2]500千伏-750千伏电网基建'!AK45</f>
        <v>1</v>
      </c>
    </row>
    <row r="46" s="95" customFormat="1" ht="82" hidden="1" customHeight="1" spans="1:81">
      <c r="A46" s="14"/>
      <c r="B46" s="14"/>
      <c r="C46" s="15"/>
      <c r="D46" s="15"/>
      <c r="E46" s="16"/>
      <c r="F46" s="17"/>
      <c r="G46" s="15"/>
      <c r="H46" s="16"/>
      <c r="I46" s="23" t="s">
        <v>1162</v>
      </c>
      <c r="J46" s="102" t="s">
        <v>1163</v>
      </c>
      <c r="K46" s="15"/>
      <c r="L46" s="15"/>
      <c r="M46" s="15"/>
      <c r="N46" s="15"/>
      <c r="O46" s="15"/>
      <c r="P46" s="15"/>
      <c r="Q46" s="15"/>
      <c r="R46" s="15" t="s">
        <v>36</v>
      </c>
      <c r="S46" s="15"/>
      <c r="T46" s="15" t="s">
        <v>492</v>
      </c>
      <c r="U46" s="15"/>
      <c r="V46" s="16" t="s">
        <v>765</v>
      </c>
      <c r="W46" s="110" t="s">
        <v>1164</v>
      </c>
      <c r="X46" s="15" t="s">
        <v>474</v>
      </c>
      <c r="Y46" s="15" t="s">
        <v>473</v>
      </c>
      <c r="Z46" s="15"/>
      <c r="AA46" s="15" t="s">
        <v>474</v>
      </c>
      <c r="AB46" s="15" t="s">
        <v>473</v>
      </c>
      <c r="AC46" s="15"/>
      <c r="AD46" s="15"/>
      <c r="AE46" s="15"/>
      <c r="AF46" s="15"/>
      <c r="AG46" s="30"/>
      <c r="AH46" s="15" t="s">
        <v>476</v>
      </c>
      <c r="AI46" s="15" t="s">
        <v>476</v>
      </c>
      <c r="AJ46" s="15" t="s">
        <v>767</v>
      </c>
      <c r="AK46" s="15" t="s">
        <v>599</v>
      </c>
      <c r="AL46" s="47"/>
      <c r="AM46" s="23" t="s">
        <v>1161</v>
      </c>
      <c r="AN46" s="1"/>
      <c r="AO46" s="7" t="s">
        <v>1059</v>
      </c>
      <c r="AP46" s="7" t="s">
        <v>1059</v>
      </c>
      <c r="AQ46" s="7" t="s">
        <v>1059</v>
      </c>
      <c r="AR46" s="95" t="b">
        <f t="shared" si="0"/>
        <v>1</v>
      </c>
      <c r="AS46" s="95" t="b">
        <f>A46='[2]500千伏-750千伏电网基建'!A46</f>
        <v>1</v>
      </c>
      <c r="AT46" s="95" t="b">
        <f>B46='[2]500千伏-750千伏电网基建'!B46</f>
        <v>1</v>
      </c>
      <c r="AU46" s="95" t="b">
        <f>C46='[2]500千伏-750千伏电网基建'!C46</f>
        <v>1</v>
      </c>
      <c r="AV46" s="95" t="b">
        <f>D46='[2]500千伏-750千伏电网基建'!D46</f>
        <v>1</v>
      </c>
      <c r="AW46" s="95" t="b">
        <f>E46='[2]500千伏-750千伏电网基建'!E46</f>
        <v>1</v>
      </c>
      <c r="AX46" s="95" t="b">
        <f>F46='[2]500千伏-750千伏电网基建'!F46</f>
        <v>1</v>
      </c>
      <c r="AY46" s="95" t="b">
        <f>G46='[2]500千伏-750千伏电网基建'!G46</f>
        <v>1</v>
      </c>
      <c r="AZ46" s="95" t="b">
        <f>H46='[2]500千伏-750千伏电网基建'!H46</f>
        <v>1</v>
      </c>
      <c r="BA46" s="95" t="b">
        <f>I46='[2]500千伏-750千伏电网基建'!I46</f>
        <v>1</v>
      </c>
      <c r="BB46" s="95" t="b">
        <f>J46='[2]500千伏-750千伏电网基建'!J46</f>
        <v>1</v>
      </c>
      <c r="BC46" s="95" t="b">
        <f>K46='[2]500千伏-750千伏电网基建'!K46</f>
        <v>1</v>
      </c>
      <c r="BD46" s="95" t="b">
        <f>L46='[2]500千伏-750千伏电网基建'!L46</f>
        <v>1</v>
      </c>
      <c r="BE46" s="95" t="b">
        <f>M46='[2]500千伏-750千伏电网基建'!M46</f>
        <v>1</v>
      </c>
      <c r="BF46" s="95" t="b">
        <f>N46='[2]500千伏-750千伏电网基建'!N46</f>
        <v>1</v>
      </c>
      <c r="BG46" s="95" t="b">
        <f>O46='[2]500千伏-750千伏电网基建'!O46</f>
        <v>1</v>
      </c>
      <c r="BH46" s="95" t="b">
        <f>P46='[2]500千伏-750千伏电网基建'!P46</f>
        <v>1</v>
      </c>
      <c r="BI46" s="95" t="b">
        <f>Q46='[2]500千伏-750千伏电网基建'!Q46</f>
        <v>1</v>
      </c>
      <c r="BJ46" s="95" t="b">
        <f>R46='[2]500千伏-750千伏电网基建'!R46</f>
        <v>1</v>
      </c>
      <c r="BK46" s="95" t="b">
        <f>S46='[2]500千伏-750千伏电网基建'!S46</f>
        <v>1</v>
      </c>
      <c r="BL46" s="95" t="b">
        <f>T46='[2]500千伏-750千伏电网基建'!T46</f>
        <v>1</v>
      </c>
      <c r="BM46" s="95" t="b">
        <f>U46='[2]500千伏-750千伏电网基建'!U46</f>
        <v>1</v>
      </c>
      <c r="BN46" s="95" t="b">
        <f>V46='[2]500千伏-750千伏电网基建'!V46</f>
        <v>1</v>
      </c>
      <c r="BO46" s="95" t="b">
        <f>W46='[2]500千伏-750千伏电网基建'!W46</f>
        <v>1</v>
      </c>
      <c r="BP46" s="95" t="b">
        <f>X46='[2]500千伏-750千伏电网基建'!X46</f>
        <v>1</v>
      </c>
      <c r="BQ46" s="95" t="b">
        <f>Y46='[2]500千伏-750千伏电网基建'!Y46</f>
        <v>1</v>
      </c>
      <c r="BR46" s="95" t="b">
        <f>Z46='[2]500千伏-750千伏电网基建'!Z46</f>
        <v>1</v>
      </c>
      <c r="BS46" s="95" t="b">
        <f>AA46='[2]500千伏-750千伏电网基建'!AA46</f>
        <v>1</v>
      </c>
      <c r="BT46" s="95" t="b">
        <f>AB46='[2]500千伏-750千伏电网基建'!AB46</f>
        <v>1</v>
      </c>
      <c r="BU46" s="95" t="b">
        <f>AC46='[2]500千伏-750千伏电网基建'!AC46</f>
        <v>1</v>
      </c>
      <c r="BV46" s="95" t="b">
        <f>AD46='[2]500千伏-750千伏电网基建'!AD46</f>
        <v>1</v>
      </c>
      <c r="BW46" s="95" t="b">
        <f>AE46='[2]500千伏-750千伏电网基建'!AE46</f>
        <v>1</v>
      </c>
      <c r="BX46" s="95" t="b">
        <f>AF46='[2]500千伏-750千伏电网基建'!AF46</f>
        <v>1</v>
      </c>
      <c r="BY46" s="95" t="b">
        <f>AG46='[2]500千伏-750千伏电网基建'!AG46</f>
        <v>1</v>
      </c>
      <c r="BZ46" s="95" t="b">
        <f>AH46='[2]500千伏-750千伏电网基建'!AH46</f>
        <v>1</v>
      </c>
      <c r="CA46" s="95" t="b">
        <f>AI46='[2]500千伏-750千伏电网基建'!AI46</f>
        <v>1</v>
      </c>
      <c r="CB46" s="95" t="b">
        <f>AJ46='[2]500千伏-750千伏电网基建'!AJ46</f>
        <v>1</v>
      </c>
      <c r="CC46" s="95" t="b">
        <f>AK46='[2]500千伏-750千伏电网基建'!AK46</f>
        <v>1</v>
      </c>
    </row>
    <row r="47" s="95" customFormat="1" ht="71" hidden="1" customHeight="1" spans="1:81">
      <c r="A47" s="14"/>
      <c r="B47" s="14"/>
      <c r="C47" s="15"/>
      <c r="D47" s="15"/>
      <c r="E47" s="16"/>
      <c r="F47" s="17"/>
      <c r="G47" s="15"/>
      <c r="H47" s="16"/>
      <c r="I47" s="23" t="s">
        <v>1165</v>
      </c>
      <c r="J47" s="102" t="s">
        <v>1166</v>
      </c>
      <c r="K47" s="15" t="s">
        <v>36</v>
      </c>
      <c r="L47" s="15"/>
      <c r="M47" s="15"/>
      <c r="N47" s="15"/>
      <c r="O47" s="15"/>
      <c r="P47" s="15"/>
      <c r="Q47" s="15"/>
      <c r="R47" s="15" t="s">
        <v>36</v>
      </c>
      <c r="S47" s="15"/>
      <c r="T47" s="15" t="s">
        <v>492</v>
      </c>
      <c r="U47" s="15"/>
      <c r="V47" s="16" t="s">
        <v>765</v>
      </c>
      <c r="W47" s="110" t="s">
        <v>1164</v>
      </c>
      <c r="X47" s="15" t="s">
        <v>474</v>
      </c>
      <c r="Y47" s="15" t="s">
        <v>473</v>
      </c>
      <c r="Z47" s="15"/>
      <c r="AA47" s="15" t="s">
        <v>474</v>
      </c>
      <c r="AB47" s="15" t="s">
        <v>473</v>
      </c>
      <c r="AC47" s="15"/>
      <c r="AD47" s="15"/>
      <c r="AE47" s="15"/>
      <c r="AF47" s="15"/>
      <c r="AG47" s="30"/>
      <c r="AH47" s="15" t="s">
        <v>476</v>
      </c>
      <c r="AI47" s="15" t="s">
        <v>476</v>
      </c>
      <c r="AJ47" s="15" t="s">
        <v>767</v>
      </c>
      <c r="AK47" s="15"/>
      <c r="AL47" s="47"/>
      <c r="AM47" s="23" t="s">
        <v>1161</v>
      </c>
      <c r="AN47" s="1"/>
      <c r="AO47" s="7" t="s">
        <v>1059</v>
      </c>
      <c r="AP47" s="7" t="s">
        <v>1059</v>
      </c>
      <c r="AQ47" s="7" t="s">
        <v>1059</v>
      </c>
      <c r="AR47" s="95" t="b">
        <f t="shared" si="0"/>
        <v>1</v>
      </c>
      <c r="AS47" s="95" t="b">
        <f>A47='[2]500千伏-750千伏电网基建'!A47</f>
        <v>1</v>
      </c>
      <c r="AT47" s="95" t="b">
        <f>B47='[2]500千伏-750千伏电网基建'!B47</f>
        <v>1</v>
      </c>
      <c r="AU47" s="95" t="b">
        <f>C47='[2]500千伏-750千伏电网基建'!C47</f>
        <v>1</v>
      </c>
      <c r="AV47" s="95" t="b">
        <f>D47='[2]500千伏-750千伏电网基建'!D47</f>
        <v>1</v>
      </c>
      <c r="AW47" s="95" t="b">
        <f>E47='[2]500千伏-750千伏电网基建'!E47</f>
        <v>1</v>
      </c>
      <c r="AX47" s="95" t="b">
        <f>F47='[2]500千伏-750千伏电网基建'!F47</f>
        <v>1</v>
      </c>
      <c r="AY47" s="95" t="b">
        <f>G47='[2]500千伏-750千伏电网基建'!G47</f>
        <v>1</v>
      </c>
      <c r="AZ47" s="95" t="b">
        <f>H47='[2]500千伏-750千伏电网基建'!H47</f>
        <v>1</v>
      </c>
      <c r="BA47" s="95" t="b">
        <f>I47='[2]500千伏-750千伏电网基建'!I47</f>
        <v>1</v>
      </c>
      <c r="BB47" s="95" t="b">
        <f>J47='[2]500千伏-750千伏电网基建'!J47</f>
        <v>1</v>
      </c>
      <c r="BC47" s="95" t="b">
        <f>K47='[2]500千伏-750千伏电网基建'!K47</f>
        <v>1</v>
      </c>
      <c r="BD47" s="95" t="b">
        <f>L47='[2]500千伏-750千伏电网基建'!L47</f>
        <v>1</v>
      </c>
      <c r="BE47" s="95" t="b">
        <f>M47='[2]500千伏-750千伏电网基建'!M47</f>
        <v>1</v>
      </c>
      <c r="BF47" s="95" t="b">
        <f>N47='[2]500千伏-750千伏电网基建'!N47</f>
        <v>1</v>
      </c>
      <c r="BG47" s="95" t="b">
        <f>O47='[2]500千伏-750千伏电网基建'!O47</f>
        <v>1</v>
      </c>
      <c r="BH47" s="95" t="b">
        <f>P47='[2]500千伏-750千伏电网基建'!P47</f>
        <v>1</v>
      </c>
      <c r="BI47" s="95" t="b">
        <f>Q47='[2]500千伏-750千伏电网基建'!Q47</f>
        <v>1</v>
      </c>
      <c r="BJ47" s="95" t="b">
        <f>R47='[2]500千伏-750千伏电网基建'!R47</f>
        <v>1</v>
      </c>
      <c r="BK47" s="95" t="b">
        <f>S47='[2]500千伏-750千伏电网基建'!S47</f>
        <v>1</v>
      </c>
      <c r="BL47" s="95" t="b">
        <f>T47='[2]500千伏-750千伏电网基建'!T47</f>
        <v>1</v>
      </c>
      <c r="BM47" s="95" t="b">
        <f>U47='[2]500千伏-750千伏电网基建'!U47</f>
        <v>1</v>
      </c>
      <c r="BN47" s="95" t="b">
        <f>V47='[2]500千伏-750千伏电网基建'!V47</f>
        <v>1</v>
      </c>
      <c r="BO47" s="95" t="b">
        <f>W47='[2]500千伏-750千伏电网基建'!W47</f>
        <v>1</v>
      </c>
      <c r="BP47" s="95" t="b">
        <f>X47='[2]500千伏-750千伏电网基建'!X47</f>
        <v>1</v>
      </c>
      <c r="BQ47" s="95" t="b">
        <f>Y47='[2]500千伏-750千伏电网基建'!Y47</f>
        <v>1</v>
      </c>
      <c r="BR47" s="95" t="b">
        <f>Z47='[2]500千伏-750千伏电网基建'!Z47</f>
        <v>1</v>
      </c>
      <c r="BS47" s="95" t="b">
        <f>AA47='[2]500千伏-750千伏电网基建'!AA47</f>
        <v>1</v>
      </c>
      <c r="BT47" s="95" t="b">
        <f>AB47='[2]500千伏-750千伏电网基建'!AB47</f>
        <v>1</v>
      </c>
      <c r="BU47" s="95" t="b">
        <f>AC47='[2]500千伏-750千伏电网基建'!AC47</f>
        <v>1</v>
      </c>
      <c r="BV47" s="95" t="b">
        <f>AD47='[2]500千伏-750千伏电网基建'!AD47</f>
        <v>1</v>
      </c>
      <c r="BW47" s="95" t="b">
        <f>AE47='[2]500千伏-750千伏电网基建'!AE47</f>
        <v>1</v>
      </c>
      <c r="BX47" s="95" t="b">
        <f>AF47='[2]500千伏-750千伏电网基建'!AF47</f>
        <v>1</v>
      </c>
      <c r="BY47" s="95" t="b">
        <f>AG47='[2]500千伏-750千伏电网基建'!AG47</f>
        <v>1</v>
      </c>
      <c r="BZ47" s="95" t="b">
        <f>AH47='[2]500千伏-750千伏电网基建'!AH47</f>
        <v>1</v>
      </c>
      <c r="CA47" s="95" t="b">
        <f>AI47='[2]500千伏-750千伏电网基建'!AI47</f>
        <v>1</v>
      </c>
      <c r="CB47" s="95" t="b">
        <f>AJ47='[2]500千伏-750千伏电网基建'!AJ47</f>
        <v>1</v>
      </c>
      <c r="CC47" s="95" t="b">
        <f>AK47='[2]500千伏-750千伏电网基建'!AK47</f>
        <v>1</v>
      </c>
    </row>
    <row r="48" s="95" customFormat="1" ht="90" hidden="1" customHeight="1" spans="1:81">
      <c r="A48" s="63" t="s">
        <v>483</v>
      </c>
      <c r="B48" s="64" t="s">
        <v>662</v>
      </c>
      <c r="C48" s="15" t="s">
        <v>485</v>
      </c>
      <c r="D48" s="15" t="s">
        <v>770</v>
      </c>
      <c r="E48" s="16" t="s">
        <v>771</v>
      </c>
      <c r="F48" s="24"/>
      <c r="G48" s="15" t="s">
        <v>1167</v>
      </c>
      <c r="H48" s="16" t="s">
        <v>773</v>
      </c>
      <c r="I48" s="23" t="s">
        <v>1168</v>
      </c>
      <c r="J48" s="16" t="s">
        <v>1169</v>
      </c>
      <c r="K48" s="15"/>
      <c r="L48" s="15"/>
      <c r="M48" s="15" t="s">
        <v>36</v>
      </c>
      <c r="N48" s="15"/>
      <c r="O48" s="15"/>
      <c r="P48" s="15"/>
      <c r="Q48" s="15" t="s">
        <v>36</v>
      </c>
      <c r="R48" s="15" t="s">
        <v>36</v>
      </c>
      <c r="S48" s="15"/>
      <c r="T48" s="15" t="s">
        <v>492</v>
      </c>
      <c r="U48" s="15"/>
      <c r="V48" s="16" t="s">
        <v>776</v>
      </c>
      <c r="W48" s="110" t="s">
        <v>1170</v>
      </c>
      <c r="X48" s="15" t="s">
        <v>474</v>
      </c>
      <c r="Y48" s="15" t="s">
        <v>473</v>
      </c>
      <c r="Z48" s="15"/>
      <c r="AA48" s="15" t="s">
        <v>474</v>
      </c>
      <c r="AB48" s="15" t="s">
        <v>473</v>
      </c>
      <c r="AC48" s="15"/>
      <c r="AD48" s="15"/>
      <c r="AE48" s="30"/>
      <c r="AF48" s="30"/>
      <c r="AG48" s="30"/>
      <c r="AH48" s="15" t="s">
        <v>476</v>
      </c>
      <c r="AI48" s="15" t="s">
        <v>476</v>
      </c>
      <c r="AJ48" s="15" t="s">
        <v>778</v>
      </c>
      <c r="AK48" s="15" t="s">
        <v>532</v>
      </c>
      <c r="AL48" s="48"/>
      <c r="AM48" s="23" t="s">
        <v>1161</v>
      </c>
      <c r="AN48" s="1"/>
      <c r="AO48" s="7" t="s">
        <v>1045</v>
      </c>
      <c r="AP48" s="7" t="s">
        <v>1045</v>
      </c>
      <c r="AQ48" s="95" t="s">
        <v>1045</v>
      </c>
      <c r="AR48" s="95" t="b">
        <f t="shared" si="0"/>
        <v>1</v>
      </c>
      <c r="AS48" s="95" t="b">
        <f>A48='[2]500千伏-750千伏电网基建'!A48</f>
        <v>1</v>
      </c>
      <c r="AT48" s="95" t="b">
        <f>B48='[2]500千伏-750千伏电网基建'!B48</f>
        <v>1</v>
      </c>
      <c r="AU48" s="95" t="b">
        <f>C48='[2]500千伏-750千伏电网基建'!C48</f>
        <v>1</v>
      </c>
      <c r="AV48" s="95" t="b">
        <f>D48='[2]500千伏-750千伏电网基建'!D48</f>
        <v>1</v>
      </c>
      <c r="AW48" s="95" t="b">
        <f>E48='[2]500千伏-750千伏电网基建'!E48</f>
        <v>1</v>
      </c>
      <c r="AX48" s="95" t="b">
        <f>F48='[2]500千伏-750千伏电网基建'!F48</f>
        <v>1</v>
      </c>
      <c r="AY48" s="95" t="b">
        <f>G48='[2]500千伏-750千伏电网基建'!G48</f>
        <v>1</v>
      </c>
      <c r="AZ48" s="95" t="b">
        <f>H48='[2]500千伏-750千伏电网基建'!H48</f>
        <v>1</v>
      </c>
      <c r="BA48" s="95" t="b">
        <f>I48='[2]500千伏-750千伏电网基建'!I48</f>
        <v>1</v>
      </c>
      <c r="BB48" s="95" t="b">
        <f>J48='[2]500千伏-750千伏电网基建'!J48</f>
        <v>1</v>
      </c>
      <c r="BC48" s="95" t="b">
        <f>K48='[2]500千伏-750千伏电网基建'!K48</f>
        <v>1</v>
      </c>
      <c r="BD48" s="95" t="b">
        <f>L48='[2]500千伏-750千伏电网基建'!L48</f>
        <v>1</v>
      </c>
      <c r="BE48" s="95" t="b">
        <f>M48='[2]500千伏-750千伏电网基建'!M48</f>
        <v>1</v>
      </c>
      <c r="BF48" s="95" t="b">
        <f>N48='[2]500千伏-750千伏电网基建'!N48</f>
        <v>1</v>
      </c>
      <c r="BG48" s="95" t="b">
        <f>O48='[2]500千伏-750千伏电网基建'!O48</f>
        <v>1</v>
      </c>
      <c r="BH48" s="95" t="b">
        <f>P48='[2]500千伏-750千伏电网基建'!P48</f>
        <v>1</v>
      </c>
      <c r="BI48" s="95" t="b">
        <f>Q48='[2]500千伏-750千伏电网基建'!Q48</f>
        <v>1</v>
      </c>
      <c r="BJ48" s="95" t="b">
        <f>R48='[2]500千伏-750千伏电网基建'!R48</f>
        <v>1</v>
      </c>
      <c r="BK48" s="95" t="b">
        <f>S48='[2]500千伏-750千伏电网基建'!S48</f>
        <v>1</v>
      </c>
      <c r="BL48" s="95" t="b">
        <f>T48='[2]500千伏-750千伏电网基建'!T48</f>
        <v>1</v>
      </c>
      <c r="BM48" s="95" t="b">
        <f>U48='[2]500千伏-750千伏电网基建'!U48</f>
        <v>1</v>
      </c>
      <c r="BN48" s="95" t="b">
        <f>V48='[2]500千伏-750千伏电网基建'!V48</f>
        <v>1</v>
      </c>
      <c r="BO48" s="95" t="b">
        <f>W48='[2]500千伏-750千伏电网基建'!W48</f>
        <v>1</v>
      </c>
      <c r="BP48" s="95" t="b">
        <f>X48='[2]500千伏-750千伏电网基建'!X48</f>
        <v>1</v>
      </c>
      <c r="BQ48" s="95" t="b">
        <f>Y48='[2]500千伏-750千伏电网基建'!Y48</f>
        <v>1</v>
      </c>
      <c r="BR48" s="95" t="b">
        <f>Z48='[2]500千伏-750千伏电网基建'!Z48</f>
        <v>1</v>
      </c>
      <c r="BS48" s="95" t="b">
        <f>AA48='[2]500千伏-750千伏电网基建'!AA48</f>
        <v>1</v>
      </c>
      <c r="BT48" s="95" t="b">
        <f>AB48='[2]500千伏-750千伏电网基建'!AB48</f>
        <v>1</v>
      </c>
      <c r="BU48" s="95" t="b">
        <f>AC48='[2]500千伏-750千伏电网基建'!AC48</f>
        <v>1</v>
      </c>
      <c r="BV48" s="95" t="b">
        <f>AD48='[2]500千伏-750千伏电网基建'!AD48</f>
        <v>1</v>
      </c>
      <c r="BW48" s="95" t="b">
        <f>AE48='[2]500千伏-750千伏电网基建'!AE48</f>
        <v>1</v>
      </c>
      <c r="BX48" s="95" t="b">
        <f>AF48='[2]500千伏-750千伏电网基建'!AF48</f>
        <v>1</v>
      </c>
      <c r="BY48" s="95" t="b">
        <f>AG48='[2]500千伏-750千伏电网基建'!AG48</f>
        <v>1</v>
      </c>
      <c r="BZ48" s="95" t="b">
        <f>AH48='[2]500千伏-750千伏电网基建'!AH48</f>
        <v>1</v>
      </c>
      <c r="CA48" s="95" t="b">
        <f>AI48='[2]500千伏-750千伏电网基建'!AI48</f>
        <v>1</v>
      </c>
      <c r="CB48" s="95" t="b">
        <f>AJ48='[2]500千伏-750千伏电网基建'!AJ48</f>
        <v>1</v>
      </c>
      <c r="CC48" s="95" t="b">
        <f>AK48='[2]500千伏-750千伏电网基建'!AK48</f>
        <v>1</v>
      </c>
    </row>
    <row r="49" s="95" customFormat="1" ht="277" customHeight="1" spans="1:81">
      <c r="A49" s="63"/>
      <c r="B49" s="67"/>
      <c r="C49" s="15" t="s">
        <v>536</v>
      </c>
      <c r="D49" s="15" t="s">
        <v>779</v>
      </c>
      <c r="E49" s="16" t="s">
        <v>780</v>
      </c>
      <c r="F49" s="17" t="s">
        <v>781</v>
      </c>
      <c r="G49" s="45" t="s">
        <v>1171</v>
      </c>
      <c r="H49" s="16" t="s">
        <v>783</v>
      </c>
      <c r="I49" s="23" t="s">
        <v>1172</v>
      </c>
      <c r="J49" s="16" t="s">
        <v>1173</v>
      </c>
      <c r="K49" s="15"/>
      <c r="L49" s="15"/>
      <c r="M49" s="15" t="s">
        <v>36</v>
      </c>
      <c r="N49" s="15"/>
      <c r="O49" s="15" t="s">
        <v>36</v>
      </c>
      <c r="P49" s="15"/>
      <c r="Q49" s="15"/>
      <c r="R49" s="15"/>
      <c r="S49" s="15"/>
      <c r="T49" s="15" t="s">
        <v>550</v>
      </c>
      <c r="U49" s="15" t="s">
        <v>786</v>
      </c>
      <c r="V49" s="16" t="s">
        <v>787</v>
      </c>
      <c r="W49" s="35" t="s">
        <v>749</v>
      </c>
      <c r="X49" s="15" t="s">
        <v>474</v>
      </c>
      <c r="Y49" s="15" t="s">
        <v>473</v>
      </c>
      <c r="Z49" s="30"/>
      <c r="AA49" s="15" t="s">
        <v>474</v>
      </c>
      <c r="AB49" s="15" t="s">
        <v>473</v>
      </c>
      <c r="AC49" s="30"/>
      <c r="AD49" s="15"/>
      <c r="AE49" s="30"/>
      <c r="AF49" s="30"/>
      <c r="AG49" s="30"/>
      <c r="AH49" s="15" t="s">
        <v>476</v>
      </c>
      <c r="AI49" s="15" t="s">
        <v>476</v>
      </c>
      <c r="AJ49" s="15" t="s">
        <v>778</v>
      </c>
      <c r="AK49" s="15" t="s">
        <v>599</v>
      </c>
      <c r="AL49" s="1" t="s">
        <v>1064</v>
      </c>
      <c r="AM49" s="4" t="s">
        <v>1075</v>
      </c>
      <c r="AN49" s="1"/>
      <c r="AO49" s="7" t="s">
        <v>1045</v>
      </c>
      <c r="AP49" s="7" t="s">
        <v>1059</v>
      </c>
      <c r="AQ49" s="129" t="s">
        <v>1045</v>
      </c>
      <c r="AR49" s="95" t="b">
        <f t="shared" si="0"/>
        <v>0</v>
      </c>
      <c r="AS49" s="95" t="b">
        <f>A49='[2]500千伏-750千伏电网基建'!A49</f>
        <v>1</v>
      </c>
      <c r="AT49" s="95" t="b">
        <f>B49='[2]500千伏-750千伏电网基建'!B49</f>
        <v>1</v>
      </c>
      <c r="AU49" s="95" t="b">
        <f>C49='[2]500千伏-750千伏电网基建'!C49</f>
        <v>1</v>
      </c>
      <c r="AV49" s="95" t="b">
        <f>D49='[2]500千伏-750千伏电网基建'!D49</f>
        <v>1</v>
      </c>
      <c r="AW49" s="95" t="b">
        <f>E49='[2]500千伏-750千伏电网基建'!E49</f>
        <v>1</v>
      </c>
      <c r="AX49" s="95" t="b">
        <f>F49='[2]500千伏-750千伏电网基建'!F49</f>
        <v>1</v>
      </c>
      <c r="AY49" s="95" t="b">
        <f>G49='[2]500千伏-750千伏电网基建'!G49</f>
        <v>1</v>
      </c>
      <c r="AZ49" s="95" t="b">
        <f>H49='[2]500千伏-750千伏电网基建'!H49</f>
        <v>1</v>
      </c>
      <c r="BA49" s="95" t="b">
        <f>I49='[2]500千伏-750千伏电网基建'!I49</f>
        <v>1</v>
      </c>
      <c r="BB49" s="95" t="b">
        <f>J49='[2]500千伏-750千伏电网基建'!J49</f>
        <v>1</v>
      </c>
      <c r="BC49" s="95" t="b">
        <f>K49='[2]500千伏-750千伏电网基建'!K49</f>
        <v>1</v>
      </c>
      <c r="BD49" s="95" t="b">
        <f>L49='[2]500千伏-750千伏电网基建'!L49</f>
        <v>1</v>
      </c>
      <c r="BE49" s="95" t="b">
        <f>M49='[2]500千伏-750千伏电网基建'!M49</f>
        <v>1</v>
      </c>
      <c r="BF49" s="95" t="b">
        <f>N49='[2]500千伏-750千伏电网基建'!N49</f>
        <v>1</v>
      </c>
      <c r="BG49" s="95" t="b">
        <f>O49='[2]500千伏-750千伏电网基建'!O49</f>
        <v>1</v>
      </c>
      <c r="BH49" s="95" t="b">
        <f>P49='[2]500千伏-750千伏电网基建'!P49</f>
        <v>1</v>
      </c>
      <c r="BI49" s="95" t="b">
        <f>Q49='[2]500千伏-750千伏电网基建'!Q49</f>
        <v>1</v>
      </c>
      <c r="BJ49" s="95" t="b">
        <f>R49='[2]500千伏-750千伏电网基建'!R49</f>
        <v>1</v>
      </c>
      <c r="BK49" s="95" t="b">
        <f>S49='[2]500千伏-750千伏电网基建'!S49</f>
        <v>1</v>
      </c>
      <c r="BL49" s="95" t="b">
        <f>T49='[2]500千伏-750千伏电网基建'!T49</f>
        <v>1</v>
      </c>
      <c r="BM49" s="95" t="b">
        <f>U49='[2]500千伏-750千伏电网基建'!U49</f>
        <v>1</v>
      </c>
      <c r="BN49" s="95" t="b">
        <f>V49='[2]500千伏-750千伏电网基建'!V49</f>
        <v>1</v>
      </c>
      <c r="BO49" s="95" t="b">
        <f>W49='[2]500千伏-750千伏电网基建'!W49</f>
        <v>1</v>
      </c>
      <c r="BP49" s="95" t="b">
        <f>X49='[2]500千伏-750千伏电网基建'!X49</f>
        <v>1</v>
      </c>
      <c r="BQ49" s="95" t="b">
        <f>Y49='[2]500千伏-750千伏电网基建'!Y49</f>
        <v>1</v>
      </c>
      <c r="BR49" s="95" t="b">
        <f>Z49='[2]500千伏-750千伏电网基建'!Z49</f>
        <v>1</v>
      </c>
      <c r="BS49" s="95" t="b">
        <f>AA49='[2]500千伏-750千伏电网基建'!AA49</f>
        <v>1</v>
      </c>
      <c r="BT49" s="95" t="b">
        <f>AB49='[2]500千伏-750千伏电网基建'!AB49</f>
        <v>1</v>
      </c>
      <c r="BU49" s="95" t="b">
        <f>AC49='[2]500千伏-750千伏电网基建'!AC49</f>
        <v>1</v>
      </c>
      <c r="BV49" s="95" t="b">
        <f>AD49='[2]500千伏-750千伏电网基建'!AD49</f>
        <v>1</v>
      </c>
      <c r="BW49" s="95" t="b">
        <f>AE49='[2]500千伏-750千伏电网基建'!AE49</f>
        <v>1</v>
      </c>
      <c r="BX49" s="95" t="b">
        <f>AF49='[2]500千伏-750千伏电网基建'!AF49</f>
        <v>1</v>
      </c>
      <c r="BY49" s="95" t="b">
        <f>AG49='[2]500千伏-750千伏电网基建'!AG49</f>
        <v>1</v>
      </c>
      <c r="BZ49" s="95" t="b">
        <f>AH49='[2]500千伏-750千伏电网基建'!AH49</f>
        <v>1</v>
      </c>
      <c r="CA49" s="95" t="b">
        <f>AI49='[2]500千伏-750千伏电网基建'!AI49</f>
        <v>1</v>
      </c>
      <c r="CB49" s="95" t="b">
        <f>AJ49='[2]500千伏-750千伏电网基建'!AJ49</f>
        <v>1</v>
      </c>
      <c r="CC49" s="95" t="b">
        <f>AK49='[2]500千伏-750千伏电网基建'!AK49</f>
        <v>1</v>
      </c>
    </row>
    <row r="50" s="95" customFormat="1" ht="91" hidden="1" customHeight="1" spans="1:81">
      <c r="A50" s="63"/>
      <c r="B50" s="67"/>
      <c r="C50" s="15"/>
      <c r="D50" s="15"/>
      <c r="E50" s="16"/>
      <c r="F50" s="17"/>
      <c r="G50" s="47"/>
      <c r="H50" s="16"/>
      <c r="I50" s="23" t="s">
        <v>1174</v>
      </c>
      <c r="J50" s="16" t="s">
        <v>1175</v>
      </c>
      <c r="K50" s="15"/>
      <c r="L50" s="15"/>
      <c r="M50" s="15" t="s">
        <v>36</v>
      </c>
      <c r="N50" s="15"/>
      <c r="O50" s="15" t="s">
        <v>36</v>
      </c>
      <c r="P50" s="15"/>
      <c r="Q50" s="15" t="s">
        <v>36</v>
      </c>
      <c r="R50" s="15"/>
      <c r="S50" s="15"/>
      <c r="T50" s="15" t="s">
        <v>465</v>
      </c>
      <c r="U50" s="15" t="s">
        <v>790</v>
      </c>
      <c r="V50" s="16" t="s">
        <v>791</v>
      </c>
      <c r="W50" s="35" t="s">
        <v>656</v>
      </c>
      <c r="X50" s="15" t="s">
        <v>474</v>
      </c>
      <c r="Y50" s="15" t="s">
        <v>473</v>
      </c>
      <c r="Z50" s="30"/>
      <c r="AA50" s="15" t="s">
        <v>474</v>
      </c>
      <c r="AB50" s="15" t="s">
        <v>473</v>
      </c>
      <c r="AC50" s="30"/>
      <c r="AD50" s="15" t="s">
        <v>792</v>
      </c>
      <c r="AE50" s="15" t="s">
        <v>511</v>
      </c>
      <c r="AF50" s="15"/>
      <c r="AG50" s="30"/>
      <c r="AH50" s="15" t="s">
        <v>476</v>
      </c>
      <c r="AI50" s="15" t="s">
        <v>476</v>
      </c>
      <c r="AJ50" s="15" t="s">
        <v>778</v>
      </c>
      <c r="AK50" s="15" t="s">
        <v>532</v>
      </c>
      <c r="AL50" s="1" t="s">
        <v>1064</v>
      </c>
      <c r="AM50" s="15" t="s">
        <v>470</v>
      </c>
      <c r="AN50" s="1"/>
      <c r="AO50" s="7" t="s">
        <v>1045</v>
      </c>
      <c r="AP50" s="7" t="s">
        <v>1045</v>
      </c>
      <c r="AQ50" s="7" t="s">
        <v>1045</v>
      </c>
      <c r="AR50" s="95" t="b">
        <f t="shared" si="0"/>
        <v>1</v>
      </c>
      <c r="AS50" s="95" t="b">
        <f>A50='[2]500千伏-750千伏电网基建'!A50</f>
        <v>1</v>
      </c>
      <c r="AT50" s="95" t="b">
        <f>B50='[2]500千伏-750千伏电网基建'!B50</f>
        <v>1</v>
      </c>
      <c r="AU50" s="95" t="b">
        <f>C50='[2]500千伏-750千伏电网基建'!C50</f>
        <v>1</v>
      </c>
      <c r="AV50" s="95" t="b">
        <f>D50='[2]500千伏-750千伏电网基建'!D50</f>
        <v>1</v>
      </c>
      <c r="AW50" s="95" t="b">
        <f>E50='[2]500千伏-750千伏电网基建'!E50</f>
        <v>1</v>
      </c>
      <c r="AX50" s="95" t="b">
        <f>F50='[2]500千伏-750千伏电网基建'!F50</f>
        <v>1</v>
      </c>
      <c r="AY50" s="95" t="b">
        <f>G50='[2]500千伏-750千伏电网基建'!G50</f>
        <v>1</v>
      </c>
      <c r="AZ50" s="95" t="b">
        <f>H50='[2]500千伏-750千伏电网基建'!H50</f>
        <v>1</v>
      </c>
      <c r="BA50" s="95" t="b">
        <f>I50='[2]500千伏-750千伏电网基建'!I50</f>
        <v>1</v>
      </c>
      <c r="BB50" s="95" t="b">
        <f>J50='[2]500千伏-750千伏电网基建'!J50</f>
        <v>1</v>
      </c>
      <c r="BC50" s="95" t="b">
        <f>K50='[2]500千伏-750千伏电网基建'!K50</f>
        <v>1</v>
      </c>
      <c r="BD50" s="95" t="b">
        <f>L50='[2]500千伏-750千伏电网基建'!L50</f>
        <v>1</v>
      </c>
      <c r="BE50" s="95" t="b">
        <f>M50='[2]500千伏-750千伏电网基建'!M50</f>
        <v>1</v>
      </c>
      <c r="BF50" s="95" t="b">
        <f>N50='[2]500千伏-750千伏电网基建'!N50</f>
        <v>1</v>
      </c>
      <c r="BG50" s="95" t="b">
        <f>O50='[2]500千伏-750千伏电网基建'!O50</f>
        <v>1</v>
      </c>
      <c r="BH50" s="95" t="b">
        <f>P50='[2]500千伏-750千伏电网基建'!P50</f>
        <v>1</v>
      </c>
      <c r="BI50" s="95" t="b">
        <f>Q50='[2]500千伏-750千伏电网基建'!Q50</f>
        <v>1</v>
      </c>
      <c r="BJ50" s="95" t="b">
        <f>R50='[2]500千伏-750千伏电网基建'!R50</f>
        <v>1</v>
      </c>
      <c r="BK50" s="95" t="b">
        <f>S50='[2]500千伏-750千伏电网基建'!S50</f>
        <v>1</v>
      </c>
      <c r="BL50" s="95" t="b">
        <f>T50='[2]500千伏-750千伏电网基建'!T50</f>
        <v>1</v>
      </c>
      <c r="BM50" s="95" t="b">
        <f>U50='[2]500千伏-750千伏电网基建'!U50</f>
        <v>1</v>
      </c>
      <c r="BN50" s="95" t="b">
        <f>V50='[2]500千伏-750千伏电网基建'!V50</f>
        <v>1</v>
      </c>
      <c r="BO50" s="95" t="b">
        <f>W50='[2]500千伏-750千伏电网基建'!W50</f>
        <v>1</v>
      </c>
      <c r="BP50" s="95" t="b">
        <f>X50='[2]500千伏-750千伏电网基建'!X50</f>
        <v>1</v>
      </c>
      <c r="BQ50" s="95" t="b">
        <f>Y50='[2]500千伏-750千伏电网基建'!Y50</f>
        <v>1</v>
      </c>
      <c r="BR50" s="95" t="b">
        <f>Z50='[2]500千伏-750千伏电网基建'!Z50</f>
        <v>1</v>
      </c>
      <c r="BS50" s="95" t="b">
        <f>AA50='[2]500千伏-750千伏电网基建'!AA50</f>
        <v>1</v>
      </c>
      <c r="BT50" s="95" t="b">
        <f>AB50='[2]500千伏-750千伏电网基建'!AB50</f>
        <v>1</v>
      </c>
      <c r="BU50" s="95" t="b">
        <f>AC50='[2]500千伏-750千伏电网基建'!AC50</f>
        <v>1</v>
      </c>
      <c r="BV50" s="95" t="b">
        <f>AD50='[2]500千伏-750千伏电网基建'!AD50</f>
        <v>1</v>
      </c>
      <c r="BW50" s="95" t="b">
        <f>AE50='[2]500千伏-750千伏电网基建'!AE50</f>
        <v>1</v>
      </c>
      <c r="BX50" s="95" t="b">
        <f>AF50='[2]500千伏-750千伏电网基建'!AF50</f>
        <v>1</v>
      </c>
      <c r="BY50" s="95" t="b">
        <f>AG50='[2]500千伏-750千伏电网基建'!AG50</f>
        <v>1</v>
      </c>
      <c r="BZ50" s="95" t="b">
        <f>AH50='[2]500千伏-750千伏电网基建'!AH50</f>
        <v>1</v>
      </c>
      <c r="CA50" s="95" t="b">
        <f>AI50='[2]500千伏-750千伏电网基建'!AI50</f>
        <v>1</v>
      </c>
      <c r="CB50" s="95" t="b">
        <f>AJ50='[2]500千伏-750千伏电网基建'!AJ50</f>
        <v>1</v>
      </c>
      <c r="CC50" s="95" t="b">
        <f>AK50='[2]500千伏-750千伏电网基建'!AK50</f>
        <v>1</v>
      </c>
    </row>
    <row r="51" s="95" customFormat="1" ht="141" hidden="1" customHeight="1" spans="1:81">
      <c r="A51" s="14"/>
      <c r="B51" s="67"/>
      <c r="C51" s="45" t="s">
        <v>485</v>
      </c>
      <c r="D51" s="15" t="s">
        <v>1176</v>
      </c>
      <c r="E51" s="52" t="s">
        <v>793</v>
      </c>
      <c r="F51" s="68"/>
      <c r="G51" s="69" t="s">
        <v>1177</v>
      </c>
      <c r="H51" s="52" t="s">
        <v>795</v>
      </c>
      <c r="I51" s="54" t="s">
        <v>1178</v>
      </c>
      <c r="J51" s="52" t="s">
        <v>1179</v>
      </c>
      <c r="K51" s="46"/>
      <c r="L51" s="46"/>
      <c r="M51" s="46" t="s">
        <v>36</v>
      </c>
      <c r="N51" s="46"/>
      <c r="O51" s="46"/>
      <c r="P51" s="46"/>
      <c r="Q51" s="46" t="s">
        <v>36</v>
      </c>
      <c r="R51" s="46" t="s">
        <v>36</v>
      </c>
      <c r="S51" s="46" t="s">
        <v>36</v>
      </c>
      <c r="T51" s="46" t="s">
        <v>492</v>
      </c>
      <c r="U51" s="46" t="s">
        <v>790</v>
      </c>
      <c r="V51" s="52" t="s">
        <v>1180</v>
      </c>
      <c r="W51" s="46" t="s">
        <v>1181</v>
      </c>
      <c r="X51" s="46" t="s">
        <v>474</v>
      </c>
      <c r="Y51" s="46" t="s">
        <v>473</v>
      </c>
      <c r="Z51" s="46"/>
      <c r="AA51" s="46" t="s">
        <v>474</v>
      </c>
      <c r="AB51" s="46" t="s">
        <v>473</v>
      </c>
      <c r="AC51" s="46"/>
      <c r="AD51" s="46"/>
      <c r="AE51" s="70"/>
      <c r="AF51" s="70"/>
      <c r="AG51" s="70"/>
      <c r="AH51" s="46" t="s">
        <v>476</v>
      </c>
      <c r="AI51" s="46" t="s">
        <v>476</v>
      </c>
      <c r="AJ51" s="46" t="s">
        <v>1182</v>
      </c>
      <c r="AK51" s="46" t="s">
        <v>470</v>
      </c>
      <c r="AL51" s="1" t="s">
        <v>1064</v>
      </c>
      <c r="AM51" s="46" t="s">
        <v>1141</v>
      </c>
      <c r="AN51" s="71"/>
      <c r="AO51" s="7" t="s">
        <v>1143</v>
      </c>
      <c r="AP51" s="7" t="s">
        <v>1183</v>
      </c>
      <c r="AQ51" s="7" t="s">
        <v>1183</v>
      </c>
      <c r="AR51" s="95" t="b">
        <f t="shared" si="0"/>
        <v>1</v>
      </c>
      <c r="AS51" s="95" t="b">
        <f>A51='[2]500千伏-750千伏电网基建'!A51</f>
        <v>1</v>
      </c>
      <c r="AT51" s="95" t="b">
        <f>B51='[2]500千伏-750千伏电网基建'!B51</f>
        <v>1</v>
      </c>
      <c r="AU51" s="95" t="b">
        <f>C51='[2]500千伏-750千伏电网基建'!C51</f>
        <v>1</v>
      </c>
      <c r="AV51" s="95" t="b">
        <f>D51='[2]500千伏-750千伏电网基建'!D51</f>
        <v>1</v>
      </c>
      <c r="AW51" s="95" t="b">
        <f>E51='[2]500千伏-750千伏电网基建'!E51</f>
        <v>1</v>
      </c>
      <c r="AX51" s="95" t="b">
        <f>F51='[2]500千伏-750千伏电网基建'!F51</f>
        <v>1</v>
      </c>
      <c r="AY51" s="95" t="b">
        <f>G51='[2]500千伏-750千伏电网基建'!G51</f>
        <v>1</v>
      </c>
      <c r="AZ51" s="95" t="b">
        <f>H51='[2]500千伏-750千伏电网基建'!H51</f>
        <v>1</v>
      </c>
      <c r="BA51" s="95" t="b">
        <f>I51='[2]500千伏-750千伏电网基建'!I51</f>
        <v>1</v>
      </c>
      <c r="BB51" s="95" t="b">
        <f>J51='[2]500千伏-750千伏电网基建'!J51</f>
        <v>1</v>
      </c>
      <c r="BC51" s="95" t="b">
        <f>K51='[2]500千伏-750千伏电网基建'!K51</f>
        <v>1</v>
      </c>
      <c r="BD51" s="95" t="b">
        <f>L51='[2]500千伏-750千伏电网基建'!L51</f>
        <v>1</v>
      </c>
      <c r="BE51" s="95" t="b">
        <f>M51='[2]500千伏-750千伏电网基建'!M51</f>
        <v>1</v>
      </c>
      <c r="BF51" s="95" t="b">
        <f>N51='[2]500千伏-750千伏电网基建'!N51</f>
        <v>1</v>
      </c>
      <c r="BG51" s="95" t="b">
        <f>O51='[2]500千伏-750千伏电网基建'!O51</f>
        <v>1</v>
      </c>
      <c r="BH51" s="95" t="b">
        <f>P51='[2]500千伏-750千伏电网基建'!P51</f>
        <v>1</v>
      </c>
      <c r="BI51" s="95" t="b">
        <f>Q51='[2]500千伏-750千伏电网基建'!Q51</f>
        <v>1</v>
      </c>
      <c r="BJ51" s="95" t="b">
        <f>R51='[2]500千伏-750千伏电网基建'!R51</f>
        <v>1</v>
      </c>
      <c r="BK51" s="95" t="b">
        <f>S51='[2]500千伏-750千伏电网基建'!S51</f>
        <v>1</v>
      </c>
      <c r="BL51" s="95" t="b">
        <f>T51='[2]500千伏-750千伏电网基建'!T51</f>
        <v>1</v>
      </c>
      <c r="BM51" s="95" t="b">
        <f>U51='[2]500千伏-750千伏电网基建'!U51</f>
        <v>1</v>
      </c>
      <c r="BN51" s="95" t="b">
        <f>V51='[2]500千伏-750千伏电网基建'!V51</f>
        <v>1</v>
      </c>
      <c r="BO51" s="95" t="b">
        <f>W51='[2]500千伏-750千伏电网基建'!W51</f>
        <v>1</v>
      </c>
      <c r="BP51" s="95" t="b">
        <f>X51='[2]500千伏-750千伏电网基建'!X51</f>
        <v>1</v>
      </c>
      <c r="BQ51" s="95" t="b">
        <f>Y51='[2]500千伏-750千伏电网基建'!Y51</f>
        <v>1</v>
      </c>
      <c r="BR51" s="95" t="b">
        <f>Z51='[2]500千伏-750千伏电网基建'!Z51</f>
        <v>1</v>
      </c>
      <c r="BS51" s="95" t="b">
        <f>AA51='[2]500千伏-750千伏电网基建'!AA51</f>
        <v>1</v>
      </c>
      <c r="BT51" s="95" t="b">
        <f>AB51='[2]500千伏-750千伏电网基建'!AB51</f>
        <v>1</v>
      </c>
      <c r="BU51" s="95" t="b">
        <f>AC51='[2]500千伏-750千伏电网基建'!AC51</f>
        <v>1</v>
      </c>
      <c r="BV51" s="95" t="b">
        <f>AD51='[2]500千伏-750千伏电网基建'!AD51</f>
        <v>1</v>
      </c>
      <c r="BW51" s="95" t="b">
        <f>AE51='[2]500千伏-750千伏电网基建'!AE51</f>
        <v>1</v>
      </c>
      <c r="BX51" s="95" t="b">
        <f>AF51='[2]500千伏-750千伏电网基建'!AF51</f>
        <v>1</v>
      </c>
      <c r="BY51" s="95" t="b">
        <f>AG51='[2]500千伏-750千伏电网基建'!AG51</f>
        <v>1</v>
      </c>
      <c r="BZ51" s="95" t="b">
        <f>AH51='[2]500千伏-750千伏电网基建'!AH51</f>
        <v>1</v>
      </c>
      <c r="CA51" s="95" t="b">
        <f>AI51='[2]500千伏-750千伏电网基建'!AI51</f>
        <v>1</v>
      </c>
      <c r="CB51" s="95" t="b">
        <f>AJ51='[2]500千伏-750千伏电网基建'!AJ51</f>
        <v>1</v>
      </c>
      <c r="CC51" s="95" t="b">
        <f>AK51='[2]500千伏-750千伏电网基建'!AK51</f>
        <v>1</v>
      </c>
    </row>
    <row r="52" s="95" customFormat="1" ht="198" hidden="1" customHeight="1" spans="1:81">
      <c r="A52" s="14"/>
      <c r="B52" s="67"/>
      <c r="C52" s="48"/>
      <c r="D52" s="73" t="s">
        <v>1184</v>
      </c>
      <c r="E52" s="52" t="s">
        <v>1185</v>
      </c>
      <c r="F52" s="3"/>
      <c r="G52" s="69" t="s">
        <v>1186</v>
      </c>
      <c r="H52" s="52" t="s">
        <v>1187</v>
      </c>
      <c r="I52" s="54" t="s">
        <v>1188</v>
      </c>
      <c r="J52" s="52" t="s">
        <v>1189</v>
      </c>
      <c r="K52" s="46"/>
      <c r="L52" s="46"/>
      <c r="M52" s="74"/>
      <c r="N52" s="74"/>
      <c r="O52" s="46"/>
      <c r="P52" s="74"/>
      <c r="Q52" s="74"/>
      <c r="R52" s="74"/>
      <c r="S52" s="46"/>
      <c r="T52" s="46" t="s">
        <v>492</v>
      </c>
      <c r="U52" s="75"/>
      <c r="V52" s="52" t="s">
        <v>1190</v>
      </c>
      <c r="W52" s="52" t="s">
        <v>1191</v>
      </c>
      <c r="X52" s="46"/>
      <c r="Y52" s="46"/>
      <c r="Z52" s="46"/>
      <c r="AA52" s="46"/>
      <c r="AB52" s="46"/>
      <c r="AC52" s="46"/>
      <c r="AD52" s="46"/>
      <c r="AE52" s="46"/>
      <c r="AF52" s="46"/>
      <c r="AG52" s="46"/>
      <c r="AH52" s="46"/>
      <c r="AI52" s="46"/>
      <c r="AJ52" s="52" t="s">
        <v>817</v>
      </c>
      <c r="AK52" s="46" t="s">
        <v>470</v>
      </c>
      <c r="AL52" s="1" t="s">
        <v>1064</v>
      </c>
      <c r="AM52" s="46" t="s">
        <v>1141</v>
      </c>
      <c r="AN52" s="76"/>
      <c r="AO52" s="7" t="s">
        <v>1143</v>
      </c>
      <c r="AP52" s="7" t="s">
        <v>1192</v>
      </c>
      <c r="AQ52" s="7" t="s">
        <v>1192</v>
      </c>
      <c r="AR52" s="95" t="b">
        <f t="shared" si="0"/>
        <v>1</v>
      </c>
      <c r="AS52" s="95" t="b">
        <f>A52='[2]500千伏-750千伏电网基建'!A52</f>
        <v>1</v>
      </c>
      <c r="AT52" s="95" t="b">
        <f>B52='[2]500千伏-750千伏电网基建'!B52</f>
        <v>1</v>
      </c>
      <c r="AU52" s="95" t="b">
        <f>C52='[2]500千伏-750千伏电网基建'!C52</f>
        <v>1</v>
      </c>
      <c r="AV52" s="95" t="b">
        <f>D52='[2]500千伏-750千伏电网基建'!D52</f>
        <v>1</v>
      </c>
      <c r="AW52" s="95" t="b">
        <f>E52='[2]500千伏-750千伏电网基建'!E52</f>
        <v>1</v>
      </c>
      <c r="AX52" s="95" t="b">
        <f>F52='[2]500千伏-750千伏电网基建'!F52</f>
        <v>1</v>
      </c>
      <c r="AY52" s="95" t="b">
        <f>G52='[2]500千伏-750千伏电网基建'!G52</f>
        <v>1</v>
      </c>
      <c r="AZ52" s="95" t="b">
        <f>H52='[2]500千伏-750千伏电网基建'!H52</f>
        <v>1</v>
      </c>
      <c r="BA52" s="95" t="b">
        <f>I52='[2]500千伏-750千伏电网基建'!I52</f>
        <v>1</v>
      </c>
      <c r="BB52" s="95" t="b">
        <f>J52='[2]500千伏-750千伏电网基建'!J52</f>
        <v>1</v>
      </c>
      <c r="BC52" s="95" t="b">
        <f>K52='[2]500千伏-750千伏电网基建'!K52</f>
        <v>1</v>
      </c>
      <c r="BD52" s="95" t="b">
        <f>L52='[2]500千伏-750千伏电网基建'!L52</f>
        <v>1</v>
      </c>
      <c r="BE52" s="95" t="b">
        <f>M52='[2]500千伏-750千伏电网基建'!M52</f>
        <v>1</v>
      </c>
      <c r="BF52" s="95" t="b">
        <f>N52='[2]500千伏-750千伏电网基建'!N52</f>
        <v>1</v>
      </c>
      <c r="BG52" s="95" t="b">
        <f>O52='[2]500千伏-750千伏电网基建'!O52</f>
        <v>1</v>
      </c>
      <c r="BH52" s="95" t="b">
        <f>P52='[2]500千伏-750千伏电网基建'!P52</f>
        <v>1</v>
      </c>
      <c r="BI52" s="95" t="b">
        <f>Q52='[2]500千伏-750千伏电网基建'!Q52</f>
        <v>1</v>
      </c>
      <c r="BJ52" s="95" t="b">
        <f>R52='[2]500千伏-750千伏电网基建'!R52</f>
        <v>1</v>
      </c>
      <c r="BK52" s="95" t="b">
        <f>S52='[2]500千伏-750千伏电网基建'!S52</f>
        <v>1</v>
      </c>
      <c r="BL52" s="95" t="b">
        <f>T52='[2]500千伏-750千伏电网基建'!T52</f>
        <v>1</v>
      </c>
      <c r="BM52" s="95" t="b">
        <f>U52='[2]500千伏-750千伏电网基建'!U52</f>
        <v>1</v>
      </c>
      <c r="BN52" s="95" t="b">
        <f>V52='[2]500千伏-750千伏电网基建'!V52</f>
        <v>1</v>
      </c>
      <c r="BO52" s="95" t="b">
        <f>W52='[2]500千伏-750千伏电网基建'!W52</f>
        <v>1</v>
      </c>
      <c r="BP52" s="95" t="b">
        <f>X52='[2]500千伏-750千伏电网基建'!X52</f>
        <v>1</v>
      </c>
      <c r="BQ52" s="95" t="b">
        <f>Y52='[2]500千伏-750千伏电网基建'!Y52</f>
        <v>1</v>
      </c>
      <c r="BR52" s="95" t="b">
        <f>Z52='[2]500千伏-750千伏电网基建'!Z52</f>
        <v>1</v>
      </c>
      <c r="BS52" s="95" t="b">
        <f>AA52='[2]500千伏-750千伏电网基建'!AA52</f>
        <v>1</v>
      </c>
      <c r="BT52" s="95" t="b">
        <f>AB52='[2]500千伏-750千伏电网基建'!AB52</f>
        <v>1</v>
      </c>
      <c r="BU52" s="95" t="b">
        <f>AC52='[2]500千伏-750千伏电网基建'!AC52</f>
        <v>1</v>
      </c>
      <c r="BV52" s="95" t="b">
        <f>AD52='[2]500千伏-750千伏电网基建'!AD52</f>
        <v>1</v>
      </c>
      <c r="BW52" s="95" t="b">
        <f>AE52='[2]500千伏-750千伏电网基建'!AE52</f>
        <v>1</v>
      </c>
      <c r="BX52" s="95" t="b">
        <f>AF52='[2]500千伏-750千伏电网基建'!AF52</f>
        <v>1</v>
      </c>
      <c r="BY52" s="95" t="b">
        <f>AG52='[2]500千伏-750千伏电网基建'!AG52</f>
        <v>1</v>
      </c>
      <c r="BZ52" s="95" t="b">
        <f>AH52='[2]500千伏-750千伏电网基建'!AH52</f>
        <v>1</v>
      </c>
      <c r="CA52" s="95" t="b">
        <f>AI52='[2]500千伏-750千伏电网基建'!AI52</f>
        <v>1</v>
      </c>
      <c r="CB52" s="95" t="b">
        <f>AJ52='[2]500千伏-750千伏电网基建'!AJ52</f>
        <v>1</v>
      </c>
      <c r="CC52" s="95" t="b">
        <f>AK52='[2]500千伏-750千伏电网基建'!AK52</f>
        <v>1</v>
      </c>
    </row>
    <row r="53" s="95" customFormat="1" ht="191" hidden="1" customHeight="1" spans="1:81">
      <c r="A53" s="63"/>
      <c r="B53" s="67"/>
      <c r="C53" s="15" t="s">
        <v>485</v>
      </c>
      <c r="D53" s="15" t="s">
        <v>818</v>
      </c>
      <c r="E53" s="16" t="s">
        <v>819</v>
      </c>
      <c r="F53" s="24"/>
      <c r="G53" s="15" t="s">
        <v>1193</v>
      </c>
      <c r="H53" s="16" t="s">
        <v>821</v>
      </c>
      <c r="I53" s="23" t="s">
        <v>1194</v>
      </c>
      <c r="J53" s="16" t="s">
        <v>1195</v>
      </c>
      <c r="K53" s="15"/>
      <c r="L53" s="15"/>
      <c r="M53" s="15"/>
      <c r="N53" s="15"/>
      <c r="O53" s="15"/>
      <c r="P53" s="15"/>
      <c r="Q53" s="15" t="s">
        <v>36</v>
      </c>
      <c r="R53" s="15"/>
      <c r="S53" s="15"/>
      <c r="T53" s="15" t="s">
        <v>550</v>
      </c>
      <c r="U53" s="15" t="s">
        <v>467</v>
      </c>
      <c r="V53" s="16" t="s">
        <v>824</v>
      </c>
      <c r="W53" s="35" t="s">
        <v>825</v>
      </c>
      <c r="X53" s="15" t="s">
        <v>474</v>
      </c>
      <c r="Y53" s="15" t="s">
        <v>473</v>
      </c>
      <c r="Z53" s="30"/>
      <c r="AA53" s="15" t="s">
        <v>474</v>
      </c>
      <c r="AB53" s="15" t="s">
        <v>473</v>
      </c>
      <c r="AC53" s="30"/>
      <c r="AD53" s="15"/>
      <c r="AE53" s="30"/>
      <c r="AF53" s="30"/>
      <c r="AG53" s="30"/>
      <c r="AH53" s="15" t="s">
        <v>476</v>
      </c>
      <c r="AI53" s="30" t="s">
        <v>476</v>
      </c>
      <c r="AJ53" s="15" t="s">
        <v>558</v>
      </c>
      <c r="AK53" s="15" t="s">
        <v>673</v>
      </c>
      <c r="AL53" s="1" t="s">
        <v>1064</v>
      </c>
      <c r="AM53" s="15" t="s">
        <v>470</v>
      </c>
      <c r="AN53" s="1"/>
      <c r="AO53" s="7" t="s">
        <v>1059</v>
      </c>
      <c r="AP53" s="7" t="s">
        <v>1059</v>
      </c>
      <c r="AQ53" s="7" t="s">
        <v>1059</v>
      </c>
      <c r="AR53" s="95" t="b">
        <f t="shared" si="0"/>
        <v>1</v>
      </c>
      <c r="AS53" s="95" t="b">
        <f>A53='[2]500千伏-750千伏电网基建'!A53</f>
        <v>1</v>
      </c>
      <c r="AT53" s="95" t="b">
        <f>B53='[2]500千伏-750千伏电网基建'!B53</f>
        <v>1</v>
      </c>
      <c r="AU53" s="95" t="b">
        <f>C53='[2]500千伏-750千伏电网基建'!C53</f>
        <v>1</v>
      </c>
      <c r="AV53" s="95" t="b">
        <f>D53='[2]500千伏-750千伏电网基建'!D53</f>
        <v>1</v>
      </c>
      <c r="AW53" s="95" t="b">
        <f>E53='[2]500千伏-750千伏电网基建'!E53</f>
        <v>1</v>
      </c>
      <c r="AX53" s="95" t="b">
        <f>F53='[2]500千伏-750千伏电网基建'!F53</f>
        <v>1</v>
      </c>
      <c r="AY53" s="95" t="b">
        <f>G53='[2]500千伏-750千伏电网基建'!G53</f>
        <v>1</v>
      </c>
      <c r="AZ53" s="95" t="b">
        <f>H53='[2]500千伏-750千伏电网基建'!H53</f>
        <v>1</v>
      </c>
      <c r="BA53" s="95" t="b">
        <f>I53='[2]500千伏-750千伏电网基建'!I53</f>
        <v>1</v>
      </c>
      <c r="BB53" s="95" t="b">
        <f>J53='[2]500千伏-750千伏电网基建'!J53</f>
        <v>1</v>
      </c>
      <c r="BC53" s="95" t="b">
        <f>K53='[2]500千伏-750千伏电网基建'!K53</f>
        <v>1</v>
      </c>
      <c r="BD53" s="95" t="b">
        <f>L53='[2]500千伏-750千伏电网基建'!L53</f>
        <v>1</v>
      </c>
      <c r="BE53" s="95" t="b">
        <f>M53='[2]500千伏-750千伏电网基建'!M53</f>
        <v>1</v>
      </c>
      <c r="BF53" s="95" t="b">
        <f>N53='[2]500千伏-750千伏电网基建'!N53</f>
        <v>1</v>
      </c>
      <c r="BG53" s="95" t="b">
        <f>O53='[2]500千伏-750千伏电网基建'!O53</f>
        <v>1</v>
      </c>
      <c r="BH53" s="95" t="b">
        <f>P53='[2]500千伏-750千伏电网基建'!P53</f>
        <v>1</v>
      </c>
      <c r="BI53" s="95" t="b">
        <f>Q53='[2]500千伏-750千伏电网基建'!Q53</f>
        <v>1</v>
      </c>
      <c r="BJ53" s="95" t="b">
        <f>R53='[2]500千伏-750千伏电网基建'!R53</f>
        <v>1</v>
      </c>
      <c r="BK53" s="95" t="b">
        <f>S53='[2]500千伏-750千伏电网基建'!S53</f>
        <v>1</v>
      </c>
      <c r="BL53" s="95" t="b">
        <f>T53='[2]500千伏-750千伏电网基建'!T53</f>
        <v>1</v>
      </c>
      <c r="BM53" s="95" t="b">
        <f>U53='[2]500千伏-750千伏电网基建'!U53</f>
        <v>1</v>
      </c>
      <c r="BN53" s="95" t="b">
        <f>V53='[2]500千伏-750千伏电网基建'!V53</f>
        <v>1</v>
      </c>
      <c r="BO53" s="95" t="b">
        <f>W53='[2]500千伏-750千伏电网基建'!W53</f>
        <v>1</v>
      </c>
      <c r="BP53" s="95" t="b">
        <f>X53='[2]500千伏-750千伏电网基建'!X53</f>
        <v>1</v>
      </c>
      <c r="BQ53" s="95" t="b">
        <f>Y53='[2]500千伏-750千伏电网基建'!Y53</f>
        <v>1</v>
      </c>
      <c r="BR53" s="95" t="b">
        <f>Z53='[2]500千伏-750千伏电网基建'!Z53</f>
        <v>1</v>
      </c>
      <c r="BS53" s="95" t="b">
        <f>AA53='[2]500千伏-750千伏电网基建'!AA53</f>
        <v>1</v>
      </c>
      <c r="BT53" s="95" t="b">
        <f>AB53='[2]500千伏-750千伏电网基建'!AB53</f>
        <v>1</v>
      </c>
      <c r="BU53" s="95" t="b">
        <f>AC53='[2]500千伏-750千伏电网基建'!AC53</f>
        <v>1</v>
      </c>
      <c r="BV53" s="95" t="b">
        <f>AD53='[2]500千伏-750千伏电网基建'!AD53</f>
        <v>1</v>
      </c>
      <c r="BW53" s="95" t="b">
        <f>AE53='[2]500千伏-750千伏电网基建'!AE53</f>
        <v>1</v>
      </c>
      <c r="BX53" s="95" t="b">
        <f>AF53='[2]500千伏-750千伏电网基建'!AF53</f>
        <v>1</v>
      </c>
      <c r="BY53" s="95" t="b">
        <f>AG53='[2]500千伏-750千伏电网基建'!AG53</f>
        <v>1</v>
      </c>
      <c r="BZ53" s="95" t="b">
        <f>AH53='[2]500千伏-750千伏电网基建'!AH53</f>
        <v>1</v>
      </c>
      <c r="CA53" s="95" t="b">
        <f>AI53='[2]500千伏-750千伏电网基建'!AI53</f>
        <v>1</v>
      </c>
      <c r="CB53" s="95" t="b">
        <f>AJ53='[2]500千伏-750千伏电网基建'!AJ53</f>
        <v>1</v>
      </c>
      <c r="CC53" s="95" t="b">
        <f>AK53='[2]500千伏-750千伏电网基建'!AK53</f>
        <v>1</v>
      </c>
    </row>
    <row r="54" s="95" customFormat="1" ht="84" hidden="1" customHeight="1" spans="1:81">
      <c r="A54" s="63"/>
      <c r="B54" s="67"/>
      <c r="C54" s="15"/>
      <c r="D54" s="15"/>
      <c r="E54" s="16"/>
      <c r="F54" s="24"/>
      <c r="G54" s="15"/>
      <c r="H54" s="16"/>
      <c r="I54" s="23" t="s">
        <v>1196</v>
      </c>
      <c r="J54" s="16" t="s">
        <v>1197</v>
      </c>
      <c r="K54" s="15"/>
      <c r="L54" s="15"/>
      <c r="M54" s="15"/>
      <c r="N54" s="15"/>
      <c r="O54" s="15"/>
      <c r="P54" s="15"/>
      <c r="Q54" s="15"/>
      <c r="R54" s="15"/>
      <c r="S54" s="15"/>
      <c r="T54" s="15" t="s">
        <v>492</v>
      </c>
      <c r="U54" s="15"/>
      <c r="V54" s="16" t="s">
        <v>828</v>
      </c>
      <c r="W54" s="35" t="s">
        <v>829</v>
      </c>
      <c r="X54" s="15" t="s">
        <v>474</v>
      </c>
      <c r="Y54" s="15" t="s">
        <v>473</v>
      </c>
      <c r="Z54" s="30"/>
      <c r="AA54" s="15" t="s">
        <v>474</v>
      </c>
      <c r="AB54" s="15" t="s">
        <v>473</v>
      </c>
      <c r="AC54" s="30"/>
      <c r="AD54" s="15"/>
      <c r="AE54" s="30"/>
      <c r="AF54" s="30"/>
      <c r="AG54" s="30"/>
      <c r="AH54" s="15" t="s">
        <v>476</v>
      </c>
      <c r="AI54" s="30" t="s">
        <v>476</v>
      </c>
      <c r="AJ54" s="15" t="s">
        <v>558</v>
      </c>
      <c r="AK54" s="15"/>
      <c r="AL54" s="1" t="s">
        <v>1064</v>
      </c>
      <c r="AM54" s="15" t="s">
        <v>1091</v>
      </c>
      <c r="AN54" s="1"/>
      <c r="AO54" s="7" t="s">
        <v>1045</v>
      </c>
      <c r="AP54" s="7" t="s">
        <v>1045</v>
      </c>
      <c r="AQ54" s="7" t="s">
        <v>1045</v>
      </c>
      <c r="AR54" s="95" t="b">
        <f t="shared" si="0"/>
        <v>1</v>
      </c>
      <c r="AS54" s="95" t="b">
        <f>A54='[2]500千伏-750千伏电网基建'!A54</f>
        <v>1</v>
      </c>
      <c r="AT54" s="95" t="b">
        <f>B54='[2]500千伏-750千伏电网基建'!B54</f>
        <v>1</v>
      </c>
      <c r="AU54" s="95" t="b">
        <f>C54='[2]500千伏-750千伏电网基建'!C54</f>
        <v>1</v>
      </c>
      <c r="AV54" s="95" t="b">
        <f>D54='[2]500千伏-750千伏电网基建'!D54</f>
        <v>1</v>
      </c>
      <c r="AW54" s="95" t="b">
        <f>E54='[2]500千伏-750千伏电网基建'!E54</f>
        <v>1</v>
      </c>
      <c r="AX54" s="95" t="b">
        <f>F54='[2]500千伏-750千伏电网基建'!F54</f>
        <v>1</v>
      </c>
      <c r="AY54" s="95" t="b">
        <f>G54='[2]500千伏-750千伏电网基建'!G54</f>
        <v>1</v>
      </c>
      <c r="AZ54" s="95" t="b">
        <f>H54='[2]500千伏-750千伏电网基建'!H54</f>
        <v>1</v>
      </c>
      <c r="BA54" s="95" t="b">
        <f>I54='[2]500千伏-750千伏电网基建'!I54</f>
        <v>1</v>
      </c>
      <c r="BB54" s="95" t="b">
        <f>J54='[2]500千伏-750千伏电网基建'!J54</f>
        <v>1</v>
      </c>
      <c r="BC54" s="95" t="b">
        <f>K54='[2]500千伏-750千伏电网基建'!K54</f>
        <v>1</v>
      </c>
      <c r="BD54" s="95" t="b">
        <f>L54='[2]500千伏-750千伏电网基建'!L54</f>
        <v>1</v>
      </c>
      <c r="BE54" s="95" t="b">
        <f>M54='[2]500千伏-750千伏电网基建'!M54</f>
        <v>1</v>
      </c>
      <c r="BF54" s="95" t="b">
        <f>N54='[2]500千伏-750千伏电网基建'!N54</f>
        <v>1</v>
      </c>
      <c r="BG54" s="95" t="b">
        <f>O54='[2]500千伏-750千伏电网基建'!O54</f>
        <v>1</v>
      </c>
      <c r="BH54" s="95" t="b">
        <f>P54='[2]500千伏-750千伏电网基建'!P54</f>
        <v>1</v>
      </c>
      <c r="BI54" s="95" t="b">
        <f>Q54='[2]500千伏-750千伏电网基建'!Q54</f>
        <v>1</v>
      </c>
      <c r="BJ54" s="95" t="b">
        <f>R54='[2]500千伏-750千伏电网基建'!R54</f>
        <v>1</v>
      </c>
      <c r="BK54" s="95" t="b">
        <f>S54='[2]500千伏-750千伏电网基建'!S54</f>
        <v>1</v>
      </c>
      <c r="BL54" s="95" t="b">
        <f>T54='[2]500千伏-750千伏电网基建'!T54</f>
        <v>1</v>
      </c>
      <c r="BM54" s="95" t="b">
        <f>U54='[2]500千伏-750千伏电网基建'!U54</f>
        <v>1</v>
      </c>
      <c r="BN54" s="95" t="b">
        <f>V54='[2]500千伏-750千伏电网基建'!V54</f>
        <v>1</v>
      </c>
      <c r="BO54" s="95" t="b">
        <f>W54='[2]500千伏-750千伏电网基建'!W54</f>
        <v>1</v>
      </c>
      <c r="BP54" s="95" t="b">
        <f>X54='[2]500千伏-750千伏电网基建'!X54</f>
        <v>1</v>
      </c>
      <c r="BQ54" s="95" t="b">
        <f>Y54='[2]500千伏-750千伏电网基建'!Y54</f>
        <v>1</v>
      </c>
      <c r="BR54" s="95" t="b">
        <f>Z54='[2]500千伏-750千伏电网基建'!Z54</f>
        <v>1</v>
      </c>
      <c r="BS54" s="95" t="b">
        <f>AA54='[2]500千伏-750千伏电网基建'!AA54</f>
        <v>1</v>
      </c>
      <c r="BT54" s="95" t="b">
        <f>AB54='[2]500千伏-750千伏电网基建'!AB54</f>
        <v>1</v>
      </c>
      <c r="BU54" s="95" t="b">
        <f>AC54='[2]500千伏-750千伏电网基建'!AC54</f>
        <v>1</v>
      </c>
      <c r="BV54" s="95" t="b">
        <f>AD54='[2]500千伏-750千伏电网基建'!AD54</f>
        <v>1</v>
      </c>
      <c r="BW54" s="95" t="b">
        <f>AE54='[2]500千伏-750千伏电网基建'!AE54</f>
        <v>1</v>
      </c>
      <c r="BX54" s="95" t="b">
        <f>AF54='[2]500千伏-750千伏电网基建'!AF54</f>
        <v>1</v>
      </c>
      <c r="BY54" s="95" t="b">
        <f>AG54='[2]500千伏-750千伏电网基建'!AG54</f>
        <v>1</v>
      </c>
      <c r="BZ54" s="95" t="b">
        <f>AH54='[2]500千伏-750千伏电网基建'!AH54</f>
        <v>1</v>
      </c>
      <c r="CA54" s="95" t="b">
        <f>AI54='[2]500千伏-750千伏电网基建'!AI54</f>
        <v>1</v>
      </c>
      <c r="CB54" s="95" t="b">
        <f>AJ54='[2]500千伏-750千伏电网基建'!AJ54</f>
        <v>1</v>
      </c>
      <c r="CC54" s="95" t="b">
        <f>AK54='[2]500千伏-750千伏电网基建'!AK54</f>
        <v>1</v>
      </c>
    </row>
    <row r="55" s="95" customFormat="1" ht="74" hidden="1" customHeight="1" spans="1:81">
      <c r="A55" s="63"/>
      <c r="B55" s="78"/>
      <c r="C55" s="15"/>
      <c r="D55" s="15"/>
      <c r="E55" s="16"/>
      <c r="F55" s="24"/>
      <c r="G55" s="15"/>
      <c r="H55" s="16"/>
      <c r="I55" s="23" t="s">
        <v>1198</v>
      </c>
      <c r="J55" s="16" t="s">
        <v>1199</v>
      </c>
      <c r="K55" s="15"/>
      <c r="L55" s="15"/>
      <c r="M55" s="15"/>
      <c r="N55" s="15"/>
      <c r="O55" s="15"/>
      <c r="P55" s="15"/>
      <c r="Q55" s="15"/>
      <c r="R55" s="15"/>
      <c r="S55" s="15"/>
      <c r="T55" s="15" t="s">
        <v>492</v>
      </c>
      <c r="U55" s="15"/>
      <c r="V55" s="16" t="s">
        <v>828</v>
      </c>
      <c r="W55" s="35" t="s">
        <v>671</v>
      </c>
      <c r="X55" s="15" t="s">
        <v>474</v>
      </c>
      <c r="Y55" s="15" t="s">
        <v>473</v>
      </c>
      <c r="Z55" s="30"/>
      <c r="AA55" s="15" t="s">
        <v>474</v>
      </c>
      <c r="AB55" s="15" t="s">
        <v>473</v>
      </c>
      <c r="AC55" s="30"/>
      <c r="AD55" s="15"/>
      <c r="AE55" s="30"/>
      <c r="AF55" s="30"/>
      <c r="AG55" s="30"/>
      <c r="AH55" s="15" t="s">
        <v>476</v>
      </c>
      <c r="AI55" s="30" t="s">
        <v>610</v>
      </c>
      <c r="AJ55" s="15" t="s">
        <v>832</v>
      </c>
      <c r="AK55" s="15"/>
      <c r="AL55" s="1" t="s">
        <v>1064</v>
      </c>
      <c r="AM55" s="15" t="s">
        <v>1091</v>
      </c>
      <c r="AN55" s="1"/>
      <c r="AO55" s="7" t="s">
        <v>1045</v>
      </c>
      <c r="AP55" s="7" t="s">
        <v>1045</v>
      </c>
      <c r="AQ55" s="7" t="s">
        <v>1045</v>
      </c>
      <c r="AR55" s="95" t="b">
        <f t="shared" si="0"/>
        <v>1</v>
      </c>
      <c r="AS55" s="95" t="b">
        <f>A55='[2]500千伏-750千伏电网基建'!A55</f>
        <v>1</v>
      </c>
      <c r="AT55" s="95" t="b">
        <f>B55='[2]500千伏-750千伏电网基建'!B55</f>
        <v>1</v>
      </c>
      <c r="AU55" s="95" t="b">
        <f>C55='[2]500千伏-750千伏电网基建'!C55</f>
        <v>1</v>
      </c>
      <c r="AV55" s="95" t="b">
        <f>D55='[2]500千伏-750千伏电网基建'!D55</f>
        <v>1</v>
      </c>
      <c r="AW55" s="95" t="b">
        <f>E55='[2]500千伏-750千伏电网基建'!E55</f>
        <v>1</v>
      </c>
      <c r="AX55" s="95" t="b">
        <f>F55='[2]500千伏-750千伏电网基建'!F55</f>
        <v>1</v>
      </c>
      <c r="AY55" s="95" t="b">
        <f>G55='[2]500千伏-750千伏电网基建'!G55</f>
        <v>1</v>
      </c>
      <c r="AZ55" s="95" t="b">
        <f>H55='[2]500千伏-750千伏电网基建'!H55</f>
        <v>1</v>
      </c>
      <c r="BA55" s="95" t="b">
        <f>I55='[2]500千伏-750千伏电网基建'!I55</f>
        <v>1</v>
      </c>
      <c r="BB55" s="95" t="b">
        <f>J55='[2]500千伏-750千伏电网基建'!J55</f>
        <v>1</v>
      </c>
      <c r="BC55" s="95" t="b">
        <f>K55='[2]500千伏-750千伏电网基建'!K55</f>
        <v>1</v>
      </c>
      <c r="BD55" s="95" t="b">
        <f>L55='[2]500千伏-750千伏电网基建'!L55</f>
        <v>1</v>
      </c>
      <c r="BE55" s="95" t="b">
        <f>M55='[2]500千伏-750千伏电网基建'!M55</f>
        <v>1</v>
      </c>
      <c r="BF55" s="95" t="b">
        <f>N55='[2]500千伏-750千伏电网基建'!N55</f>
        <v>1</v>
      </c>
      <c r="BG55" s="95" t="b">
        <f>O55='[2]500千伏-750千伏电网基建'!O55</f>
        <v>1</v>
      </c>
      <c r="BH55" s="95" t="b">
        <f>P55='[2]500千伏-750千伏电网基建'!P55</f>
        <v>1</v>
      </c>
      <c r="BI55" s="95" t="b">
        <f>Q55='[2]500千伏-750千伏电网基建'!Q55</f>
        <v>1</v>
      </c>
      <c r="BJ55" s="95" t="b">
        <f>R55='[2]500千伏-750千伏电网基建'!R55</f>
        <v>1</v>
      </c>
      <c r="BK55" s="95" t="b">
        <f>S55='[2]500千伏-750千伏电网基建'!S55</f>
        <v>1</v>
      </c>
      <c r="BL55" s="95" t="b">
        <f>T55='[2]500千伏-750千伏电网基建'!T55</f>
        <v>1</v>
      </c>
      <c r="BM55" s="95" t="b">
        <f>U55='[2]500千伏-750千伏电网基建'!U55</f>
        <v>1</v>
      </c>
      <c r="BN55" s="95" t="b">
        <f>V55='[2]500千伏-750千伏电网基建'!V55</f>
        <v>1</v>
      </c>
      <c r="BO55" s="95" t="b">
        <f>W55='[2]500千伏-750千伏电网基建'!W55</f>
        <v>1</v>
      </c>
      <c r="BP55" s="95" t="b">
        <f>X55='[2]500千伏-750千伏电网基建'!X55</f>
        <v>1</v>
      </c>
      <c r="BQ55" s="95" t="b">
        <f>Y55='[2]500千伏-750千伏电网基建'!Y55</f>
        <v>1</v>
      </c>
      <c r="BR55" s="95" t="b">
        <f>Z55='[2]500千伏-750千伏电网基建'!Z55</f>
        <v>1</v>
      </c>
      <c r="BS55" s="95" t="b">
        <f>AA55='[2]500千伏-750千伏电网基建'!AA55</f>
        <v>1</v>
      </c>
      <c r="BT55" s="95" t="b">
        <f>AB55='[2]500千伏-750千伏电网基建'!AB55</f>
        <v>1</v>
      </c>
      <c r="BU55" s="95" t="b">
        <f>AC55='[2]500千伏-750千伏电网基建'!AC55</f>
        <v>1</v>
      </c>
      <c r="BV55" s="95" t="b">
        <f>AD55='[2]500千伏-750千伏电网基建'!AD55</f>
        <v>1</v>
      </c>
      <c r="BW55" s="95" t="b">
        <f>AE55='[2]500千伏-750千伏电网基建'!AE55</f>
        <v>1</v>
      </c>
      <c r="BX55" s="95" t="b">
        <f>AF55='[2]500千伏-750千伏电网基建'!AF55</f>
        <v>1</v>
      </c>
      <c r="BY55" s="95" t="b">
        <f>AG55='[2]500千伏-750千伏电网基建'!AG55</f>
        <v>1</v>
      </c>
      <c r="BZ55" s="95" t="b">
        <f>AH55='[2]500千伏-750千伏电网基建'!AH55</f>
        <v>1</v>
      </c>
      <c r="CA55" s="95" t="b">
        <f>AI55='[2]500千伏-750千伏电网基建'!AI55</f>
        <v>1</v>
      </c>
      <c r="CB55" s="95" t="b">
        <f>AJ55='[2]500千伏-750千伏电网基建'!AJ55</f>
        <v>1</v>
      </c>
      <c r="CC55" s="95" t="b">
        <f>AK55='[2]500千伏-750千伏电网基建'!AK55</f>
        <v>1</v>
      </c>
    </row>
    <row r="56" s="95" customFormat="1" ht="198" hidden="1" spans="1:81">
      <c r="A56" s="14" t="s">
        <v>483</v>
      </c>
      <c r="B56" s="14" t="s">
        <v>833</v>
      </c>
      <c r="C56" s="15" t="s">
        <v>485</v>
      </c>
      <c r="D56" s="15" t="s">
        <v>834</v>
      </c>
      <c r="E56" s="16" t="s">
        <v>835</v>
      </c>
      <c r="F56" s="17" t="s">
        <v>836</v>
      </c>
      <c r="G56" s="15" t="s">
        <v>1200</v>
      </c>
      <c r="H56" s="16" t="s">
        <v>838</v>
      </c>
      <c r="I56" s="23" t="s">
        <v>1201</v>
      </c>
      <c r="J56" s="16" t="s">
        <v>1202</v>
      </c>
      <c r="K56" s="15"/>
      <c r="L56" s="15"/>
      <c r="M56" s="15" t="s">
        <v>36</v>
      </c>
      <c r="N56" s="15"/>
      <c r="O56" s="15"/>
      <c r="P56" s="15"/>
      <c r="Q56" s="15"/>
      <c r="R56" s="15" t="s">
        <v>36</v>
      </c>
      <c r="S56" s="15"/>
      <c r="T56" s="15" t="s">
        <v>492</v>
      </c>
      <c r="U56" s="15"/>
      <c r="V56" s="16" t="s">
        <v>841</v>
      </c>
      <c r="W56" s="31" t="s">
        <v>1203</v>
      </c>
      <c r="X56" s="15" t="s">
        <v>474</v>
      </c>
      <c r="Y56" s="15" t="s">
        <v>473</v>
      </c>
      <c r="Z56" s="30"/>
      <c r="AA56" s="15" t="s">
        <v>474</v>
      </c>
      <c r="AB56" s="15" t="s">
        <v>473</v>
      </c>
      <c r="AC56" s="30"/>
      <c r="AD56" s="15"/>
      <c r="AE56" s="15"/>
      <c r="AF56" s="15"/>
      <c r="AG56" s="30"/>
      <c r="AH56" s="15" t="s">
        <v>476</v>
      </c>
      <c r="AI56" s="15" t="s">
        <v>476</v>
      </c>
      <c r="AJ56" s="15" t="s">
        <v>843</v>
      </c>
      <c r="AK56" s="15" t="s">
        <v>599</v>
      </c>
      <c r="AL56" s="124" t="s">
        <v>1204</v>
      </c>
      <c r="AM56" s="23" t="s">
        <v>1205</v>
      </c>
      <c r="AN56" s="1"/>
      <c r="AO56" s="7" t="s">
        <v>1045</v>
      </c>
      <c r="AP56" s="7" t="s">
        <v>1045</v>
      </c>
      <c r="AQ56" s="7" t="s">
        <v>1045</v>
      </c>
      <c r="AR56" s="95" t="b">
        <f t="shared" si="0"/>
        <v>1</v>
      </c>
      <c r="AS56" s="95" t="b">
        <f>A56='[2]500千伏-750千伏电网基建'!A56</f>
        <v>1</v>
      </c>
      <c r="AT56" s="95" t="b">
        <f>B56='[2]500千伏-750千伏电网基建'!B56</f>
        <v>1</v>
      </c>
      <c r="AU56" s="95" t="b">
        <f>C56='[2]500千伏-750千伏电网基建'!C56</f>
        <v>1</v>
      </c>
      <c r="AV56" s="95" t="b">
        <f>D56='[2]500千伏-750千伏电网基建'!D56</f>
        <v>1</v>
      </c>
      <c r="AW56" s="95" t="b">
        <f>E56='[2]500千伏-750千伏电网基建'!E56</f>
        <v>1</v>
      </c>
      <c r="AX56" s="95" t="b">
        <f>F56='[2]500千伏-750千伏电网基建'!F56</f>
        <v>1</v>
      </c>
      <c r="AY56" s="95" t="b">
        <f>G56='[2]500千伏-750千伏电网基建'!G56</f>
        <v>1</v>
      </c>
      <c r="AZ56" s="95" t="b">
        <f>H56='[2]500千伏-750千伏电网基建'!H56</f>
        <v>1</v>
      </c>
      <c r="BA56" s="95" t="b">
        <f>I56='[2]500千伏-750千伏电网基建'!I56</f>
        <v>1</v>
      </c>
      <c r="BB56" s="95" t="b">
        <f>J56='[2]500千伏-750千伏电网基建'!J56</f>
        <v>1</v>
      </c>
      <c r="BC56" s="95" t="b">
        <f>K56='[2]500千伏-750千伏电网基建'!K56</f>
        <v>1</v>
      </c>
      <c r="BD56" s="95" t="b">
        <f>L56='[2]500千伏-750千伏电网基建'!L56</f>
        <v>1</v>
      </c>
      <c r="BE56" s="95" t="b">
        <f>M56='[2]500千伏-750千伏电网基建'!M56</f>
        <v>1</v>
      </c>
      <c r="BF56" s="95" t="b">
        <f>N56='[2]500千伏-750千伏电网基建'!N56</f>
        <v>1</v>
      </c>
      <c r="BG56" s="95" t="b">
        <f>O56='[2]500千伏-750千伏电网基建'!O56</f>
        <v>1</v>
      </c>
      <c r="BH56" s="95" t="b">
        <f>P56='[2]500千伏-750千伏电网基建'!P56</f>
        <v>1</v>
      </c>
      <c r="BI56" s="95" t="b">
        <f>Q56='[2]500千伏-750千伏电网基建'!Q56</f>
        <v>1</v>
      </c>
      <c r="BJ56" s="95" t="b">
        <f>R56='[2]500千伏-750千伏电网基建'!R56</f>
        <v>1</v>
      </c>
      <c r="BK56" s="95" t="b">
        <f>S56='[2]500千伏-750千伏电网基建'!S56</f>
        <v>1</v>
      </c>
      <c r="BL56" s="95" t="b">
        <f>T56='[2]500千伏-750千伏电网基建'!T56</f>
        <v>1</v>
      </c>
      <c r="BM56" s="95" t="b">
        <f>U56='[2]500千伏-750千伏电网基建'!U56</f>
        <v>1</v>
      </c>
      <c r="BN56" s="95" t="b">
        <f>V56='[2]500千伏-750千伏电网基建'!V56</f>
        <v>1</v>
      </c>
      <c r="BO56" s="95" t="b">
        <f>W56='[2]500千伏-750千伏电网基建'!W56</f>
        <v>1</v>
      </c>
      <c r="BP56" s="95" t="b">
        <f>X56='[2]500千伏-750千伏电网基建'!X56</f>
        <v>1</v>
      </c>
      <c r="BQ56" s="95" t="b">
        <f>Y56='[2]500千伏-750千伏电网基建'!Y56</f>
        <v>1</v>
      </c>
      <c r="BR56" s="95" t="b">
        <f>Z56='[2]500千伏-750千伏电网基建'!Z56</f>
        <v>1</v>
      </c>
      <c r="BS56" s="95" t="b">
        <f>AA56='[2]500千伏-750千伏电网基建'!AA56</f>
        <v>1</v>
      </c>
      <c r="BT56" s="95" t="b">
        <f>AB56='[2]500千伏-750千伏电网基建'!AB56</f>
        <v>1</v>
      </c>
      <c r="BU56" s="95" t="b">
        <f>AC56='[2]500千伏-750千伏电网基建'!AC56</f>
        <v>1</v>
      </c>
      <c r="BV56" s="95" t="b">
        <f>AD56='[2]500千伏-750千伏电网基建'!AD56</f>
        <v>1</v>
      </c>
      <c r="BW56" s="95" t="b">
        <f>AE56='[2]500千伏-750千伏电网基建'!AE56</f>
        <v>1</v>
      </c>
      <c r="BX56" s="95" t="b">
        <f>AF56='[2]500千伏-750千伏电网基建'!AF56</f>
        <v>1</v>
      </c>
      <c r="BY56" s="95" t="b">
        <f>AG56='[2]500千伏-750千伏电网基建'!AG56</f>
        <v>1</v>
      </c>
      <c r="BZ56" s="95" t="b">
        <f>AH56='[2]500千伏-750千伏电网基建'!AH56</f>
        <v>1</v>
      </c>
      <c r="CA56" s="95" t="b">
        <f>AI56='[2]500千伏-750千伏电网基建'!AI56</f>
        <v>1</v>
      </c>
      <c r="CB56" s="95" t="b">
        <f>AJ56='[2]500千伏-750千伏电网基建'!AJ56</f>
        <v>1</v>
      </c>
      <c r="CC56" s="95" t="b">
        <f>AK56='[2]500千伏-750千伏电网基建'!AK56</f>
        <v>1</v>
      </c>
    </row>
    <row r="57" s="95" customFormat="1" ht="131" hidden="1" customHeight="1" spans="1:81">
      <c r="A57" s="14"/>
      <c r="B57" s="14"/>
      <c r="C57" s="15" t="s">
        <v>485</v>
      </c>
      <c r="D57" s="15" t="s">
        <v>844</v>
      </c>
      <c r="E57" s="16" t="s">
        <v>845</v>
      </c>
      <c r="F57" s="24"/>
      <c r="G57" s="15" t="s">
        <v>1206</v>
      </c>
      <c r="H57" s="16" t="s">
        <v>847</v>
      </c>
      <c r="I57" s="23" t="s">
        <v>1207</v>
      </c>
      <c r="J57" s="16" t="s">
        <v>1208</v>
      </c>
      <c r="K57" s="15"/>
      <c r="L57" s="15"/>
      <c r="M57" s="15"/>
      <c r="N57" s="15"/>
      <c r="O57" s="15"/>
      <c r="P57" s="15"/>
      <c r="Q57" s="15"/>
      <c r="R57" s="15" t="s">
        <v>36</v>
      </c>
      <c r="S57" s="15"/>
      <c r="T57" s="15" t="s">
        <v>492</v>
      </c>
      <c r="U57" s="15"/>
      <c r="V57" s="16" t="s">
        <v>850</v>
      </c>
      <c r="W57" s="125" t="s">
        <v>1209</v>
      </c>
      <c r="X57" s="15" t="s">
        <v>474</v>
      </c>
      <c r="Y57" s="15" t="s">
        <v>473</v>
      </c>
      <c r="Z57" s="15"/>
      <c r="AA57" s="15" t="s">
        <v>474</v>
      </c>
      <c r="AB57" s="15" t="s">
        <v>473</v>
      </c>
      <c r="AC57" s="15"/>
      <c r="AD57" s="15"/>
      <c r="AE57" s="30"/>
      <c r="AF57" s="30"/>
      <c r="AG57" s="30"/>
      <c r="AH57" s="15" t="s">
        <v>476</v>
      </c>
      <c r="AI57" s="15" t="s">
        <v>476</v>
      </c>
      <c r="AJ57" s="15" t="s">
        <v>852</v>
      </c>
      <c r="AK57" s="15" t="s">
        <v>853</v>
      </c>
      <c r="AL57" s="124" t="s">
        <v>1204</v>
      </c>
      <c r="AM57" s="23" t="s">
        <v>1210</v>
      </c>
      <c r="AN57" s="1"/>
      <c r="AO57" s="7" t="s">
        <v>1045</v>
      </c>
      <c r="AP57" s="7" t="s">
        <v>1045</v>
      </c>
      <c r="AQ57" s="7" t="s">
        <v>1045</v>
      </c>
      <c r="AR57" s="95" t="b">
        <f t="shared" si="0"/>
        <v>1</v>
      </c>
      <c r="AS57" s="95" t="b">
        <f>A57='[2]500千伏-750千伏电网基建'!A57</f>
        <v>1</v>
      </c>
      <c r="AT57" s="95" t="b">
        <f>B57='[2]500千伏-750千伏电网基建'!B57</f>
        <v>1</v>
      </c>
      <c r="AU57" s="95" t="b">
        <f>C57='[2]500千伏-750千伏电网基建'!C57</f>
        <v>1</v>
      </c>
      <c r="AV57" s="95" t="b">
        <f>D57='[2]500千伏-750千伏电网基建'!D57</f>
        <v>1</v>
      </c>
      <c r="AW57" s="95" t="b">
        <f>E57='[2]500千伏-750千伏电网基建'!E57</f>
        <v>1</v>
      </c>
      <c r="AX57" s="95" t="b">
        <f>F57='[2]500千伏-750千伏电网基建'!F57</f>
        <v>1</v>
      </c>
      <c r="AY57" s="95" t="b">
        <f>G57='[2]500千伏-750千伏电网基建'!G57</f>
        <v>1</v>
      </c>
      <c r="AZ57" s="95" t="b">
        <f>H57='[2]500千伏-750千伏电网基建'!H57</f>
        <v>1</v>
      </c>
      <c r="BA57" s="95" t="b">
        <f>I57='[2]500千伏-750千伏电网基建'!I57</f>
        <v>1</v>
      </c>
      <c r="BB57" s="95" t="b">
        <f>J57='[2]500千伏-750千伏电网基建'!J57</f>
        <v>1</v>
      </c>
      <c r="BC57" s="95" t="b">
        <f>K57='[2]500千伏-750千伏电网基建'!K57</f>
        <v>1</v>
      </c>
      <c r="BD57" s="95" t="b">
        <f>L57='[2]500千伏-750千伏电网基建'!L57</f>
        <v>1</v>
      </c>
      <c r="BE57" s="95" t="b">
        <f>M57='[2]500千伏-750千伏电网基建'!M57</f>
        <v>1</v>
      </c>
      <c r="BF57" s="95" t="b">
        <f>N57='[2]500千伏-750千伏电网基建'!N57</f>
        <v>1</v>
      </c>
      <c r="BG57" s="95" t="b">
        <f>O57='[2]500千伏-750千伏电网基建'!O57</f>
        <v>1</v>
      </c>
      <c r="BH57" s="95" t="b">
        <f>P57='[2]500千伏-750千伏电网基建'!P57</f>
        <v>1</v>
      </c>
      <c r="BI57" s="95" t="b">
        <f>Q57='[2]500千伏-750千伏电网基建'!Q57</f>
        <v>1</v>
      </c>
      <c r="BJ57" s="95" t="b">
        <f>R57='[2]500千伏-750千伏电网基建'!R57</f>
        <v>1</v>
      </c>
      <c r="BK57" s="95" t="b">
        <f>S57='[2]500千伏-750千伏电网基建'!S57</f>
        <v>1</v>
      </c>
      <c r="BL57" s="95" t="b">
        <f>T57='[2]500千伏-750千伏电网基建'!T57</f>
        <v>1</v>
      </c>
      <c r="BM57" s="95" t="b">
        <f>U57='[2]500千伏-750千伏电网基建'!U57</f>
        <v>1</v>
      </c>
      <c r="BN57" s="95" t="b">
        <f>V57='[2]500千伏-750千伏电网基建'!V57</f>
        <v>1</v>
      </c>
      <c r="BO57" s="95" t="b">
        <f>W57='[2]500千伏-750千伏电网基建'!W57</f>
        <v>1</v>
      </c>
      <c r="BP57" s="95" t="b">
        <f>X57='[2]500千伏-750千伏电网基建'!X57</f>
        <v>1</v>
      </c>
      <c r="BQ57" s="95" t="b">
        <f>Y57='[2]500千伏-750千伏电网基建'!Y57</f>
        <v>1</v>
      </c>
      <c r="BR57" s="95" t="b">
        <f>Z57='[2]500千伏-750千伏电网基建'!Z57</f>
        <v>1</v>
      </c>
      <c r="BS57" s="95" t="b">
        <f>AA57='[2]500千伏-750千伏电网基建'!AA57</f>
        <v>1</v>
      </c>
      <c r="BT57" s="95" t="b">
        <f>AB57='[2]500千伏-750千伏电网基建'!AB57</f>
        <v>1</v>
      </c>
      <c r="BU57" s="95" t="b">
        <f>AC57='[2]500千伏-750千伏电网基建'!AC57</f>
        <v>1</v>
      </c>
      <c r="BV57" s="95" t="b">
        <f>AD57='[2]500千伏-750千伏电网基建'!AD57</f>
        <v>1</v>
      </c>
      <c r="BW57" s="95" t="b">
        <f>AE57='[2]500千伏-750千伏电网基建'!AE57</f>
        <v>1</v>
      </c>
      <c r="BX57" s="95" t="b">
        <f>AF57='[2]500千伏-750千伏电网基建'!AF57</f>
        <v>1</v>
      </c>
      <c r="BY57" s="95" t="b">
        <f>AG57='[2]500千伏-750千伏电网基建'!AG57</f>
        <v>1</v>
      </c>
      <c r="BZ57" s="95" t="b">
        <f>AH57='[2]500千伏-750千伏电网基建'!AH57</f>
        <v>1</v>
      </c>
      <c r="CA57" s="95" t="b">
        <f>AI57='[2]500千伏-750千伏电网基建'!AI57</f>
        <v>1</v>
      </c>
      <c r="CB57" s="95" t="b">
        <f>AJ57='[2]500千伏-750千伏电网基建'!AJ57</f>
        <v>1</v>
      </c>
      <c r="CC57" s="95" t="b">
        <f>AK57='[2]500千伏-750千伏电网基建'!AK57</f>
        <v>1</v>
      </c>
    </row>
    <row r="58" s="95" customFormat="1" ht="93" hidden="1" customHeight="1" spans="1:81">
      <c r="A58" s="14"/>
      <c r="B58" s="14"/>
      <c r="C58" s="15"/>
      <c r="D58" s="15"/>
      <c r="E58" s="16"/>
      <c r="F58" s="24"/>
      <c r="G58" s="15"/>
      <c r="H58" s="16"/>
      <c r="I58" s="23" t="s">
        <v>1211</v>
      </c>
      <c r="J58" s="16" t="s">
        <v>1212</v>
      </c>
      <c r="K58" s="15"/>
      <c r="L58" s="15"/>
      <c r="M58" s="15"/>
      <c r="N58" s="15"/>
      <c r="O58" s="15"/>
      <c r="P58" s="15"/>
      <c r="Q58" s="15"/>
      <c r="R58" s="15" t="s">
        <v>36</v>
      </c>
      <c r="S58" s="15"/>
      <c r="T58" s="15" t="s">
        <v>465</v>
      </c>
      <c r="U58" s="15" t="s">
        <v>856</v>
      </c>
      <c r="V58" s="16" t="s">
        <v>850</v>
      </c>
      <c r="W58" s="35" t="s">
        <v>857</v>
      </c>
      <c r="X58" s="15" t="s">
        <v>474</v>
      </c>
      <c r="Y58" s="15" t="s">
        <v>473</v>
      </c>
      <c r="Z58" s="15"/>
      <c r="AA58" s="15" t="s">
        <v>474</v>
      </c>
      <c r="AB58" s="15" t="s">
        <v>473</v>
      </c>
      <c r="AC58" s="15"/>
      <c r="AD58" s="15" t="s">
        <v>858</v>
      </c>
      <c r="AE58" s="15" t="s">
        <v>511</v>
      </c>
      <c r="AF58" s="15"/>
      <c r="AG58" s="30"/>
      <c r="AH58" s="15" t="s">
        <v>476</v>
      </c>
      <c r="AI58" s="15" t="s">
        <v>476</v>
      </c>
      <c r="AJ58" s="15" t="s">
        <v>859</v>
      </c>
      <c r="AK58" s="15" t="s">
        <v>860</v>
      </c>
      <c r="AL58" s="124" t="s">
        <v>1204</v>
      </c>
      <c r="AM58" s="23" t="s">
        <v>1213</v>
      </c>
      <c r="AN58" s="1"/>
      <c r="AO58" s="7" t="s">
        <v>1045</v>
      </c>
      <c r="AP58" s="7" t="s">
        <v>1045</v>
      </c>
      <c r="AQ58" s="7" t="s">
        <v>1045</v>
      </c>
      <c r="AR58" s="95" t="b">
        <f t="shared" si="0"/>
        <v>1</v>
      </c>
      <c r="AS58" s="95" t="b">
        <f>A58='[2]500千伏-750千伏电网基建'!A58</f>
        <v>1</v>
      </c>
      <c r="AT58" s="95" t="b">
        <f>B58='[2]500千伏-750千伏电网基建'!B58</f>
        <v>1</v>
      </c>
      <c r="AU58" s="95" t="b">
        <f>C58='[2]500千伏-750千伏电网基建'!C58</f>
        <v>1</v>
      </c>
      <c r="AV58" s="95" t="b">
        <f>D58='[2]500千伏-750千伏电网基建'!D58</f>
        <v>1</v>
      </c>
      <c r="AW58" s="95" t="b">
        <f>E58='[2]500千伏-750千伏电网基建'!E58</f>
        <v>1</v>
      </c>
      <c r="AX58" s="95" t="b">
        <f>F58='[2]500千伏-750千伏电网基建'!F58</f>
        <v>1</v>
      </c>
      <c r="AY58" s="95" t="b">
        <f>G58='[2]500千伏-750千伏电网基建'!G58</f>
        <v>1</v>
      </c>
      <c r="AZ58" s="95" t="b">
        <f>H58='[2]500千伏-750千伏电网基建'!H58</f>
        <v>1</v>
      </c>
      <c r="BA58" s="95" t="b">
        <f>I58='[2]500千伏-750千伏电网基建'!I58</f>
        <v>1</v>
      </c>
      <c r="BB58" s="95" t="b">
        <f>J58='[2]500千伏-750千伏电网基建'!J58</f>
        <v>1</v>
      </c>
      <c r="BC58" s="95" t="b">
        <f>K58='[2]500千伏-750千伏电网基建'!K58</f>
        <v>1</v>
      </c>
      <c r="BD58" s="95" t="b">
        <f>L58='[2]500千伏-750千伏电网基建'!L58</f>
        <v>1</v>
      </c>
      <c r="BE58" s="95" t="b">
        <f>M58='[2]500千伏-750千伏电网基建'!M58</f>
        <v>1</v>
      </c>
      <c r="BF58" s="95" t="b">
        <f>N58='[2]500千伏-750千伏电网基建'!N58</f>
        <v>1</v>
      </c>
      <c r="BG58" s="95" t="b">
        <f>O58='[2]500千伏-750千伏电网基建'!O58</f>
        <v>1</v>
      </c>
      <c r="BH58" s="95" t="b">
        <f>P58='[2]500千伏-750千伏电网基建'!P58</f>
        <v>1</v>
      </c>
      <c r="BI58" s="95" t="b">
        <f>Q58='[2]500千伏-750千伏电网基建'!Q58</f>
        <v>1</v>
      </c>
      <c r="BJ58" s="95" t="b">
        <f>R58='[2]500千伏-750千伏电网基建'!R58</f>
        <v>1</v>
      </c>
      <c r="BK58" s="95" t="b">
        <f>S58='[2]500千伏-750千伏电网基建'!S58</f>
        <v>1</v>
      </c>
      <c r="BL58" s="95" t="b">
        <f>T58='[2]500千伏-750千伏电网基建'!T58</f>
        <v>1</v>
      </c>
      <c r="BM58" s="95" t="b">
        <f>U58='[2]500千伏-750千伏电网基建'!U58</f>
        <v>1</v>
      </c>
      <c r="BN58" s="95" t="b">
        <f>V58='[2]500千伏-750千伏电网基建'!V58</f>
        <v>1</v>
      </c>
      <c r="BO58" s="95" t="b">
        <f>W58='[2]500千伏-750千伏电网基建'!W58</f>
        <v>1</v>
      </c>
      <c r="BP58" s="95" t="b">
        <f>X58='[2]500千伏-750千伏电网基建'!X58</f>
        <v>1</v>
      </c>
      <c r="BQ58" s="95" t="b">
        <f>Y58='[2]500千伏-750千伏电网基建'!Y58</f>
        <v>1</v>
      </c>
      <c r="BR58" s="95" t="b">
        <f>Z58='[2]500千伏-750千伏电网基建'!Z58</f>
        <v>1</v>
      </c>
      <c r="BS58" s="95" t="b">
        <f>AA58='[2]500千伏-750千伏电网基建'!AA58</f>
        <v>1</v>
      </c>
      <c r="BT58" s="95" t="b">
        <f>AB58='[2]500千伏-750千伏电网基建'!AB58</f>
        <v>1</v>
      </c>
      <c r="BU58" s="95" t="b">
        <f>AC58='[2]500千伏-750千伏电网基建'!AC58</f>
        <v>1</v>
      </c>
      <c r="BV58" s="95" t="b">
        <f>AD58='[2]500千伏-750千伏电网基建'!AD58</f>
        <v>1</v>
      </c>
      <c r="BW58" s="95" t="b">
        <f>AE58='[2]500千伏-750千伏电网基建'!AE58</f>
        <v>1</v>
      </c>
      <c r="BX58" s="95" t="b">
        <f>AF58='[2]500千伏-750千伏电网基建'!AF58</f>
        <v>1</v>
      </c>
      <c r="BY58" s="95" t="b">
        <f>AG58='[2]500千伏-750千伏电网基建'!AG58</f>
        <v>1</v>
      </c>
      <c r="BZ58" s="95" t="b">
        <f>AH58='[2]500千伏-750千伏电网基建'!AH58</f>
        <v>1</v>
      </c>
      <c r="CA58" s="95" t="b">
        <f>AI58='[2]500千伏-750千伏电网基建'!AI58</f>
        <v>1</v>
      </c>
      <c r="CB58" s="95" t="b">
        <f>AJ58='[2]500千伏-750千伏电网基建'!AJ58</f>
        <v>1</v>
      </c>
      <c r="CC58" s="95" t="b">
        <f>AK58='[2]500千伏-750千伏电网基建'!AK58</f>
        <v>1</v>
      </c>
    </row>
    <row r="59" s="95" customFormat="1" ht="99" hidden="1" customHeight="1" spans="1:81">
      <c r="A59" s="14"/>
      <c r="B59" s="14"/>
      <c r="C59" s="15" t="s">
        <v>536</v>
      </c>
      <c r="D59" s="15" t="s">
        <v>861</v>
      </c>
      <c r="E59" s="16" t="s">
        <v>862</v>
      </c>
      <c r="F59" s="24"/>
      <c r="G59" s="15" t="s">
        <v>1214</v>
      </c>
      <c r="H59" s="16" t="s">
        <v>864</v>
      </c>
      <c r="I59" s="23" t="s">
        <v>1215</v>
      </c>
      <c r="J59" s="16" t="s">
        <v>1216</v>
      </c>
      <c r="K59" s="15"/>
      <c r="L59" s="15"/>
      <c r="M59" s="15"/>
      <c r="N59" s="15"/>
      <c r="O59" s="15" t="s">
        <v>36</v>
      </c>
      <c r="P59" s="15"/>
      <c r="Q59" s="15"/>
      <c r="R59" s="15"/>
      <c r="S59" s="15"/>
      <c r="T59" s="15" t="s">
        <v>465</v>
      </c>
      <c r="U59" s="15" t="s">
        <v>790</v>
      </c>
      <c r="V59" s="16" t="s">
        <v>867</v>
      </c>
      <c r="W59" s="35" t="s">
        <v>868</v>
      </c>
      <c r="X59" s="15" t="s">
        <v>474</v>
      </c>
      <c r="Y59" s="15" t="s">
        <v>473</v>
      </c>
      <c r="Z59" s="30"/>
      <c r="AA59" s="15" t="s">
        <v>474</v>
      </c>
      <c r="AB59" s="15" t="s">
        <v>473</v>
      </c>
      <c r="AC59" s="30"/>
      <c r="AD59" s="15" t="s">
        <v>869</v>
      </c>
      <c r="AE59" s="15" t="s">
        <v>511</v>
      </c>
      <c r="AF59" s="15"/>
      <c r="AG59" s="30"/>
      <c r="AH59" s="15" t="s">
        <v>476</v>
      </c>
      <c r="AI59" s="30" t="s">
        <v>610</v>
      </c>
      <c r="AJ59" s="15" t="s">
        <v>870</v>
      </c>
      <c r="AK59" s="15" t="s">
        <v>673</v>
      </c>
      <c r="AL59" s="1" t="s">
        <v>1064</v>
      </c>
      <c r="AM59" s="23" t="s">
        <v>1075</v>
      </c>
      <c r="AN59" s="1"/>
      <c r="AO59" s="7" t="s">
        <v>1045</v>
      </c>
      <c r="AP59" s="7" t="s">
        <v>1059</v>
      </c>
      <c r="AQ59" s="7" t="s">
        <v>1059</v>
      </c>
      <c r="AR59" s="95" t="b">
        <f t="shared" si="0"/>
        <v>1</v>
      </c>
      <c r="AS59" s="95" t="b">
        <f>A59='[2]500千伏-750千伏电网基建'!A59</f>
        <v>1</v>
      </c>
      <c r="AT59" s="95" t="b">
        <f>B59='[2]500千伏-750千伏电网基建'!B59</f>
        <v>1</v>
      </c>
      <c r="AU59" s="95" t="b">
        <f>C59='[2]500千伏-750千伏电网基建'!C59</f>
        <v>1</v>
      </c>
      <c r="AV59" s="95" t="b">
        <f>D59='[2]500千伏-750千伏电网基建'!D59</f>
        <v>1</v>
      </c>
      <c r="AW59" s="95" t="b">
        <f>E59='[2]500千伏-750千伏电网基建'!E59</f>
        <v>1</v>
      </c>
      <c r="AX59" s="95" t="b">
        <f>F59='[2]500千伏-750千伏电网基建'!F59</f>
        <v>1</v>
      </c>
      <c r="AY59" s="95" t="b">
        <f>G59='[2]500千伏-750千伏电网基建'!G59</f>
        <v>1</v>
      </c>
      <c r="AZ59" s="95" t="b">
        <f>H59='[2]500千伏-750千伏电网基建'!H59</f>
        <v>1</v>
      </c>
      <c r="BA59" s="95" t="b">
        <f>I59='[2]500千伏-750千伏电网基建'!I59</f>
        <v>1</v>
      </c>
      <c r="BB59" s="95" t="b">
        <f>J59='[2]500千伏-750千伏电网基建'!J59</f>
        <v>1</v>
      </c>
      <c r="BC59" s="95" t="b">
        <f>K59='[2]500千伏-750千伏电网基建'!K59</f>
        <v>1</v>
      </c>
      <c r="BD59" s="95" t="b">
        <f>L59='[2]500千伏-750千伏电网基建'!L59</f>
        <v>1</v>
      </c>
      <c r="BE59" s="95" t="b">
        <f>M59='[2]500千伏-750千伏电网基建'!M59</f>
        <v>1</v>
      </c>
      <c r="BF59" s="95" t="b">
        <f>N59='[2]500千伏-750千伏电网基建'!N59</f>
        <v>1</v>
      </c>
      <c r="BG59" s="95" t="b">
        <f>O59='[2]500千伏-750千伏电网基建'!O59</f>
        <v>1</v>
      </c>
      <c r="BH59" s="95" t="b">
        <f>P59='[2]500千伏-750千伏电网基建'!P59</f>
        <v>1</v>
      </c>
      <c r="BI59" s="95" t="b">
        <f>Q59='[2]500千伏-750千伏电网基建'!Q59</f>
        <v>1</v>
      </c>
      <c r="BJ59" s="95" t="b">
        <f>R59='[2]500千伏-750千伏电网基建'!R59</f>
        <v>1</v>
      </c>
      <c r="BK59" s="95" t="b">
        <f>S59='[2]500千伏-750千伏电网基建'!S59</f>
        <v>1</v>
      </c>
      <c r="BL59" s="95" t="b">
        <f>T59='[2]500千伏-750千伏电网基建'!T59</f>
        <v>1</v>
      </c>
      <c r="BM59" s="95" t="b">
        <f>U59='[2]500千伏-750千伏电网基建'!U59</f>
        <v>1</v>
      </c>
      <c r="BN59" s="95" t="b">
        <f>V59='[2]500千伏-750千伏电网基建'!V59</f>
        <v>1</v>
      </c>
      <c r="BO59" s="95" t="b">
        <f>W59='[2]500千伏-750千伏电网基建'!W59</f>
        <v>1</v>
      </c>
      <c r="BP59" s="95" t="b">
        <f>X59='[2]500千伏-750千伏电网基建'!X59</f>
        <v>1</v>
      </c>
      <c r="BQ59" s="95" t="b">
        <f>Y59='[2]500千伏-750千伏电网基建'!Y59</f>
        <v>1</v>
      </c>
      <c r="BR59" s="95" t="b">
        <f>Z59='[2]500千伏-750千伏电网基建'!Z59</f>
        <v>1</v>
      </c>
      <c r="BS59" s="95" t="b">
        <f>AA59='[2]500千伏-750千伏电网基建'!AA59</f>
        <v>1</v>
      </c>
      <c r="BT59" s="95" t="b">
        <f>AB59='[2]500千伏-750千伏电网基建'!AB59</f>
        <v>1</v>
      </c>
      <c r="BU59" s="95" t="b">
        <f>AC59='[2]500千伏-750千伏电网基建'!AC59</f>
        <v>1</v>
      </c>
      <c r="BV59" s="95" t="b">
        <f>AD59='[2]500千伏-750千伏电网基建'!AD59</f>
        <v>1</v>
      </c>
      <c r="BW59" s="95" t="b">
        <f>AE59='[2]500千伏-750千伏电网基建'!AE59</f>
        <v>1</v>
      </c>
      <c r="BX59" s="95" t="b">
        <f>AF59='[2]500千伏-750千伏电网基建'!AF59</f>
        <v>1</v>
      </c>
      <c r="BY59" s="95" t="b">
        <f>AG59='[2]500千伏-750千伏电网基建'!AG59</f>
        <v>1</v>
      </c>
      <c r="BZ59" s="95" t="b">
        <f>AH59='[2]500千伏-750千伏电网基建'!AH59</f>
        <v>1</v>
      </c>
      <c r="CA59" s="95" t="b">
        <f>AI59='[2]500千伏-750千伏电网基建'!AI59</f>
        <v>1</v>
      </c>
      <c r="CB59" s="95" t="b">
        <f>AJ59='[2]500千伏-750千伏电网基建'!AJ59</f>
        <v>1</v>
      </c>
      <c r="CC59" s="95" t="b">
        <f>AK59='[2]500千伏-750千伏电网基建'!AK59</f>
        <v>1</v>
      </c>
    </row>
    <row r="60" s="95" customFormat="1" ht="71" hidden="1" customHeight="1" spans="1:81">
      <c r="A60" s="14"/>
      <c r="B60" s="14"/>
      <c r="C60" s="15"/>
      <c r="D60" s="15"/>
      <c r="E60" s="16"/>
      <c r="F60" s="24"/>
      <c r="G60" s="15"/>
      <c r="H60" s="16"/>
      <c r="I60" s="23" t="s">
        <v>1217</v>
      </c>
      <c r="J60" s="16" t="s">
        <v>1218</v>
      </c>
      <c r="K60" s="15"/>
      <c r="L60" s="15"/>
      <c r="M60" s="15"/>
      <c r="N60" s="15"/>
      <c r="O60" s="15"/>
      <c r="P60" s="15"/>
      <c r="Q60" s="15" t="s">
        <v>36</v>
      </c>
      <c r="R60" s="15"/>
      <c r="S60" s="15"/>
      <c r="T60" s="15" t="s">
        <v>492</v>
      </c>
      <c r="U60" s="15"/>
      <c r="V60" s="16" t="s">
        <v>867</v>
      </c>
      <c r="W60" s="15" t="s">
        <v>1219</v>
      </c>
      <c r="X60" s="15" t="s">
        <v>474</v>
      </c>
      <c r="Y60" s="15" t="s">
        <v>473</v>
      </c>
      <c r="Z60" s="30"/>
      <c r="AA60" s="15" t="s">
        <v>474</v>
      </c>
      <c r="AB60" s="15" t="s">
        <v>473</v>
      </c>
      <c r="AC60" s="30"/>
      <c r="AD60" s="15"/>
      <c r="AE60" s="30"/>
      <c r="AF60" s="15"/>
      <c r="AG60" s="30"/>
      <c r="AH60" s="15" t="s">
        <v>476</v>
      </c>
      <c r="AI60" s="30" t="s">
        <v>476</v>
      </c>
      <c r="AJ60" s="15" t="s">
        <v>874</v>
      </c>
      <c r="AK60" s="15" t="s">
        <v>532</v>
      </c>
      <c r="AL60" s="1" t="s">
        <v>1064</v>
      </c>
      <c r="AM60" s="23" t="s">
        <v>470</v>
      </c>
      <c r="AN60" s="1"/>
      <c r="AO60" s="7"/>
      <c r="AP60" s="7"/>
      <c r="AR60" s="95" t="b">
        <f t="shared" si="0"/>
        <v>1</v>
      </c>
      <c r="AS60" s="95" t="b">
        <f>A60='[2]500千伏-750千伏电网基建'!A60</f>
        <v>1</v>
      </c>
      <c r="AT60" s="95" t="b">
        <f>B60='[2]500千伏-750千伏电网基建'!B60</f>
        <v>1</v>
      </c>
      <c r="AU60" s="95" t="b">
        <f>C60='[2]500千伏-750千伏电网基建'!C60</f>
        <v>1</v>
      </c>
      <c r="AV60" s="95" t="b">
        <f>D60='[2]500千伏-750千伏电网基建'!D60</f>
        <v>1</v>
      </c>
      <c r="AW60" s="95" t="b">
        <f>E60='[2]500千伏-750千伏电网基建'!E60</f>
        <v>1</v>
      </c>
      <c r="AX60" s="95" t="b">
        <f>F60='[2]500千伏-750千伏电网基建'!F60</f>
        <v>1</v>
      </c>
      <c r="AY60" s="95" t="b">
        <f>G60='[2]500千伏-750千伏电网基建'!G60</f>
        <v>1</v>
      </c>
      <c r="AZ60" s="95" t="b">
        <f>H60='[2]500千伏-750千伏电网基建'!H60</f>
        <v>1</v>
      </c>
      <c r="BA60" s="95" t="b">
        <f>I60='[2]500千伏-750千伏电网基建'!I60</f>
        <v>1</v>
      </c>
      <c r="BB60" s="95" t="b">
        <f>J60='[2]500千伏-750千伏电网基建'!J60</f>
        <v>1</v>
      </c>
      <c r="BC60" s="95" t="b">
        <f>K60='[2]500千伏-750千伏电网基建'!K60</f>
        <v>1</v>
      </c>
      <c r="BD60" s="95" t="b">
        <f>L60='[2]500千伏-750千伏电网基建'!L60</f>
        <v>1</v>
      </c>
      <c r="BE60" s="95" t="b">
        <f>M60='[2]500千伏-750千伏电网基建'!M60</f>
        <v>1</v>
      </c>
      <c r="BF60" s="95" t="b">
        <f>N60='[2]500千伏-750千伏电网基建'!N60</f>
        <v>1</v>
      </c>
      <c r="BG60" s="95" t="b">
        <f>O60='[2]500千伏-750千伏电网基建'!O60</f>
        <v>1</v>
      </c>
      <c r="BH60" s="95" t="b">
        <f>P60='[2]500千伏-750千伏电网基建'!P60</f>
        <v>1</v>
      </c>
      <c r="BI60" s="95" t="b">
        <f>Q60='[2]500千伏-750千伏电网基建'!Q60</f>
        <v>1</v>
      </c>
      <c r="BJ60" s="95" t="b">
        <f>R60='[2]500千伏-750千伏电网基建'!R60</f>
        <v>1</v>
      </c>
      <c r="BK60" s="95" t="b">
        <f>S60='[2]500千伏-750千伏电网基建'!S60</f>
        <v>1</v>
      </c>
      <c r="BL60" s="95" t="b">
        <f>T60='[2]500千伏-750千伏电网基建'!T60</f>
        <v>1</v>
      </c>
      <c r="BM60" s="95" t="b">
        <f>U60='[2]500千伏-750千伏电网基建'!U60</f>
        <v>1</v>
      </c>
      <c r="BN60" s="95" t="b">
        <f>V60='[2]500千伏-750千伏电网基建'!V60</f>
        <v>1</v>
      </c>
      <c r="BO60" s="95" t="b">
        <f>W60='[2]500千伏-750千伏电网基建'!W60</f>
        <v>1</v>
      </c>
      <c r="BP60" s="95" t="b">
        <f>X60='[2]500千伏-750千伏电网基建'!X60</f>
        <v>1</v>
      </c>
      <c r="BQ60" s="95" t="b">
        <f>Y60='[2]500千伏-750千伏电网基建'!Y60</f>
        <v>1</v>
      </c>
      <c r="BR60" s="95" t="b">
        <f>Z60='[2]500千伏-750千伏电网基建'!Z60</f>
        <v>1</v>
      </c>
      <c r="BS60" s="95" t="b">
        <f>AA60='[2]500千伏-750千伏电网基建'!AA60</f>
        <v>1</v>
      </c>
      <c r="BT60" s="95" t="b">
        <f>AB60='[2]500千伏-750千伏电网基建'!AB60</f>
        <v>1</v>
      </c>
      <c r="BU60" s="95" t="b">
        <f>AC60='[2]500千伏-750千伏电网基建'!AC60</f>
        <v>1</v>
      </c>
      <c r="BV60" s="95" t="b">
        <f>AD60='[2]500千伏-750千伏电网基建'!AD60</f>
        <v>1</v>
      </c>
      <c r="BW60" s="95" t="b">
        <f>AE60='[2]500千伏-750千伏电网基建'!AE60</f>
        <v>1</v>
      </c>
      <c r="BX60" s="95" t="b">
        <f>AF60='[2]500千伏-750千伏电网基建'!AF60</f>
        <v>1</v>
      </c>
      <c r="BY60" s="95" t="b">
        <f>AG60='[2]500千伏-750千伏电网基建'!AG60</f>
        <v>1</v>
      </c>
      <c r="BZ60" s="95" t="b">
        <f>AH60='[2]500千伏-750千伏电网基建'!AH60</f>
        <v>1</v>
      </c>
      <c r="CA60" s="95" t="b">
        <f>AI60='[2]500千伏-750千伏电网基建'!AI60</f>
        <v>1</v>
      </c>
      <c r="CB60" s="95" t="b">
        <f>AJ60='[2]500千伏-750千伏电网基建'!AJ60</f>
        <v>1</v>
      </c>
      <c r="CC60" s="95" t="b">
        <f>AK60='[2]500千伏-750千伏电网基建'!AK60</f>
        <v>1</v>
      </c>
    </row>
    <row r="61" s="95" customFormat="1" ht="169" hidden="1" customHeight="1" spans="1:81">
      <c r="A61" s="14"/>
      <c r="B61" s="14"/>
      <c r="C61" s="15" t="s">
        <v>536</v>
      </c>
      <c r="D61" s="15" t="s">
        <v>875</v>
      </c>
      <c r="E61" s="16" t="s">
        <v>876</v>
      </c>
      <c r="F61" s="24"/>
      <c r="G61" s="15" t="s">
        <v>1220</v>
      </c>
      <c r="H61" s="16" t="s">
        <v>878</v>
      </c>
      <c r="I61" s="23" t="s">
        <v>1221</v>
      </c>
      <c r="J61" s="16" t="s">
        <v>1222</v>
      </c>
      <c r="K61" s="15"/>
      <c r="L61" s="15"/>
      <c r="M61" s="15"/>
      <c r="N61" s="15"/>
      <c r="O61" s="15"/>
      <c r="P61" s="15"/>
      <c r="Q61" s="15" t="s">
        <v>36</v>
      </c>
      <c r="R61" s="15" t="s">
        <v>36</v>
      </c>
      <c r="S61" s="15"/>
      <c r="T61" s="15" t="s">
        <v>465</v>
      </c>
      <c r="U61" s="15" t="s">
        <v>587</v>
      </c>
      <c r="V61" s="16" t="s">
        <v>882</v>
      </c>
      <c r="W61" s="35" t="s">
        <v>1223</v>
      </c>
      <c r="X61" s="15" t="s">
        <v>511</v>
      </c>
      <c r="Y61" s="15" t="s">
        <v>566</v>
      </c>
      <c r="Z61" s="30"/>
      <c r="AA61" s="15" t="s">
        <v>474</v>
      </c>
      <c r="AB61" s="15" t="s">
        <v>473</v>
      </c>
      <c r="AC61" s="30"/>
      <c r="AD61" s="15" t="s">
        <v>884</v>
      </c>
      <c r="AE61" s="15" t="s">
        <v>511</v>
      </c>
      <c r="AF61" s="15"/>
      <c r="AG61" s="30"/>
      <c r="AH61" s="15" t="s">
        <v>476</v>
      </c>
      <c r="AI61" s="15" t="s">
        <v>476</v>
      </c>
      <c r="AJ61" s="15" t="s">
        <v>874</v>
      </c>
      <c r="AK61" s="15" t="s">
        <v>532</v>
      </c>
      <c r="AL61" s="1" t="s">
        <v>1064</v>
      </c>
      <c r="AM61" s="23" t="s">
        <v>470</v>
      </c>
      <c r="AN61" s="1"/>
      <c r="AO61" s="7" t="s">
        <v>1045</v>
      </c>
      <c r="AP61" s="7" t="s">
        <v>1045</v>
      </c>
      <c r="AQ61" s="7" t="s">
        <v>1045</v>
      </c>
      <c r="AR61" s="95" t="b">
        <f t="shared" si="0"/>
        <v>1</v>
      </c>
      <c r="AS61" s="95" t="b">
        <f>A61='[2]500千伏-750千伏电网基建'!A61</f>
        <v>1</v>
      </c>
      <c r="AT61" s="95" t="b">
        <f>B61='[2]500千伏-750千伏电网基建'!B61</f>
        <v>1</v>
      </c>
      <c r="AU61" s="95" t="b">
        <f>C61='[2]500千伏-750千伏电网基建'!C61</f>
        <v>1</v>
      </c>
      <c r="AV61" s="95" t="b">
        <f>D61='[2]500千伏-750千伏电网基建'!D61</f>
        <v>1</v>
      </c>
      <c r="AW61" s="95" t="b">
        <f>E61='[2]500千伏-750千伏电网基建'!E61</f>
        <v>1</v>
      </c>
      <c r="AX61" s="95" t="b">
        <f>F61='[2]500千伏-750千伏电网基建'!F61</f>
        <v>1</v>
      </c>
      <c r="AY61" s="95" t="b">
        <f>G61='[2]500千伏-750千伏电网基建'!G61</f>
        <v>1</v>
      </c>
      <c r="AZ61" s="95" t="b">
        <f>H61='[2]500千伏-750千伏电网基建'!H61</f>
        <v>1</v>
      </c>
      <c r="BA61" s="95" t="b">
        <f>I61='[2]500千伏-750千伏电网基建'!I61</f>
        <v>1</v>
      </c>
      <c r="BB61" s="95" t="b">
        <f>J61='[2]500千伏-750千伏电网基建'!J61</f>
        <v>1</v>
      </c>
      <c r="BC61" s="95" t="b">
        <f>K61='[2]500千伏-750千伏电网基建'!K61</f>
        <v>1</v>
      </c>
      <c r="BD61" s="95" t="b">
        <f>L61='[2]500千伏-750千伏电网基建'!L61</f>
        <v>1</v>
      </c>
      <c r="BE61" s="95" t="b">
        <f>M61='[2]500千伏-750千伏电网基建'!M61</f>
        <v>1</v>
      </c>
      <c r="BF61" s="95" t="b">
        <f>N61='[2]500千伏-750千伏电网基建'!N61</f>
        <v>1</v>
      </c>
      <c r="BG61" s="95" t="b">
        <f>O61='[2]500千伏-750千伏电网基建'!O61</f>
        <v>1</v>
      </c>
      <c r="BH61" s="95" t="b">
        <f>P61='[2]500千伏-750千伏电网基建'!P61</f>
        <v>1</v>
      </c>
      <c r="BI61" s="95" t="b">
        <f>Q61='[2]500千伏-750千伏电网基建'!Q61</f>
        <v>1</v>
      </c>
      <c r="BJ61" s="95" t="b">
        <f>R61='[2]500千伏-750千伏电网基建'!R61</f>
        <v>1</v>
      </c>
      <c r="BK61" s="95" t="b">
        <f>S61='[2]500千伏-750千伏电网基建'!S61</f>
        <v>1</v>
      </c>
      <c r="BL61" s="95" t="b">
        <f>T61='[2]500千伏-750千伏电网基建'!T61</f>
        <v>1</v>
      </c>
      <c r="BM61" s="95" t="b">
        <f>U61='[2]500千伏-750千伏电网基建'!U61</f>
        <v>1</v>
      </c>
      <c r="BN61" s="95" t="b">
        <f>V61='[2]500千伏-750千伏电网基建'!V61</f>
        <v>1</v>
      </c>
      <c r="BO61" s="95" t="b">
        <f>W61='[2]500千伏-750千伏电网基建'!W61</f>
        <v>1</v>
      </c>
      <c r="BP61" s="95" t="b">
        <f>X61='[2]500千伏-750千伏电网基建'!X61</f>
        <v>1</v>
      </c>
      <c r="BQ61" s="95" t="b">
        <f>Y61='[2]500千伏-750千伏电网基建'!Y61</f>
        <v>1</v>
      </c>
      <c r="BR61" s="95" t="b">
        <f>Z61='[2]500千伏-750千伏电网基建'!Z61</f>
        <v>1</v>
      </c>
      <c r="BS61" s="95" t="b">
        <f>AA61='[2]500千伏-750千伏电网基建'!AA61</f>
        <v>1</v>
      </c>
      <c r="BT61" s="95" t="b">
        <f>AB61='[2]500千伏-750千伏电网基建'!AB61</f>
        <v>1</v>
      </c>
      <c r="BU61" s="95" t="b">
        <f>AC61='[2]500千伏-750千伏电网基建'!AC61</f>
        <v>1</v>
      </c>
      <c r="BV61" s="95" t="b">
        <f>AD61='[2]500千伏-750千伏电网基建'!AD61</f>
        <v>1</v>
      </c>
      <c r="BW61" s="95" t="b">
        <f>AE61='[2]500千伏-750千伏电网基建'!AE61</f>
        <v>1</v>
      </c>
      <c r="BX61" s="95" t="b">
        <f>AF61='[2]500千伏-750千伏电网基建'!AF61</f>
        <v>1</v>
      </c>
      <c r="BY61" s="95" t="b">
        <f>AG61='[2]500千伏-750千伏电网基建'!AG61</f>
        <v>1</v>
      </c>
      <c r="BZ61" s="95" t="b">
        <f>AH61='[2]500千伏-750千伏电网基建'!AH61</f>
        <v>1</v>
      </c>
      <c r="CA61" s="95" t="b">
        <f>AI61='[2]500千伏-750千伏电网基建'!AI61</f>
        <v>1</v>
      </c>
      <c r="CB61" s="95" t="b">
        <f>AJ61='[2]500千伏-750千伏电网基建'!AJ61</f>
        <v>1</v>
      </c>
      <c r="CC61" s="95" t="b">
        <f>AK61='[2]500千伏-750千伏电网基建'!AK61</f>
        <v>1</v>
      </c>
    </row>
    <row r="62" s="95" customFormat="1" ht="75" hidden="1" customHeight="1" spans="1:81">
      <c r="A62" s="14"/>
      <c r="B62" s="14"/>
      <c r="C62" s="15"/>
      <c r="D62" s="15"/>
      <c r="E62" s="16"/>
      <c r="F62" s="24"/>
      <c r="G62" s="15"/>
      <c r="H62" s="16"/>
      <c r="I62" s="23" t="s">
        <v>1224</v>
      </c>
      <c r="J62" s="16" t="s">
        <v>1225</v>
      </c>
      <c r="K62" s="15"/>
      <c r="L62" s="15"/>
      <c r="M62" s="15"/>
      <c r="N62" s="15"/>
      <c r="O62" s="15"/>
      <c r="P62" s="15"/>
      <c r="Q62" s="15"/>
      <c r="R62" s="15"/>
      <c r="S62" s="15"/>
      <c r="T62" s="15" t="s">
        <v>492</v>
      </c>
      <c r="U62" s="15"/>
      <c r="V62" s="16" t="s">
        <v>887</v>
      </c>
      <c r="W62" s="35" t="s">
        <v>1226</v>
      </c>
      <c r="X62" s="15" t="s">
        <v>511</v>
      </c>
      <c r="Y62" s="15" t="s">
        <v>566</v>
      </c>
      <c r="Z62" s="30"/>
      <c r="AA62" s="15" t="s">
        <v>474</v>
      </c>
      <c r="AB62" s="15" t="s">
        <v>473</v>
      </c>
      <c r="AC62" s="30"/>
      <c r="AD62" s="15"/>
      <c r="AE62" s="30"/>
      <c r="AF62" s="15"/>
      <c r="AG62" s="30"/>
      <c r="AH62" s="15" t="s">
        <v>476</v>
      </c>
      <c r="AI62" s="15" t="s">
        <v>610</v>
      </c>
      <c r="AJ62" s="15" t="s">
        <v>870</v>
      </c>
      <c r="AK62" s="15" t="s">
        <v>599</v>
      </c>
      <c r="AL62" s="1" t="s">
        <v>1064</v>
      </c>
      <c r="AM62" s="23" t="s">
        <v>1091</v>
      </c>
      <c r="AN62" s="1"/>
      <c r="AO62" s="7" t="s">
        <v>1045</v>
      </c>
      <c r="AP62" s="7" t="s">
        <v>1045</v>
      </c>
      <c r="AQ62" s="7" t="s">
        <v>1045</v>
      </c>
      <c r="AR62" s="95" t="b">
        <f t="shared" si="0"/>
        <v>1</v>
      </c>
      <c r="AS62" s="95" t="b">
        <f>A62='[2]500千伏-750千伏电网基建'!A62</f>
        <v>1</v>
      </c>
      <c r="AT62" s="95" t="b">
        <f>B62='[2]500千伏-750千伏电网基建'!B62</f>
        <v>1</v>
      </c>
      <c r="AU62" s="95" t="b">
        <f>C62='[2]500千伏-750千伏电网基建'!C62</f>
        <v>1</v>
      </c>
      <c r="AV62" s="95" t="b">
        <f>D62='[2]500千伏-750千伏电网基建'!D62</f>
        <v>1</v>
      </c>
      <c r="AW62" s="95" t="b">
        <f>E62='[2]500千伏-750千伏电网基建'!E62</f>
        <v>1</v>
      </c>
      <c r="AX62" s="95" t="b">
        <f>F62='[2]500千伏-750千伏电网基建'!F62</f>
        <v>1</v>
      </c>
      <c r="AY62" s="95" t="b">
        <f>G62='[2]500千伏-750千伏电网基建'!G62</f>
        <v>1</v>
      </c>
      <c r="AZ62" s="95" t="b">
        <f>H62='[2]500千伏-750千伏电网基建'!H62</f>
        <v>1</v>
      </c>
      <c r="BA62" s="95" t="b">
        <f>I62='[2]500千伏-750千伏电网基建'!I62</f>
        <v>1</v>
      </c>
      <c r="BB62" s="95" t="b">
        <f>J62='[2]500千伏-750千伏电网基建'!J62</f>
        <v>1</v>
      </c>
      <c r="BC62" s="95" t="b">
        <f>K62='[2]500千伏-750千伏电网基建'!K62</f>
        <v>1</v>
      </c>
      <c r="BD62" s="95" t="b">
        <f>L62='[2]500千伏-750千伏电网基建'!L62</f>
        <v>1</v>
      </c>
      <c r="BE62" s="95" t="b">
        <f>M62='[2]500千伏-750千伏电网基建'!M62</f>
        <v>1</v>
      </c>
      <c r="BF62" s="95" t="b">
        <f>N62='[2]500千伏-750千伏电网基建'!N62</f>
        <v>1</v>
      </c>
      <c r="BG62" s="95" t="b">
        <f>O62='[2]500千伏-750千伏电网基建'!O62</f>
        <v>1</v>
      </c>
      <c r="BH62" s="95" t="b">
        <f>P62='[2]500千伏-750千伏电网基建'!P62</f>
        <v>1</v>
      </c>
      <c r="BI62" s="95" t="b">
        <f>Q62='[2]500千伏-750千伏电网基建'!Q62</f>
        <v>1</v>
      </c>
      <c r="BJ62" s="95" t="b">
        <f>R62='[2]500千伏-750千伏电网基建'!R62</f>
        <v>1</v>
      </c>
      <c r="BK62" s="95" t="b">
        <f>S62='[2]500千伏-750千伏电网基建'!S62</f>
        <v>1</v>
      </c>
      <c r="BL62" s="95" t="b">
        <f>T62='[2]500千伏-750千伏电网基建'!T62</f>
        <v>1</v>
      </c>
      <c r="BM62" s="95" t="b">
        <f>U62='[2]500千伏-750千伏电网基建'!U62</f>
        <v>1</v>
      </c>
      <c r="BN62" s="95" t="b">
        <f>V62='[2]500千伏-750千伏电网基建'!V62</f>
        <v>1</v>
      </c>
      <c r="BO62" s="95" t="b">
        <f>W62='[2]500千伏-750千伏电网基建'!W62</f>
        <v>1</v>
      </c>
      <c r="BP62" s="95" t="b">
        <f>X62='[2]500千伏-750千伏电网基建'!X62</f>
        <v>1</v>
      </c>
      <c r="BQ62" s="95" t="b">
        <f>Y62='[2]500千伏-750千伏电网基建'!Y62</f>
        <v>1</v>
      </c>
      <c r="BR62" s="95" t="b">
        <f>Z62='[2]500千伏-750千伏电网基建'!Z62</f>
        <v>1</v>
      </c>
      <c r="BS62" s="95" t="b">
        <f>AA62='[2]500千伏-750千伏电网基建'!AA62</f>
        <v>1</v>
      </c>
      <c r="BT62" s="95" t="b">
        <f>AB62='[2]500千伏-750千伏电网基建'!AB62</f>
        <v>1</v>
      </c>
      <c r="BU62" s="95" t="b">
        <f>AC62='[2]500千伏-750千伏电网基建'!AC62</f>
        <v>1</v>
      </c>
      <c r="BV62" s="95" t="b">
        <f>AD62='[2]500千伏-750千伏电网基建'!AD62</f>
        <v>1</v>
      </c>
      <c r="BW62" s="95" t="b">
        <f>AE62='[2]500千伏-750千伏电网基建'!AE62</f>
        <v>1</v>
      </c>
      <c r="BX62" s="95" t="b">
        <f>AF62='[2]500千伏-750千伏电网基建'!AF62</f>
        <v>1</v>
      </c>
      <c r="BY62" s="95" t="b">
        <f>AG62='[2]500千伏-750千伏电网基建'!AG62</f>
        <v>1</v>
      </c>
      <c r="BZ62" s="95" t="b">
        <f>AH62='[2]500千伏-750千伏电网基建'!AH62</f>
        <v>1</v>
      </c>
      <c r="CA62" s="95" t="b">
        <f>AI62='[2]500千伏-750千伏电网基建'!AI62</f>
        <v>1</v>
      </c>
      <c r="CB62" s="95" t="b">
        <f>AJ62='[2]500千伏-750千伏电网基建'!AJ62</f>
        <v>1</v>
      </c>
      <c r="CC62" s="95" t="b">
        <f>AK62='[2]500千伏-750千伏电网基建'!AK62</f>
        <v>1</v>
      </c>
    </row>
    <row r="63" s="95" customFormat="1" ht="85" hidden="1" customHeight="1" spans="1:81">
      <c r="A63" s="14"/>
      <c r="B63" s="14"/>
      <c r="C63" s="15"/>
      <c r="D63" s="15"/>
      <c r="E63" s="16"/>
      <c r="F63" s="24"/>
      <c r="G63" s="15"/>
      <c r="H63" s="16"/>
      <c r="I63" s="23" t="s">
        <v>1227</v>
      </c>
      <c r="J63" s="16" t="s">
        <v>1228</v>
      </c>
      <c r="K63" s="15"/>
      <c r="L63" s="15"/>
      <c r="M63" s="15"/>
      <c r="N63" s="15"/>
      <c r="O63" s="15"/>
      <c r="P63" s="15"/>
      <c r="Q63" s="15" t="s">
        <v>36</v>
      </c>
      <c r="R63" s="15"/>
      <c r="S63" s="15"/>
      <c r="T63" s="15" t="s">
        <v>492</v>
      </c>
      <c r="U63" s="15"/>
      <c r="V63" s="16" t="s">
        <v>887</v>
      </c>
      <c r="W63" s="35" t="s">
        <v>891</v>
      </c>
      <c r="X63" s="15" t="s">
        <v>511</v>
      </c>
      <c r="Y63" s="15" t="s">
        <v>566</v>
      </c>
      <c r="Z63" s="30"/>
      <c r="AA63" s="15" t="s">
        <v>474</v>
      </c>
      <c r="AB63" s="15" t="s">
        <v>473</v>
      </c>
      <c r="AC63" s="30"/>
      <c r="AD63" s="15"/>
      <c r="AE63" s="30"/>
      <c r="AF63" s="15"/>
      <c r="AG63" s="30"/>
      <c r="AH63" s="15" t="s">
        <v>476</v>
      </c>
      <c r="AI63" s="15" t="s">
        <v>476</v>
      </c>
      <c r="AJ63" s="15" t="s">
        <v>870</v>
      </c>
      <c r="AK63" s="15" t="s">
        <v>532</v>
      </c>
      <c r="AL63" s="1" t="s">
        <v>1064</v>
      </c>
      <c r="AM63" s="23" t="s">
        <v>470</v>
      </c>
      <c r="AN63" s="1"/>
      <c r="AO63" s="7" t="s">
        <v>1045</v>
      </c>
      <c r="AP63" s="7" t="s">
        <v>1045</v>
      </c>
      <c r="AQ63" s="7" t="s">
        <v>1045</v>
      </c>
      <c r="AR63" s="95" t="b">
        <f t="shared" si="0"/>
        <v>1</v>
      </c>
      <c r="AS63" s="95" t="b">
        <f>A63='[2]500千伏-750千伏电网基建'!A63</f>
        <v>1</v>
      </c>
      <c r="AT63" s="95" t="b">
        <f>B63='[2]500千伏-750千伏电网基建'!B63</f>
        <v>1</v>
      </c>
      <c r="AU63" s="95" t="b">
        <f>C63='[2]500千伏-750千伏电网基建'!C63</f>
        <v>1</v>
      </c>
      <c r="AV63" s="95" t="b">
        <f>D63='[2]500千伏-750千伏电网基建'!D63</f>
        <v>1</v>
      </c>
      <c r="AW63" s="95" t="b">
        <f>E63='[2]500千伏-750千伏电网基建'!E63</f>
        <v>1</v>
      </c>
      <c r="AX63" s="95" t="b">
        <f>F63='[2]500千伏-750千伏电网基建'!F63</f>
        <v>1</v>
      </c>
      <c r="AY63" s="95" t="b">
        <f>G63='[2]500千伏-750千伏电网基建'!G63</f>
        <v>1</v>
      </c>
      <c r="AZ63" s="95" t="b">
        <f>H63='[2]500千伏-750千伏电网基建'!H63</f>
        <v>1</v>
      </c>
      <c r="BA63" s="95" t="b">
        <f>I63='[2]500千伏-750千伏电网基建'!I63</f>
        <v>1</v>
      </c>
      <c r="BB63" s="95" t="b">
        <f>J63='[2]500千伏-750千伏电网基建'!J63</f>
        <v>1</v>
      </c>
      <c r="BC63" s="95" t="b">
        <f>K63='[2]500千伏-750千伏电网基建'!K63</f>
        <v>1</v>
      </c>
      <c r="BD63" s="95" t="b">
        <f>L63='[2]500千伏-750千伏电网基建'!L63</f>
        <v>1</v>
      </c>
      <c r="BE63" s="95" t="b">
        <f>M63='[2]500千伏-750千伏电网基建'!M63</f>
        <v>1</v>
      </c>
      <c r="BF63" s="95" t="b">
        <f>N63='[2]500千伏-750千伏电网基建'!N63</f>
        <v>1</v>
      </c>
      <c r="BG63" s="95" t="b">
        <f>O63='[2]500千伏-750千伏电网基建'!O63</f>
        <v>1</v>
      </c>
      <c r="BH63" s="95" t="b">
        <f>P63='[2]500千伏-750千伏电网基建'!P63</f>
        <v>1</v>
      </c>
      <c r="BI63" s="95" t="b">
        <f>Q63='[2]500千伏-750千伏电网基建'!Q63</f>
        <v>1</v>
      </c>
      <c r="BJ63" s="95" t="b">
        <f>R63='[2]500千伏-750千伏电网基建'!R63</f>
        <v>1</v>
      </c>
      <c r="BK63" s="95" t="b">
        <f>S63='[2]500千伏-750千伏电网基建'!S63</f>
        <v>1</v>
      </c>
      <c r="BL63" s="95" t="b">
        <f>T63='[2]500千伏-750千伏电网基建'!T63</f>
        <v>1</v>
      </c>
      <c r="BM63" s="95" t="b">
        <f>U63='[2]500千伏-750千伏电网基建'!U63</f>
        <v>1</v>
      </c>
      <c r="BN63" s="95" t="b">
        <f>V63='[2]500千伏-750千伏电网基建'!V63</f>
        <v>1</v>
      </c>
      <c r="BO63" s="95" t="b">
        <f>W63='[2]500千伏-750千伏电网基建'!W63</f>
        <v>1</v>
      </c>
      <c r="BP63" s="95" t="b">
        <f>X63='[2]500千伏-750千伏电网基建'!X63</f>
        <v>1</v>
      </c>
      <c r="BQ63" s="95" t="b">
        <f>Y63='[2]500千伏-750千伏电网基建'!Y63</f>
        <v>1</v>
      </c>
      <c r="BR63" s="95" t="b">
        <f>Z63='[2]500千伏-750千伏电网基建'!Z63</f>
        <v>1</v>
      </c>
      <c r="BS63" s="95" t="b">
        <f>AA63='[2]500千伏-750千伏电网基建'!AA63</f>
        <v>1</v>
      </c>
      <c r="BT63" s="95" t="b">
        <f>AB63='[2]500千伏-750千伏电网基建'!AB63</f>
        <v>1</v>
      </c>
      <c r="BU63" s="95" t="b">
        <f>AC63='[2]500千伏-750千伏电网基建'!AC63</f>
        <v>1</v>
      </c>
      <c r="BV63" s="95" t="b">
        <f>AD63='[2]500千伏-750千伏电网基建'!AD63</f>
        <v>1</v>
      </c>
      <c r="BW63" s="95" t="b">
        <f>AE63='[2]500千伏-750千伏电网基建'!AE63</f>
        <v>1</v>
      </c>
      <c r="BX63" s="95" t="b">
        <f>AF63='[2]500千伏-750千伏电网基建'!AF63</f>
        <v>1</v>
      </c>
      <c r="BY63" s="95" t="b">
        <f>AG63='[2]500千伏-750千伏电网基建'!AG63</f>
        <v>1</v>
      </c>
      <c r="BZ63" s="95" t="b">
        <f>AH63='[2]500千伏-750千伏电网基建'!AH63</f>
        <v>1</v>
      </c>
      <c r="CA63" s="95" t="b">
        <f>AI63='[2]500千伏-750千伏电网基建'!AI63</f>
        <v>1</v>
      </c>
      <c r="CB63" s="95" t="b">
        <f>AJ63='[2]500千伏-750千伏电网基建'!AJ63</f>
        <v>1</v>
      </c>
      <c r="CC63" s="95" t="b">
        <f>AK63='[2]500千伏-750千伏电网基建'!AK63</f>
        <v>1</v>
      </c>
    </row>
    <row r="64" s="95" customFormat="1" ht="93" hidden="1" customHeight="1" spans="1:81">
      <c r="A64" s="14" t="s">
        <v>483</v>
      </c>
      <c r="B64" s="14" t="s">
        <v>833</v>
      </c>
      <c r="C64" s="15" t="s">
        <v>485</v>
      </c>
      <c r="D64" s="15" t="s">
        <v>892</v>
      </c>
      <c r="E64" s="16" t="s">
        <v>893</v>
      </c>
      <c r="F64" s="17" t="s">
        <v>894</v>
      </c>
      <c r="G64" s="15" t="s">
        <v>1229</v>
      </c>
      <c r="H64" s="16" t="s">
        <v>896</v>
      </c>
      <c r="I64" s="23" t="s">
        <v>1230</v>
      </c>
      <c r="J64" s="16" t="s">
        <v>1231</v>
      </c>
      <c r="K64" s="15"/>
      <c r="L64" s="15"/>
      <c r="M64" s="15"/>
      <c r="N64" s="15"/>
      <c r="O64" s="15"/>
      <c r="P64" s="15"/>
      <c r="Q64" s="15"/>
      <c r="R64" s="15" t="s">
        <v>36</v>
      </c>
      <c r="S64" s="15"/>
      <c r="T64" s="15" t="s">
        <v>492</v>
      </c>
      <c r="U64" s="15"/>
      <c r="V64" s="16" t="s">
        <v>899</v>
      </c>
      <c r="W64" s="137" t="s">
        <v>1232</v>
      </c>
      <c r="X64" s="15" t="s">
        <v>474</v>
      </c>
      <c r="Y64" s="15" t="s">
        <v>473</v>
      </c>
      <c r="Z64" s="30"/>
      <c r="AA64" s="15" t="s">
        <v>474</v>
      </c>
      <c r="AB64" s="15" t="s">
        <v>473</v>
      </c>
      <c r="AC64" s="30"/>
      <c r="AD64" s="15"/>
      <c r="AE64" s="30"/>
      <c r="AF64" s="15"/>
      <c r="AG64" s="30"/>
      <c r="AH64" s="15" t="s">
        <v>476</v>
      </c>
      <c r="AI64" s="15" t="s">
        <v>476</v>
      </c>
      <c r="AJ64" s="15" t="s">
        <v>901</v>
      </c>
      <c r="AK64" s="15" t="s">
        <v>673</v>
      </c>
      <c r="AL64" s="124" t="s">
        <v>1233</v>
      </c>
      <c r="AM64" s="23" t="s">
        <v>1091</v>
      </c>
      <c r="AN64" s="1"/>
      <c r="AO64" s="7" t="s">
        <v>1045</v>
      </c>
      <c r="AP64" s="7" t="s">
        <v>1045</v>
      </c>
      <c r="AQ64" s="138" t="s">
        <v>1045</v>
      </c>
      <c r="AR64" s="95" t="b">
        <f t="shared" si="0"/>
        <v>1</v>
      </c>
      <c r="AS64" s="95" t="b">
        <f>A64='[2]500千伏-750千伏电网基建'!A64</f>
        <v>1</v>
      </c>
      <c r="AT64" s="95" t="b">
        <f>B64='[2]500千伏-750千伏电网基建'!B64</f>
        <v>1</v>
      </c>
      <c r="AU64" s="95" t="b">
        <f>C64='[2]500千伏-750千伏电网基建'!C64</f>
        <v>1</v>
      </c>
      <c r="AV64" s="95" t="b">
        <f>D64='[2]500千伏-750千伏电网基建'!D64</f>
        <v>1</v>
      </c>
      <c r="AW64" s="95" t="b">
        <f>E64='[2]500千伏-750千伏电网基建'!E64</f>
        <v>1</v>
      </c>
      <c r="AX64" s="95" t="b">
        <f>F64='[2]500千伏-750千伏电网基建'!F64</f>
        <v>1</v>
      </c>
      <c r="AY64" s="95" t="b">
        <f>G64='[2]500千伏-750千伏电网基建'!G64</f>
        <v>1</v>
      </c>
      <c r="AZ64" s="95" t="b">
        <f>H64='[2]500千伏-750千伏电网基建'!H64</f>
        <v>1</v>
      </c>
      <c r="BA64" s="95" t="b">
        <f>I64='[2]500千伏-750千伏电网基建'!I64</f>
        <v>1</v>
      </c>
      <c r="BB64" s="95" t="b">
        <f>J64='[2]500千伏-750千伏电网基建'!J64</f>
        <v>1</v>
      </c>
      <c r="BC64" s="95" t="b">
        <f>K64='[2]500千伏-750千伏电网基建'!K64</f>
        <v>1</v>
      </c>
      <c r="BD64" s="95" t="b">
        <f>L64='[2]500千伏-750千伏电网基建'!L64</f>
        <v>1</v>
      </c>
      <c r="BE64" s="95" t="b">
        <f>M64='[2]500千伏-750千伏电网基建'!M64</f>
        <v>1</v>
      </c>
      <c r="BF64" s="95" t="b">
        <f>N64='[2]500千伏-750千伏电网基建'!N64</f>
        <v>1</v>
      </c>
      <c r="BG64" s="95" t="b">
        <f>O64='[2]500千伏-750千伏电网基建'!O64</f>
        <v>1</v>
      </c>
      <c r="BH64" s="95" t="b">
        <f>P64='[2]500千伏-750千伏电网基建'!P64</f>
        <v>1</v>
      </c>
      <c r="BI64" s="95" t="b">
        <f>Q64='[2]500千伏-750千伏电网基建'!Q64</f>
        <v>1</v>
      </c>
      <c r="BJ64" s="95" t="b">
        <f>R64='[2]500千伏-750千伏电网基建'!R64</f>
        <v>1</v>
      </c>
      <c r="BK64" s="95" t="b">
        <f>S64='[2]500千伏-750千伏电网基建'!S64</f>
        <v>1</v>
      </c>
      <c r="BL64" s="95" t="b">
        <f>T64='[2]500千伏-750千伏电网基建'!T64</f>
        <v>1</v>
      </c>
      <c r="BM64" s="95" t="b">
        <f>U64='[2]500千伏-750千伏电网基建'!U64</f>
        <v>1</v>
      </c>
      <c r="BN64" s="95" t="b">
        <f>V64='[2]500千伏-750千伏电网基建'!V64</f>
        <v>1</v>
      </c>
      <c r="BO64" s="95" t="b">
        <f>W64='[2]500千伏-750千伏电网基建'!W64</f>
        <v>1</v>
      </c>
      <c r="BP64" s="95" t="b">
        <f>X64='[2]500千伏-750千伏电网基建'!X64</f>
        <v>1</v>
      </c>
      <c r="BQ64" s="95" t="b">
        <f>Y64='[2]500千伏-750千伏电网基建'!Y64</f>
        <v>1</v>
      </c>
      <c r="BR64" s="95" t="b">
        <f>Z64='[2]500千伏-750千伏电网基建'!Z64</f>
        <v>1</v>
      </c>
      <c r="BS64" s="95" t="b">
        <f>AA64='[2]500千伏-750千伏电网基建'!AA64</f>
        <v>1</v>
      </c>
      <c r="BT64" s="95" t="b">
        <f>AB64='[2]500千伏-750千伏电网基建'!AB64</f>
        <v>1</v>
      </c>
      <c r="BU64" s="95" t="b">
        <f>AC64='[2]500千伏-750千伏电网基建'!AC64</f>
        <v>1</v>
      </c>
      <c r="BV64" s="95" t="b">
        <f>AD64='[2]500千伏-750千伏电网基建'!AD64</f>
        <v>1</v>
      </c>
      <c r="BW64" s="95" t="b">
        <f>AE64='[2]500千伏-750千伏电网基建'!AE64</f>
        <v>1</v>
      </c>
      <c r="BX64" s="95" t="b">
        <f>AF64='[2]500千伏-750千伏电网基建'!AF64</f>
        <v>1</v>
      </c>
      <c r="BY64" s="95" t="b">
        <f>AG64='[2]500千伏-750千伏电网基建'!AG64</f>
        <v>1</v>
      </c>
      <c r="BZ64" s="95" t="b">
        <f>AH64='[2]500千伏-750千伏电网基建'!AH64</f>
        <v>1</v>
      </c>
      <c r="CA64" s="95" t="b">
        <f>AI64='[2]500千伏-750千伏电网基建'!AI64</f>
        <v>1</v>
      </c>
      <c r="CB64" s="95" t="b">
        <f>AJ64='[2]500千伏-750千伏电网基建'!AJ64</f>
        <v>1</v>
      </c>
      <c r="CC64" s="95" t="b">
        <f>AK64='[2]500千伏-750千伏电网基建'!AK64</f>
        <v>1</v>
      </c>
    </row>
    <row r="65" s="95" customFormat="1" ht="131" hidden="1" customHeight="1" spans="1:81">
      <c r="A65" s="14"/>
      <c r="B65" s="14"/>
      <c r="C65" s="15"/>
      <c r="D65" s="15"/>
      <c r="E65" s="16"/>
      <c r="F65" s="17"/>
      <c r="G65" s="15"/>
      <c r="H65" s="16"/>
      <c r="I65" s="23" t="s">
        <v>1234</v>
      </c>
      <c r="J65" s="31" t="s">
        <v>1235</v>
      </c>
      <c r="K65" s="15"/>
      <c r="L65" s="15"/>
      <c r="M65" s="15"/>
      <c r="N65" s="15"/>
      <c r="O65" s="15"/>
      <c r="P65" s="15"/>
      <c r="Q65" s="15" t="s">
        <v>36</v>
      </c>
      <c r="R65" s="15" t="s">
        <v>36</v>
      </c>
      <c r="S65" s="15"/>
      <c r="T65" s="15" t="s">
        <v>492</v>
      </c>
      <c r="U65" s="15"/>
      <c r="V65" s="16" t="s">
        <v>904</v>
      </c>
      <c r="W65" s="35" t="s">
        <v>891</v>
      </c>
      <c r="X65" s="15" t="s">
        <v>474</v>
      </c>
      <c r="Y65" s="15" t="s">
        <v>473</v>
      </c>
      <c r="Z65" s="30"/>
      <c r="AA65" s="15" t="s">
        <v>474</v>
      </c>
      <c r="AB65" s="15" t="s">
        <v>473</v>
      </c>
      <c r="AC65" s="30"/>
      <c r="AD65" s="15"/>
      <c r="AE65" s="30"/>
      <c r="AF65" s="15"/>
      <c r="AG65" s="30"/>
      <c r="AH65" s="15" t="s">
        <v>476</v>
      </c>
      <c r="AI65" s="15" t="s">
        <v>476</v>
      </c>
      <c r="AJ65" s="15"/>
      <c r="AK65" s="15"/>
      <c r="AL65" s="1" t="s">
        <v>1064</v>
      </c>
      <c r="AM65" s="23" t="s">
        <v>470</v>
      </c>
      <c r="AN65" s="1"/>
      <c r="AO65" s="7" t="s">
        <v>1045</v>
      </c>
      <c r="AP65" s="7" t="s">
        <v>1059</v>
      </c>
      <c r="AQ65" s="7" t="s">
        <v>1059</v>
      </c>
      <c r="AR65" s="95" t="b">
        <f t="shared" si="0"/>
        <v>1</v>
      </c>
      <c r="AS65" s="95" t="b">
        <f>A65='[2]500千伏-750千伏电网基建'!A65</f>
        <v>1</v>
      </c>
      <c r="AT65" s="95" t="b">
        <f>B65='[2]500千伏-750千伏电网基建'!B65</f>
        <v>1</v>
      </c>
      <c r="AU65" s="95" t="b">
        <f>C65='[2]500千伏-750千伏电网基建'!C65</f>
        <v>1</v>
      </c>
      <c r="AV65" s="95" t="b">
        <f>D65='[2]500千伏-750千伏电网基建'!D65</f>
        <v>1</v>
      </c>
      <c r="AW65" s="95" t="b">
        <f>E65='[2]500千伏-750千伏电网基建'!E65</f>
        <v>1</v>
      </c>
      <c r="AX65" s="95" t="b">
        <f>F65='[2]500千伏-750千伏电网基建'!F65</f>
        <v>1</v>
      </c>
      <c r="AY65" s="95" t="b">
        <f>G65='[2]500千伏-750千伏电网基建'!G65</f>
        <v>1</v>
      </c>
      <c r="AZ65" s="95" t="b">
        <f>H65='[2]500千伏-750千伏电网基建'!H65</f>
        <v>1</v>
      </c>
      <c r="BA65" s="95" t="b">
        <f>I65='[2]500千伏-750千伏电网基建'!I65</f>
        <v>1</v>
      </c>
      <c r="BB65" s="133" t="b">
        <f>J65='[2]500千伏-750千伏电网基建'!J65</f>
        <v>0</v>
      </c>
      <c r="BC65" s="95" t="b">
        <f>K65='[2]500千伏-750千伏电网基建'!K65</f>
        <v>1</v>
      </c>
      <c r="BD65" s="95" t="b">
        <f>L65='[2]500千伏-750千伏电网基建'!L65</f>
        <v>1</v>
      </c>
      <c r="BE65" s="95" t="b">
        <f>M65='[2]500千伏-750千伏电网基建'!M65</f>
        <v>1</v>
      </c>
      <c r="BF65" s="95" t="b">
        <f>N65='[2]500千伏-750千伏电网基建'!N65</f>
        <v>1</v>
      </c>
      <c r="BG65" s="95" t="b">
        <f>O65='[2]500千伏-750千伏电网基建'!O65</f>
        <v>1</v>
      </c>
      <c r="BH65" s="95" t="b">
        <f>P65='[2]500千伏-750千伏电网基建'!P65</f>
        <v>1</v>
      </c>
      <c r="BI65" s="95" t="b">
        <f>Q65='[2]500千伏-750千伏电网基建'!Q65</f>
        <v>1</v>
      </c>
      <c r="BJ65" s="95" t="b">
        <f>R65='[2]500千伏-750千伏电网基建'!R65</f>
        <v>1</v>
      </c>
      <c r="BK65" s="95" t="b">
        <f>S65='[2]500千伏-750千伏电网基建'!S65</f>
        <v>1</v>
      </c>
      <c r="BL65" s="95" t="b">
        <f>T65='[2]500千伏-750千伏电网基建'!T65</f>
        <v>1</v>
      </c>
      <c r="BM65" s="95" t="b">
        <f>U65='[2]500千伏-750千伏电网基建'!U65</f>
        <v>1</v>
      </c>
      <c r="BN65" s="95" t="b">
        <f>V65='[2]500千伏-750千伏电网基建'!V65</f>
        <v>1</v>
      </c>
      <c r="BO65" s="95" t="b">
        <f>W65='[2]500千伏-750千伏电网基建'!W65</f>
        <v>1</v>
      </c>
      <c r="BP65" s="95" t="b">
        <f>X65='[2]500千伏-750千伏电网基建'!X65</f>
        <v>1</v>
      </c>
      <c r="BQ65" s="95" t="b">
        <f>Y65='[2]500千伏-750千伏电网基建'!Y65</f>
        <v>1</v>
      </c>
      <c r="BR65" s="95" t="b">
        <f>Z65='[2]500千伏-750千伏电网基建'!Z65</f>
        <v>1</v>
      </c>
      <c r="BS65" s="95" t="b">
        <f>AA65='[2]500千伏-750千伏电网基建'!AA65</f>
        <v>1</v>
      </c>
      <c r="BT65" s="95" t="b">
        <f>AB65='[2]500千伏-750千伏电网基建'!AB65</f>
        <v>1</v>
      </c>
      <c r="BU65" s="95" t="b">
        <f>AC65='[2]500千伏-750千伏电网基建'!AC65</f>
        <v>1</v>
      </c>
      <c r="BV65" s="95" t="b">
        <f>AD65='[2]500千伏-750千伏电网基建'!AD65</f>
        <v>1</v>
      </c>
      <c r="BW65" s="95" t="b">
        <f>AE65='[2]500千伏-750千伏电网基建'!AE65</f>
        <v>1</v>
      </c>
      <c r="BX65" s="95" t="b">
        <f>AF65='[2]500千伏-750千伏电网基建'!AF65</f>
        <v>1</v>
      </c>
      <c r="BY65" s="95" t="b">
        <f>AG65='[2]500千伏-750千伏电网基建'!AG65</f>
        <v>1</v>
      </c>
      <c r="BZ65" s="95" t="b">
        <f>AH65='[2]500千伏-750千伏电网基建'!AH65</f>
        <v>1</v>
      </c>
      <c r="CA65" s="95" t="b">
        <f>AI65='[2]500千伏-750千伏电网基建'!AI65</f>
        <v>1</v>
      </c>
      <c r="CB65" s="95" t="b">
        <f>AJ65='[2]500千伏-750千伏电网基建'!AJ65</f>
        <v>1</v>
      </c>
      <c r="CC65" s="95" t="b">
        <f>AK65='[2]500千伏-750千伏电网基建'!AK65</f>
        <v>1</v>
      </c>
    </row>
    <row r="66" s="95" customFormat="1" ht="69" hidden="1" customHeight="1" spans="1:81">
      <c r="A66" s="14"/>
      <c r="B66" s="14"/>
      <c r="C66" s="15"/>
      <c r="D66" s="15"/>
      <c r="E66" s="16"/>
      <c r="F66" s="17"/>
      <c r="G66" s="15"/>
      <c r="H66" s="16"/>
      <c r="I66" s="23" t="s">
        <v>1236</v>
      </c>
      <c r="J66" s="16" t="s">
        <v>1237</v>
      </c>
      <c r="K66" s="15"/>
      <c r="L66" s="15"/>
      <c r="M66" s="15"/>
      <c r="N66" s="15"/>
      <c r="O66" s="15"/>
      <c r="P66" s="15"/>
      <c r="Q66" s="15"/>
      <c r="R66" s="15" t="s">
        <v>36</v>
      </c>
      <c r="S66" s="15"/>
      <c r="T66" s="15" t="s">
        <v>492</v>
      </c>
      <c r="U66" s="15"/>
      <c r="V66" s="16" t="s">
        <v>899</v>
      </c>
      <c r="W66" s="35" t="s">
        <v>907</v>
      </c>
      <c r="X66" s="15" t="s">
        <v>474</v>
      </c>
      <c r="Y66" s="15" t="s">
        <v>473</v>
      </c>
      <c r="Z66" s="30"/>
      <c r="AA66" s="15" t="s">
        <v>474</v>
      </c>
      <c r="AB66" s="15" t="s">
        <v>473</v>
      </c>
      <c r="AC66" s="30"/>
      <c r="AD66" s="15"/>
      <c r="AE66" s="30"/>
      <c r="AF66" s="15"/>
      <c r="AG66" s="30"/>
      <c r="AH66" s="15" t="s">
        <v>476</v>
      </c>
      <c r="AI66" s="15" t="s">
        <v>476</v>
      </c>
      <c r="AJ66" s="15" t="s">
        <v>908</v>
      </c>
      <c r="AK66" s="15"/>
      <c r="AL66" s="1" t="s">
        <v>1064</v>
      </c>
      <c r="AM66" s="23" t="s">
        <v>1091</v>
      </c>
      <c r="AN66" s="1"/>
      <c r="AO66" s="7" t="s">
        <v>1045</v>
      </c>
      <c r="AP66" s="7" t="s">
        <v>1045</v>
      </c>
      <c r="AQ66" s="7" t="s">
        <v>1045</v>
      </c>
      <c r="AR66" s="95" t="b">
        <f t="shared" si="0"/>
        <v>1</v>
      </c>
      <c r="AS66" s="95" t="b">
        <f>A66='[2]500千伏-750千伏电网基建'!A66</f>
        <v>1</v>
      </c>
      <c r="AT66" s="95" t="b">
        <f>B66='[2]500千伏-750千伏电网基建'!B66</f>
        <v>1</v>
      </c>
      <c r="AU66" s="95" t="b">
        <f>C66='[2]500千伏-750千伏电网基建'!C66</f>
        <v>1</v>
      </c>
      <c r="AV66" s="95" t="b">
        <f>D66='[2]500千伏-750千伏电网基建'!D66</f>
        <v>1</v>
      </c>
      <c r="AW66" s="95" t="b">
        <f>E66='[2]500千伏-750千伏电网基建'!E66</f>
        <v>1</v>
      </c>
      <c r="AX66" s="95" t="b">
        <f>F66='[2]500千伏-750千伏电网基建'!F66</f>
        <v>1</v>
      </c>
      <c r="AY66" s="95" t="b">
        <f>G66='[2]500千伏-750千伏电网基建'!G66</f>
        <v>1</v>
      </c>
      <c r="AZ66" s="95" t="b">
        <f>H66='[2]500千伏-750千伏电网基建'!H66</f>
        <v>1</v>
      </c>
      <c r="BA66" s="95" t="b">
        <f>I66='[2]500千伏-750千伏电网基建'!I66</f>
        <v>1</v>
      </c>
      <c r="BB66" s="95" t="b">
        <f>J66='[2]500千伏-750千伏电网基建'!J66</f>
        <v>1</v>
      </c>
      <c r="BC66" s="95" t="b">
        <f>K66='[2]500千伏-750千伏电网基建'!K66</f>
        <v>1</v>
      </c>
      <c r="BD66" s="95" t="b">
        <f>L66='[2]500千伏-750千伏电网基建'!L66</f>
        <v>1</v>
      </c>
      <c r="BE66" s="95" t="b">
        <f>M66='[2]500千伏-750千伏电网基建'!M66</f>
        <v>1</v>
      </c>
      <c r="BF66" s="95" t="b">
        <f>N66='[2]500千伏-750千伏电网基建'!N66</f>
        <v>1</v>
      </c>
      <c r="BG66" s="95" t="b">
        <f>O66='[2]500千伏-750千伏电网基建'!O66</f>
        <v>1</v>
      </c>
      <c r="BH66" s="95" t="b">
        <f>P66='[2]500千伏-750千伏电网基建'!P66</f>
        <v>1</v>
      </c>
      <c r="BI66" s="95" t="b">
        <f>Q66='[2]500千伏-750千伏电网基建'!Q66</f>
        <v>1</v>
      </c>
      <c r="BJ66" s="95" t="b">
        <f>R66='[2]500千伏-750千伏电网基建'!R66</f>
        <v>1</v>
      </c>
      <c r="BK66" s="95" t="b">
        <f>S66='[2]500千伏-750千伏电网基建'!S66</f>
        <v>1</v>
      </c>
      <c r="BL66" s="95" t="b">
        <f>T66='[2]500千伏-750千伏电网基建'!T66</f>
        <v>1</v>
      </c>
      <c r="BM66" s="95" t="b">
        <f>U66='[2]500千伏-750千伏电网基建'!U66</f>
        <v>1</v>
      </c>
      <c r="BN66" s="95" t="b">
        <f>V66='[2]500千伏-750千伏电网基建'!V66</f>
        <v>1</v>
      </c>
      <c r="BO66" s="95" t="b">
        <f>W66='[2]500千伏-750千伏电网基建'!W66</f>
        <v>1</v>
      </c>
      <c r="BP66" s="95" t="b">
        <f>X66='[2]500千伏-750千伏电网基建'!X66</f>
        <v>1</v>
      </c>
      <c r="BQ66" s="95" t="b">
        <f>Y66='[2]500千伏-750千伏电网基建'!Y66</f>
        <v>1</v>
      </c>
      <c r="BR66" s="95" t="b">
        <f>Z66='[2]500千伏-750千伏电网基建'!Z66</f>
        <v>1</v>
      </c>
      <c r="BS66" s="95" t="b">
        <f>AA66='[2]500千伏-750千伏电网基建'!AA66</f>
        <v>1</v>
      </c>
      <c r="BT66" s="95" t="b">
        <f>AB66='[2]500千伏-750千伏电网基建'!AB66</f>
        <v>1</v>
      </c>
      <c r="BU66" s="95" t="b">
        <f>AC66='[2]500千伏-750千伏电网基建'!AC66</f>
        <v>1</v>
      </c>
      <c r="BV66" s="95" t="b">
        <f>AD66='[2]500千伏-750千伏电网基建'!AD66</f>
        <v>1</v>
      </c>
      <c r="BW66" s="95" t="b">
        <f>AE66='[2]500千伏-750千伏电网基建'!AE66</f>
        <v>1</v>
      </c>
      <c r="BX66" s="95" t="b">
        <f>AF66='[2]500千伏-750千伏电网基建'!AF66</f>
        <v>1</v>
      </c>
      <c r="BY66" s="95" t="b">
        <f>AG66='[2]500千伏-750千伏电网基建'!AG66</f>
        <v>1</v>
      </c>
      <c r="BZ66" s="95" t="b">
        <f>AH66='[2]500千伏-750千伏电网基建'!AH66</f>
        <v>1</v>
      </c>
      <c r="CA66" s="95" t="b">
        <f>AI66='[2]500千伏-750千伏电网基建'!AI66</f>
        <v>1</v>
      </c>
      <c r="CB66" s="95" t="b">
        <f>AJ66='[2]500千伏-750千伏电网基建'!AJ66</f>
        <v>1</v>
      </c>
      <c r="CC66" s="95" t="b">
        <f>AK66='[2]500千伏-750千伏电网基建'!AK66</f>
        <v>1</v>
      </c>
    </row>
    <row r="67" s="95" customFormat="1" ht="117" hidden="1" customHeight="1" spans="1:81">
      <c r="A67" s="14"/>
      <c r="B67" s="14"/>
      <c r="C67" s="15" t="s">
        <v>485</v>
      </c>
      <c r="D67" s="15" t="s">
        <v>909</v>
      </c>
      <c r="E67" s="16" t="s">
        <v>910</v>
      </c>
      <c r="F67" s="24"/>
      <c r="G67" s="15" t="s">
        <v>1238</v>
      </c>
      <c r="H67" s="16" t="s">
        <v>912</v>
      </c>
      <c r="I67" s="23" t="s">
        <v>1239</v>
      </c>
      <c r="J67" s="16" t="s">
        <v>1240</v>
      </c>
      <c r="K67" s="15"/>
      <c r="L67" s="15"/>
      <c r="M67" s="15"/>
      <c r="N67" s="15"/>
      <c r="O67" s="15"/>
      <c r="P67" s="15"/>
      <c r="Q67" s="15"/>
      <c r="R67" s="15" t="s">
        <v>36</v>
      </c>
      <c r="S67" s="15"/>
      <c r="T67" s="15" t="s">
        <v>492</v>
      </c>
      <c r="U67" s="15"/>
      <c r="V67" s="16" t="s">
        <v>1241</v>
      </c>
      <c r="W67" s="35" t="s">
        <v>1242</v>
      </c>
      <c r="X67" s="15" t="s">
        <v>474</v>
      </c>
      <c r="Y67" s="15" t="s">
        <v>473</v>
      </c>
      <c r="Z67" s="15"/>
      <c r="AA67" s="15" t="s">
        <v>474</v>
      </c>
      <c r="AB67" s="15" t="s">
        <v>473</v>
      </c>
      <c r="AC67" s="15"/>
      <c r="AD67" s="15"/>
      <c r="AE67" s="15"/>
      <c r="AF67" s="15"/>
      <c r="AG67" s="30"/>
      <c r="AH67" s="15" t="s">
        <v>476</v>
      </c>
      <c r="AI67" s="15" t="s">
        <v>476</v>
      </c>
      <c r="AJ67" s="15" t="s">
        <v>917</v>
      </c>
      <c r="AK67" s="15" t="s">
        <v>673</v>
      </c>
      <c r="AL67" s="23" t="s">
        <v>1204</v>
      </c>
      <c r="AM67" s="23" t="s">
        <v>1091</v>
      </c>
      <c r="AN67" s="1"/>
      <c r="AO67" s="7" t="s">
        <v>1045</v>
      </c>
      <c r="AP67" s="7" t="s">
        <v>1045</v>
      </c>
      <c r="AQ67" s="7" t="s">
        <v>1045</v>
      </c>
      <c r="AR67" s="95" t="b">
        <f t="shared" si="0"/>
        <v>1</v>
      </c>
      <c r="AS67" s="95" t="b">
        <f>A67='[2]500千伏-750千伏电网基建'!A67</f>
        <v>1</v>
      </c>
      <c r="AT67" s="95" t="b">
        <f>B67='[2]500千伏-750千伏电网基建'!B67</f>
        <v>1</v>
      </c>
      <c r="AU67" s="95" t="b">
        <f>C67='[2]500千伏-750千伏电网基建'!C67</f>
        <v>1</v>
      </c>
      <c r="AV67" s="95" t="b">
        <f>D67='[2]500千伏-750千伏电网基建'!D67</f>
        <v>1</v>
      </c>
      <c r="AW67" s="95" t="b">
        <f>E67='[2]500千伏-750千伏电网基建'!E67</f>
        <v>1</v>
      </c>
      <c r="AX67" s="95" t="b">
        <f>F67='[2]500千伏-750千伏电网基建'!F67</f>
        <v>1</v>
      </c>
      <c r="AY67" s="95" t="b">
        <f>G67='[2]500千伏-750千伏电网基建'!G67</f>
        <v>1</v>
      </c>
      <c r="AZ67" s="95" t="b">
        <f>H67='[2]500千伏-750千伏电网基建'!H67</f>
        <v>1</v>
      </c>
      <c r="BA67" s="95" t="b">
        <f>I67='[2]500千伏-750千伏电网基建'!I67</f>
        <v>1</v>
      </c>
      <c r="BB67" s="95" t="b">
        <f>J67='[2]500千伏-750千伏电网基建'!J67</f>
        <v>1</v>
      </c>
      <c r="BC67" s="95" t="b">
        <f>K67='[2]500千伏-750千伏电网基建'!K67</f>
        <v>1</v>
      </c>
      <c r="BD67" s="95" t="b">
        <f>L67='[2]500千伏-750千伏电网基建'!L67</f>
        <v>1</v>
      </c>
      <c r="BE67" s="95" t="b">
        <f>M67='[2]500千伏-750千伏电网基建'!M67</f>
        <v>1</v>
      </c>
      <c r="BF67" s="95" t="b">
        <f>N67='[2]500千伏-750千伏电网基建'!N67</f>
        <v>1</v>
      </c>
      <c r="BG67" s="95" t="b">
        <f>O67='[2]500千伏-750千伏电网基建'!O67</f>
        <v>1</v>
      </c>
      <c r="BH67" s="95" t="b">
        <f>P67='[2]500千伏-750千伏电网基建'!P67</f>
        <v>1</v>
      </c>
      <c r="BI67" s="95" t="b">
        <f>Q67='[2]500千伏-750千伏电网基建'!Q67</f>
        <v>1</v>
      </c>
      <c r="BJ67" s="95" t="b">
        <f>R67='[2]500千伏-750千伏电网基建'!R67</f>
        <v>1</v>
      </c>
      <c r="BK67" s="95" t="b">
        <f>S67='[2]500千伏-750千伏电网基建'!S67</f>
        <v>1</v>
      </c>
      <c r="BL67" s="95" t="b">
        <f>T67='[2]500千伏-750千伏电网基建'!T67</f>
        <v>1</v>
      </c>
      <c r="BM67" s="95" t="b">
        <f>U67='[2]500千伏-750千伏电网基建'!U67</f>
        <v>1</v>
      </c>
      <c r="BN67" s="95" t="b">
        <f>V67='[2]500千伏-750千伏电网基建'!V67</f>
        <v>1</v>
      </c>
      <c r="BO67" s="95" t="b">
        <f>W67='[2]500千伏-750千伏电网基建'!W67</f>
        <v>1</v>
      </c>
      <c r="BP67" s="95" t="b">
        <f>X67='[2]500千伏-750千伏电网基建'!X67</f>
        <v>1</v>
      </c>
      <c r="BQ67" s="95" t="b">
        <f>Y67='[2]500千伏-750千伏电网基建'!Y67</f>
        <v>1</v>
      </c>
      <c r="BR67" s="95" t="b">
        <f>Z67='[2]500千伏-750千伏电网基建'!Z67</f>
        <v>1</v>
      </c>
      <c r="BS67" s="95" t="b">
        <f>AA67='[2]500千伏-750千伏电网基建'!AA67</f>
        <v>1</v>
      </c>
      <c r="BT67" s="95" t="b">
        <f>AB67='[2]500千伏-750千伏电网基建'!AB67</f>
        <v>1</v>
      </c>
      <c r="BU67" s="95" t="b">
        <f>AC67='[2]500千伏-750千伏电网基建'!AC67</f>
        <v>1</v>
      </c>
      <c r="BV67" s="95" t="b">
        <f>AD67='[2]500千伏-750千伏电网基建'!AD67</f>
        <v>1</v>
      </c>
      <c r="BW67" s="95" t="b">
        <f>AE67='[2]500千伏-750千伏电网基建'!AE67</f>
        <v>1</v>
      </c>
      <c r="BX67" s="95" t="b">
        <f>AF67='[2]500千伏-750千伏电网基建'!AF67</f>
        <v>1</v>
      </c>
      <c r="BY67" s="95" t="b">
        <f>AG67='[2]500千伏-750千伏电网基建'!AG67</f>
        <v>1</v>
      </c>
      <c r="BZ67" s="95" t="b">
        <f>AH67='[2]500千伏-750千伏电网基建'!AH67</f>
        <v>1</v>
      </c>
      <c r="CA67" s="95" t="b">
        <f>AI67='[2]500千伏-750千伏电网基建'!AI67</f>
        <v>1</v>
      </c>
      <c r="CB67" s="95" t="b">
        <f>AJ67='[2]500千伏-750千伏电网基建'!AJ67</f>
        <v>1</v>
      </c>
      <c r="CC67" s="95" t="b">
        <f>AK67='[2]500千伏-750千伏电网基建'!AK67</f>
        <v>1</v>
      </c>
    </row>
    <row r="68" s="95" customFormat="1" ht="167" hidden="1" customHeight="1" spans="1:81">
      <c r="A68" s="14"/>
      <c r="B68" s="14"/>
      <c r="C68" s="15"/>
      <c r="D68" s="15"/>
      <c r="E68" s="16"/>
      <c r="F68" s="24"/>
      <c r="G68" s="15"/>
      <c r="H68" s="16"/>
      <c r="I68" s="23" t="s">
        <v>1243</v>
      </c>
      <c r="J68" s="16" t="s">
        <v>1244</v>
      </c>
      <c r="K68" s="15"/>
      <c r="L68" s="15"/>
      <c r="M68" s="15"/>
      <c r="N68" s="15"/>
      <c r="O68" s="15"/>
      <c r="P68" s="15"/>
      <c r="Q68" s="15" t="s">
        <v>36</v>
      </c>
      <c r="R68" s="15" t="s">
        <v>36</v>
      </c>
      <c r="S68" s="15"/>
      <c r="T68" s="15" t="s">
        <v>492</v>
      </c>
      <c r="U68" s="15"/>
      <c r="V68" s="16" t="s">
        <v>920</v>
      </c>
      <c r="W68" s="31" t="s">
        <v>1245</v>
      </c>
      <c r="X68" s="15"/>
      <c r="Y68" s="15"/>
      <c r="Z68" s="15"/>
      <c r="AA68" s="15"/>
      <c r="AB68" s="15"/>
      <c r="AC68" s="15"/>
      <c r="AD68" s="15"/>
      <c r="AE68" s="15"/>
      <c r="AF68" s="15"/>
      <c r="AG68" s="30"/>
      <c r="AH68" s="15"/>
      <c r="AI68" s="15"/>
      <c r="AJ68" s="15"/>
      <c r="AK68" s="15"/>
      <c r="AL68" s="23" t="s">
        <v>1204</v>
      </c>
      <c r="AM68" s="23" t="s">
        <v>1246</v>
      </c>
      <c r="AN68" s="1"/>
      <c r="AO68" s="7" t="s">
        <v>1059</v>
      </c>
      <c r="AP68" s="7" t="s">
        <v>1059</v>
      </c>
      <c r="AQ68" s="7" t="s">
        <v>1059</v>
      </c>
      <c r="AR68" s="95" t="b">
        <f t="shared" ref="AR68:AR95" si="1">AP68=AQ68</f>
        <v>1</v>
      </c>
      <c r="AS68" s="95" t="b">
        <f>A68='[2]500千伏-750千伏电网基建'!A68</f>
        <v>1</v>
      </c>
      <c r="AT68" s="95" t="b">
        <f>B68='[2]500千伏-750千伏电网基建'!B68</f>
        <v>1</v>
      </c>
      <c r="AU68" s="95" t="b">
        <f>C68='[2]500千伏-750千伏电网基建'!C68</f>
        <v>1</v>
      </c>
      <c r="AV68" s="95" t="b">
        <f>D68='[2]500千伏-750千伏电网基建'!D68</f>
        <v>1</v>
      </c>
      <c r="AW68" s="95" t="b">
        <f>E68='[2]500千伏-750千伏电网基建'!E68</f>
        <v>1</v>
      </c>
      <c r="AX68" s="95" t="b">
        <f>F68='[2]500千伏-750千伏电网基建'!F68</f>
        <v>1</v>
      </c>
      <c r="AY68" s="95" t="b">
        <f>G68='[2]500千伏-750千伏电网基建'!G68</f>
        <v>1</v>
      </c>
      <c r="AZ68" s="95" t="b">
        <f>H68='[2]500千伏-750千伏电网基建'!H68</f>
        <v>1</v>
      </c>
      <c r="BA68" s="95" t="b">
        <f>I68='[2]500千伏-750千伏电网基建'!I68</f>
        <v>1</v>
      </c>
      <c r="BB68" s="95" t="b">
        <f>J68='[2]500千伏-750千伏电网基建'!J68</f>
        <v>1</v>
      </c>
      <c r="BC68" s="95" t="b">
        <f>K68='[2]500千伏-750千伏电网基建'!K68</f>
        <v>1</v>
      </c>
      <c r="BD68" s="95" t="b">
        <f>L68='[2]500千伏-750千伏电网基建'!L68</f>
        <v>1</v>
      </c>
      <c r="BE68" s="95" t="b">
        <f>M68='[2]500千伏-750千伏电网基建'!M68</f>
        <v>1</v>
      </c>
      <c r="BF68" s="95" t="b">
        <f>N68='[2]500千伏-750千伏电网基建'!N68</f>
        <v>1</v>
      </c>
      <c r="BG68" s="95" t="b">
        <f>O68='[2]500千伏-750千伏电网基建'!O68</f>
        <v>1</v>
      </c>
      <c r="BH68" s="95" t="b">
        <f>P68='[2]500千伏-750千伏电网基建'!P68</f>
        <v>1</v>
      </c>
      <c r="BI68" s="95" t="b">
        <f>Q68='[2]500千伏-750千伏电网基建'!Q68</f>
        <v>1</v>
      </c>
      <c r="BJ68" s="95" t="b">
        <f>R68='[2]500千伏-750千伏电网基建'!R68</f>
        <v>1</v>
      </c>
      <c r="BK68" s="95" t="b">
        <f>S68='[2]500千伏-750千伏电网基建'!S68</f>
        <v>1</v>
      </c>
      <c r="BL68" s="95" t="b">
        <f>T68='[2]500千伏-750千伏电网基建'!T68</f>
        <v>1</v>
      </c>
      <c r="BM68" s="95" t="b">
        <f>U68='[2]500千伏-750千伏电网基建'!U68</f>
        <v>1</v>
      </c>
      <c r="BN68" s="95" t="b">
        <f>V68='[2]500千伏-750千伏电网基建'!V68</f>
        <v>1</v>
      </c>
      <c r="BO68" s="95" t="b">
        <f>W68='[2]500千伏-750千伏电网基建'!W68</f>
        <v>1</v>
      </c>
      <c r="BP68" s="95" t="b">
        <f>X68='[2]500千伏-750千伏电网基建'!X68</f>
        <v>1</v>
      </c>
      <c r="BQ68" s="95" t="b">
        <f>Y68='[2]500千伏-750千伏电网基建'!Y68</f>
        <v>1</v>
      </c>
      <c r="BR68" s="95" t="b">
        <f>Z68='[2]500千伏-750千伏电网基建'!Z68</f>
        <v>1</v>
      </c>
      <c r="BS68" s="95" t="b">
        <f>AA68='[2]500千伏-750千伏电网基建'!AA68</f>
        <v>1</v>
      </c>
      <c r="BT68" s="95" t="b">
        <f>AB68='[2]500千伏-750千伏电网基建'!AB68</f>
        <v>1</v>
      </c>
      <c r="BU68" s="95" t="b">
        <f>AC68='[2]500千伏-750千伏电网基建'!AC68</f>
        <v>1</v>
      </c>
      <c r="BV68" s="95" t="b">
        <f>AD68='[2]500千伏-750千伏电网基建'!AD68</f>
        <v>1</v>
      </c>
      <c r="BW68" s="95" t="b">
        <f>AE68='[2]500千伏-750千伏电网基建'!AE68</f>
        <v>1</v>
      </c>
      <c r="BX68" s="95" t="b">
        <f>AF68='[2]500千伏-750千伏电网基建'!AF68</f>
        <v>1</v>
      </c>
      <c r="BY68" s="95" t="b">
        <f>AG68='[2]500千伏-750千伏电网基建'!AG68</f>
        <v>1</v>
      </c>
      <c r="BZ68" s="95" t="b">
        <f>AH68='[2]500千伏-750千伏电网基建'!AH68</f>
        <v>1</v>
      </c>
      <c r="CA68" s="95" t="b">
        <f>AI68='[2]500千伏-750千伏电网基建'!AI68</f>
        <v>1</v>
      </c>
      <c r="CB68" s="95" t="b">
        <f>AJ68='[2]500千伏-750千伏电网基建'!AJ68</f>
        <v>1</v>
      </c>
      <c r="CC68" s="95" t="b">
        <f>AK68='[2]500千伏-750千伏电网基建'!AK68</f>
        <v>1</v>
      </c>
    </row>
    <row r="69" s="95" customFormat="1" ht="118" hidden="1" customHeight="1" spans="1:81">
      <c r="A69" s="14"/>
      <c r="B69" s="14" t="s">
        <v>922</v>
      </c>
      <c r="C69" s="15" t="s">
        <v>485</v>
      </c>
      <c r="D69" s="15" t="s">
        <v>923</v>
      </c>
      <c r="E69" s="16" t="s">
        <v>924</v>
      </c>
      <c r="F69" s="24"/>
      <c r="G69" s="15" t="s">
        <v>1247</v>
      </c>
      <c r="H69" s="16" t="s">
        <v>926</v>
      </c>
      <c r="I69" s="23" t="s">
        <v>1248</v>
      </c>
      <c r="J69" s="16" t="s">
        <v>1249</v>
      </c>
      <c r="K69" s="15"/>
      <c r="L69" s="15" t="s">
        <v>36</v>
      </c>
      <c r="M69" s="15"/>
      <c r="N69" s="15"/>
      <c r="O69" s="15"/>
      <c r="P69" s="15"/>
      <c r="Q69" s="15"/>
      <c r="R69" s="15"/>
      <c r="S69" s="15"/>
      <c r="T69" s="15" t="s">
        <v>492</v>
      </c>
      <c r="U69" s="15"/>
      <c r="V69" s="16" t="s">
        <v>929</v>
      </c>
      <c r="W69" s="35" t="s">
        <v>930</v>
      </c>
      <c r="X69" s="15" t="s">
        <v>474</v>
      </c>
      <c r="Y69" s="15" t="s">
        <v>473</v>
      </c>
      <c r="Z69" s="30"/>
      <c r="AA69" s="15" t="s">
        <v>474</v>
      </c>
      <c r="AB69" s="15" t="s">
        <v>473</v>
      </c>
      <c r="AC69" s="30"/>
      <c r="AD69" s="15"/>
      <c r="AE69" s="15"/>
      <c r="AF69" s="15"/>
      <c r="AG69" s="30"/>
      <c r="AH69" s="15" t="s">
        <v>476</v>
      </c>
      <c r="AI69" s="15" t="s">
        <v>476</v>
      </c>
      <c r="AJ69" s="15" t="s">
        <v>931</v>
      </c>
      <c r="AK69" s="15" t="s">
        <v>673</v>
      </c>
      <c r="AL69" s="1" t="s">
        <v>1064</v>
      </c>
      <c r="AM69" s="23" t="s">
        <v>1091</v>
      </c>
      <c r="AN69" s="1"/>
      <c r="AO69" s="7" t="s">
        <v>1250</v>
      </c>
      <c r="AP69" s="7" t="s">
        <v>1250</v>
      </c>
      <c r="AQ69" s="7" t="s">
        <v>1250</v>
      </c>
      <c r="AR69" s="95" t="b">
        <f t="shared" si="1"/>
        <v>1</v>
      </c>
      <c r="AS69" s="95" t="b">
        <f>A69='[2]500千伏-750千伏电网基建'!A69</f>
        <v>1</v>
      </c>
      <c r="AT69" s="95" t="b">
        <f>B69='[2]500千伏-750千伏电网基建'!B69</f>
        <v>1</v>
      </c>
      <c r="AU69" s="95" t="b">
        <f>C69='[2]500千伏-750千伏电网基建'!C69</f>
        <v>1</v>
      </c>
      <c r="AV69" s="95" t="b">
        <f>D69='[2]500千伏-750千伏电网基建'!D69</f>
        <v>1</v>
      </c>
      <c r="AW69" s="95" t="b">
        <f>E69='[2]500千伏-750千伏电网基建'!E69</f>
        <v>1</v>
      </c>
      <c r="AX69" s="95" t="b">
        <f>F69='[2]500千伏-750千伏电网基建'!F69</f>
        <v>1</v>
      </c>
      <c r="AY69" s="95" t="b">
        <f>G69='[2]500千伏-750千伏电网基建'!G69</f>
        <v>1</v>
      </c>
      <c r="AZ69" s="95" t="b">
        <f>H69='[2]500千伏-750千伏电网基建'!H69</f>
        <v>1</v>
      </c>
      <c r="BA69" s="95" t="b">
        <f>I69='[2]500千伏-750千伏电网基建'!I69</f>
        <v>1</v>
      </c>
      <c r="BB69" s="95" t="b">
        <f>J69='[2]500千伏-750千伏电网基建'!J69</f>
        <v>1</v>
      </c>
      <c r="BC69" s="95" t="b">
        <f>K69='[2]500千伏-750千伏电网基建'!K69</f>
        <v>1</v>
      </c>
      <c r="BD69" s="95" t="b">
        <f>L69='[2]500千伏-750千伏电网基建'!L69</f>
        <v>1</v>
      </c>
      <c r="BE69" s="95" t="b">
        <f>M69='[2]500千伏-750千伏电网基建'!M69</f>
        <v>1</v>
      </c>
      <c r="BF69" s="95" t="b">
        <f>N69='[2]500千伏-750千伏电网基建'!N69</f>
        <v>1</v>
      </c>
      <c r="BG69" s="95" t="b">
        <f>O69='[2]500千伏-750千伏电网基建'!O69</f>
        <v>1</v>
      </c>
      <c r="BH69" s="95" t="b">
        <f>P69='[2]500千伏-750千伏电网基建'!P69</f>
        <v>1</v>
      </c>
      <c r="BI69" s="95" t="b">
        <f>Q69='[2]500千伏-750千伏电网基建'!Q69</f>
        <v>1</v>
      </c>
      <c r="BJ69" s="95" t="b">
        <f>R69='[2]500千伏-750千伏电网基建'!R69</f>
        <v>1</v>
      </c>
      <c r="BK69" s="95" t="b">
        <f>S69='[2]500千伏-750千伏电网基建'!S69</f>
        <v>1</v>
      </c>
      <c r="BL69" s="95" t="b">
        <f>T69='[2]500千伏-750千伏电网基建'!T69</f>
        <v>1</v>
      </c>
      <c r="BM69" s="95" t="b">
        <f>U69='[2]500千伏-750千伏电网基建'!U69</f>
        <v>1</v>
      </c>
      <c r="BN69" s="95" t="b">
        <f>V69='[2]500千伏-750千伏电网基建'!V69</f>
        <v>1</v>
      </c>
      <c r="BO69" s="95" t="b">
        <f>W69='[2]500千伏-750千伏电网基建'!W69</f>
        <v>1</v>
      </c>
      <c r="BP69" s="95" t="b">
        <f>X69='[2]500千伏-750千伏电网基建'!X69</f>
        <v>1</v>
      </c>
      <c r="BQ69" s="95" t="b">
        <f>Y69='[2]500千伏-750千伏电网基建'!Y69</f>
        <v>1</v>
      </c>
      <c r="BR69" s="95" t="b">
        <f>Z69='[2]500千伏-750千伏电网基建'!Z69</f>
        <v>1</v>
      </c>
      <c r="BS69" s="95" t="b">
        <f>AA69='[2]500千伏-750千伏电网基建'!AA69</f>
        <v>1</v>
      </c>
      <c r="BT69" s="95" t="b">
        <f>AB69='[2]500千伏-750千伏电网基建'!AB69</f>
        <v>1</v>
      </c>
      <c r="BU69" s="95" t="b">
        <f>AC69='[2]500千伏-750千伏电网基建'!AC69</f>
        <v>1</v>
      </c>
      <c r="BV69" s="95" t="b">
        <f>AD69='[2]500千伏-750千伏电网基建'!AD69</f>
        <v>1</v>
      </c>
      <c r="BW69" s="95" t="b">
        <f>AE69='[2]500千伏-750千伏电网基建'!AE69</f>
        <v>1</v>
      </c>
      <c r="BX69" s="95" t="b">
        <f>AF69='[2]500千伏-750千伏电网基建'!AF69</f>
        <v>1</v>
      </c>
      <c r="BY69" s="95" t="b">
        <f>AG69='[2]500千伏-750千伏电网基建'!AG69</f>
        <v>1</v>
      </c>
      <c r="BZ69" s="95" t="b">
        <f>AH69='[2]500千伏-750千伏电网基建'!AH69</f>
        <v>1</v>
      </c>
      <c r="CA69" s="95" t="b">
        <f>AI69='[2]500千伏-750千伏电网基建'!AI69</f>
        <v>1</v>
      </c>
      <c r="CB69" s="95" t="b">
        <f>AJ69='[2]500千伏-750千伏电网基建'!AJ69</f>
        <v>1</v>
      </c>
      <c r="CC69" s="95" t="b">
        <f>AK69='[2]500千伏-750千伏电网基建'!AK69</f>
        <v>1</v>
      </c>
    </row>
    <row r="70" s="95" customFormat="1" ht="72" hidden="1" customHeight="1" spans="1:81">
      <c r="A70" s="14"/>
      <c r="B70" s="14"/>
      <c r="C70" s="15"/>
      <c r="D70" s="15"/>
      <c r="E70" s="16"/>
      <c r="F70" s="24"/>
      <c r="G70" s="15"/>
      <c r="H70" s="16"/>
      <c r="I70" s="23" t="s">
        <v>1251</v>
      </c>
      <c r="J70" s="16" t="s">
        <v>1252</v>
      </c>
      <c r="K70" s="15"/>
      <c r="L70" s="15"/>
      <c r="M70" s="15"/>
      <c r="N70" s="15"/>
      <c r="O70" s="15"/>
      <c r="P70" s="15"/>
      <c r="Q70" s="15"/>
      <c r="R70" s="15"/>
      <c r="S70" s="15"/>
      <c r="T70" s="15" t="s">
        <v>492</v>
      </c>
      <c r="U70" s="15"/>
      <c r="V70" s="16" t="s">
        <v>934</v>
      </c>
      <c r="W70" s="35" t="s">
        <v>671</v>
      </c>
      <c r="X70" s="15" t="s">
        <v>474</v>
      </c>
      <c r="Y70" s="15" t="s">
        <v>473</v>
      </c>
      <c r="Z70" s="30"/>
      <c r="AA70" s="15" t="s">
        <v>474</v>
      </c>
      <c r="AB70" s="15" t="s">
        <v>473</v>
      </c>
      <c r="AC70" s="30"/>
      <c r="AD70" s="15"/>
      <c r="AE70" s="15"/>
      <c r="AF70" s="15"/>
      <c r="AG70" s="30"/>
      <c r="AH70" s="15" t="s">
        <v>476</v>
      </c>
      <c r="AI70" s="15" t="s">
        <v>476</v>
      </c>
      <c r="AJ70" s="15" t="s">
        <v>935</v>
      </c>
      <c r="AK70" s="15"/>
      <c r="AL70" s="1" t="s">
        <v>1064</v>
      </c>
      <c r="AM70" s="23" t="s">
        <v>1091</v>
      </c>
      <c r="AN70" s="1"/>
      <c r="AO70" s="7" t="s">
        <v>1045</v>
      </c>
      <c r="AP70" s="7" t="s">
        <v>1045</v>
      </c>
      <c r="AQ70" s="7" t="s">
        <v>1045</v>
      </c>
      <c r="AR70" s="95" t="b">
        <f t="shared" si="1"/>
        <v>1</v>
      </c>
      <c r="AS70" s="95" t="b">
        <f>A70='[2]500千伏-750千伏电网基建'!A70</f>
        <v>1</v>
      </c>
      <c r="AT70" s="95" t="b">
        <f>B70='[2]500千伏-750千伏电网基建'!B70</f>
        <v>1</v>
      </c>
      <c r="AU70" s="95" t="b">
        <f>C70='[2]500千伏-750千伏电网基建'!C70</f>
        <v>1</v>
      </c>
      <c r="AV70" s="95" t="b">
        <f>D70='[2]500千伏-750千伏电网基建'!D70</f>
        <v>1</v>
      </c>
      <c r="AW70" s="95" t="b">
        <f>E70='[2]500千伏-750千伏电网基建'!E70</f>
        <v>1</v>
      </c>
      <c r="AX70" s="95" t="b">
        <f>F70='[2]500千伏-750千伏电网基建'!F70</f>
        <v>1</v>
      </c>
      <c r="AY70" s="95" t="b">
        <f>G70='[2]500千伏-750千伏电网基建'!G70</f>
        <v>1</v>
      </c>
      <c r="AZ70" s="95" t="b">
        <f>H70='[2]500千伏-750千伏电网基建'!H70</f>
        <v>1</v>
      </c>
      <c r="BA70" s="95" t="b">
        <f>I70='[2]500千伏-750千伏电网基建'!I70</f>
        <v>1</v>
      </c>
      <c r="BB70" s="95" t="b">
        <f>J70='[2]500千伏-750千伏电网基建'!J70</f>
        <v>1</v>
      </c>
      <c r="BC70" s="95" t="b">
        <f>K70='[2]500千伏-750千伏电网基建'!K70</f>
        <v>1</v>
      </c>
      <c r="BD70" s="95" t="b">
        <f>L70='[2]500千伏-750千伏电网基建'!L70</f>
        <v>1</v>
      </c>
      <c r="BE70" s="95" t="b">
        <f>M70='[2]500千伏-750千伏电网基建'!M70</f>
        <v>1</v>
      </c>
      <c r="BF70" s="95" t="b">
        <f>N70='[2]500千伏-750千伏电网基建'!N70</f>
        <v>1</v>
      </c>
      <c r="BG70" s="95" t="b">
        <f>O70='[2]500千伏-750千伏电网基建'!O70</f>
        <v>1</v>
      </c>
      <c r="BH70" s="95" t="b">
        <f>P70='[2]500千伏-750千伏电网基建'!P70</f>
        <v>1</v>
      </c>
      <c r="BI70" s="95" t="b">
        <f>Q70='[2]500千伏-750千伏电网基建'!Q70</f>
        <v>1</v>
      </c>
      <c r="BJ70" s="95" t="b">
        <f>R70='[2]500千伏-750千伏电网基建'!R70</f>
        <v>1</v>
      </c>
      <c r="BK70" s="95" t="b">
        <f>S70='[2]500千伏-750千伏电网基建'!S70</f>
        <v>1</v>
      </c>
      <c r="BL70" s="95" t="b">
        <f>T70='[2]500千伏-750千伏电网基建'!T70</f>
        <v>1</v>
      </c>
      <c r="BM70" s="95" t="b">
        <f>U70='[2]500千伏-750千伏电网基建'!U70</f>
        <v>1</v>
      </c>
      <c r="BN70" s="95" t="b">
        <f>V70='[2]500千伏-750千伏电网基建'!V70</f>
        <v>1</v>
      </c>
      <c r="BO70" s="95" t="b">
        <f>W70='[2]500千伏-750千伏电网基建'!W70</f>
        <v>1</v>
      </c>
      <c r="BP70" s="95" t="b">
        <f>X70='[2]500千伏-750千伏电网基建'!X70</f>
        <v>1</v>
      </c>
      <c r="BQ70" s="95" t="b">
        <f>Y70='[2]500千伏-750千伏电网基建'!Y70</f>
        <v>1</v>
      </c>
      <c r="BR70" s="95" t="b">
        <f>Z70='[2]500千伏-750千伏电网基建'!Z70</f>
        <v>1</v>
      </c>
      <c r="BS70" s="95" t="b">
        <f>AA70='[2]500千伏-750千伏电网基建'!AA70</f>
        <v>1</v>
      </c>
      <c r="BT70" s="95" t="b">
        <f>AB70='[2]500千伏-750千伏电网基建'!AB70</f>
        <v>1</v>
      </c>
      <c r="BU70" s="95" t="b">
        <f>AC70='[2]500千伏-750千伏电网基建'!AC70</f>
        <v>1</v>
      </c>
      <c r="BV70" s="95" t="b">
        <f>AD70='[2]500千伏-750千伏电网基建'!AD70</f>
        <v>1</v>
      </c>
      <c r="BW70" s="95" t="b">
        <f>AE70='[2]500千伏-750千伏电网基建'!AE70</f>
        <v>1</v>
      </c>
      <c r="BX70" s="95" t="b">
        <f>AF70='[2]500千伏-750千伏电网基建'!AF70</f>
        <v>1</v>
      </c>
      <c r="BY70" s="95" t="b">
        <f>AG70='[2]500千伏-750千伏电网基建'!AG70</f>
        <v>1</v>
      </c>
      <c r="BZ70" s="95" t="b">
        <f>AH70='[2]500千伏-750千伏电网基建'!AH70</f>
        <v>1</v>
      </c>
      <c r="CA70" s="95" t="b">
        <f>AI70='[2]500千伏-750千伏电网基建'!AI70</f>
        <v>1</v>
      </c>
      <c r="CB70" s="95" t="b">
        <f>AJ70='[2]500千伏-750千伏电网基建'!AJ70</f>
        <v>1</v>
      </c>
      <c r="CC70" s="95" t="b">
        <f>AK70='[2]500千伏-750千伏电网基建'!AK70</f>
        <v>1</v>
      </c>
    </row>
    <row r="71" s="95" customFormat="1" ht="104" hidden="1" customHeight="1" spans="1:81">
      <c r="A71" s="14"/>
      <c r="B71" s="14"/>
      <c r="C71" s="15"/>
      <c r="D71" s="15"/>
      <c r="E71" s="16"/>
      <c r="F71" s="24"/>
      <c r="G71" s="15"/>
      <c r="H71" s="16"/>
      <c r="I71" s="23" t="s">
        <v>1253</v>
      </c>
      <c r="J71" s="16" t="s">
        <v>1254</v>
      </c>
      <c r="K71" s="15"/>
      <c r="L71" s="15"/>
      <c r="M71" s="15"/>
      <c r="N71" s="15"/>
      <c r="O71" s="15"/>
      <c r="P71" s="15"/>
      <c r="Q71" s="15" t="s">
        <v>36</v>
      </c>
      <c r="R71" s="15"/>
      <c r="S71" s="15"/>
      <c r="T71" s="15" t="s">
        <v>492</v>
      </c>
      <c r="U71" s="15"/>
      <c r="V71" s="16" t="s">
        <v>938</v>
      </c>
      <c r="W71" s="35" t="s">
        <v>891</v>
      </c>
      <c r="X71" s="15" t="s">
        <v>474</v>
      </c>
      <c r="Y71" s="15" t="s">
        <v>473</v>
      </c>
      <c r="Z71" s="30"/>
      <c r="AA71" s="15" t="s">
        <v>474</v>
      </c>
      <c r="AB71" s="15" t="s">
        <v>473</v>
      </c>
      <c r="AC71" s="30"/>
      <c r="AD71" s="15"/>
      <c r="AE71" s="15"/>
      <c r="AF71" s="15"/>
      <c r="AG71" s="30"/>
      <c r="AH71" s="15" t="s">
        <v>476</v>
      </c>
      <c r="AI71" s="15" t="s">
        <v>476</v>
      </c>
      <c r="AJ71" s="15" t="s">
        <v>935</v>
      </c>
      <c r="AK71" s="15"/>
      <c r="AL71" s="1" t="s">
        <v>1064</v>
      </c>
      <c r="AM71" s="23" t="s">
        <v>1102</v>
      </c>
      <c r="AN71" s="1"/>
      <c r="AO71" s="7" t="s">
        <v>1045</v>
      </c>
      <c r="AP71" s="7" t="s">
        <v>1045</v>
      </c>
      <c r="AQ71" s="7" t="s">
        <v>1045</v>
      </c>
      <c r="AR71" s="95" t="b">
        <f t="shared" si="1"/>
        <v>1</v>
      </c>
      <c r="AS71" s="95" t="b">
        <f>A71='[2]500千伏-750千伏电网基建'!A71</f>
        <v>1</v>
      </c>
      <c r="AT71" s="95" t="b">
        <f>B71='[2]500千伏-750千伏电网基建'!B71</f>
        <v>1</v>
      </c>
      <c r="AU71" s="95" t="b">
        <f>C71='[2]500千伏-750千伏电网基建'!C71</f>
        <v>1</v>
      </c>
      <c r="AV71" s="95" t="b">
        <f>D71='[2]500千伏-750千伏电网基建'!D71</f>
        <v>1</v>
      </c>
      <c r="AW71" s="95" t="b">
        <f>E71='[2]500千伏-750千伏电网基建'!E71</f>
        <v>1</v>
      </c>
      <c r="AX71" s="95" t="b">
        <f>F71='[2]500千伏-750千伏电网基建'!F71</f>
        <v>1</v>
      </c>
      <c r="AY71" s="95" t="b">
        <f>G71='[2]500千伏-750千伏电网基建'!G71</f>
        <v>1</v>
      </c>
      <c r="AZ71" s="95" t="b">
        <f>H71='[2]500千伏-750千伏电网基建'!H71</f>
        <v>1</v>
      </c>
      <c r="BA71" s="95" t="b">
        <f>I71='[2]500千伏-750千伏电网基建'!I71</f>
        <v>1</v>
      </c>
      <c r="BB71" s="95" t="b">
        <f>J71='[2]500千伏-750千伏电网基建'!J71</f>
        <v>1</v>
      </c>
      <c r="BC71" s="95" t="b">
        <f>K71='[2]500千伏-750千伏电网基建'!K71</f>
        <v>1</v>
      </c>
      <c r="BD71" s="95" t="b">
        <f>L71='[2]500千伏-750千伏电网基建'!L71</f>
        <v>1</v>
      </c>
      <c r="BE71" s="95" t="b">
        <f>M71='[2]500千伏-750千伏电网基建'!M71</f>
        <v>1</v>
      </c>
      <c r="BF71" s="95" t="b">
        <f>N71='[2]500千伏-750千伏电网基建'!N71</f>
        <v>1</v>
      </c>
      <c r="BG71" s="95" t="b">
        <f>O71='[2]500千伏-750千伏电网基建'!O71</f>
        <v>1</v>
      </c>
      <c r="BH71" s="95" t="b">
        <f>P71='[2]500千伏-750千伏电网基建'!P71</f>
        <v>1</v>
      </c>
      <c r="BI71" s="95" t="b">
        <f>Q71='[2]500千伏-750千伏电网基建'!Q71</f>
        <v>1</v>
      </c>
      <c r="BJ71" s="95" t="b">
        <f>R71='[2]500千伏-750千伏电网基建'!R71</f>
        <v>1</v>
      </c>
      <c r="BK71" s="95" t="b">
        <f>S71='[2]500千伏-750千伏电网基建'!S71</f>
        <v>1</v>
      </c>
      <c r="BL71" s="95" t="b">
        <f>T71='[2]500千伏-750千伏电网基建'!T71</f>
        <v>1</v>
      </c>
      <c r="BM71" s="95" t="b">
        <f>U71='[2]500千伏-750千伏电网基建'!U71</f>
        <v>1</v>
      </c>
      <c r="BN71" s="95" t="b">
        <f>V71='[2]500千伏-750千伏电网基建'!V71</f>
        <v>1</v>
      </c>
      <c r="BO71" s="95" t="b">
        <f>W71='[2]500千伏-750千伏电网基建'!W71</f>
        <v>1</v>
      </c>
      <c r="BP71" s="95" t="b">
        <f>X71='[2]500千伏-750千伏电网基建'!X71</f>
        <v>1</v>
      </c>
      <c r="BQ71" s="95" t="b">
        <f>Y71='[2]500千伏-750千伏电网基建'!Y71</f>
        <v>1</v>
      </c>
      <c r="BR71" s="95" t="b">
        <f>Z71='[2]500千伏-750千伏电网基建'!Z71</f>
        <v>1</v>
      </c>
      <c r="BS71" s="95" t="b">
        <f>AA71='[2]500千伏-750千伏电网基建'!AA71</f>
        <v>1</v>
      </c>
      <c r="BT71" s="95" t="b">
        <f>AB71='[2]500千伏-750千伏电网基建'!AB71</f>
        <v>1</v>
      </c>
      <c r="BU71" s="95" t="b">
        <f>AC71='[2]500千伏-750千伏电网基建'!AC71</f>
        <v>1</v>
      </c>
      <c r="BV71" s="95" t="b">
        <f>AD71='[2]500千伏-750千伏电网基建'!AD71</f>
        <v>1</v>
      </c>
      <c r="BW71" s="95" t="b">
        <f>AE71='[2]500千伏-750千伏电网基建'!AE71</f>
        <v>1</v>
      </c>
      <c r="BX71" s="95" t="b">
        <f>AF71='[2]500千伏-750千伏电网基建'!AF71</f>
        <v>1</v>
      </c>
      <c r="BY71" s="95" t="b">
        <f>AG71='[2]500千伏-750千伏电网基建'!AG71</f>
        <v>1</v>
      </c>
      <c r="BZ71" s="95" t="b">
        <f>AH71='[2]500千伏-750千伏电网基建'!AH71</f>
        <v>1</v>
      </c>
      <c r="CA71" s="95" t="b">
        <f>AI71='[2]500千伏-750千伏电网基建'!AI71</f>
        <v>1</v>
      </c>
      <c r="CB71" s="95" t="b">
        <f>AJ71='[2]500千伏-750千伏电网基建'!AJ71</f>
        <v>1</v>
      </c>
      <c r="CC71" s="95" t="b">
        <f>AK71='[2]500千伏-750千伏电网基建'!AK71</f>
        <v>1</v>
      </c>
    </row>
    <row r="72" s="95" customFormat="1" ht="73" hidden="1" customHeight="1" spans="1:81">
      <c r="A72" s="14" t="s">
        <v>483</v>
      </c>
      <c r="B72" s="14" t="s">
        <v>922</v>
      </c>
      <c r="C72" s="15" t="s">
        <v>485</v>
      </c>
      <c r="D72" s="23" t="s">
        <v>939</v>
      </c>
      <c r="E72" s="16" t="s">
        <v>940</v>
      </c>
      <c r="F72" s="24"/>
      <c r="G72" s="15" t="s">
        <v>1255</v>
      </c>
      <c r="H72" s="16" t="s">
        <v>942</v>
      </c>
      <c r="I72" s="23" t="s">
        <v>1256</v>
      </c>
      <c r="J72" s="16" t="s">
        <v>1257</v>
      </c>
      <c r="K72" s="15"/>
      <c r="L72" s="15"/>
      <c r="M72" s="15" t="s">
        <v>36</v>
      </c>
      <c r="N72" s="15"/>
      <c r="O72" s="15"/>
      <c r="P72" s="15"/>
      <c r="Q72" s="15"/>
      <c r="R72" s="15"/>
      <c r="S72" s="15"/>
      <c r="T72" s="15" t="s">
        <v>492</v>
      </c>
      <c r="U72" s="15"/>
      <c r="V72" s="16" t="s">
        <v>945</v>
      </c>
      <c r="W72" s="35" t="s">
        <v>946</v>
      </c>
      <c r="X72" s="15" t="s">
        <v>474</v>
      </c>
      <c r="Y72" s="15" t="s">
        <v>473</v>
      </c>
      <c r="Z72" s="30"/>
      <c r="AA72" s="15" t="s">
        <v>474</v>
      </c>
      <c r="AB72" s="15" t="s">
        <v>473</v>
      </c>
      <c r="AC72" s="30"/>
      <c r="AD72" s="15"/>
      <c r="AE72" s="30"/>
      <c r="AF72" s="30"/>
      <c r="AG72" s="30"/>
      <c r="AH72" s="15" t="s">
        <v>476</v>
      </c>
      <c r="AI72" s="15" t="s">
        <v>476</v>
      </c>
      <c r="AJ72" s="15" t="s">
        <v>935</v>
      </c>
      <c r="AK72" s="15" t="s">
        <v>599</v>
      </c>
      <c r="AL72" s="1" t="s">
        <v>1064</v>
      </c>
      <c r="AM72" s="23" t="s">
        <v>1075</v>
      </c>
      <c r="AN72" s="1"/>
      <c r="AO72" s="7" t="s">
        <v>1045</v>
      </c>
      <c r="AP72" s="7" t="s">
        <v>1045</v>
      </c>
      <c r="AQ72" s="7" t="s">
        <v>1045</v>
      </c>
      <c r="AR72" s="95" t="b">
        <f t="shared" si="1"/>
        <v>1</v>
      </c>
      <c r="AS72" s="95" t="b">
        <f>A72='[2]500千伏-750千伏电网基建'!A72</f>
        <v>1</v>
      </c>
      <c r="AT72" s="95" t="b">
        <f>B72='[2]500千伏-750千伏电网基建'!B72</f>
        <v>1</v>
      </c>
      <c r="AU72" s="95" t="b">
        <f>C72='[2]500千伏-750千伏电网基建'!C72</f>
        <v>1</v>
      </c>
      <c r="AV72" s="95" t="b">
        <f>D72='[2]500千伏-750千伏电网基建'!D72</f>
        <v>1</v>
      </c>
      <c r="AW72" s="95" t="b">
        <f>E72='[2]500千伏-750千伏电网基建'!E72</f>
        <v>1</v>
      </c>
      <c r="AX72" s="95" t="b">
        <f>F72='[2]500千伏-750千伏电网基建'!F72</f>
        <v>1</v>
      </c>
      <c r="AY72" s="95" t="b">
        <f>G72='[2]500千伏-750千伏电网基建'!G72</f>
        <v>1</v>
      </c>
      <c r="AZ72" s="95" t="b">
        <f>H72='[2]500千伏-750千伏电网基建'!H72</f>
        <v>1</v>
      </c>
      <c r="BA72" s="95" t="b">
        <f>I72='[2]500千伏-750千伏电网基建'!I72</f>
        <v>1</v>
      </c>
      <c r="BB72" s="95" t="b">
        <f>J72='[2]500千伏-750千伏电网基建'!J72</f>
        <v>1</v>
      </c>
      <c r="BC72" s="95" t="b">
        <f>K72='[2]500千伏-750千伏电网基建'!K72</f>
        <v>1</v>
      </c>
      <c r="BD72" s="95" t="b">
        <f>L72='[2]500千伏-750千伏电网基建'!L72</f>
        <v>1</v>
      </c>
      <c r="BE72" s="95" t="b">
        <f>M72='[2]500千伏-750千伏电网基建'!M72</f>
        <v>1</v>
      </c>
      <c r="BF72" s="95" t="b">
        <f>N72='[2]500千伏-750千伏电网基建'!N72</f>
        <v>1</v>
      </c>
      <c r="BG72" s="95" t="b">
        <f>O72='[2]500千伏-750千伏电网基建'!O72</f>
        <v>1</v>
      </c>
      <c r="BH72" s="95" t="b">
        <f>P72='[2]500千伏-750千伏电网基建'!P72</f>
        <v>1</v>
      </c>
      <c r="BI72" s="95" t="b">
        <f>Q72='[2]500千伏-750千伏电网基建'!Q72</f>
        <v>1</v>
      </c>
      <c r="BJ72" s="95" t="b">
        <f>R72='[2]500千伏-750千伏电网基建'!R72</f>
        <v>1</v>
      </c>
      <c r="BK72" s="95" t="b">
        <f>S72='[2]500千伏-750千伏电网基建'!S72</f>
        <v>1</v>
      </c>
      <c r="BL72" s="95" t="b">
        <f>T72='[2]500千伏-750千伏电网基建'!T72</f>
        <v>1</v>
      </c>
      <c r="BM72" s="95" t="b">
        <f>U72='[2]500千伏-750千伏电网基建'!U72</f>
        <v>1</v>
      </c>
      <c r="BN72" s="95" t="b">
        <f>V72='[2]500千伏-750千伏电网基建'!V72</f>
        <v>1</v>
      </c>
      <c r="BO72" s="95" t="b">
        <f>W72='[2]500千伏-750千伏电网基建'!W72</f>
        <v>1</v>
      </c>
      <c r="BP72" s="95" t="b">
        <f>X72='[2]500千伏-750千伏电网基建'!X72</f>
        <v>1</v>
      </c>
      <c r="BQ72" s="95" t="b">
        <f>Y72='[2]500千伏-750千伏电网基建'!Y72</f>
        <v>1</v>
      </c>
      <c r="BR72" s="95" t="b">
        <f>Z72='[2]500千伏-750千伏电网基建'!Z72</f>
        <v>1</v>
      </c>
      <c r="BS72" s="95" t="b">
        <f>AA72='[2]500千伏-750千伏电网基建'!AA72</f>
        <v>1</v>
      </c>
      <c r="BT72" s="95" t="b">
        <f>AB72='[2]500千伏-750千伏电网基建'!AB72</f>
        <v>1</v>
      </c>
      <c r="BU72" s="95" t="b">
        <f>AC72='[2]500千伏-750千伏电网基建'!AC72</f>
        <v>1</v>
      </c>
      <c r="BV72" s="95" t="b">
        <f>AD72='[2]500千伏-750千伏电网基建'!AD72</f>
        <v>1</v>
      </c>
      <c r="BW72" s="95" t="b">
        <f>AE72='[2]500千伏-750千伏电网基建'!AE72</f>
        <v>1</v>
      </c>
      <c r="BX72" s="95" t="b">
        <f>AF72='[2]500千伏-750千伏电网基建'!AF72</f>
        <v>1</v>
      </c>
      <c r="BY72" s="95" t="b">
        <f>AG72='[2]500千伏-750千伏电网基建'!AG72</f>
        <v>1</v>
      </c>
      <c r="BZ72" s="95" t="b">
        <f>AH72='[2]500千伏-750千伏电网基建'!AH72</f>
        <v>1</v>
      </c>
      <c r="CA72" s="95" t="b">
        <f>AI72='[2]500千伏-750千伏电网基建'!AI72</f>
        <v>1</v>
      </c>
      <c r="CB72" s="95" t="b">
        <f>AJ72='[2]500千伏-750千伏电网基建'!AJ72</f>
        <v>1</v>
      </c>
      <c r="CC72" s="95" t="b">
        <f>AK72='[2]500千伏-750千伏电网基建'!AK72</f>
        <v>1</v>
      </c>
    </row>
    <row r="73" s="95" customFormat="1" ht="84" hidden="1" customHeight="1" spans="1:81">
      <c r="A73" s="14"/>
      <c r="B73" s="14"/>
      <c r="C73" s="15"/>
      <c r="D73" s="23"/>
      <c r="E73" s="16"/>
      <c r="F73" s="24"/>
      <c r="G73" s="15"/>
      <c r="H73" s="16"/>
      <c r="I73" s="23" t="s">
        <v>1258</v>
      </c>
      <c r="J73" s="16" t="s">
        <v>1259</v>
      </c>
      <c r="K73" s="15"/>
      <c r="L73" s="15"/>
      <c r="M73" s="15"/>
      <c r="N73" s="15"/>
      <c r="O73" s="15"/>
      <c r="P73" s="15"/>
      <c r="Q73" s="15"/>
      <c r="R73" s="15"/>
      <c r="S73" s="15" t="s">
        <v>36</v>
      </c>
      <c r="T73" s="15" t="s">
        <v>492</v>
      </c>
      <c r="U73" s="15"/>
      <c r="V73" s="16" t="s">
        <v>945</v>
      </c>
      <c r="W73" s="35" t="s">
        <v>949</v>
      </c>
      <c r="X73" s="15" t="s">
        <v>474</v>
      </c>
      <c r="Y73" s="15" t="s">
        <v>473</v>
      </c>
      <c r="Z73" s="30"/>
      <c r="AA73" s="15" t="s">
        <v>474</v>
      </c>
      <c r="AB73" s="15" t="s">
        <v>473</v>
      </c>
      <c r="AC73" s="30"/>
      <c r="AD73" s="15"/>
      <c r="AE73" s="30"/>
      <c r="AF73" s="30"/>
      <c r="AG73" s="30"/>
      <c r="AH73" s="15" t="s">
        <v>476</v>
      </c>
      <c r="AI73" s="15" t="s">
        <v>476</v>
      </c>
      <c r="AJ73" s="15" t="s">
        <v>935</v>
      </c>
      <c r="AK73" s="15"/>
      <c r="AL73" s="1" t="s">
        <v>1064</v>
      </c>
      <c r="AM73" s="23" t="s">
        <v>1075</v>
      </c>
      <c r="AN73" s="1"/>
      <c r="AO73" s="7" t="s">
        <v>1045</v>
      </c>
      <c r="AP73" s="7" t="s">
        <v>1045</v>
      </c>
      <c r="AQ73" s="7" t="s">
        <v>1045</v>
      </c>
      <c r="AR73" s="95" t="b">
        <f t="shared" si="1"/>
        <v>1</v>
      </c>
      <c r="AS73" s="95" t="b">
        <f>A73='[2]500千伏-750千伏电网基建'!A73</f>
        <v>1</v>
      </c>
      <c r="AT73" s="95" t="b">
        <f>B73='[2]500千伏-750千伏电网基建'!B73</f>
        <v>1</v>
      </c>
      <c r="AU73" s="95" t="b">
        <f>C73='[2]500千伏-750千伏电网基建'!C73</f>
        <v>1</v>
      </c>
      <c r="AV73" s="95" t="b">
        <f>D73='[2]500千伏-750千伏电网基建'!D73</f>
        <v>1</v>
      </c>
      <c r="AW73" s="95" t="b">
        <f>E73='[2]500千伏-750千伏电网基建'!E73</f>
        <v>1</v>
      </c>
      <c r="AX73" s="95" t="b">
        <f>F73='[2]500千伏-750千伏电网基建'!F73</f>
        <v>1</v>
      </c>
      <c r="AY73" s="95" t="b">
        <f>G73='[2]500千伏-750千伏电网基建'!G73</f>
        <v>1</v>
      </c>
      <c r="AZ73" s="95" t="b">
        <f>H73='[2]500千伏-750千伏电网基建'!H73</f>
        <v>1</v>
      </c>
      <c r="BA73" s="95" t="b">
        <f>I73='[2]500千伏-750千伏电网基建'!I73</f>
        <v>1</v>
      </c>
      <c r="BB73" s="95" t="b">
        <f>J73='[2]500千伏-750千伏电网基建'!J73</f>
        <v>1</v>
      </c>
      <c r="BC73" s="95" t="b">
        <f>K73='[2]500千伏-750千伏电网基建'!K73</f>
        <v>1</v>
      </c>
      <c r="BD73" s="95" t="b">
        <f>L73='[2]500千伏-750千伏电网基建'!L73</f>
        <v>1</v>
      </c>
      <c r="BE73" s="95" t="b">
        <f>M73='[2]500千伏-750千伏电网基建'!M73</f>
        <v>1</v>
      </c>
      <c r="BF73" s="95" t="b">
        <f>N73='[2]500千伏-750千伏电网基建'!N73</f>
        <v>1</v>
      </c>
      <c r="BG73" s="95" t="b">
        <f>O73='[2]500千伏-750千伏电网基建'!O73</f>
        <v>1</v>
      </c>
      <c r="BH73" s="95" t="b">
        <f>P73='[2]500千伏-750千伏电网基建'!P73</f>
        <v>1</v>
      </c>
      <c r="BI73" s="95" t="b">
        <f>Q73='[2]500千伏-750千伏电网基建'!Q73</f>
        <v>1</v>
      </c>
      <c r="BJ73" s="95" t="b">
        <f>R73='[2]500千伏-750千伏电网基建'!R73</f>
        <v>1</v>
      </c>
      <c r="BK73" s="95" t="b">
        <f>S73='[2]500千伏-750千伏电网基建'!S73</f>
        <v>1</v>
      </c>
      <c r="BL73" s="95" t="b">
        <f>T73='[2]500千伏-750千伏电网基建'!T73</f>
        <v>1</v>
      </c>
      <c r="BM73" s="95" t="b">
        <f>U73='[2]500千伏-750千伏电网基建'!U73</f>
        <v>1</v>
      </c>
      <c r="BN73" s="95" t="b">
        <f>V73='[2]500千伏-750千伏电网基建'!V73</f>
        <v>1</v>
      </c>
      <c r="BO73" s="95" t="b">
        <f>W73='[2]500千伏-750千伏电网基建'!W73</f>
        <v>1</v>
      </c>
      <c r="BP73" s="95" t="b">
        <f>X73='[2]500千伏-750千伏电网基建'!X73</f>
        <v>1</v>
      </c>
      <c r="BQ73" s="95" t="b">
        <f>Y73='[2]500千伏-750千伏电网基建'!Y73</f>
        <v>1</v>
      </c>
      <c r="BR73" s="95" t="b">
        <f>Z73='[2]500千伏-750千伏电网基建'!Z73</f>
        <v>1</v>
      </c>
      <c r="BS73" s="95" t="b">
        <f>AA73='[2]500千伏-750千伏电网基建'!AA73</f>
        <v>1</v>
      </c>
      <c r="BT73" s="95" t="b">
        <f>AB73='[2]500千伏-750千伏电网基建'!AB73</f>
        <v>1</v>
      </c>
      <c r="BU73" s="95" t="b">
        <f>AC73='[2]500千伏-750千伏电网基建'!AC73</f>
        <v>1</v>
      </c>
      <c r="BV73" s="95" t="b">
        <f>AD73='[2]500千伏-750千伏电网基建'!AD73</f>
        <v>1</v>
      </c>
      <c r="BW73" s="95" t="b">
        <f>AE73='[2]500千伏-750千伏电网基建'!AE73</f>
        <v>1</v>
      </c>
      <c r="BX73" s="95" t="b">
        <f>AF73='[2]500千伏-750千伏电网基建'!AF73</f>
        <v>1</v>
      </c>
      <c r="BY73" s="95" t="b">
        <f>AG73='[2]500千伏-750千伏电网基建'!AG73</f>
        <v>1</v>
      </c>
      <c r="BZ73" s="95" t="b">
        <f>AH73='[2]500千伏-750千伏电网基建'!AH73</f>
        <v>1</v>
      </c>
      <c r="CA73" s="95" t="b">
        <f>AI73='[2]500千伏-750千伏电网基建'!AI73</f>
        <v>1</v>
      </c>
      <c r="CB73" s="95" t="b">
        <f>AJ73='[2]500千伏-750千伏电网基建'!AJ73</f>
        <v>1</v>
      </c>
      <c r="CC73" s="95" t="b">
        <f>AK73='[2]500千伏-750千伏电网基建'!AK73</f>
        <v>1</v>
      </c>
    </row>
    <row r="74" s="95" customFormat="1" ht="69" hidden="1" customHeight="1" spans="1:81">
      <c r="A74" s="14"/>
      <c r="B74" s="14"/>
      <c r="C74" s="15"/>
      <c r="D74" s="23"/>
      <c r="E74" s="16" t="s">
        <v>950</v>
      </c>
      <c r="F74" s="17" t="s">
        <v>951</v>
      </c>
      <c r="G74" s="15" t="s">
        <v>1260</v>
      </c>
      <c r="H74" s="16" t="s">
        <v>953</v>
      </c>
      <c r="I74" s="23" t="s">
        <v>1261</v>
      </c>
      <c r="J74" s="16" t="s">
        <v>1262</v>
      </c>
      <c r="K74" s="15"/>
      <c r="L74" s="15"/>
      <c r="M74" s="15" t="s">
        <v>36</v>
      </c>
      <c r="N74" s="15"/>
      <c r="O74" s="15" t="s">
        <v>36</v>
      </c>
      <c r="P74" s="15"/>
      <c r="Q74" s="15"/>
      <c r="R74" s="15" t="s">
        <v>36</v>
      </c>
      <c r="S74" s="15"/>
      <c r="T74" s="15" t="s">
        <v>492</v>
      </c>
      <c r="U74" s="15"/>
      <c r="V74" s="16" t="s">
        <v>945</v>
      </c>
      <c r="W74" s="35" t="s">
        <v>604</v>
      </c>
      <c r="X74" s="15" t="s">
        <v>474</v>
      </c>
      <c r="Y74" s="15" t="s">
        <v>473</v>
      </c>
      <c r="Z74" s="30"/>
      <c r="AA74" s="15" t="s">
        <v>474</v>
      </c>
      <c r="AB74" s="15" t="s">
        <v>473</v>
      </c>
      <c r="AC74" s="30"/>
      <c r="AD74" s="15"/>
      <c r="AE74" s="30"/>
      <c r="AF74" s="30"/>
      <c r="AG74" s="30"/>
      <c r="AH74" s="15" t="s">
        <v>476</v>
      </c>
      <c r="AI74" s="15" t="s">
        <v>476</v>
      </c>
      <c r="AJ74" s="15" t="s">
        <v>956</v>
      </c>
      <c r="AK74" s="15" t="s">
        <v>599</v>
      </c>
      <c r="AL74" s="1" t="s">
        <v>1064</v>
      </c>
      <c r="AM74" s="15" t="s">
        <v>1075</v>
      </c>
      <c r="AN74" s="1"/>
      <c r="AO74" s="7" t="s">
        <v>1045</v>
      </c>
      <c r="AP74" s="7" t="s">
        <v>1045</v>
      </c>
      <c r="AQ74" s="7" t="s">
        <v>1045</v>
      </c>
      <c r="AR74" s="95" t="b">
        <f t="shared" si="1"/>
        <v>1</v>
      </c>
      <c r="AS74" s="95" t="b">
        <f>A74='[2]500千伏-750千伏电网基建'!A74</f>
        <v>1</v>
      </c>
      <c r="AT74" s="95" t="b">
        <f>B74='[2]500千伏-750千伏电网基建'!B74</f>
        <v>1</v>
      </c>
      <c r="AU74" s="95" t="b">
        <f>C74='[2]500千伏-750千伏电网基建'!C74</f>
        <v>1</v>
      </c>
      <c r="AV74" s="95" t="b">
        <f>D74='[2]500千伏-750千伏电网基建'!D74</f>
        <v>1</v>
      </c>
      <c r="AW74" s="95" t="b">
        <f>E74='[2]500千伏-750千伏电网基建'!E74</f>
        <v>1</v>
      </c>
      <c r="AX74" s="95" t="b">
        <f>F74='[2]500千伏-750千伏电网基建'!F74</f>
        <v>1</v>
      </c>
      <c r="AY74" s="95" t="b">
        <f>G74='[2]500千伏-750千伏电网基建'!G74</f>
        <v>1</v>
      </c>
      <c r="AZ74" s="95" t="b">
        <f>H74='[2]500千伏-750千伏电网基建'!H74</f>
        <v>1</v>
      </c>
      <c r="BA74" s="95" t="b">
        <f>I74='[2]500千伏-750千伏电网基建'!I74</f>
        <v>1</v>
      </c>
      <c r="BB74" s="95" t="b">
        <f>J74='[2]500千伏-750千伏电网基建'!J74</f>
        <v>1</v>
      </c>
      <c r="BC74" s="95" t="b">
        <f>K74='[2]500千伏-750千伏电网基建'!K74</f>
        <v>1</v>
      </c>
      <c r="BD74" s="95" t="b">
        <f>L74='[2]500千伏-750千伏电网基建'!L74</f>
        <v>1</v>
      </c>
      <c r="BE74" s="95" t="b">
        <f>M74='[2]500千伏-750千伏电网基建'!M74</f>
        <v>1</v>
      </c>
      <c r="BF74" s="95" t="b">
        <f>N74='[2]500千伏-750千伏电网基建'!N74</f>
        <v>1</v>
      </c>
      <c r="BG74" s="95" t="b">
        <f>O74='[2]500千伏-750千伏电网基建'!O74</f>
        <v>1</v>
      </c>
      <c r="BH74" s="95" t="b">
        <f>P74='[2]500千伏-750千伏电网基建'!P74</f>
        <v>1</v>
      </c>
      <c r="BI74" s="95" t="b">
        <f>Q74='[2]500千伏-750千伏电网基建'!Q74</f>
        <v>1</v>
      </c>
      <c r="BJ74" s="95" t="b">
        <f>R74='[2]500千伏-750千伏电网基建'!R74</f>
        <v>1</v>
      </c>
      <c r="BK74" s="95" t="b">
        <f>S74='[2]500千伏-750千伏电网基建'!S74</f>
        <v>1</v>
      </c>
      <c r="BL74" s="95" t="b">
        <f>T74='[2]500千伏-750千伏电网基建'!T74</f>
        <v>1</v>
      </c>
      <c r="BM74" s="95" t="b">
        <f>U74='[2]500千伏-750千伏电网基建'!U74</f>
        <v>1</v>
      </c>
      <c r="BN74" s="95" t="b">
        <f>V74='[2]500千伏-750千伏电网基建'!V74</f>
        <v>1</v>
      </c>
      <c r="BO74" s="95" t="b">
        <f>W74='[2]500千伏-750千伏电网基建'!W74</f>
        <v>1</v>
      </c>
      <c r="BP74" s="95" t="b">
        <f>X74='[2]500千伏-750千伏电网基建'!X74</f>
        <v>1</v>
      </c>
      <c r="BQ74" s="95" t="b">
        <f>Y74='[2]500千伏-750千伏电网基建'!Y74</f>
        <v>1</v>
      </c>
      <c r="BR74" s="95" t="b">
        <f>Z74='[2]500千伏-750千伏电网基建'!Z74</f>
        <v>1</v>
      </c>
      <c r="BS74" s="95" t="b">
        <f>AA74='[2]500千伏-750千伏电网基建'!AA74</f>
        <v>1</v>
      </c>
      <c r="BT74" s="95" t="b">
        <f>AB74='[2]500千伏-750千伏电网基建'!AB74</f>
        <v>1</v>
      </c>
      <c r="BU74" s="95" t="b">
        <f>AC74='[2]500千伏-750千伏电网基建'!AC74</f>
        <v>1</v>
      </c>
      <c r="BV74" s="95" t="b">
        <f>AD74='[2]500千伏-750千伏电网基建'!AD74</f>
        <v>1</v>
      </c>
      <c r="BW74" s="95" t="b">
        <f>AE74='[2]500千伏-750千伏电网基建'!AE74</f>
        <v>1</v>
      </c>
      <c r="BX74" s="95" t="b">
        <f>AF74='[2]500千伏-750千伏电网基建'!AF74</f>
        <v>1</v>
      </c>
      <c r="BY74" s="95" t="b">
        <f>AG74='[2]500千伏-750千伏电网基建'!AG74</f>
        <v>1</v>
      </c>
      <c r="BZ74" s="95" t="b">
        <f>AH74='[2]500千伏-750千伏电网基建'!AH74</f>
        <v>1</v>
      </c>
      <c r="CA74" s="95" t="b">
        <f>AI74='[2]500千伏-750千伏电网基建'!AI74</f>
        <v>1</v>
      </c>
      <c r="CB74" s="95" t="b">
        <f>AJ74='[2]500千伏-750千伏电网基建'!AJ74</f>
        <v>1</v>
      </c>
      <c r="CC74" s="95" t="b">
        <f>AK74='[2]500千伏-750千伏电网基建'!AK74</f>
        <v>1</v>
      </c>
    </row>
    <row r="75" s="95" customFormat="1" ht="70" hidden="1" customHeight="1" spans="1:81">
      <c r="A75" s="14"/>
      <c r="B75" s="14"/>
      <c r="C75" s="15"/>
      <c r="D75" s="23"/>
      <c r="E75" s="16"/>
      <c r="F75" s="17"/>
      <c r="G75" s="15"/>
      <c r="H75" s="16"/>
      <c r="I75" s="23" t="s">
        <v>1263</v>
      </c>
      <c r="J75" s="16" t="s">
        <v>1264</v>
      </c>
      <c r="K75" s="15"/>
      <c r="L75" s="15"/>
      <c r="M75" s="15" t="s">
        <v>36</v>
      </c>
      <c r="N75" s="15"/>
      <c r="O75" s="15" t="s">
        <v>36</v>
      </c>
      <c r="P75" s="15"/>
      <c r="Q75" s="15"/>
      <c r="R75" s="15" t="s">
        <v>36</v>
      </c>
      <c r="S75" s="15" t="s">
        <v>36</v>
      </c>
      <c r="T75" s="15" t="s">
        <v>492</v>
      </c>
      <c r="U75" s="15"/>
      <c r="V75" s="16" t="s">
        <v>945</v>
      </c>
      <c r="W75" s="35" t="s">
        <v>604</v>
      </c>
      <c r="X75" s="15" t="s">
        <v>474</v>
      </c>
      <c r="Y75" s="15" t="s">
        <v>473</v>
      </c>
      <c r="Z75" s="30"/>
      <c r="AA75" s="15" t="s">
        <v>474</v>
      </c>
      <c r="AB75" s="15" t="s">
        <v>473</v>
      </c>
      <c r="AC75" s="30"/>
      <c r="AD75" s="15"/>
      <c r="AE75" s="30"/>
      <c r="AF75" s="30"/>
      <c r="AG75" s="30"/>
      <c r="AH75" s="15" t="s">
        <v>476</v>
      </c>
      <c r="AI75" s="15" t="s">
        <v>476</v>
      </c>
      <c r="AJ75" s="15" t="s">
        <v>956</v>
      </c>
      <c r="AK75" s="15"/>
      <c r="AL75" s="1" t="s">
        <v>1064</v>
      </c>
      <c r="AM75" s="15" t="s">
        <v>1075</v>
      </c>
      <c r="AN75" s="1"/>
      <c r="AO75" s="7" t="s">
        <v>1045</v>
      </c>
      <c r="AP75" s="7" t="s">
        <v>1045</v>
      </c>
      <c r="AQ75" s="7" t="s">
        <v>1045</v>
      </c>
      <c r="AR75" s="95" t="b">
        <f t="shared" si="1"/>
        <v>1</v>
      </c>
      <c r="AS75" s="95" t="b">
        <f>A75='[2]500千伏-750千伏电网基建'!A75</f>
        <v>1</v>
      </c>
      <c r="AT75" s="95" t="b">
        <f>B75='[2]500千伏-750千伏电网基建'!B75</f>
        <v>1</v>
      </c>
      <c r="AU75" s="95" t="b">
        <f>C75='[2]500千伏-750千伏电网基建'!C75</f>
        <v>1</v>
      </c>
      <c r="AV75" s="95" t="b">
        <f>D75='[2]500千伏-750千伏电网基建'!D75</f>
        <v>1</v>
      </c>
      <c r="AW75" s="95" t="b">
        <f>E75='[2]500千伏-750千伏电网基建'!E75</f>
        <v>1</v>
      </c>
      <c r="AX75" s="95" t="b">
        <f>F75='[2]500千伏-750千伏电网基建'!F75</f>
        <v>1</v>
      </c>
      <c r="AY75" s="95" t="b">
        <f>G75='[2]500千伏-750千伏电网基建'!G75</f>
        <v>1</v>
      </c>
      <c r="AZ75" s="95" t="b">
        <f>H75='[2]500千伏-750千伏电网基建'!H75</f>
        <v>1</v>
      </c>
      <c r="BA75" s="95" t="b">
        <f>I75='[2]500千伏-750千伏电网基建'!I75</f>
        <v>1</v>
      </c>
      <c r="BB75" s="95" t="b">
        <f>J75='[2]500千伏-750千伏电网基建'!J75</f>
        <v>1</v>
      </c>
      <c r="BC75" s="95" t="b">
        <f>K75='[2]500千伏-750千伏电网基建'!K75</f>
        <v>1</v>
      </c>
      <c r="BD75" s="95" t="b">
        <f>L75='[2]500千伏-750千伏电网基建'!L75</f>
        <v>1</v>
      </c>
      <c r="BE75" s="95" t="b">
        <f>M75='[2]500千伏-750千伏电网基建'!M75</f>
        <v>1</v>
      </c>
      <c r="BF75" s="95" t="b">
        <f>N75='[2]500千伏-750千伏电网基建'!N75</f>
        <v>1</v>
      </c>
      <c r="BG75" s="95" t="b">
        <f>O75='[2]500千伏-750千伏电网基建'!O75</f>
        <v>1</v>
      </c>
      <c r="BH75" s="95" t="b">
        <f>P75='[2]500千伏-750千伏电网基建'!P75</f>
        <v>1</v>
      </c>
      <c r="BI75" s="95" t="b">
        <f>Q75='[2]500千伏-750千伏电网基建'!Q75</f>
        <v>1</v>
      </c>
      <c r="BJ75" s="95" t="b">
        <f>R75='[2]500千伏-750千伏电网基建'!R75</f>
        <v>1</v>
      </c>
      <c r="BK75" s="95" t="b">
        <f>S75='[2]500千伏-750千伏电网基建'!S75</f>
        <v>1</v>
      </c>
      <c r="BL75" s="95" t="b">
        <f>T75='[2]500千伏-750千伏电网基建'!T75</f>
        <v>1</v>
      </c>
      <c r="BM75" s="95" t="b">
        <f>U75='[2]500千伏-750千伏电网基建'!U75</f>
        <v>1</v>
      </c>
      <c r="BN75" s="95" t="b">
        <f>V75='[2]500千伏-750千伏电网基建'!V75</f>
        <v>1</v>
      </c>
      <c r="BO75" s="95" t="b">
        <f>W75='[2]500千伏-750千伏电网基建'!W75</f>
        <v>1</v>
      </c>
      <c r="BP75" s="95" t="b">
        <f>X75='[2]500千伏-750千伏电网基建'!X75</f>
        <v>1</v>
      </c>
      <c r="BQ75" s="95" t="b">
        <f>Y75='[2]500千伏-750千伏电网基建'!Y75</f>
        <v>1</v>
      </c>
      <c r="BR75" s="95" t="b">
        <f>Z75='[2]500千伏-750千伏电网基建'!Z75</f>
        <v>1</v>
      </c>
      <c r="BS75" s="95" t="b">
        <f>AA75='[2]500千伏-750千伏电网基建'!AA75</f>
        <v>1</v>
      </c>
      <c r="BT75" s="95" t="b">
        <f>AB75='[2]500千伏-750千伏电网基建'!AB75</f>
        <v>1</v>
      </c>
      <c r="BU75" s="95" t="b">
        <f>AC75='[2]500千伏-750千伏电网基建'!AC75</f>
        <v>1</v>
      </c>
      <c r="BV75" s="95" t="b">
        <f>AD75='[2]500千伏-750千伏电网基建'!AD75</f>
        <v>1</v>
      </c>
      <c r="BW75" s="95" t="b">
        <f>AE75='[2]500千伏-750千伏电网基建'!AE75</f>
        <v>1</v>
      </c>
      <c r="BX75" s="95" t="b">
        <f>AF75='[2]500千伏-750千伏电网基建'!AF75</f>
        <v>1</v>
      </c>
      <c r="BY75" s="95" t="b">
        <f>AG75='[2]500千伏-750千伏电网基建'!AG75</f>
        <v>1</v>
      </c>
      <c r="BZ75" s="95" t="b">
        <f>AH75='[2]500千伏-750千伏电网基建'!AH75</f>
        <v>1</v>
      </c>
      <c r="CA75" s="95" t="b">
        <f>AI75='[2]500千伏-750千伏电网基建'!AI75</f>
        <v>1</v>
      </c>
      <c r="CB75" s="95" t="b">
        <f>AJ75='[2]500千伏-750千伏电网基建'!AJ75</f>
        <v>1</v>
      </c>
      <c r="CC75" s="95" t="b">
        <f>AK75='[2]500千伏-750千伏电网基建'!AK75</f>
        <v>1</v>
      </c>
    </row>
    <row r="76" s="95" customFormat="1" ht="78" hidden="1" customHeight="1" spans="1:81">
      <c r="A76" s="14"/>
      <c r="B76" s="14"/>
      <c r="C76" s="15"/>
      <c r="D76" s="23"/>
      <c r="E76" s="16" t="s">
        <v>959</v>
      </c>
      <c r="F76" s="17" t="s">
        <v>960</v>
      </c>
      <c r="G76" s="15" t="s">
        <v>1265</v>
      </c>
      <c r="H76" s="16" t="s">
        <v>962</v>
      </c>
      <c r="I76" s="23" t="s">
        <v>1266</v>
      </c>
      <c r="J76" s="16" t="s">
        <v>1267</v>
      </c>
      <c r="K76" s="15"/>
      <c r="L76" s="15"/>
      <c r="M76" s="15"/>
      <c r="N76" s="15"/>
      <c r="O76" s="15" t="s">
        <v>36</v>
      </c>
      <c r="P76" s="15"/>
      <c r="Q76" s="15"/>
      <c r="R76" s="15"/>
      <c r="S76" s="15"/>
      <c r="T76" s="15" t="s">
        <v>492</v>
      </c>
      <c r="U76" s="15"/>
      <c r="V76" s="16" t="s">
        <v>945</v>
      </c>
      <c r="W76" s="35" t="s">
        <v>604</v>
      </c>
      <c r="X76" s="15" t="s">
        <v>565</v>
      </c>
      <c r="Y76" s="15" t="s">
        <v>473</v>
      </c>
      <c r="Z76" s="30"/>
      <c r="AA76" s="15" t="s">
        <v>474</v>
      </c>
      <c r="AB76" s="15" t="s">
        <v>473</v>
      </c>
      <c r="AC76" s="30"/>
      <c r="AD76" s="15"/>
      <c r="AE76" s="30"/>
      <c r="AF76" s="15"/>
      <c r="AG76" s="30"/>
      <c r="AH76" s="15" t="s">
        <v>476</v>
      </c>
      <c r="AI76" s="15" t="s">
        <v>476</v>
      </c>
      <c r="AJ76" s="15" t="s">
        <v>965</v>
      </c>
      <c r="AK76" s="15" t="s">
        <v>599</v>
      </c>
      <c r="AL76" s="1" t="s">
        <v>1064</v>
      </c>
      <c r="AM76" s="4" t="s">
        <v>1075</v>
      </c>
      <c r="AN76" s="1"/>
      <c r="AO76" s="7" t="s">
        <v>1045</v>
      </c>
      <c r="AP76" s="7" t="s">
        <v>1045</v>
      </c>
      <c r="AQ76" s="7" t="s">
        <v>1045</v>
      </c>
      <c r="AR76" s="95" t="b">
        <f t="shared" si="1"/>
        <v>1</v>
      </c>
      <c r="AS76" s="95" t="b">
        <f>A76='[2]500千伏-750千伏电网基建'!A76</f>
        <v>1</v>
      </c>
      <c r="AT76" s="95" t="b">
        <f>B76='[2]500千伏-750千伏电网基建'!B76</f>
        <v>1</v>
      </c>
      <c r="AU76" s="95" t="b">
        <f>C76='[2]500千伏-750千伏电网基建'!C76</f>
        <v>1</v>
      </c>
      <c r="AV76" s="95" t="b">
        <f>D76='[2]500千伏-750千伏电网基建'!D76</f>
        <v>1</v>
      </c>
      <c r="AW76" s="95" t="b">
        <f>E76='[2]500千伏-750千伏电网基建'!E76</f>
        <v>1</v>
      </c>
      <c r="AX76" s="95" t="b">
        <f>F76='[2]500千伏-750千伏电网基建'!F76</f>
        <v>1</v>
      </c>
      <c r="AY76" s="95" t="b">
        <f>G76='[2]500千伏-750千伏电网基建'!G76</f>
        <v>1</v>
      </c>
      <c r="AZ76" s="95" t="b">
        <f>H76='[2]500千伏-750千伏电网基建'!H76</f>
        <v>1</v>
      </c>
      <c r="BA76" s="95" t="b">
        <f>I76='[2]500千伏-750千伏电网基建'!I76</f>
        <v>1</v>
      </c>
      <c r="BB76" s="95" t="b">
        <f>J76='[2]500千伏-750千伏电网基建'!J76</f>
        <v>1</v>
      </c>
      <c r="BC76" s="95" t="b">
        <f>K76='[2]500千伏-750千伏电网基建'!K76</f>
        <v>1</v>
      </c>
      <c r="BD76" s="95" t="b">
        <f>L76='[2]500千伏-750千伏电网基建'!L76</f>
        <v>1</v>
      </c>
      <c r="BE76" s="95" t="b">
        <f>M76='[2]500千伏-750千伏电网基建'!M76</f>
        <v>1</v>
      </c>
      <c r="BF76" s="95" t="b">
        <f>N76='[2]500千伏-750千伏电网基建'!N76</f>
        <v>1</v>
      </c>
      <c r="BG76" s="95" t="b">
        <f>O76='[2]500千伏-750千伏电网基建'!O76</f>
        <v>1</v>
      </c>
      <c r="BH76" s="95" t="b">
        <f>P76='[2]500千伏-750千伏电网基建'!P76</f>
        <v>1</v>
      </c>
      <c r="BI76" s="95" t="b">
        <f>Q76='[2]500千伏-750千伏电网基建'!Q76</f>
        <v>1</v>
      </c>
      <c r="BJ76" s="95" t="b">
        <f>R76='[2]500千伏-750千伏电网基建'!R76</f>
        <v>1</v>
      </c>
      <c r="BK76" s="95" t="b">
        <f>S76='[2]500千伏-750千伏电网基建'!S76</f>
        <v>1</v>
      </c>
      <c r="BL76" s="95" t="b">
        <f>T76='[2]500千伏-750千伏电网基建'!T76</f>
        <v>1</v>
      </c>
      <c r="BM76" s="95" t="b">
        <f>U76='[2]500千伏-750千伏电网基建'!U76</f>
        <v>1</v>
      </c>
      <c r="BN76" s="95" t="b">
        <f>V76='[2]500千伏-750千伏电网基建'!V76</f>
        <v>1</v>
      </c>
      <c r="BO76" s="95" t="b">
        <f>W76='[2]500千伏-750千伏电网基建'!W76</f>
        <v>1</v>
      </c>
      <c r="BP76" s="95" t="b">
        <f>X76='[2]500千伏-750千伏电网基建'!X76</f>
        <v>1</v>
      </c>
      <c r="BQ76" s="95" t="b">
        <f>Y76='[2]500千伏-750千伏电网基建'!Y76</f>
        <v>1</v>
      </c>
      <c r="BR76" s="95" t="b">
        <f>Z76='[2]500千伏-750千伏电网基建'!Z76</f>
        <v>1</v>
      </c>
      <c r="BS76" s="95" t="b">
        <f>AA76='[2]500千伏-750千伏电网基建'!AA76</f>
        <v>1</v>
      </c>
      <c r="BT76" s="95" t="b">
        <f>AB76='[2]500千伏-750千伏电网基建'!AB76</f>
        <v>1</v>
      </c>
      <c r="BU76" s="95" t="b">
        <f>AC76='[2]500千伏-750千伏电网基建'!AC76</f>
        <v>1</v>
      </c>
      <c r="BV76" s="95" t="b">
        <f>AD76='[2]500千伏-750千伏电网基建'!AD76</f>
        <v>1</v>
      </c>
      <c r="BW76" s="95" t="b">
        <f>AE76='[2]500千伏-750千伏电网基建'!AE76</f>
        <v>1</v>
      </c>
      <c r="BX76" s="95" t="b">
        <f>AF76='[2]500千伏-750千伏电网基建'!AF76</f>
        <v>1</v>
      </c>
      <c r="BY76" s="95" t="b">
        <f>AG76='[2]500千伏-750千伏电网基建'!AG76</f>
        <v>1</v>
      </c>
      <c r="BZ76" s="95" t="b">
        <f>AH76='[2]500千伏-750千伏电网基建'!AH76</f>
        <v>1</v>
      </c>
      <c r="CA76" s="95" t="b">
        <f>AI76='[2]500千伏-750千伏电网基建'!AI76</f>
        <v>1</v>
      </c>
      <c r="CB76" s="95" t="b">
        <f>AJ76='[2]500千伏-750千伏电网基建'!AJ76</f>
        <v>1</v>
      </c>
      <c r="CC76" s="95" t="b">
        <f>AK76='[2]500千伏-750千伏电网基建'!AK76</f>
        <v>1</v>
      </c>
    </row>
    <row r="77" s="95" customFormat="1" ht="88" hidden="1" customHeight="1" spans="1:81">
      <c r="A77" s="14"/>
      <c r="B77" s="14"/>
      <c r="C77" s="15"/>
      <c r="D77" s="23"/>
      <c r="E77" s="16"/>
      <c r="F77" s="17"/>
      <c r="G77" s="15"/>
      <c r="H77" s="16"/>
      <c r="I77" s="23" t="s">
        <v>1268</v>
      </c>
      <c r="J77" s="16" t="s">
        <v>1269</v>
      </c>
      <c r="K77" s="15"/>
      <c r="L77" s="15"/>
      <c r="M77" s="15"/>
      <c r="N77" s="15"/>
      <c r="O77" s="15" t="s">
        <v>36</v>
      </c>
      <c r="P77" s="15"/>
      <c r="Q77" s="15"/>
      <c r="R77" s="15"/>
      <c r="S77" s="15"/>
      <c r="T77" s="15" t="s">
        <v>492</v>
      </c>
      <c r="U77" s="15"/>
      <c r="V77" s="16" t="s">
        <v>945</v>
      </c>
      <c r="W77" s="35" t="s">
        <v>968</v>
      </c>
      <c r="X77" s="15" t="s">
        <v>565</v>
      </c>
      <c r="Y77" s="15" t="s">
        <v>473</v>
      </c>
      <c r="Z77" s="30"/>
      <c r="AA77" s="15" t="s">
        <v>474</v>
      </c>
      <c r="AB77" s="15" t="s">
        <v>473</v>
      </c>
      <c r="AC77" s="30"/>
      <c r="AD77" s="15"/>
      <c r="AE77" s="30"/>
      <c r="AF77" s="15"/>
      <c r="AG77" s="30"/>
      <c r="AH77" s="15" t="s">
        <v>476</v>
      </c>
      <c r="AI77" s="15" t="s">
        <v>476</v>
      </c>
      <c r="AJ77" s="15" t="s">
        <v>965</v>
      </c>
      <c r="AK77" s="15"/>
      <c r="AL77" s="1" t="s">
        <v>1064</v>
      </c>
      <c r="AM77" s="23" t="s">
        <v>1075</v>
      </c>
      <c r="AN77" s="1"/>
      <c r="AO77" s="7" t="s">
        <v>1045</v>
      </c>
      <c r="AP77" s="7" t="s">
        <v>1045</v>
      </c>
      <c r="AQ77" s="7" t="s">
        <v>1045</v>
      </c>
      <c r="AR77" s="95" t="b">
        <f t="shared" si="1"/>
        <v>1</v>
      </c>
      <c r="AS77" s="95" t="b">
        <f>A77='[2]500千伏-750千伏电网基建'!A77</f>
        <v>1</v>
      </c>
      <c r="AT77" s="95" t="b">
        <f>B77='[2]500千伏-750千伏电网基建'!B77</f>
        <v>1</v>
      </c>
      <c r="AU77" s="95" t="b">
        <f>C77='[2]500千伏-750千伏电网基建'!C77</f>
        <v>1</v>
      </c>
      <c r="AV77" s="95" t="b">
        <f>D77='[2]500千伏-750千伏电网基建'!D77</f>
        <v>1</v>
      </c>
      <c r="AW77" s="95" t="b">
        <f>E77='[2]500千伏-750千伏电网基建'!E77</f>
        <v>1</v>
      </c>
      <c r="AX77" s="95" t="b">
        <f>F77='[2]500千伏-750千伏电网基建'!F77</f>
        <v>1</v>
      </c>
      <c r="AY77" s="95" t="b">
        <f>G77='[2]500千伏-750千伏电网基建'!G77</f>
        <v>1</v>
      </c>
      <c r="AZ77" s="95" t="b">
        <f>H77='[2]500千伏-750千伏电网基建'!H77</f>
        <v>1</v>
      </c>
      <c r="BA77" s="95" t="b">
        <f>I77='[2]500千伏-750千伏电网基建'!I77</f>
        <v>1</v>
      </c>
      <c r="BB77" s="95" t="b">
        <f>J77='[2]500千伏-750千伏电网基建'!J77</f>
        <v>1</v>
      </c>
      <c r="BC77" s="95" t="b">
        <f>K77='[2]500千伏-750千伏电网基建'!K77</f>
        <v>1</v>
      </c>
      <c r="BD77" s="95" t="b">
        <f>L77='[2]500千伏-750千伏电网基建'!L77</f>
        <v>1</v>
      </c>
      <c r="BE77" s="95" t="b">
        <f>M77='[2]500千伏-750千伏电网基建'!M77</f>
        <v>1</v>
      </c>
      <c r="BF77" s="95" t="b">
        <f>N77='[2]500千伏-750千伏电网基建'!N77</f>
        <v>1</v>
      </c>
      <c r="BG77" s="95" t="b">
        <f>O77='[2]500千伏-750千伏电网基建'!O77</f>
        <v>1</v>
      </c>
      <c r="BH77" s="95" t="b">
        <f>P77='[2]500千伏-750千伏电网基建'!P77</f>
        <v>1</v>
      </c>
      <c r="BI77" s="95" t="b">
        <f>Q77='[2]500千伏-750千伏电网基建'!Q77</f>
        <v>1</v>
      </c>
      <c r="BJ77" s="95" t="b">
        <f>R77='[2]500千伏-750千伏电网基建'!R77</f>
        <v>1</v>
      </c>
      <c r="BK77" s="95" t="b">
        <f>S77='[2]500千伏-750千伏电网基建'!S77</f>
        <v>1</v>
      </c>
      <c r="BL77" s="95" t="b">
        <f>T77='[2]500千伏-750千伏电网基建'!T77</f>
        <v>1</v>
      </c>
      <c r="BM77" s="95" t="b">
        <f>U77='[2]500千伏-750千伏电网基建'!U77</f>
        <v>1</v>
      </c>
      <c r="BN77" s="95" t="b">
        <f>V77='[2]500千伏-750千伏电网基建'!V77</f>
        <v>1</v>
      </c>
      <c r="BO77" s="95" t="b">
        <f>W77='[2]500千伏-750千伏电网基建'!W77</f>
        <v>1</v>
      </c>
      <c r="BP77" s="95" t="b">
        <f>X77='[2]500千伏-750千伏电网基建'!X77</f>
        <v>1</v>
      </c>
      <c r="BQ77" s="95" t="b">
        <f>Y77='[2]500千伏-750千伏电网基建'!Y77</f>
        <v>1</v>
      </c>
      <c r="BR77" s="95" t="b">
        <f>Z77='[2]500千伏-750千伏电网基建'!Z77</f>
        <v>1</v>
      </c>
      <c r="BS77" s="95" t="b">
        <f>AA77='[2]500千伏-750千伏电网基建'!AA77</f>
        <v>1</v>
      </c>
      <c r="BT77" s="95" t="b">
        <f>AB77='[2]500千伏-750千伏电网基建'!AB77</f>
        <v>1</v>
      </c>
      <c r="BU77" s="95" t="b">
        <f>AC77='[2]500千伏-750千伏电网基建'!AC77</f>
        <v>1</v>
      </c>
      <c r="BV77" s="95" t="b">
        <f>AD77='[2]500千伏-750千伏电网基建'!AD77</f>
        <v>1</v>
      </c>
      <c r="BW77" s="95" t="b">
        <f>AE77='[2]500千伏-750千伏电网基建'!AE77</f>
        <v>1</v>
      </c>
      <c r="BX77" s="95" t="b">
        <f>AF77='[2]500千伏-750千伏电网基建'!AF77</f>
        <v>1</v>
      </c>
      <c r="BY77" s="95" t="b">
        <f>AG77='[2]500千伏-750千伏电网基建'!AG77</f>
        <v>1</v>
      </c>
      <c r="BZ77" s="95" t="b">
        <f>AH77='[2]500千伏-750千伏电网基建'!AH77</f>
        <v>1</v>
      </c>
      <c r="CA77" s="95" t="b">
        <f>AI77='[2]500千伏-750千伏电网基建'!AI77</f>
        <v>1</v>
      </c>
      <c r="CB77" s="95" t="b">
        <f>AJ77='[2]500千伏-750千伏电网基建'!AJ77</f>
        <v>1</v>
      </c>
      <c r="CC77" s="95" t="b">
        <f>AK77='[2]500千伏-750千伏电网基建'!AK77</f>
        <v>1</v>
      </c>
    </row>
    <row r="78" s="95" customFormat="1" ht="81" customHeight="1" spans="1:81">
      <c r="A78" s="14"/>
      <c r="B78" s="14"/>
      <c r="C78" s="15"/>
      <c r="D78" s="23"/>
      <c r="E78" s="16"/>
      <c r="F78" s="17"/>
      <c r="G78" s="15"/>
      <c r="H78" s="16"/>
      <c r="I78" s="23" t="s">
        <v>1270</v>
      </c>
      <c r="J78" s="16" t="s">
        <v>1271</v>
      </c>
      <c r="K78" s="15"/>
      <c r="L78" s="15"/>
      <c r="M78" s="15"/>
      <c r="N78" s="15"/>
      <c r="O78" s="15" t="s">
        <v>36</v>
      </c>
      <c r="P78" s="15"/>
      <c r="Q78" s="15"/>
      <c r="R78" s="15"/>
      <c r="S78" s="15"/>
      <c r="T78" s="15" t="s">
        <v>492</v>
      </c>
      <c r="U78" s="15"/>
      <c r="V78" s="16" t="s">
        <v>945</v>
      </c>
      <c r="W78" s="35" t="s">
        <v>949</v>
      </c>
      <c r="X78" s="15" t="s">
        <v>565</v>
      </c>
      <c r="Y78" s="15" t="s">
        <v>473</v>
      </c>
      <c r="Z78" s="30"/>
      <c r="AA78" s="15" t="s">
        <v>474</v>
      </c>
      <c r="AB78" s="15" t="s">
        <v>473</v>
      </c>
      <c r="AC78" s="30"/>
      <c r="AD78" s="15"/>
      <c r="AE78" s="30"/>
      <c r="AF78" s="15"/>
      <c r="AG78" s="30"/>
      <c r="AH78" s="15" t="s">
        <v>476</v>
      </c>
      <c r="AI78" s="15" t="s">
        <v>476</v>
      </c>
      <c r="AJ78" s="15" t="s">
        <v>965</v>
      </c>
      <c r="AK78" s="15"/>
      <c r="AL78" s="1" t="s">
        <v>1064</v>
      </c>
      <c r="AM78" s="23" t="s">
        <v>1075</v>
      </c>
      <c r="AN78" s="1"/>
      <c r="AO78" s="7" t="s">
        <v>1045</v>
      </c>
      <c r="AP78" s="7" t="s">
        <v>1059</v>
      </c>
      <c r="AQ78" s="7" t="s">
        <v>1045</v>
      </c>
      <c r="AR78" s="95" t="b">
        <f t="shared" si="1"/>
        <v>0</v>
      </c>
      <c r="AS78" s="95" t="b">
        <f>A78='[2]500千伏-750千伏电网基建'!A78</f>
        <v>1</v>
      </c>
      <c r="AT78" s="95" t="b">
        <f>B78='[2]500千伏-750千伏电网基建'!B78</f>
        <v>1</v>
      </c>
      <c r="AU78" s="95" t="b">
        <f>C78='[2]500千伏-750千伏电网基建'!C78</f>
        <v>1</v>
      </c>
      <c r="AV78" s="95" t="b">
        <f>D78='[2]500千伏-750千伏电网基建'!D78</f>
        <v>1</v>
      </c>
      <c r="AW78" s="95" t="b">
        <f>E78='[2]500千伏-750千伏电网基建'!E78</f>
        <v>1</v>
      </c>
      <c r="AX78" s="95" t="b">
        <f>F78='[2]500千伏-750千伏电网基建'!F78</f>
        <v>1</v>
      </c>
      <c r="AY78" s="95" t="b">
        <f>G78='[2]500千伏-750千伏电网基建'!G78</f>
        <v>1</v>
      </c>
      <c r="AZ78" s="95" t="b">
        <f>H78='[2]500千伏-750千伏电网基建'!H78</f>
        <v>1</v>
      </c>
      <c r="BA78" s="95" t="b">
        <f>I78='[2]500千伏-750千伏电网基建'!I78</f>
        <v>1</v>
      </c>
      <c r="BB78" s="95" t="b">
        <f>J78='[2]500千伏-750千伏电网基建'!J78</f>
        <v>1</v>
      </c>
      <c r="BC78" s="95" t="b">
        <f>K78='[2]500千伏-750千伏电网基建'!K78</f>
        <v>1</v>
      </c>
      <c r="BD78" s="95" t="b">
        <f>L78='[2]500千伏-750千伏电网基建'!L78</f>
        <v>1</v>
      </c>
      <c r="BE78" s="95" t="b">
        <f>M78='[2]500千伏-750千伏电网基建'!M78</f>
        <v>1</v>
      </c>
      <c r="BF78" s="95" t="b">
        <f>N78='[2]500千伏-750千伏电网基建'!N78</f>
        <v>1</v>
      </c>
      <c r="BG78" s="95" t="b">
        <f>O78='[2]500千伏-750千伏电网基建'!O78</f>
        <v>1</v>
      </c>
      <c r="BH78" s="95" t="b">
        <f>P78='[2]500千伏-750千伏电网基建'!P78</f>
        <v>1</v>
      </c>
      <c r="BI78" s="95" t="b">
        <f>Q78='[2]500千伏-750千伏电网基建'!Q78</f>
        <v>1</v>
      </c>
      <c r="BJ78" s="95" t="b">
        <f>R78='[2]500千伏-750千伏电网基建'!R78</f>
        <v>1</v>
      </c>
      <c r="BK78" s="95" t="b">
        <f>S78='[2]500千伏-750千伏电网基建'!S78</f>
        <v>1</v>
      </c>
      <c r="BL78" s="95" t="b">
        <f>T78='[2]500千伏-750千伏电网基建'!T78</f>
        <v>1</v>
      </c>
      <c r="BM78" s="95" t="b">
        <f>U78='[2]500千伏-750千伏电网基建'!U78</f>
        <v>1</v>
      </c>
      <c r="BN78" s="95" t="b">
        <f>V78='[2]500千伏-750千伏电网基建'!V78</f>
        <v>1</v>
      </c>
      <c r="BO78" s="95" t="b">
        <f>W78='[2]500千伏-750千伏电网基建'!W78</f>
        <v>1</v>
      </c>
      <c r="BP78" s="95" t="b">
        <f>X78='[2]500千伏-750千伏电网基建'!X78</f>
        <v>1</v>
      </c>
      <c r="BQ78" s="95" t="b">
        <f>Y78='[2]500千伏-750千伏电网基建'!Y78</f>
        <v>1</v>
      </c>
      <c r="BR78" s="95" t="b">
        <f>Z78='[2]500千伏-750千伏电网基建'!Z78</f>
        <v>1</v>
      </c>
      <c r="BS78" s="95" t="b">
        <f>AA78='[2]500千伏-750千伏电网基建'!AA78</f>
        <v>1</v>
      </c>
      <c r="BT78" s="95" t="b">
        <f>AB78='[2]500千伏-750千伏电网基建'!AB78</f>
        <v>1</v>
      </c>
      <c r="BU78" s="95" t="b">
        <f>AC78='[2]500千伏-750千伏电网基建'!AC78</f>
        <v>1</v>
      </c>
      <c r="BV78" s="95" t="b">
        <f>AD78='[2]500千伏-750千伏电网基建'!AD78</f>
        <v>1</v>
      </c>
      <c r="BW78" s="95" t="b">
        <f>AE78='[2]500千伏-750千伏电网基建'!AE78</f>
        <v>1</v>
      </c>
      <c r="BX78" s="95" t="b">
        <f>AF78='[2]500千伏-750千伏电网基建'!AF78</f>
        <v>1</v>
      </c>
      <c r="BY78" s="95" t="b">
        <f>AG78='[2]500千伏-750千伏电网基建'!AG78</f>
        <v>1</v>
      </c>
      <c r="BZ78" s="95" t="b">
        <f>AH78='[2]500千伏-750千伏电网基建'!AH78</f>
        <v>1</v>
      </c>
      <c r="CA78" s="95" t="b">
        <f>AI78='[2]500千伏-750千伏电网基建'!AI78</f>
        <v>1</v>
      </c>
      <c r="CB78" s="95" t="b">
        <f>AJ78='[2]500千伏-750千伏电网基建'!AJ78</f>
        <v>1</v>
      </c>
      <c r="CC78" s="95" t="b">
        <f>AK78='[2]500千伏-750千伏电网基建'!AK78</f>
        <v>1</v>
      </c>
    </row>
    <row r="79" s="95" customFormat="1" ht="72" hidden="1" customHeight="1" spans="1:81">
      <c r="A79" s="14"/>
      <c r="B79" s="14"/>
      <c r="C79" s="15"/>
      <c r="D79" s="23"/>
      <c r="E79" s="16"/>
      <c r="F79" s="17"/>
      <c r="G79" s="15"/>
      <c r="H79" s="16"/>
      <c r="I79" s="23" t="s">
        <v>1272</v>
      </c>
      <c r="J79" s="16" t="s">
        <v>1273</v>
      </c>
      <c r="K79" s="15"/>
      <c r="L79" s="15"/>
      <c r="M79" s="15"/>
      <c r="N79" s="15"/>
      <c r="O79" s="15"/>
      <c r="P79" s="15"/>
      <c r="Q79" s="15"/>
      <c r="R79" s="15"/>
      <c r="S79" s="15" t="s">
        <v>36</v>
      </c>
      <c r="T79" s="15" t="s">
        <v>465</v>
      </c>
      <c r="U79" s="15" t="s">
        <v>602</v>
      </c>
      <c r="V79" s="16" t="s">
        <v>945</v>
      </c>
      <c r="W79" s="35" t="s">
        <v>949</v>
      </c>
      <c r="X79" s="15" t="s">
        <v>565</v>
      </c>
      <c r="Y79" s="15" t="s">
        <v>473</v>
      </c>
      <c r="Z79" s="30"/>
      <c r="AA79" s="15" t="s">
        <v>474</v>
      </c>
      <c r="AB79" s="15" t="s">
        <v>473</v>
      </c>
      <c r="AC79" s="30"/>
      <c r="AD79" s="15" t="s">
        <v>973</v>
      </c>
      <c r="AE79" s="15" t="s">
        <v>511</v>
      </c>
      <c r="AF79" s="15"/>
      <c r="AG79" s="30"/>
      <c r="AH79" s="15" t="s">
        <v>476</v>
      </c>
      <c r="AI79" s="15" t="s">
        <v>476</v>
      </c>
      <c r="AJ79" s="15" t="s">
        <v>974</v>
      </c>
      <c r="AK79" s="15" t="s">
        <v>599</v>
      </c>
      <c r="AL79" s="1" t="s">
        <v>1064</v>
      </c>
      <c r="AM79" s="15" t="s">
        <v>1075</v>
      </c>
      <c r="AN79" s="1"/>
      <c r="AO79" s="7" t="s">
        <v>1045</v>
      </c>
      <c r="AP79" s="7" t="s">
        <v>1045</v>
      </c>
      <c r="AQ79" s="7" t="s">
        <v>1045</v>
      </c>
      <c r="AR79" s="95" t="b">
        <f t="shared" si="1"/>
        <v>1</v>
      </c>
      <c r="AS79" s="95" t="b">
        <f>A79='[2]500千伏-750千伏电网基建'!A79</f>
        <v>1</v>
      </c>
      <c r="AT79" s="95" t="b">
        <f>B79='[2]500千伏-750千伏电网基建'!B79</f>
        <v>1</v>
      </c>
      <c r="AU79" s="95" t="b">
        <f>C79='[2]500千伏-750千伏电网基建'!C79</f>
        <v>1</v>
      </c>
      <c r="AV79" s="95" t="b">
        <f>D79='[2]500千伏-750千伏电网基建'!D79</f>
        <v>1</v>
      </c>
      <c r="AW79" s="95" t="b">
        <f>E79='[2]500千伏-750千伏电网基建'!E79</f>
        <v>1</v>
      </c>
      <c r="AX79" s="95" t="b">
        <f>F79='[2]500千伏-750千伏电网基建'!F79</f>
        <v>1</v>
      </c>
      <c r="AY79" s="95" t="b">
        <f>G79='[2]500千伏-750千伏电网基建'!G79</f>
        <v>1</v>
      </c>
      <c r="AZ79" s="95" t="b">
        <f>H79='[2]500千伏-750千伏电网基建'!H79</f>
        <v>1</v>
      </c>
      <c r="BA79" s="95" t="b">
        <f>I79='[2]500千伏-750千伏电网基建'!I79</f>
        <v>1</v>
      </c>
      <c r="BB79" s="95" t="b">
        <f>J79='[2]500千伏-750千伏电网基建'!J79</f>
        <v>1</v>
      </c>
      <c r="BC79" s="95" t="b">
        <f>K79='[2]500千伏-750千伏电网基建'!K79</f>
        <v>1</v>
      </c>
      <c r="BD79" s="95" t="b">
        <f>L79='[2]500千伏-750千伏电网基建'!L79</f>
        <v>1</v>
      </c>
      <c r="BE79" s="95" t="b">
        <f>M79='[2]500千伏-750千伏电网基建'!M79</f>
        <v>1</v>
      </c>
      <c r="BF79" s="95" t="b">
        <f>N79='[2]500千伏-750千伏电网基建'!N79</f>
        <v>1</v>
      </c>
      <c r="BG79" s="95" t="b">
        <f>O79='[2]500千伏-750千伏电网基建'!O79</f>
        <v>1</v>
      </c>
      <c r="BH79" s="95" t="b">
        <f>P79='[2]500千伏-750千伏电网基建'!P79</f>
        <v>1</v>
      </c>
      <c r="BI79" s="95" t="b">
        <f>Q79='[2]500千伏-750千伏电网基建'!Q79</f>
        <v>1</v>
      </c>
      <c r="BJ79" s="95" t="b">
        <f>R79='[2]500千伏-750千伏电网基建'!R79</f>
        <v>1</v>
      </c>
      <c r="BK79" s="95" t="b">
        <f>S79='[2]500千伏-750千伏电网基建'!S79</f>
        <v>1</v>
      </c>
      <c r="BL79" s="95" t="b">
        <f>T79='[2]500千伏-750千伏电网基建'!T79</f>
        <v>1</v>
      </c>
      <c r="BM79" s="95" t="b">
        <f>U79='[2]500千伏-750千伏电网基建'!U79</f>
        <v>1</v>
      </c>
      <c r="BN79" s="95" t="b">
        <f>V79='[2]500千伏-750千伏电网基建'!V79</f>
        <v>1</v>
      </c>
      <c r="BO79" s="95" t="b">
        <f>W79='[2]500千伏-750千伏电网基建'!W79</f>
        <v>1</v>
      </c>
      <c r="BP79" s="95" t="b">
        <f>X79='[2]500千伏-750千伏电网基建'!X79</f>
        <v>1</v>
      </c>
      <c r="BQ79" s="95" t="b">
        <f>Y79='[2]500千伏-750千伏电网基建'!Y79</f>
        <v>1</v>
      </c>
      <c r="BR79" s="95" t="b">
        <f>Z79='[2]500千伏-750千伏电网基建'!Z79</f>
        <v>1</v>
      </c>
      <c r="BS79" s="95" t="b">
        <f>AA79='[2]500千伏-750千伏电网基建'!AA79</f>
        <v>1</v>
      </c>
      <c r="BT79" s="95" t="b">
        <f>AB79='[2]500千伏-750千伏电网基建'!AB79</f>
        <v>1</v>
      </c>
      <c r="BU79" s="95" t="b">
        <f>AC79='[2]500千伏-750千伏电网基建'!AC79</f>
        <v>1</v>
      </c>
      <c r="BV79" s="95" t="b">
        <f>AD79='[2]500千伏-750千伏电网基建'!AD79</f>
        <v>1</v>
      </c>
      <c r="BW79" s="95" t="b">
        <f>AE79='[2]500千伏-750千伏电网基建'!AE79</f>
        <v>1</v>
      </c>
      <c r="BX79" s="95" t="b">
        <f>AF79='[2]500千伏-750千伏电网基建'!AF79</f>
        <v>1</v>
      </c>
      <c r="BY79" s="95" t="b">
        <f>AG79='[2]500千伏-750千伏电网基建'!AG79</f>
        <v>1</v>
      </c>
      <c r="BZ79" s="95" t="b">
        <f>AH79='[2]500千伏-750千伏电网基建'!AH79</f>
        <v>1</v>
      </c>
      <c r="CA79" s="95" t="b">
        <f>AI79='[2]500千伏-750千伏电网基建'!AI79</f>
        <v>1</v>
      </c>
      <c r="CB79" s="95" t="b">
        <f>AJ79='[2]500千伏-750千伏电网基建'!AJ79</f>
        <v>1</v>
      </c>
      <c r="CC79" s="95" t="b">
        <f>AK79='[2]500千伏-750千伏电网基建'!AK79</f>
        <v>1</v>
      </c>
    </row>
    <row r="80" s="95" customFormat="1" ht="74" hidden="1" customHeight="1" spans="1:81">
      <c r="A80" s="14" t="s">
        <v>483</v>
      </c>
      <c r="B80" s="14" t="s">
        <v>922</v>
      </c>
      <c r="C80" s="15" t="s">
        <v>485</v>
      </c>
      <c r="D80" s="15" t="s">
        <v>975</v>
      </c>
      <c r="E80" s="16" t="s">
        <v>976</v>
      </c>
      <c r="F80" s="24"/>
      <c r="G80" s="15" t="s">
        <v>1274</v>
      </c>
      <c r="H80" s="16" t="s">
        <v>978</v>
      </c>
      <c r="I80" s="23" t="s">
        <v>1275</v>
      </c>
      <c r="J80" s="16" t="s">
        <v>1276</v>
      </c>
      <c r="K80" s="15"/>
      <c r="L80" s="15"/>
      <c r="M80" s="15"/>
      <c r="N80" s="15"/>
      <c r="O80" s="15" t="s">
        <v>36</v>
      </c>
      <c r="P80" s="15"/>
      <c r="Q80" s="15"/>
      <c r="R80" s="15"/>
      <c r="S80" s="15"/>
      <c r="T80" s="15" t="s">
        <v>492</v>
      </c>
      <c r="U80" s="15"/>
      <c r="V80" s="16" t="s">
        <v>981</v>
      </c>
      <c r="W80" s="35" t="s">
        <v>982</v>
      </c>
      <c r="X80" s="15" t="s">
        <v>565</v>
      </c>
      <c r="Y80" s="15" t="s">
        <v>473</v>
      </c>
      <c r="Z80" s="30"/>
      <c r="AA80" s="15" t="s">
        <v>474</v>
      </c>
      <c r="AB80" s="15" t="s">
        <v>473</v>
      </c>
      <c r="AC80" s="30"/>
      <c r="AD80" s="15"/>
      <c r="AE80" s="30"/>
      <c r="AF80" s="15"/>
      <c r="AG80" s="30"/>
      <c r="AH80" s="15" t="s">
        <v>476</v>
      </c>
      <c r="AI80" s="30" t="s">
        <v>476</v>
      </c>
      <c r="AJ80" s="15" t="s">
        <v>558</v>
      </c>
      <c r="AK80" s="15" t="s">
        <v>673</v>
      </c>
      <c r="AL80" s="1" t="s">
        <v>1064</v>
      </c>
      <c r="AM80" s="23" t="s">
        <v>1091</v>
      </c>
      <c r="AN80" s="1"/>
      <c r="AO80" s="7" t="s">
        <v>1045</v>
      </c>
      <c r="AP80" s="7" t="s">
        <v>1045</v>
      </c>
      <c r="AQ80" s="7" t="s">
        <v>1045</v>
      </c>
      <c r="AR80" s="95" t="b">
        <f t="shared" si="1"/>
        <v>1</v>
      </c>
      <c r="AS80" s="95" t="b">
        <f>A80='[2]500千伏-750千伏电网基建'!A80</f>
        <v>1</v>
      </c>
      <c r="AT80" s="95" t="b">
        <f>B80='[2]500千伏-750千伏电网基建'!B80</f>
        <v>1</v>
      </c>
      <c r="AU80" s="95" t="b">
        <f>C80='[2]500千伏-750千伏电网基建'!C80</f>
        <v>1</v>
      </c>
      <c r="AV80" s="95" t="b">
        <f>D80='[2]500千伏-750千伏电网基建'!D80</f>
        <v>1</v>
      </c>
      <c r="AW80" s="95" t="b">
        <f>E80='[2]500千伏-750千伏电网基建'!E80</f>
        <v>1</v>
      </c>
      <c r="AX80" s="95" t="b">
        <f>F80='[2]500千伏-750千伏电网基建'!F80</f>
        <v>1</v>
      </c>
      <c r="AY80" s="95" t="b">
        <f>G80='[2]500千伏-750千伏电网基建'!G80</f>
        <v>1</v>
      </c>
      <c r="AZ80" s="95" t="b">
        <f>H80='[2]500千伏-750千伏电网基建'!H80</f>
        <v>1</v>
      </c>
      <c r="BA80" s="95" t="b">
        <f>I80='[2]500千伏-750千伏电网基建'!I80</f>
        <v>1</v>
      </c>
      <c r="BB80" s="95" t="b">
        <f>J80='[2]500千伏-750千伏电网基建'!J80</f>
        <v>1</v>
      </c>
      <c r="BC80" s="95" t="b">
        <f>K80='[2]500千伏-750千伏电网基建'!K80</f>
        <v>1</v>
      </c>
      <c r="BD80" s="95" t="b">
        <f>L80='[2]500千伏-750千伏电网基建'!L80</f>
        <v>1</v>
      </c>
      <c r="BE80" s="95" t="b">
        <f>M80='[2]500千伏-750千伏电网基建'!M80</f>
        <v>1</v>
      </c>
      <c r="BF80" s="95" t="b">
        <f>N80='[2]500千伏-750千伏电网基建'!N80</f>
        <v>1</v>
      </c>
      <c r="BG80" s="95" t="b">
        <f>O80='[2]500千伏-750千伏电网基建'!O80</f>
        <v>1</v>
      </c>
      <c r="BH80" s="95" t="b">
        <f>P80='[2]500千伏-750千伏电网基建'!P80</f>
        <v>1</v>
      </c>
      <c r="BI80" s="95" t="b">
        <f>Q80='[2]500千伏-750千伏电网基建'!Q80</f>
        <v>1</v>
      </c>
      <c r="BJ80" s="95" t="b">
        <f>R80='[2]500千伏-750千伏电网基建'!R80</f>
        <v>1</v>
      </c>
      <c r="BK80" s="95" t="b">
        <f>S80='[2]500千伏-750千伏电网基建'!S80</f>
        <v>1</v>
      </c>
      <c r="BL80" s="95" t="b">
        <f>T80='[2]500千伏-750千伏电网基建'!T80</f>
        <v>1</v>
      </c>
      <c r="BM80" s="95" t="b">
        <f>U80='[2]500千伏-750千伏电网基建'!U80</f>
        <v>1</v>
      </c>
      <c r="BN80" s="95" t="b">
        <f>V80='[2]500千伏-750千伏电网基建'!V80</f>
        <v>1</v>
      </c>
      <c r="BO80" s="95" t="b">
        <f>W80='[2]500千伏-750千伏电网基建'!W80</f>
        <v>1</v>
      </c>
      <c r="BP80" s="95" t="b">
        <f>X80='[2]500千伏-750千伏电网基建'!X80</f>
        <v>1</v>
      </c>
      <c r="BQ80" s="95" t="b">
        <f>Y80='[2]500千伏-750千伏电网基建'!Y80</f>
        <v>1</v>
      </c>
      <c r="BR80" s="95" t="b">
        <f>Z80='[2]500千伏-750千伏电网基建'!Z80</f>
        <v>1</v>
      </c>
      <c r="BS80" s="95" t="b">
        <f>AA80='[2]500千伏-750千伏电网基建'!AA80</f>
        <v>1</v>
      </c>
      <c r="BT80" s="95" t="b">
        <f>AB80='[2]500千伏-750千伏电网基建'!AB80</f>
        <v>1</v>
      </c>
      <c r="BU80" s="95" t="b">
        <f>AC80='[2]500千伏-750千伏电网基建'!AC80</f>
        <v>1</v>
      </c>
      <c r="BV80" s="95" t="b">
        <f>AD80='[2]500千伏-750千伏电网基建'!AD80</f>
        <v>1</v>
      </c>
      <c r="BW80" s="95" t="b">
        <f>AE80='[2]500千伏-750千伏电网基建'!AE80</f>
        <v>1</v>
      </c>
      <c r="BX80" s="95" t="b">
        <f>AF80='[2]500千伏-750千伏电网基建'!AF80</f>
        <v>1</v>
      </c>
      <c r="BY80" s="95" t="b">
        <f>AG80='[2]500千伏-750千伏电网基建'!AG80</f>
        <v>1</v>
      </c>
      <c r="BZ80" s="95" t="b">
        <f>AH80='[2]500千伏-750千伏电网基建'!AH80</f>
        <v>1</v>
      </c>
      <c r="CA80" s="95" t="b">
        <f>AI80='[2]500千伏-750千伏电网基建'!AI80</f>
        <v>1</v>
      </c>
      <c r="CB80" s="95" t="b">
        <f>AJ80='[2]500千伏-750千伏电网基建'!AJ80</f>
        <v>1</v>
      </c>
      <c r="CC80" s="95" t="b">
        <f>AK80='[2]500千伏-750千伏电网基建'!AK80</f>
        <v>1</v>
      </c>
    </row>
    <row r="81" s="95" customFormat="1" ht="75" hidden="1" customHeight="1" spans="1:81">
      <c r="A81" s="14"/>
      <c r="B81" s="14"/>
      <c r="C81" s="15"/>
      <c r="D81" s="15"/>
      <c r="E81" s="16"/>
      <c r="F81" s="24"/>
      <c r="G81" s="15"/>
      <c r="H81" s="16"/>
      <c r="I81" s="23" t="s">
        <v>1277</v>
      </c>
      <c r="J81" s="16" t="s">
        <v>1278</v>
      </c>
      <c r="K81" s="15"/>
      <c r="L81" s="15"/>
      <c r="M81" s="15"/>
      <c r="N81" s="15"/>
      <c r="O81" s="15" t="s">
        <v>36</v>
      </c>
      <c r="P81" s="15" t="s">
        <v>36</v>
      </c>
      <c r="Q81" s="15" t="s">
        <v>36</v>
      </c>
      <c r="R81" s="15"/>
      <c r="S81" s="15"/>
      <c r="T81" s="15" t="s">
        <v>550</v>
      </c>
      <c r="U81" s="15" t="s">
        <v>985</v>
      </c>
      <c r="V81" s="16" t="s">
        <v>986</v>
      </c>
      <c r="W81" s="35" t="s">
        <v>713</v>
      </c>
      <c r="X81" s="15" t="s">
        <v>565</v>
      </c>
      <c r="Y81" s="15" t="s">
        <v>473</v>
      </c>
      <c r="Z81" s="30"/>
      <c r="AA81" s="15" t="s">
        <v>474</v>
      </c>
      <c r="AB81" s="15" t="s">
        <v>473</v>
      </c>
      <c r="AC81" s="30"/>
      <c r="AD81" s="15"/>
      <c r="AE81" s="30"/>
      <c r="AF81" s="15"/>
      <c r="AG81" s="30"/>
      <c r="AH81" s="15" t="s">
        <v>476</v>
      </c>
      <c r="AI81" s="30" t="s">
        <v>610</v>
      </c>
      <c r="AJ81" s="15" t="s">
        <v>558</v>
      </c>
      <c r="AK81" s="15"/>
      <c r="AL81" s="1" t="s">
        <v>1064</v>
      </c>
      <c r="AM81" s="23" t="s">
        <v>470</v>
      </c>
      <c r="AN81" s="1"/>
      <c r="AO81" s="7" t="s">
        <v>1045</v>
      </c>
      <c r="AP81" s="7" t="s">
        <v>1045</v>
      </c>
      <c r="AQ81" s="7" t="s">
        <v>1045</v>
      </c>
      <c r="AR81" s="95" t="b">
        <f t="shared" si="1"/>
        <v>1</v>
      </c>
      <c r="AS81" s="95" t="b">
        <f>A81='[2]500千伏-750千伏电网基建'!A81</f>
        <v>1</v>
      </c>
      <c r="AT81" s="95" t="b">
        <f>B81='[2]500千伏-750千伏电网基建'!B81</f>
        <v>1</v>
      </c>
      <c r="AU81" s="95" t="b">
        <f>C81='[2]500千伏-750千伏电网基建'!C81</f>
        <v>1</v>
      </c>
      <c r="AV81" s="95" t="b">
        <f>D81='[2]500千伏-750千伏电网基建'!D81</f>
        <v>1</v>
      </c>
      <c r="AW81" s="95" t="b">
        <f>E81='[2]500千伏-750千伏电网基建'!E81</f>
        <v>1</v>
      </c>
      <c r="AX81" s="95" t="b">
        <f>F81='[2]500千伏-750千伏电网基建'!F81</f>
        <v>1</v>
      </c>
      <c r="AY81" s="95" t="b">
        <f>G81='[2]500千伏-750千伏电网基建'!G81</f>
        <v>1</v>
      </c>
      <c r="AZ81" s="95" t="b">
        <f>H81='[2]500千伏-750千伏电网基建'!H81</f>
        <v>1</v>
      </c>
      <c r="BA81" s="95" t="b">
        <f>I81='[2]500千伏-750千伏电网基建'!I81</f>
        <v>1</v>
      </c>
      <c r="BB81" s="95" t="b">
        <f>J81='[2]500千伏-750千伏电网基建'!J81</f>
        <v>1</v>
      </c>
      <c r="BC81" s="95" t="b">
        <f>K81='[2]500千伏-750千伏电网基建'!K81</f>
        <v>1</v>
      </c>
      <c r="BD81" s="95" t="b">
        <f>L81='[2]500千伏-750千伏电网基建'!L81</f>
        <v>1</v>
      </c>
      <c r="BE81" s="95" t="b">
        <f>M81='[2]500千伏-750千伏电网基建'!M81</f>
        <v>1</v>
      </c>
      <c r="BF81" s="95" t="b">
        <f>N81='[2]500千伏-750千伏电网基建'!N81</f>
        <v>1</v>
      </c>
      <c r="BG81" s="95" t="b">
        <f>O81='[2]500千伏-750千伏电网基建'!O81</f>
        <v>1</v>
      </c>
      <c r="BH81" s="95" t="b">
        <f>P81='[2]500千伏-750千伏电网基建'!P81</f>
        <v>1</v>
      </c>
      <c r="BI81" s="95" t="b">
        <f>Q81='[2]500千伏-750千伏电网基建'!Q81</f>
        <v>1</v>
      </c>
      <c r="BJ81" s="95" t="b">
        <f>R81='[2]500千伏-750千伏电网基建'!R81</f>
        <v>1</v>
      </c>
      <c r="BK81" s="95" t="b">
        <f>S81='[2]500千伏-750千伏电网基建'!S81</f>
        <v>1</v>
      </c>
      <c r="BL81" s="95" t="b">
        <f>T81='[2]500千伏-750千伏电网基建'!T81</f>
        <v>1</v>
      </c>
      <c r="BM81" s="95" t="b">
        <f>U81='[2]500千伏-750千伏电网基建'!U81</f>
        <v>1</v>
      </c>
      <c r="BN81" s="95" t="b">
        <f>V81='[2]500千伏-750千伏电网基建'!V81</f>
        <v>1</v>
      </c>
      <c r="BO81" s="95" t="b">
        <f>W81='[2]500千伏-750千伏电网基建'!W81</f>
        <v>1</v>
      </c>
      <c r="BP81" s="95" t="b">
        <f>X81='[2]500千伏-750千伏电网基建'!X81</f>
        <v>1</v>
      </c>
      <c r="BQ81" s="95" t="b">
        <f>Y81='[2]500千伏-750千伏电网基建'!Y81</f>
        <v>1</v>
      </c>
      <c r="BR81" s="95" t="b">
        <f>Z81='[2]500千伏-750千伏电网基建'!Z81</f>
        <v>1</v>
      </c>
      <c r="BS81" s="95" t="b">
        <f>AA81='[2]500千伏-750千伏电网基建'!AA81</f>
        <v>1</v>
      </c>
      <c r="BT81" s="95" t="b">
        <f>AB81='[2]500千伏-750千伏电网基建'!AB81</f>
        <v>1</v>
      </c>
      <c r="BU81" s="95" t="b">
        <f>AC81='[2]500千伏-750千伏电网基建'!AC81</f>
        <v>1</v>
      </c>
      <c r="BV81" s="95" t="b">
        <f>AD81='[2]500千伏-750千伏电网基建'!AD81</f>
        <v>1</v>
      </c>
      <c r="BW81" s="95" t="b">
        <f>AE81='[2]500千伏-750千伏电网基建'!AE81</f>
        <v>1</v>
      </c>
      <c r="BX81" s="95" t="b">
        <f>AF81='[2]500千伏-750千伏电网基建'!AF81</f>
        <v>1</v>
      </c>
      <c r="BY81" s="95" t="b">
        <f>AG81='[2]500千伏-750千伏电网基建'!AG81</f>
        <v>1</v>
      </c>
      <c r="BZ81" s="95" t="b">
        <f>AH81='[2]500千伏-750千伏电网基建'!AH81</f>
        <v>1</v>
      </c>
      <c r="CA81" s="95" t="b">
        <f>AI81='[2]500千伏-750千伏电网基建'!AI81</f>
        <v>1</v>
      </c>
      <c r="CB81" s="95" t="b">
        <f>AJ81='[2]500千伏-750千伏电网基建'!AJ81</f>
        <v>1</v>
      </c>
      <c r="CC81" s="95" t="b">
        <f>AK81='[2]500千伏-750千伏电网基建'!AK81</f>
        <v>1</v>
      </c>
    </row>
    <row r="82" s="95" customFormat="1" ht="80" hidden="1" customHeight="1" spans="1:81">
      <c r="A82" s="14"/>
      <c r="B82" s="14"/>
      <c r="C82" s="15"/>
      <c r="D82" s="15"/>
      <c r="E82" s="16"/>
      <c r="F82" s="24"/>
      <c r="G82" s="15"/>
      <c r="H82" s="16"/>
      <c r="I82" s="23" t="s">
        <v>1279</v>
      </c>
      <c r="J82" s="16" t="s">
        <v>1280</v>
      </c>
      <c r="K82" s="15"/>
      <c r="L82" s="15"/>
      <c r="M82" s="15"/>
      <c r="N82" s="15"/>
      <c r="O82" s="15" t="s">
        <v>36</v>
      </c>
      <c r="P82" s="15"/>
      <c r="Q82" s="15"/>
      <c r="R82" s="15"/>
      <c r="S82" s="15"/>
      <c r="T82" s="15" t="s">
        <v>492</v>
      </c>
      <c r="U82" s="15"/>
      <c r="V82" s="16" t="s">
        <v>989</v>
      </c>
      <c r="W82" s="35" t="s">
        <v>990</v>
      </c>
      <c r="X82" s="15" t="s">
        <v>565</v>
      </c>
      <c r="Y82" s="15" t="s">
        <v>473</v>
      </c>
      <c r="Z82" s="30"/>
      <c r="AA82" s="15" t="s">
        <v>474</v>
      </c>
      <c r="AB82" s="15" t="s">
        <v>473</v>
      </c>
      <c r="AC82" s="30"/>
      <c r="AD82" s="15"/>
      <c r="AE82" s="30"/>
      <c r="AF82" s="15"/>
      <c r="AG82" s="30"/>
      <c r="AH82" s="15" t="s">
        <v>476</v>
      </c>
      <c r="AI82" s="30" t="s">
        <v>610</v>
      </c>
      <c r="AJ82" s="15" t="s">
        <v>558</v>
      </c>
      <c r="AK82" s="15"/>
      <c r="AL82" s="1" t="s">
        <v>1064</v>
      </c>
      <c r="AM82" s="23" t="s">
        <v>1091</v>
      </c>
      <c r="AN82" s="1"/>
      <c r="AO82" s="7" t="s">
        <v>1045</v>
      </c>
      <c r="AP82" s="7" t="s">
        <v>1045</v>
      </c>
      <c r="AQ82" s="7" t="s">
        <v>1045</v>
      </c>
      <c r="AR82" s="95" t="b">
        <f t="shared" si="1"/>
        <v>1</v>
      </c>
      <c r="AS82" s="95" t="b">
        <f>A82='[2]500千伏-750千伏电网基建'!A82</f>
        <v>1</v>
      </c>
      <c r="AT82" s="95" t="b">
        <f>B82='[2]500千伏-750千伏电网基建'!B82</f>
        <v>1</v>
      </c>
      <c r="AU82" s="95" t="b">
        <f>C82='[2]500千伏-750千伏电网基建'!C82</f>
        <v>1</v>
      </c>
      <c r="AV82" s="95" t="b">
        <f>D82='[2]500千伏-750千伏电网基建'!D82</f>
        <v>1</v>
      </c>
      <c r="AW82" s="95" t="b">
        <f>E82='[2]500千伏-750千伏电网基建'!E82</f>
        <v>1</v>
      </c>
      <c r="AX82" s="95" t="b">
        <f>F82='[2]500千伏-750千伏电网基建'!F82</f>
        <v>1</v>
      </c>
      <c r="AY82" s="95" t="b">
        <f>G82='[2]500千伏-750千伏电网基建'!G82</f>
        <v>1</v>
      </c>
      <c r="AZ82" s="95" t="b">
        <f>H82='[2]500千伏-750千伏电网基建'!H82</f>
        <v>1</v>
      </c>
      <c r="BA82" s="95" t="b">
        <f>I82='[2]500千伏-750千伏电网基建'!I82</f>
        <v>1</v>
      </c>
      <c r="BB82" s="95" t="b">
        <f>J82='[2]500千伏-750千伏电网基建'!J82</f>
        <v>1</v>
      </c>
      <c r="BC82" s="95" t="b">
        <f>K82='[2]500千伏-750千伏电网基建'!K82</f>
        <v>1</v>
      </c>
      <c r="BD82" s="95" t="b">
        <f>L82='[2]500千伏-750千伏电网基建'!L82</f>
        <v>1</v>
      </c>
      <c r="BE82" s="95" t="b">
        <f>M82='[2]500千伏-750千伏电网基建'!M82</f>
        <v>1</v>
      </c>
      <c r="BF82" s="95" t="b">
        <f>N82='[2]500千伏-750千伏电网基建'!N82</f>
        <v>1</v>
      </c>
      <c r="BG82" s="95" t="b">
        <f>O82='[2]500千伏-750千伏电网基建'!O82</f>
        <v>1</v>
      </c>
      <c r="BH82" s="95" t="b">
        <f>P82='[2]500千伏-750千伏电网基建'!P82</f>
        <v>1</v>
      </c>
      <c r="BI82" s="95" t="b">
        <f>Q82='[2]500千伏-750千伏电网基建'!Q82</f>
        <v>1</v>
      </c>
      <c r="BJ82" s="95" t="b">
        <f>R82='[2]500千伏-750千伏电网基建'!R82</f>
        <v>1</v>
      </c>
      <c r="BK82" s="95" t="b">
        <f>S82='[2]500千伏-750千伏电网基建'!S82</f>
        <v>1</v>
      </c>
      <c r="BL82" s="95" t="b">
        <f>T82='[2]500千伏-750千伏电网基建'!T82</f>
        <v>1</v>
      </c>
      <c r="BM82" s="95" t="b">
        <f>U82='[2]500千伏-750千伏电网基建'!U82</f>
        <v>1</v>
      </c>
      <c r="BN82" s="95" t="b">
        <f>V82='[2]500千伏-750千伏电网基建'!V82</f>
        <v>1</v>
      </c>
      <c r="BO82" s="95" t="b">
        <f>W82='[2]500千伏-750千伏电网基建'!W82</f>
        <v>1</v>
      </c>
      <c r="BP82" s="95" t="b">
        <f>X82='[2]500千伏-750千伏电网基建'!X82</f>
        <v>1</v>
      </c>
      <c r="BQ82" s="95" t="b">
        <f>Y82='[2]500千伏-750千伏电网基建'!Y82</f>
        <v>1</v>
      </c>
      <c r="BR82" s="95" t="b">
        <f>Z82='[2]500千伏-750千伏电网基建'!Z82</f>
        <v>1</v>
      </c>
      <c r="BS82" s="95" t="b">
        <f>AA82='[2]500千伏-750千伏电网基建'!AA82</f>
        <v>1</v>
      </c>
      <c r="BT82" s="95" t="b">
        <f>AB82='[2]500千伏-750千伏电网基建'!AB82</f>
        <v>1</v>
      </c>
      <c r="BU82" s="95" t="b">
        <f>AC82='[2]500千伏-750千伏电网基建'!AC82</f>
        <v>1</v>
      </c>
      <c r="BV82" s="95" t="b">
        <f>AD82='[2]500千伏-750千伏电网基建'!AD82</f>
        <v>1</v>
      </c>
      <c r="BW82" s="95" t="b">
        <f>AE82='[2]500千伏-750千伏电网基建'!AE82</f>
        <v>1</v>
      </c>
      <c r="BX82" s="95" t="b">
        <f>AF82='[2]500千伏-750千伏电网基建'!AF82</f>
        <v>1</v>
      </c>
      <c r="BY82" s="95" t="b">
        <f>AG82='[2]500千伏-750千伏电网基建'!AG82</f>
        <v>1</v>
      </c>
      <c r="BZ82" s="95" t="b">
        <f>AH82='[2]500千伏-750千伏电网基建'!AH82</f>
        <v>1</v>
      </c>
      <c r="CA82" s="95" t="b">
        <f>AI82='[2]500千伏-750千伏电网基建'!AI82</f>
        <v>1</v>
      </c>
      <c r="CB82" s="95" t="b">
        <f>AJ82='[2]500千伏-750千伏电网基建'!AJ82</f>
        <v>1</v>
      </c>
      <c r="CC82" s="95" t="b">
        <f>AK82='[2]500千伏-750千伏电网基建'!AK82</f>
        <v>1</v>
      </c>
    </row>
    <row r="83" s="95" customFormat="1" ht="69" hidden="1" customHeight="1" spans="1:81">
      <c r="A83" s="14"/>
      <c r="B83" s="14"/>
      <c r="C83" s="15"/>
      <c r="D83" s="15"/>
      <c r="E83" s="16"/>
      <c r="F83" s="24"/>
      <c r="G83" s="15"/>
      <c r="H83" s="16"/>
      <c r="I83" s="23" t="s">
        <v>1281</v>
      </c>
      <c r="J83" s="16" t="s">
        <v>1282</v>
      </c>
      <c r="K83" s="15"/>
      <c r="L83" s="15"/>
      <c r="M83" s="15"/>
      <c r="N83" s="15"/>
      <c r="O83" s="15" t="s">
        <v>36</v>
      </c>
      <c r="P83" s="15"/>
      <c r="Q83" s="15" t="s">
        <v>36</v>
      </c>
      <c r="R83" s="15"/>
      <c r="S83" s="15"/>
      <c r="T83" s="15" t="s">
        <v>492</v>
      </c>
      <c r="U83" s="15"/>
      <c r="V83" s="16" t="s">
        <v>981</v>
      </c>
      <c r="W83" s="35" t="s">
        <v>713</v>
      </c>
      <c r="X83" s="15" t="s">
        <v>565</v>
      </c>
      <c r="Y83" s="15" t="s">
        <v>473</v>
      </c>
      <c r="Z83" s="30"/>
      <c r="AA83" s="15" t="s">
        <v>474</v>
      </c>
      <c r="AB83" s="15" t="s">
        <v>473</v>
      </c>
      <c r="AC83" s="30"/>
      <c r="AD83" s="15"/>
      <c r="AE83" s="30"/>
      <c r="AF83" s="15"/>
      <c r="AG83" s="30"/>
      <c r="AH83" s="15" t="s">
        <v>476</v>
      </c>
      <c r="AI83" s="30" t="s">
        <v>610</v>
      </c>
      <c r="AJ83" s="15" t="s">
        <v>558</v>
      </c>
      <c r="AK83" s="15"/>
      <c r="AL83" s="1" t="s">
        <v>1064</v>
      </c>
      <c r="AM83" s="23" t="s">
        <v>470</v>
      </c>
      <c r="AN83" s="1"/>
      <c r="AO83" s="7" t="s">
        <v>1045</v>
      </c>
      <c r="AP83" s="7" t="s">
        <v>1045</v>
      </c>
      <c r="AQ83" s="7" t="s">
        <v>1045</v>
      </c>
      <c r="AR83" s="95" t="b">
        <f t="shared" si="1"/>
        <v>1</v>
      </c>
      <c r="AS83" s="95" t="b">
        <f>A83='[2]500千伏-750千伏电网基建'!A83</f>
        <v>1</v>
      </c>
      <c r="AT83" s="95" t="b">
        <f>B83='[2]500千伏-750千伏电网基建'!B83</f>
        <v>1</v>
      </c>
      <c r="AU83" s="95" t="b">
        <f>C83='[2]500千伏-750千伏电网基建'!C83</f>
        <v>1</v>
      </c>
      <c r="AV83" s="95" t="b">
        <f>D83='[2]500千伏-750千伏电网基建'!D83</f>
        <v>1</v>
      </c>
      <c r="AW83" s="95" t="b">
        <f>E83='[2]500千伏-750千伏电网基建'!E83</f>
        <v>1</v>
      </c>
      <c r="AX83" s="95" t="b">
        <f>F83='[2]500千伏-750千伏电网基建'!F83</f>
        <v>1</v>
      </c>
      <c r="AY83" s="95" t="b">
        <f>G83='[2]500千伏-750千伏电网基建'!G83</f>
        <v>1</v>
      </c>
      <c r="AZ83" s="95" t="b">
        <f>H83='[2]500千伏-750千伏电网基建'!H83</f>
        <v>1</v>
      </c>
      <c r="BA83" s="95" t="b">
        <f>I83='[2]500千伏-750千伏电网基建'!I83</f>
        <v>1</v>
      </c>
      <c r="BB83" s="95" t="b">
        <f>J83='[2]500千伏-750千伏电网基建'!J83</f>
        <v>1</v>
      </c>
      <c r="BC83" s="95" t="b">
        <f>K83='[2]500千伏-750千伏电网基建'!K83</f>
        <v>1</v>
      </c>
      <c r="BD83" s="95" t="b">
        <f>L83='[2]500千伏-750千伏电网基建'!L83</f>
        <v>1</v>
      </c>
      <c r="BE83" s="95" t="b">
        <f>M83='[2]500千伏-750千伏电网基建'!M83</f>
        <v>1</v>
      </c>
      <c r="BF83" s="95" t="b">
        <f>N83='[2]500千伏-750千伏电网基建'!N83</f>
        <v>1</v>
      </c>
      <c r="BG83" s="95" t="b">
        <f>O83='[2]500千伏-750千伏电网基建'!O83</f>
        <v>1</v>
      </c>
      <c r="BH83" s="95" t="b">
        <f>P83='[2]500千伏-750千伏电网基建'!P83</f>
        <v>1</v>
      </c>
      <c r="BI83" s="95" t="b">
        <f>Q83='[2]500千伏-750千伏电网基建'!Q83</f>
        <v>1</v>
      </c>
      <c r="BJ83" s="95" t="b">
        <f>R83='[2]500千伏-750千伏电网基建'!R83</f>
        <v>1</v>
      </c>
      <c r="BK83" s="95" t="b">
        <f>S83='[2]500千伏-750千伏电网基建'!S83</f>
        <v>1</v>
      </c>
      <c r="BL83" s="95" t="b">
        <f>T83='[2]500千伏-750千伏电网基建'!T83</f>
        <v>1</v>
      </c>
      <c r="BM83" s="95" t="b">
        <f>U83='[2]500千伏-750千伏电网基建'!U83</f>
        <v>1</v>
      </c>
      <c r="BN83" s="95" t="b">
        <f>V83='[2]500千伏-750千伏电网基建'!V83</f>
        <v>1</v>
      </c>
      <c r="BO83" s="95" t="b">
        <f>W83='[2]500千伏-750千伏电网基建'!W83</f>
        <v>1</v>
      </c>
      <c r="BP83" s="95" t="b">
        <f>X83='[2]500千伏-750千伏电网基建'!X83</f>
        <v>1</v>
      </c>
      <c r="BQ83" s="95" t="b">
        <f>Y83='[2]500千伏-750千伏电网基建'!Y83</f>
        <v>1</v>
      </c>
      <c r="BR83" s="95" t="b">
        <f>Z83='[2]500千伏-750千伏电网基建'!Z83</f>
        <v>1</v>
      </c>
      <c r="BS83" s="95" t="b">
        <f>AA83='[2]500千伏-750千伏电网基建'!AA83</f>
        <v>1</v>
      </c>
      <c r="BT83" s="95" t="b">
        <f>AB83='[2]500千伏-750千伏电网基建'!AB83</f>
        <v>1</v>
      </c>
      <c r="BU83" s="95" t="b">
        <f>AC83='[2]500千伏-750千伏电网基建'!AC83</f>
        <v>1</v>
      </c>
      <c r="BV83" s="95" t="b">
        <f>AD83='[2]500千伏-750千伏电网基建'!AD83</f>
        <v>1</v>
      </c>
      <c r="BW83" s="95" t="b">
        <f>AE83='[2]500千伏-750千伏电网基建'!AE83</f>
        <v>1</v>
      </c>
      <c r="BX83" s="95" t="b">
        <f>AF83='[2]500千伏-750千伏电网基建'!AF83</f>
        <v>1</v>
      </c>
      <c r="BY83" s="95" t="b">
        <f>AG83='[2]500千伏-750千伏电网基建'!AG83</f>
        <v>1</v>
      </c>
      <c r="BZ83" s="95" t="b">
        <f>AH83='[2]500千伏-750千伏电网基建'!AH83</f>
        <v>1</v>
      </c>
      <c r="CA83" s="95" t="b">
        <f>AI83='[2]500千伏-750千伏电网基建'!AI83</f>
        <v>1</v>
      </c>
      <c r="CB83" s="95" t="b">
        <f>AJ83='[2]500千伏-750千伏电网基建'!AJ83</f>
        <v>1</v>
      </c>
      <c r="CC83" s="95" t="b">
        <f>AK83='[2]500千伏-750千伏电网基建'!AK83</f>
        <v>1</v>
      </c>
    </row>
    <row r="84" s="95" customFormat="1" ht="77" hidden="1" customHeight="1" spans="1:81">
      <c r="A84" s="14"/>
      <c r="B84" s="14"/>
      <c r="C84" s="15"/>
      <c r="D84" s="15"/>
      <c r="E84" s="16"/>
      <c r="F84" s="24"/>
      <c r="G84" s="15"/>
      <c r="H84" s="16"/>
      <c r="I84" s="23" t="s">
        <v>1283</v>
      </c>
      <c r="J84" s="16" t="s">
        <v>1284</v>
      </c>
      <c r="K84" s="15"/>
      <c r="L84" s="15"/>
      <c r="M84" s="15"/>
      <c r="N84" s="15"/>
      <c r="O84" s="15" t="s">
        <v>36</v>
      </c>
      <c r="P84" s="15" t="s">
        <v>36</v>
      </c>
      <c r="Q84" s="15" t="s">
        <v>36</v>
      </c>
      <c r="R84" s="15"/>
      <c r="S84" s="15"/>
      <c r="T84" s="15" t="s">
        <v>492</v>
      </c>
      <c r="U84" s="15"/>
      <c r="V84" s="16" t="s">
        <v>989</v>
      </c>
      <c r="W84" s="35" t="s">
        <v>713</v>
      </c>
      <c r="X84" s="15" t="s">
        <v>565</v>
      </c>
      <c r="Y84" s="15" t="s">
        <v>473</v>
      </c>
      <c r="Z84" s="30"/>
      <c r="AA84" s="15" t="s">
        <v>474</v>
      </c>
      <c r="AB84" s="15" t="s">
        <v>473</v>
      </c>
      <c r="AC84" s="30"/>
      <c r="AD84" s="15"/>
      <c r="AE84" s="30"/>
      <c r="AF84" s="15"/>
      <c r="AG84" s="30"/>
      <c r="AH84" s="15" t="s">
        <v>476</v>
      </c>
      <c r="AI84" s="30" t="s">
        <v>610</v>
      </c>
      <c r="AJ84" s="15" t="s">
        <v>558</v>
      </c>
      <c r="AK84" s="15"/>
      <c r="AL84" s="1" t="s">
        <v>1064</v>
      </c>
      <c r="AM84" s="23" t="s">
        <v>470</v>
      </c>
      <c r="AN84" s="1"/>
      <c r="AO84" s="7" t="s">
        <v>1045</v>
      </c>
      <c r="AP84" s="7" t="s">
        <v>1045</v>
      </c>
      <c r="AQ84" s="7" t="s">
        <v>1045</v>
      </c>
      <c r="AR84" s="95" t="b">
        <f t="shared" si="1"/>
        <v>1</v>
      </c>
      <c r="AS84" s="95" t="b">
        <f>A84='[2]500千伏-750千伏电网基建'!A84</f>
        <v>1</v>
      </c>
      <c r="AT84" s="95" t="b">
        <f>B84='[2]500千伏-750千伏电网基建'!B84</f>
        <v>1</v>
      </c>
      <c r="AU84" s="95" t="b">
        <f>C84='[2]500千伏-750千伏电网基建'!C84</f>
        <v>1</v>
      </c>
      <c r="AV84" s="95" t="b">
        <f>D84='[2]500千伏-750千伏电网基建'!D84</f>
        <v>1</v>
      </c>
      <c r="AW84" s="95" t="b">
        <f>E84='[2]500千伏-750千伏电网基建'!E84</f>
        <v>1</v>
      </c>
      <c r="AX84" s="95" t="b">
        <f>F84='[2]500千伏-750千伏电网基建'!F84</f>
        <v>1</v>
      </c>
      <c r="AY84" s="95" t="b">
        <f>G84='[2]500千伏-750千伏电网基建'!G84</f>
        <v>1</v>
      </c>
      <c r="AZ84" s="95" t="b">
        <f>H84='[2]500千伏-750千伏电网基建'!H84</f>
        <v>1</v>
      </c>
      <c r="BA84" s="95" t="b">
        <f>I84='[2]500千伏-750千伏电网基建'!I84</f>
        <v>1</v>
      </c>
      <c r="BB84" s="95" t="b">
        <f>J84='[2]500千伏-750千伏电网基建'!J84</f>
        <v>1</v>
      </c>
      <c r="BC84" s="95" t="b">
        <f>K84='[2]500千伏-750千伏电网基建'!K84</f>
        <v>1</v>
      </c>
      <c r="BD84" s="95" t="b">
        <f>L84='[2]500千伏-750千伏电网基建'!L84</f>
        <v>1</v>
      </c>
      <c r="BE84" s="95" t="b">
        <f>M84='[2]500千伏-750千伏电网基建'!M84</f>
        <v>1</v>
      </c>
      <c r="BF84" s="95" t="b">
        <f>N84='[2]500千伏-750千伏电网基建'!N84</f>
        <v>1</v>
      </c>
      <c r="BG84" s="95" t="b">
        <f>O84='[2]500千伏-750千伏电网基建'!O84</f>
        <v>1</v>
      </c>
      <c r="BH84" s="95" t="b">
        <f>P84='[2]500千伏-750千伏电网基建'!P84</f>
        <v>1</v>
      </c>
      <c r="BI84" s="95" t="b">
        <f>Q84='[2]500千伏-750千伏电网基建'!Q84</f>
        <v>1</v>
      </c>
      <c r="BJ84" s="95" t="b">
        <f>R84='[2]500千伏-750千伏电网基建'!R84</f>
        <v>1</v>
      </c>
      <c r="BK84" s="95" t="b">
        <f>S84='[2]500千伏-750千伏电网基建'!S84</f>
        <v>1</v>
      </c>
      <c r="BL84" s="95" t="b">
        <f>T84='[2]500千伏-750千伏电网基建'!T84</f>
        <v>1</v>
      </c>
      <c r="BM84" s="95" t="b">
        <f>U84='[2]500千伏-750千伏电网基建'!U84</f>
        <v>1</v>
      </c>
      <c r="BN84" s="95" t="b">
        <f>V84='[2]500千伏-750千伏电网基建'!V84</f>
        <v>1</v>
      </c>
      <c r="BO84" s="95" t="b">
        <f>W84='[2]500千伏-750千伏电网基建'!W84</f>
        <v>1</v>
      </c>
      <c r="BP84" s="95" t="b">
        <f>X84='[2]500千伏-750千伏电网基建'!X84</f>
        <v>1</v>
      </c>
      <c r="BQ84" s="95" t="b">
        <f>Y84='[2]500千伏-750千伏电网基建'!Y84</f>
        <v>1</v>
      </c>
      <c r="BR84" s="95" t="b">
        <f>Z84='[2]500千伏-750千伏电网基建'!Z84</f>
        <v>1</v>
      </c>
      <c r="BS84" s="95" t="b">
        <f>AA84='[2]500千伏-750千伏电网基建'!AA84</f>
        <v>1</v>
      </c>
      <c r="BT84" s="95" t="b">
        <f>AB84='[2]500千伏-750千伏电网基建'!AB84</f>
        <v>1</v>
      </c>
      <c r="BU84" s="95" t="b">
        <f>AC84='[2]500千伏-750千伏电网基建'!AC84</f>
        <v>1</v>
      </c>
      <c r="BV84" s="95" t="b">
        <f>AD84='[2]500千伏-750千伏电网基建'!AD84</f>
        <v>1</v>
      </c>
      <c r="BW84" s="95" t="b">
        <f>AE84='[2]500千伏-750千伏电网基建'!AE84</f>
        <v>1</v>
      </c>
      <c r="BX84" s="95" t="b">
        <f>AF84='[2]500千伏-750千伏电网基建'!AF84</f>
        <v>1</v>
      </c>
      <c r="BY84" s="95" t="b">
        <f>AG84='[2]500千伏-750千伏电网基建'!AG84</f>
        <v>1</v>
      </c>
      <c r="BZ84" s="95" t="b">
        <f>AH84='[2]500千伏-750千伏电网基建'!AH84</f>
        <v>1</v>
      </c>
      <c r="CA84" s="95" t="b">
        <f>AI84='[2]500千伏-750千伏电网基建'!AI84</f>
        <v>1</v>
      </c>
      <c r="CB84" s="95" t="b">
        <f>AJ84='[2]500千伏-750千伏电网基建'!AJ84</f>
        <v>1</v>
      </c>
      <c r="CC84" s="95" t="b">
        <f>AK84='[2]500千伏-750千伏电网基建'!AK84</f>
        <v>1</v>
      </c>
    </row>
    <row r="85" s="95" customFormat="1" ht="94" hidden="1" customHeight="1" spans="1:81">
      <c r="A85" s="14"/>
      <c r="B85" s="14"/>
      <c r="C85" s="15" t="s">
        <v>536</v>
      </c>
      <c r="D85" s="23" t="s">
        <v>995</v>
      </c>
      <c r="E85" s="16" t="s">
        <v>996</v>
      </c>
      <c r="F85" s="24"/>
      <c r="G85" s="15" t="s">
        <v>1285</v>
      </c>
      <c r="H85" s="45" t="s">
        <v>998</v>
      </c>
      <c r="I85" s="23" t="s">
        <v>1286</v>
      </c>
      <c r="J85" s="16" t="s">
        <v>1287</v>
      </c>
      <c r="K85" s="15"/>
      <c r="L85" s="15"/>
      <c r="M85" s="15"/>
      <c r="N85" s="15"/>
      <c r="O85" s="15"/>
      <c r="P85" s="15"/>
      <c r="Q85" s="15" t="s">
        <v>36</v>
      </c>
      <c r="R85" s="15"/>
      <c r="S85" s="15"/>
      <c r="T85" s="15" t="s">
        <v>465</v>
      </c>
      <c r="U85" s="15" t="s">
        <v>790</v>
      </c>
      <c r="V85" s="16" t="s">
        <v>1001</v>
      </c>
      <c r="W85" s="35" t="s">
        <v>1002</v>
      </c>
      <c r="X85" s="15" t="s">
        <v>511</v>
      </c>
      <c r="Y85" s="15" t="s">
        <v>566</v>
      </c>
      <c r="Z85" s="30"/>
      <c r="AA85" s="15" t="s">
        <v>474</v>
      </c>
      <c r="AB85" s="15" t="s">
        <v>473</v>
      </c>
      <c r="AC85" s="30"/>
      <c r="AD85" s="15" t="s">
        <v>1003</v>
      </c>
      <c r="AE85" s="15" t="s">
        <v>511</v>
      </c>
      <c r="AF85" s="15"/>
      <c r="AG85" s="30"/>
      <c r="AH85" s="15" t="s">
        <v>476</v>
      </c>
      <c r="AI85" s="15" t="s">
        <v>476</v>
      </c>
      <c r="AJ85" s="15" t="s">
        <v>870</v>
      </c>
      <c r="AK85" s="15" t="s">
        <v>532</v>
      </c>
      <c r="AL85" s="1" t="s">
        <v>1064</v>
      </c>
      <c r="AM85" s="23" t="s">
        <v>470</v>
      </c>
      <c r="AN85" s="1"/>
      <c r="AO85" s="7" t="s">
        <v>1045</v>
      </c>
      <c r="AP85" s="7" t="s">
        <v>1045</v>
      </c>
      <c r="AQ85" s="7" t="s">
        <v>1045</v>
      </c>
      <c r="AR85" s="95" t="b">
        <f t="shared" si="1"/>
        <v>1</v>
      </c>
      <c r="AS85" s="95" t="b">
        <f>A85='[2]500千伏-750千伏电网基建'!A85</f>
        <v>1</v>
      </c>
      <c r="AT85" s="95" t="b">
        <f>B85='[2]500千伏-750千伏电网基建'!B85</f>
        <v>1</v>
      </c>
      <c r="AU85" s="95" t="b">
        <f>C85='[2]500千伏-750千伏电网基建'!C85</f>
        <v>1</v>
      </c>
      <c r="AV85" s="95" t="b">
        <f>D85='[2]500千伏-750千伏电网基建'!D85</f>
        <v>1</v>
      </c>
      <c r="AW85" s="95" t="b">
        <f>E85='[2]500千伏-750千伏电网基建'!E85</f>
        <v>1</v>
      </c>
      <c r="AX85" s="95" t="b">
        <f>F85='[2]500千伏-750千伏电网基建'!F85</f>
        <v>1</v>
      </c>
      <c r="AY85" s="95" t="b">
        <f>G85='[2]500千伏-750千伏电网基建'!G85</f>
        <v>1</v>
      </c>
      <c r="AZ85" s="95" t="b">
        <f>H85='[2]500千伏-750千伏电网基建'!H85</f>
        <v>1</v>
      </c>
      <c r="BA85" s="95" t="b">
        <f>I85='[2]500千伏-750千伏电网基建'!I85</f>
        <v>1</v>
      </c>
      <c r="BB85" s="95" t="b">
        <f>J85='[2]500千伏-750千伏电网基建'!J85</f>
        <v>1</v>
      </c>
      <c r="BC85" s="95" t="b">
        <f>K85='[2]500千伏-750千伏电网基建'!K85</f>
        <v>1</v>
      </c>
      <c r="BD85" s="95" t="b">
        <f>L85='[2]500千伏-750千伏电网基建'!L85</f>
        <v>1</v>
      </c>
      <c r="BE85" s="95" t="b">
        <f>M85='[2]500千伏-750千伏电网基建'!M85</f>
        <v>1</v>
      </c>
      <c r="BF85" s="95" t="b">
        <f>N85='[2]500千伏-750千伏电网基建'!N85</f>
        <v>1</v>
      </c>
      <c r="BG85" s="95" t="b">
        <f>O85='[2]500千伏-750千伏电网基建'!O85</f>
        <v>1</v>
      </c>
      <c r="BH85" s="95" t="b">
        <f>P85='[2]500千伏-750千伏电网基建'!P85</f>
        <v>1</v>
      </c>
      <c r="BI85" s="95" t="b">
        <f>Q85='[2]500千伏-750千伏电网基建'!Q85</f>
        <v>1</v>
      </c>
      <c r="BJ85" s="95" t="b">
        <f>R85='[2]500千伏-750千伏电网基建'!R85</f>
        <v>1</v>
      </c>
      <c r="BK85" s="95" t="b">
        <f>S85='[2]500千伏-750千伏电网基建'!S85</f>
        <v>1</v>
      </c>
      <c r="BL85" s="95" t="b">
        <f>T85='[2]500千伏-750千伏电网基建'!T85</f>
        <v>1</v>
      </c>
      <c r="BM85" s="95" t="b">
        <f>U85='[2]500千伏-750千伏电网基建'!U85</f>
        <v>1</v>
      </c>
      <c r="BN85" s="95" t="b">
        <f>V85='[2]500千伏-750千伏电网基建'!V85</f>
        <v>1</v>
      </c>
      <c r="BO85" s="95" t="b">
        <f>W85='[2]500千伏-750千伏电网基建'!W85</f>
        <v>1</v>
      </c>
      <c r="BP85" s="95" t="b">
        <f>X85='[2]500千伏-750千伏电网基建'!X85</f>
        <v>1</v>
      </c>
      <c r="BQ85" s="95" t="b">
        <f>Y85='[2]500千伏-750千伏电网基建'!Y85</f>
        <v>1</v>
      </c>
      <c r="BR85" s="95" t="b">
        <f>Z85='[2]500千伏-750千伏电网基建'!Z85</f>
        <v>1</v>
      </c>
      <c r="BS85" s="95" t="b">
        <f>AA85='[2]500千伏-750千伏电网基建'!AA85</f>
        <v>1</v>
      </c>
      <c r="BT85" s="95" t="b">
        <f>AB85='[2]500千伏-750千伏电网基建'!AB85</f>
        <v>1</v>
      </c>
      <c r="BU85" s="95" t="b">
        <f>AC85='[2]500千伏-750千伏电网基建'!AC85</f>
        <v>1</v>
      </c>
      <c r="BV85" s="95" t="b">
        <f>AD85='[2]500千伏-750千伏电网基建'!AD85</f>
        <v>1</v>
      </c>
      <c r="BW85" s="95" t="b">
        <f>AE85='[2]500千伏-750千伏电网基建'!AE85</f>
        <v>1</v>
      </c>
      <c r="BX85" s="95" t="b">
        <f>AF85='[2]500千伏-750千伏电网基建'!AF85</f>
        <v>1</v>
      </c>
      <c r="BY85" s="95" t="b">
        <f>AG85='[2]500千伏-750千伏电网基建'!AG85</f>
        <v>1</v>
      </c>
      <c r="BZ85" s="95" t="b">
        <f>AH85='[2]500千伏-750千伏电网基建'!AH85</f>
        <v>1</v>
      </c>
      <c r="CA85" s="95" t="b">
        <f>AI85='[2]500千伏-750千伏电网基建'!AI85</f>
        <v>1</v>
      </c>
      <c r="CB85" s="95" t="b">
        <f>AJ85='[2]500千伏-750千伏电网基建'!AJ85</f>
        <v>1</v>
      </c>
      <c r="CC85" s="95" t="b">
        <f>AK85='[2]500千伏-750千伏电网基建'!AK85</f>
        <v>1</v>
      </c>
    </row>
    <row r="86" s="95" customFormat="1" ht="142" hidden="1" customHeight="1" spans="1:81">
      <c r="A86" s="14"/>
      <c r="B86" s="14"/>
      <c r="C86" s="15"/>
      <c r="D86" s="23"/>
      <c r="E86" s="16"/>
      <c r="F86" s="24"/>
      <c r="G86" s="15"/>
      <c r="H86" s="48"/>
      <c r="I86" s="23" t="s">
        <v>1288</v>
      </c>
      <c r="J86" s="16" t="s">
        <v>1289</v>
      </c>
      <c r="K86" s="15"/>
      <c r="L86" s="15"/>
      <c r="M86" s="15"/>
      <c r="N86" s="15"/>
      <c r="O86" s="15"/>
      <c r="P86" s="15"/>
      <c r="Q86" s="15" t="s">
        <v>36</v>
      </c>
      <c r="R86" s="15"/>
      <c r="S86" s="15"/>
      <c r="T86" s="15" t="s">
        <v>465</v>
      </c>
      <c r="U86" s="15" t="s">
        <v>1006</v>
      </c>
      <c r="V86" s="16" t="s">
        <v>1001</v>
      </c>
      <c r="W86" s="35" t="s">
        <v>1002</v>
      </c>
      <c r="X86" s="15" t="s">
        <v>511</v>
      </c>
      <c r="Y86" s="15" t="s">
        <v>566</v>
      </c>
      <c r="Z86" s="30"/>
      <c r="AA86" s="15" t="s">
        <v>474</v>
      </c>
      <c r="AB86" s="15" t="s">
        <v>473</v>
      </c>
      <c r="AC86" s="30"/>
      <c r="AD86" s="15" t="s">
        <v>1003</v>
      </c>
      <c r="AE86" s="15" t="s">
        <v>511</v>
      </c>
      <c r="AF86" s="15"/>
      <c r="AG86" s="30"/>
      <c r="AH86" s="15" t="s">
        <v>476</v>
      </c>
      <c r="AI86" s="15" t="s">
        <v>476</v>
      </c>
      <c r="AJ86" s="15" t="s">
        <v>870</v>
      </c>
      <c r="AK86" s="15"/>
      <c r="AL86" s="1" t="s">
        <v>1064</v>
      </c>
      <c r="AM86" s="23" t="s">
        <v>470</v>
      </c>
      <c r="AN86" s="1"/>
      <c r="AO86" s="7" t="s">
        <v>1045</v>
      </c>
      <c r="AP86" s="7" t="s">
        <v>1045</v>
      </c>
      <c r="AQ86" s="7" t="s">
        <v>1045</v>
      </c>
      <c r="AR86" s="95" t="b">
        <f t="shared" si="1"/>
        <v>1</v>
      </c>
      <c r="AS86" s="95" t="b">
        <f>A86='[2]500千伏-750千伏电网基建'!A86</f>
        <v>1</v>
      </c>
      <c r="AT86" s="95" t="b">
        <f>B86='[2]500千伏-750千伏电网基建'!B86</f>
        <v>1</v>
      </c>
      <c r="AU86" s="95" t="b">
        <f>C86='[2]500千伏-750千伏电网基建'!C86</f>
        <v>1</v>
      </c>
      <c r="AV86" s="95" t="b">
        <f>D86='[2]500千伏-750千伏电网基建'!D86</f>
        <v>1</v>
      </c>
      <c r="AW86" s="95" t="b">
        <f>E86='[2]500千伏-750千伏电网基建'!E86</f>
        <v>1</v>
      </c>
      <c r="AX86" s="95" t="b">
        <f>F86='[2]500千伏-750千伏电网基建'!F86</f>
        <v>1</v>
      </c>
      <c r="AY86" s="95" t="b">
        <f>G86='[2]500千伏-750千伏电网基建'!G86</f>
        <v>1</v>
      </c>
      <c r="AZ86" s="95" t="b">
        <f>H86='[2]500千伏-750千伏电网基建'!H86</f>
        <v>1</v>
      </c>
      <c r="BA86" s="95" t="b">
        <f>I86='[2]500千伏-750千伏电网基建'!I86</f>
        <v>1</v>
      </c>
      <c r="BB86" s="95" t="b">
        <f>J86='[2]500千伏-750千伏电网基建'!J86</f>
        <v>1</v>
      </c>
      <c r="BC86" s="95" t="b">
        <f>K86='[2]500千伏-750千伏电网基建'!K86</f>
        <v>1</v>
      </c>
      <c r="BD86" s="95" t="b">
        <f>L86='[2]500千伏-750千伏电网基建'!L86</f>
        <v>1</v>
      </c>
      <c r="BE86" s="95" t="b">
        <f>M86='[2]500千伏-750千伏电网基建'!M86</f>
        <v>1</v>
      </c>
      <c r="BF86" s="95" t="b">
        <f>N86='[2]500千伏-750千伏电网基建'!N86</f>
        <v>1</v>
      </c>
      <c r="BG86" s="95" t="b">
        <f>O86='[2]500千伏-750千伏电网基建'!O86</f>
        <v>1</v>
      </c>
      <c r="BH86" s="95" t="b">
        <f>P86='[2]500千伏-750千伏电网基建'!P86</f>
        <v>1</v>
      </c>
      <c r="BI86" s="95" t="b">
        <f>Q86='[2]500千伏-750千伏电网基建'!Q86</f>
        <v>1</v>
      </c>
      <c r="BJ86" s="95" t="b">
        <f>R86='[2]500千伏-750千伏电网基建'!R86</f>
        <v>1</v>
      </c>
      <c r="BK86" s="95" t="b">
        <f>S86='[2]500千伏-750千伏电网基建'!S86</f>
        <v>1</v>
      </c>
      <c r="BL86" s="95" t="b">
        <f>T86='[2]500千伏-750千伏电网基建'!T86</f>
        <v>1</v>
      </c>
      <c r="BM86" s="95" t="b">
        <f>U86='[2]500千伏-750千伏电网基建'!U86</f>
        <v>1</v>
      </c>
      <c r="BN86" s="95" t="b">
        <f>V86='[2]500千伏-750千伏电网基建'!V86</f>
        <v>1</v>
      </c>
      <c r="BO86" s="95" t="b">
        <f>W86='[2]500千伏-750千伏电网基建'!W86</f>
        <v>1</v>
      </c>
      <c r="BP86" s="95" t="b">
        <f>X86='[2]500千伏-750千伏电网基建'!X86</f>
        <v>1</v>
      </c>
      <c r="BQ86" s="95" t="b">
        <f>Y86='[2]500千伏-750千伏电网基建'!Y86</f>
        <v>1</v>
      </c>
      <c r="BR86" s="95" t="b">
        <f>Z86='[2]500千伏-750千伏电网基建'!Z86</f>
        <v>1</v>
      </c>
      <c r="BS86" s="95" t="b">
        <f>AA86='[2]500千伏-750千伏电网基建'!AA86</f>
        <v>1</v>
      </c>
      <c r="BT86" s="95" t="b">
        <f>AB86='[2]500千伏-750千伏电网基建'!AB86</f>
        <v>1</v>
      </c>
      <c r="BU86" s="95" t="b">
        <f>AC86='[2]500千伏-750千伏电网基建'!AC86</f>
        <v>1</v>
      </c>
      <c r="BV86" s="95" t="b">
        <f>AD86='[2]500千伏-750千伏电网基建'!AD86</f>
        <v>1</v>
      </c>
      <c r="BW86" s="95" t="b">
        <f>AE86='[2]500千伏-750千伏电网基建'!AE86</f>
        <v>1</v>
      </c>
      <c r="BX86" s="95" t="b">
        <f>AF86='[2]500千伏-750千伏电网基建'!AF86</f>
        <v>1</v>
      </c>
      <c r="BY86" s="95" t="b">
        <f>AG86='[2]500千伏-750千伏电网基建'!AG86</f>
        <v>1</v>
      </c>
      <c r="BZ86" s="95" t="b">
        <f>AH86='[2]500千伏-750千伏电网基建'!AH86</f>
        <v>1</v>
      </c>
      <c r="CA86" s="95" t="b">
        <f>AI86='[2]500千伏-750千伏电网基建'!AI86</f>
        <v>1</v>
      </c>
      <c r="CB86" s="95" t="b">
        <f>AJ86='[2]500千伏-750千伏电网基建'!AJ86</f>
        <v>1</v>
      </c>
      <c r="CC86" s="95" t="b">
        <f>AK86='[2]500千伏-750千伏电网基建'!AK86</f>
        <v>1</v>
      </c>
    </row>
    <row r="87" s="95" customFormat="1" ht="73" hidden="1" customHeight="1" spans="1:81">
      <c r="A87" s="14" t="s">
        <v>483</v>
      </c>
      <c r="B87" s="14" t="s">
        <v>922</v>
      </c>
      <c r="C87" s="15" t="s">
        <v>536</v>
      </c>
      <c r="D87" s="23" t="s">
        <v>995</v>
      </c>
      <c r="E87" s="16" t="s">
        <v>1007</v>
      </c>
      <c r="F87" s="40"/>
      <c r="G87" s="15" t="s">
        <v>1290</v>
      </c>
      <c r="H87" s="16" t="s">
        <v>1009</v>
      </c>
      <c r="I87" s="23" t="s">
        <v>1291</v>
      </c>
      <c r="J87" s="16" t="s">
        <v>1292</v>
      </c>
      <c r="K87" s="15"/>
      <c r="L87" s="15" t="s">
        <v>36</v>
      </c>
      <c r="M87" s="15"/>
      <c r="N87" s="15"/>
      <c r="O87" s="15"/>
      <c r="P87" s="15"/>
      <c r="Q87" s="15" t="s">
        <v>36</v>
      </c>
      <c r="R87" s="15"/>
      <c r="S87" s="15"/>
      <c r="T87" s="15" t="s">
        <v>465</v>
      </c>
      <c r="U87" s="15" t="s">
        <v>467</v>
      </c>
      <c r="V87" s="16" t="s">
        <v>1012</v>
      </c>
      <c r="W87" s="35" t="s">
        <v>1013</v>
      </c>
      <c r="X87" s="15" t="s">
        <v>511</v>
      </c>
      <c r="Y87" s="15" t="s">
        <v>566</v>
      </c>
      <c r="Z87" s="30"/>
      <c r="AA87" s="15" t="s">
        <v>474</v>
      </c>
      <c r="AB87" s="15" t="s">
        <v>473</v>
      </c>
      <c r="AC87" s="30"/>
      <c r="AD87" s="15" t="s">
        <v>1014</v>
      </c>
      <c r="AE87" s="15" t="s">
        <v>511</v>
      </c>
      <c r="AF87" s="15"/>
      <c r="AG87" s="30"/>
      <c r="AH87" s="15" t="s">
        <v>476</v>
      </c>
      <c r="AI87" s="15" t="s">
        <v>476</v>
      </c>
      <c r="AJ87" s="15" t="s">
        <v>870</v>
      </c>
      <c r="AK87" s="15" t="s">
        <v>532</v>
      </c>
      <c r="AL87" s="1" t="s">
        <v>1064</v>
      </c>
      <c r="AM87" s="23" t="s">
        <v>470</v>
      </c>
      <c r="AN87" s="1"/>
      <c r="AO87" s="7" t="s">
        <v>1045</v>
      </c>
      <c r="AP87" s="7" t="s">
        <v>1045</v>
      </c>
      <c r="AQ87" s="7" t="s">
        <v>1045</v>
      </c>
      <c r="AR87" s="95" t="b">
        <f t="shared" si="1"/>
        <v>1</v>
      </c>
      <c r="AS87" s="95" t="b">
        <f>A87='[2]500千伏-750千伏电网基建'!A87</f>
        <v>1</v>
      </c>
      <c r="AT87" s="95" t="b">
        <f>B87='[2]500千伏-750千伏电网基建'!B87</f>
        <v>1</v>
      </c>
      <c r="AU87" s="95" t="b">
        <f>C87='[2]500千伏-750千伏电网基建'!C87</f>
        <v>1</v>
      </c>
      <c r="AV87" s="95" t="b">
        <f>D87='[2]500千伏-750千伏电网基建'!D87</f>
        <v>1</v>
      </c>
      <c r="AW87" s="95" t="b">
        <f>E87='[2]500千伏-750千伏电网基建'!E87</f>
        <v>1</v>
      </c>
      <c r="AX87" s="95" t="b">
        <f>F87='[2]500千伏-750千伏电网基建'!F87</f>
        <v>1</v>
      </c>
      <c r="AY87" s="95" t="b">
        <f>G87='[2]500千伏-750千伏电网基建'!G87</f>
        <v>1</v>
      </c>
      <c r="AZ87" s="95" t="b">
        <f>H87='[2]500千伏-750千伏电网基建'!H87</f>
        <v>1</v>
      </c>
      <c r="BA87" s="95" t="b">
        <f>I87='[2]500千伏-750千伏电网基建'!I87</f>
        <v>1</v>
      </c>
      <c r="BB87" s="95" t="b">
        <f>J87='[2]500千伏-750千伏电网基建'!J87</f>
        <v>1</v>
      </c>
      <c r="BC87" s="95" t="b">
        <f>K87='[2]500千伏-750千伏电网基建'!K87</f>
        <v>1</v>
      </c>
      <c r="BD87" s="95" t="b">
        <f>L87='[2]500千伏-750千伏电网基建'!L87</f>
        <v>1</v>
      </c>
      <c r="BE87" s="95" t="b">
        <f>M87='[2]500千伏-750千伏电网基建'!M87</f>
        <v>1</v>
      </c>
      <c r="BF87" s="95" t="b">
        <f>N87='[2]500千伏-750千伏电网基建'!N87</f>
        <v>1</v>
      </c>
      <c r="BG87" s="95" t="b">
        <f>O87='[2]500千伏-750千伏电网基建'!O87</f>
        <v>1</v>
      </c>
      <c r="BH87" s="95" t="b">
        <f>P87='[2]500千伏-750千伏电网基建'!P87</f>
        <v>1</v>
      </c>
      <c r="BI87" s="95" t="b">
        <f>Q87='[2]500千伏-750千伏电网基建'!Q87</f>
        <v>1</v>
      </c>
      <c r="BJ87" s="95" t="b">
        <f>R87='[2]500千伏-750千伏电网基建'!R87</f>
        <v>1</v>
      </c>
      <c r="BK87" s="95" t="b">
        <f>S87='[2]500千伏-750千伏电网基建'!S87</f>
        <v>1</v>
      </c>
      <c r="BL87" s="95" t="b">
        <f>T87='[2]500千伏-750千伏电网基建'!T87</f>
        <v>1</v>
      </c>
      <c r="BM87" s="95" t="b">
        <f>U87='[2]500千伏-750千伏电网基建'!U87</f>
        <v>1</v>
      </c>
      <c r="BN87" s="95" t="b">
        <f>V87='[2]500千伏-750千伏电网基建'!V87</f>
        <v>1</v>
      </c>
      <c r="BO87" s="95" t="b">
        <f>W87='[2]500千伏-750千伏电网基建'!W87</f>
        <v>1</v>
      </c>
      <c r="BP87" s="95" t="b">
        <f>X87='[2]500千伏-750千伏电网基建'!X87</f>
        <v>1</v>
      </c>
      <c r="BQ87" s="95" t="b">
        <f>Y87='[2]500千伏-750千伏电网基建'!Y87</f>
        <v>1</v>
      </c>
      <c r="BR87" s="95" t="b">
        <f>Z87='[2]500千伏-750千伏电网基建'!Z87</f>
        <v>1</v>
      </c>
      <c r="BS87" s="95" t="b">
        <f>AA87='[2]500千伏-750千伏电网基建'!AA87</f>
        <v>1</v>
      </c>
      <c r="BT87" s="95" t="b">
        <f>AB87='[2]500千伏-750千伏电网基建'!AB87</f>
        <v>1</v>
      </c>
      <c r="BU87" s="95" t="b">
        <f>AC87='[2]500千伏-750千伏电网基建'!AC87</f>
        <v>1</v>
      </c>
      <c r="BV87" s="95" t="b">
        <f>AD87='[2]500千伏-750千伏电网基建'!AD87</f>
        <v>1</v>
      </c>
      <c r="BW87" s="95" t="b">
        <f>AE87='[2]500千伏-750千伏电网基建'!AE87</f>
        <v>1</v>
      </c>
      <c r="BX87" s="95" t="b">
        <f>AF87='[2]500千伏-750千伏电网基建'!AF87</f>
        <v>1</v>
      </c>
      <c r="BY87" s="95" t="b">
        <f>AG87='[2]500千伏-750千伏电网基建'!AG87</f>
        <v>1</v>
      </c>
      <c r="BZ87" s="95" t="b">
        <f>AH87='[2]500千伏-750千伏电网基建'!AH87</f>
        <v>1</v>
      </c>
      <c r="CA87" s="95" t="b">
        <f>AI87='[2]500千伏-750千伏电网基建'!AI87</f>
        <v>1</v>
      </c>
      <c r="CB87" s="95" t="b">
        <f>AJ87='[2]500千伏-750千伏电网基建'!AJ87</f>
        <v>1</v>
      </c>
      <c r="CC87" s="95" t="b">
        <f>AK87='[2]500千伏-750千伏电网基建'!AK87</f>
        <v>1</v>
      </c>
    </row>
    <row r="88" s="95" customFormat="1" ht="77" hidden="1" customHeight="1" spans="1:81">
      <c r="A88" s="14"/>
      <c r="B88" s="14"/>
      <c r="C88" s="15"/>
      <c r="D88" s="23"/>
      <c r="E88" s="16"/>
      <c r="F88" s="40"/>
      <c r="G88" s="15"/>
      <c r="H88" s="16"/>
      <c r="I88" s="23" t="s">
        <v>1293</v>
      </c>
      <c r="J88" s="16" t="s">
        <v>1294</v>
      </c>
      <c r="K88" s="15"/>
      <c r="L88" s="15" t="s">
        <v>36</v>
      </c>
      <c r="M88" s="15"/>
      <c r="N88" s="15"/>
      <c r="O88" s="15"/>
      <c r="P88" s="15"/>
      <c r="Q88" s="15" t="s">
        <v>36</v>
      </c>
      <c r="R88" s="15"/>
      <c r="S88" s="15"/>
      <c r="T88" s="15" t="s">
        <v>465</v>
      </c>
      <c r="U88" s="15" t="s">
        <v>467</v>
      </c>
      <c r="V88" s="16" t="s">
        <v>1017</v>
      </c>
      <c r="W88" s="35" t="s">
        <v>1013</v>
      </c>
      <c r="X88" s="15" t="s">
        <v>511</v>
      </c>
      <c r="Y88" s="15" t="s">
        <v>566</v>
      </c>
      <c r="Z88" s="30"/>
      <c r="AA88" s="15" t="s">
        <v>474</v>
      </c>
      <c r="AB88" s="15" t="s">
        <v>473</v>
      </c>
      <c r="AC88" s="30"/>
      <c r="AD88" s="15" t="s">
        <v>1014</v>
      </c>
      <c r="AE88" s="15" t="s">
        <v>511</v>
      </c>
      <c r="AF88" s="15"/>
      <c r="AG88" s="30"/>
      <c r="AH88" s="15" t="s">
        <v>476</v>
      </c>
      <c r="AI88" s="15" t="s">
        <v>476</v>
      </c>
      <c r="AJ88" s="15" t="s">
        <v>870</v>
      </c>
      <c r="AK88" s="15"/>
      <c r="AL88" s="1" t="s">
        <v>1064</v>
      </c>
      <c r="AM88" s="23" t="s">
        <v>470</v>
      </c>
      <c r="AN88" s="1"/>
      <c r="AO88" s="7" t="s">
        <v>1045</v>
      </c>
      <c r="AP88" s="7" t="s">
        <v>1045</v>
      </c>
      <c r="AQ88" s="7" t="s">
        <v>1045</v>
      </c>
      <c r="AR88" s="95" t="b">
        <f t="shared" si="1"/>
        <v>1</v>
      </c>
      <c r="AS88" s="95" t="b">
        <f>A88='[2]500千伏-750千伏电网基建'!A88</f>
        <v>1</v>
      </c>
      <c r="AT88" s="95" t="b">
        <f>B88='[2]500千伏-750千伏电网基建'!B88</f>
        <v>1</v>
      </c>
      <c r="AU88" s="95" t="b">
        <f>C88='[2]500千伏-750千伏电网基建'!C88</f>
        <v>1</v>
      </c>
      <c r="AV88" s="95" t="b">
        <f>D88='[2]500千伏-750千伏电网基建'!D88</f>
        <v>1</v>
      </c>
      <c r="AW88" s="95" t="b">
        <f>E88='[2]500千伏-750千伏电网基建'!E88</f>
        <v>1</v>
      </c>
      <c r="AX88" s="95" t="b">
        <f>F88='[2]500千伏-750千伏电网基建'!F88</f>
        <v>1</v>
      </c>
      <c r="AY88" s="95" t="b">
        <f>G88='[2]500千伏-750千伏电网基建'!G88</f>
        <v>1</v>
      </c>
      <c r="AZ88" s="95" t="b">
        <f>H88='[2]500千伏-750千伏电网基建'!H88</f>
        <v>1</v>
      </c>
      <c r="BA88" s="95" t="b">
        <f>I88='[2]500千伏-750千伏电网基建'!I88</f>
        <v>1</v>
      </c>
      <c r="BB88" s="95" t="b">
        <f>J88='[2]500千伏-750千伏电网基建'!J88</f>
        <v>1</v>
      </c>
      <c r="BC88" s="95" t="b">
        <f>K88='[2]500千伏-750千伏电网基建'!K88</f>
        <v>1</v>
      </c>
      <c r="BD88" s="95" t="b">
        <f>L88='[2]500千伏-750千伏电网基建'!L88</f>
        <v>1</v>
      </c>
      <c r="BE88" s="95" t="b">
        <f>M88='[2]500千伏-750千伏电网基建'!M88</f>
        <v>1</v>
      </c>
      <c r="BF88" s="95" t="b">
        <f>N88='[2]500千伏-750千伏电网基建'!N88</f>
        <v>1</v>
      </c>
      <c r="BG88" s="95" t="b">
        <f>O88='[2]500千伏-750千伏电网基建'!O88</f>
        <v>1</v>
      </c>
      <c r="BH88" s="95" t="b">
        <f>P88='[2]500千伏-750千伏电网基建'!P88</f>
        <v>1</v>
      </c>
      <c r="BI88" s="95" t="b">
        <f>Q88='[2]500千伏-750千伏电网基建'!Q88</f>
        <v>1</v>
      </c>
      <c r="BJ88" s="95" t="b">
        <f>R88='[2]500千伏-750千伏电网基建'!R88</f>
        <v>1</v>
      </c>
      <c r="BK88" s="95" t="b">
        <f>S88='[2]500千伏-750千伏电网基建'!S88</f>
        <v>1</v>
      </c>
      <c r="BL88" s="95" t="b">
        <f>T88='[2]500千伏-750千伏电网基建'!T88</f>
        <v>1</v>
      </c>
      <c r="BM88" s="95" t="b">
        <f>U88='[2]500千伏-750千伏电网基建'!U88</f>
        <v>1</v>
      </c>
      <c r="BN88" s="95" t="b">
        <f>V88='[2]500千伏-750千伏电网基建'!V88</f>
        <v>1</v>
      </c>
      <c r="BO88" s="95" t="b">
        <f>W88='[2]500千伏-750千伏电网基建'!W88</f>
        <v>1</v>
      </c>
      <c r="BP88" s="95" t="b">
        <f>X88='[2]500千伏-750千伏电网基建'!X88</f>
        <v>1</v>
      </c>
      <c r="BQ88" s="95" t="b">
        <f>Y88='[2]500千伏-750千伏电网基建'!Y88</f>
        <v>1</v>
      </c>
      <c r="BR88" s="95" t="b">
        <f>Z88='[2]500千伏-750千伏电网基建'!Z88</f>
        <v>1</v>
      </c>
      <c r="BS88" s="95" t="b">
        <f>AA88='[2]500千伏-750千伏电网基建'!AA88</f>
        <v>1</v>
      </c>
      <c r="BT88" s="95" t="b">
        <f>AB88='[2]500千伏-750千伏电网基建'!AB88</f>
        <v>1</v>
      </c>
      <c r="BU88" s="95" t="b">
        <f>AC88='[2]500千伏-750千伏电网基建'!AC88</f>
        <v>1</v>
      </c>
      <c r="BV88" s="95" t="b">
        <f>AD88='[2]500千伏-750千伏电网基建'!AD88</f>
        <v>1</v>
      </c>
      <c r="BW88" s="95" t="b">
        <f>AE88='[2]500千伏-750千伏电网基建'!AE88</f>
        <v>1</v>
      </c>
      <c r="BX88" s="95" t="b">
        <f>AF88='[2]500千伏-750千伏电网基建'!AF88</f>
        <v>1</v>
      </c>
      <c r="BY88" s="95" t="b">
        <f>AG88='[2]500千伏-750千伏电网基建'!AG88</f>
        <v>1</v>
      </c>
      <c r="BZ88" s="95" t="b">
        <f>AH88='[2]500千伏-750千伏电网基建'!AH88</f>
        <v>1</v>
      </c>
      <c r="CA88" s="95" t="b">
        <f>AI88='[2]500千伏-750千伏电网基建'!AI88</f>
        <v>1</v>
      </c>
      <c r="CB88" s="95" t="b">
        <f>AJ88='[2]500千伏-750千伏电网基建'!AJ88</f>
        <v>1</v>
      </c>
      <c r="CC88" s="95" t="b">
        <f>AK88='[2]500千伏-750千伏电网基建'!AK88</f>
        <v>1</v>
      </c>
    </row>
    <row r="89" s="95" customFormat="1" ht="81" customHeight="1" spans="1:81">
      <c r="A89" s="14"/>
      <c r="B89" s="14"/>
      <c r="C89" s="15"/>
      <c r="D89" s="23"/>
      <c r="E89" s="16"/>
      <c r="F89" s="40"/>
      <c r="G89" s="15"/>
      <c r="H89" s="16"/>
      <c r="I89" s="23" t="s">
        <v>1295</v>
      </c>
      <c r="J89" s="16" t="s">
        <v>1296</v>
      </c>
      <c r="K89" s="15"/>
      <c r="L89" s="15"/>
      <c r="M89" s="15"/>
      <c r="N89" s="15"/>
      <c r="O89" s="15"/>
      <c r="P89" s="15"/>
      <c r="Q89" s="15" t="s">
        <v>36</v>
      </c>
      <c r="R89" s="15"/>
      <c r="S89" s="15"/>
      <c r="T89" s="15" t="s">
        <v>550</v>
      </c>
      <c r="U89" s="15" t="s">
        <v>467</v>
      </c>
      <c r="V89" s="16" t="s">
        <v>1020</v>
      </c>
      <c r="W89" s="35" t="s">
        <v>1002</v>
      </c>
      <c r="X89" s="15" t="s">
        <v>511</v>
      </c>
      <c r="Y89" s="15" t="s">
        <v>566</v>
      </c>
      <c r="Z89" s="30"/>
      <c r="AA89" s="15" t="s">
        <v>474</v>
      </c>
      <c r="AB89" s="15" t="s">
        <v>473</v>
      </c>
      <c r="AC89" s="30"/>
      <c r="AD89" s="15"/>
      <c r="AE89" s="30"/>
      <c r="AF89" s="15"/>
      <c r="AG89" s="30"/>
      <c r="AH89" s="15" t="s">
        <v>476</v>
      </c>
      <c r="AI89" s="15" t="s">
        <v>476</v>
      </c>
      <c r="AJ89" s="15" t="s">
        <v>870</v>
      </c>
      <c r="AK89" s="15"/>
      <c r="AL89" s="1" t="s">
        <v>1064</v>
      </c>
      <c r="AM89" s="23" t="s">
        <v>470</v>
      </c>
      <c r="AN89" s="1"/>
      <c r="AO89" s="7" t="s">
        <v>1045</v>
      </c>
      <c r="AP89" s="7" t="s">
        <v>1059</v>
      </c>
      <c r="AQ89" s="7" t="s">
        <v>1045</v>
      </c>
      <c r="AR89" s="95" t="b">
        <f t="shared" si="1"/>
        <v>0</v>
      </c>
      <c r="AS89" s="95" t="b">
        <f>A89='[2]500千伏-750千伏电网基建'!A89</f>
        <v>1</v>
      </c>
      <c r="AT89" s="95" t="b">
        <f>B89='[2]500千伏-750千伏电网基建'!B89</f>
        <v>1</v>
      </c>
      <c r="AU89" s="95" t="b">
        <f>C89='[2]500千伏-750千伏电网基建'!C89</f>
        <v>1</v>
      </c>
      <c r="AV89" s="95" t="b">
        <f>D89='[2]500千伏-750千伏电网基建'!D89</f>
        <v>1</v>
      </c>
      <c r="AW89" s="95" t="b">
        <f>E89='[2]500千伏-750千伏电网基建'!E89</f>
        <v>1</v>
      </c>
      <c r="AX89" s="95" t="b">
        <f>F89='[2]500千伏-750千伏电网基建'!F89</f>
        <v>1</v>
      </c>
      <c r="AY89" s="95" t="b">
        <f>G89='[2]500千伏-750千伏电网基建'!G89</f>
        <v>1</v>
      </c>
      <c r="AZ89" s="95" t="b">
        <f>H89='[2]500千伏-750千伏电网基建'!H89</f>
        <v>1</v>
      </c>
      <c r="BA89" s="95" t="b">
        <f>I89='[2]500千伏-750千伏电网基建'!I89</f>
        <v>1</v>
      </c>
      <c r="BB89" s="95" t="b">
        <f>J89='[2]500千伏-750千伏电网基建'!J89</f>
        <v>1</v>
      </c>
      <c r="BC89" s="95" t="b">
        <f>K89='[2]500千伏-750千伏电网基建'!K89</f>
        <v>1</v>
      </c>
      <c r="BD89" s="95" t="b">
        <f>L89='[2]500千伏-750千伏电网基建'!L89</f>
        <v>1</v>
      </c>
      <c r="BE89" s="95" t="b">
        <f>M89='[2]500千伏-750千伏电网基建'!M89</f>
        <v>1</v>
      </c>
      <c r="BF89" s="95" t="b">
        <f>N89='[2]500千伏-750千伏电网基建'!N89</f>
        <v>1</v>
      </c>
      <c r="BG89" s="95" t="b">
        <f>O89='[2]500千伏-750千伏电网基建'!O89</f>
        <v>1</v>
      </c>
      <c r="BH89" s="95" t="b">
        <f>P89='[2]500千伏-750千伏电网基建'!P89</f>
        <v>1</v>
      </c>
      <c r="BI89" s="95" t="b">
        <f>Q89='[2]500千伏-750千伏电网基建'!Q89</f>
        <v>1</v>
      </c>
      <c r="BJ89" s="95" t="b">
        <f>R89='[2]500千伏-750千伏电网基建'!R89</f>
        <v>1</v>
      </c>
      <c r="BK89" s="95" t="b">
        <f>S89='[2]500千伏-750千伏电网基建'!S89</f>
        <v>1</v>
      </c>
      <c r="BL89" s="95" t="b">
        <f>T89='[2]500千伏-750千伏电网基建'!T89</f>
        <v>1</v>
      </c>
      <c r="BM89" s="95" t="b">
        <f>U89='[2]500千伏-750千伏电网基建'!U89</f>
        <v>1</v>
      </c>
      <c r="BN89" s="95" t="b">
        <f>V89='[2]500千伏-750千伏电网基建'!V89</f>
        <v>1</v>
      </c>
      <c r="BO89" s="95" t="b">
        <f>W89='[2]500千伏-750千伏电网基建'!W89</f>
        <v>1</v>
      </c>
      <c r="BP89" s="95" t="b">
        <f>X89='[2]500千伏-750千伏电网基建'!X89</f>
        <v>1</v>
      </c>
      <c r="BQ89" s="95" t="b">
        <f>Y89='[2]500千伏-750千伏电网基建'!Y89</f>
        <v>1</v>
      </c>
      <c r="BR89" s="95" t="b">
        <f>Z89='[2]500千伏-750千伏电网基建'!Z89</f>
        <v>1</v>
      </c>
      <c r="BS89" s="95" t="b">
        <f>AA89='[2]500千伏-750千伏电网基建'!AA89</f>
        <v>1</v>
      </c>
      <c r="BT89" s="95" t="b">
        <f>AB89='[2]500千伏-750千伏电网基建'!AB89</f>
        <v>1</v>
      </c>
      <c r="BU89" s="95" t="b">
        <f>AC89='[2]500千伏-750千伏电网基建'!AC89</f>
        <v>1</v>
      </c>
      <c r="BV89" s="95" t="b">
        <f>AD89='[2]500千伏-750千伏电网基建'!AD89</f>
        <v>1</v>
      </c>
      <c r="BW89" s="95" t="b">
        <f>AE89='[2]500千伏-750千伏电网基建'!AE89</f>
        <v>1</v>
      </c>
      <c r="BX89" s="95" t="b">
        <f>AF89='[2]500千伏-750千伏电网基建'!AF89</f>
        <v>1</v>
      </c>
      <c r="BY89" s="95" t="b">
        <f>AG89='[2]500千伏-750千伏电网基建'!AG89</f>
        <v>1</v>
      </c>
      <c r="BZ89" s="95" t="b">
        <f>AH89='[2]500千伏-750千伏电网基建'!AH89</f>
        <v>1</v>
      </c>
      <c r="CA89" s="95" t="b">
        <f>AI89='[2]500千伏-750千伏电网基建'!AI89</f>
        <v>1</v>
      </c>
      <c r="CB89" s="95" t="b">
        <f>AJ89='[2]500千伏-750千伏电网基建'!AJ89</f>
        <v>1</v>
      </c>
      <c r="CC89" s="95" t="b">
        <f>AK89='[2]500千伏-750千伏电网基建'!AK89</f>
        <v>1</v>
      </c>
    </row>
    <row r="90" s="95" customFormat="1" ht="69" hidden="1" customHeight="1" spans="1:81">
      <c r="A90" s="14"/>
      <c r="B90" s="14"/>
      <c r="C90" s="15" t="s">
        <v>536</v>
      </c>
      <c r="D90" s="15" t="s">
        <v>1021</v>
      </c>
      <c r="E90" s="16" t="s">
        <v>1022</v>
      </c>
      <c r="F90" s="16"/>
      <c r="G90" s="15" t="s">
        <v>1297</v>
      </c>
      <c r="H90" s="45" t="s">
        <v>1024</v>
      </c>
      <c r="I90" s="23" t="s">
        <v>1298</v>
      </c>
      <c r="J90" s="16" t="s">
        <v>1299</v>
      </c>
      <c r="K90" s="15"/>
      <c r="L90" s="15" t="s">
        <v>36</v>
      </c>
      <c r="M90" s="15"/>
      <c r="N90" s="15"/>
      <c r="O90" s="15"/>
      <c r="P90" s="15"/>
      <c r="Q90" s="15"/>
      <c r="R90" s="15"/>
      <c r="S90" s="15" t="s">
        <v>36</v>
      </c>
      <c r="T90" s="15" t="s">
        <v>492</v>
      </c>
      <c r="U90" s="15"/>
      <c r="V90" s="16" t="s">
        <v>1027</v>
      </c>
      <c r="W90" s="105" t="s">
        <v>1300</v>
      </c>
      <c r="X90" s="15" t="s">
        <v>474</v>
      </c>
      <c r="Y90" s="15" t="s">
        <v>473</v>
      </c>
      <c r="Z90" s="15"/>
      <c r="AA90" s="15" t="s">
        <v>474</v>
      </c>
      <c r="AB90" s="15" t="s">
        <v>473</v>
      </c>
      <c r="AC90" s="15"/>
      <c r="AD90" s="15"/>
      <c r="AE90" s="30"/>
      <c r="AF90" s="15"/>
      <c r="AG90" s="15"/>
      <c r="AH90" s="15" t="s">
        <v>476</v>
      </c>
      <c r="AI90" s="15" t="s">
        <v>476</v>
      </c>
      <c r="AJ90" s="15" t="s">
        <v>1028</v>
      </c>
      <c r="AK90" s="15" t="s">
        <v>497</v>
      </c>
      <c r="AL90" s="102" t="s">
        <v>1043</v>
      </c>
      <c r="AM90" s="23" t="s">
        <v>1044</v>
      </c>
      <c r="AN90" s="1"/>
      <c r="AO90" s="7" t="s">
        <v>1045</v>
      </c>
      <c r="AP90" s="7" t="s">
        <v>1045</v>
      </c>
      <c r="AQ90" s="7" t="s">
        <v>1045</v>
      </c>
      <c r="AR90" s="95" t="b">
        <f t="shared" si="1"/>
        <v>1</v>
      </c>
      <c r="AS90" s="95" t="b">
        <f>A90='[2]500千伏-750千伏电网基建'!A90</f>
        <v>1</v>
      </c>
      <c r="AT90" s="95" t="b">
        <f>B90='[2]500千伏-750千伏电网基建'!B90</f>
        <v>1</v>
      </c>
      <c r="AU90" s="95" t="b">
        <f>C90='[2]500千伏-750千伏电网基建'!C90</f>
        <v>1</v>
      </c>
      <c r="AV90" s="95" t="b">
        <f>D90='[2]500千伏-750千伏电网基建'!D90</f>
        <v>1</v>
      </c>
      <c r="AW90" s="95" t="b">
        <f>E90='[2]500千伏-750千伏电网基建'!E90</f>
        <v>1</v>
      </c>
      <c r="AX90" s="95" t="b">
        <f>F90='[2]500千伏-750千伏电网基建'!F90</f>
        <v>1</v>
      </c>
      <c r="AY90" s="95" t="b">
        <f>G90='[2]500千伏-750千伏电网基建'!G90</f>
        <v>1</v>
      </c>
      <c r="AZ90" s="95" t="b">
        <f>H90='[2]500千伏-750千伏电网基建'!H90</f>
        <v>1</v>
      </c>
      <c r="BA90" s="95" t="b">
        <f>I90='[2]500千伏-750千伏电网基建'!I90</f>
        <v>1</v>
      </c>
      <c r="BB90" s="95" t="b">
        <f>J90='[2]500千伏-750千伏电网基建'!J90</f>
        <v>1</v>
      </c>
      <c r="BC90" s="95" t="b">
        <f>K90='[2]500千伏-750千伏电网基建'!K90</f>
        <v>1</v>
      </c>
      <c r="BD90" s="95" t="b">
        <f>L90='[2]500千伏-750千伏电网基建'!L90</f>
        <v>1</v>
      </c>
      <c r="BE90" s="95" t="b">
        <f>M90='[2]500千伏-750千伏电网基建'!M90</f>
        <v>1</v>
      </c>
      <c r="BF90" s="95" t="b">
        <f>N90='[2]500千伏-750千伏电网基建'!N90</f>
        <v>1</v>
      </c>
      <c r="BG90" s="95" t="b">
        <f>O90='[2]500千伏-750千伏电网基建'!O90</f>
        <v>1</v>
      </c>
      <c r="BH90" s="95" t="b">
        <f>P90='[2]500千伏-750千伏电网基建'!P90</f>
        <v>1</v>
      </c>
      <c r="BI90" s="95" t="b">
        <f>Q90='[2]500千伏-750千伏电网基建'!Q90</f>
        <v>1</v>
      </c>
      <c r="BJ90" s="95" t="b">
        <f>R90='[2]500千伏-750千伏电网基建'!R90</f>
        <v>1</v>
      </c>
      <c r="BK90" s="95" t="b">
        <f>S90='[2]500千伏-750千伏电网基建'!S90</f>
        <v>1</v>
      </c>
      <c r="BL90" s="95" t="b">
        <f>T90='[2]500千伏-750千伏电网基建'!T90</f>
        <v>1</v>
      </c>
      <c r="BM90" s="95" t="b">
        <f>U90='[2]500千伏-750千伏电网基建'!U90</f>
        <v>1</v>
      </c>
      <c r="BN90" s="95" t="b">
        <f>V90='[2]500千伏-750千伏电网基建'!V90</f>
        <v>1</v>
      </c>
      <c r="BO90" s="95" t="b">
        <f>W90='[2]500千伏-750千伏电网基建'!W90</f>
        <v>1</v>
      </c>
      <c r="BP90" s="95" t="b">
        <f>X90='[2]500千伏-750千伏电网基建'!X90</f>
        <v>1</v>
      </c>
      <c r="BQ90" s="95" t="b">
        <f>Y90='[2]500千伏-750千伏电网基建'!Y90</f>
        <v>1</v>
      </c>
      <c r="BR90" s="95" t="b">
        <f>Z90='[2]500千伏-750千伏电网基建'!Z90</f>
        <v>1</v>
      </c>
      <c r="BS90" s="95" t="b">
        <f>AA90='[2]500千伏-750千伏电网基建'!AA90</f>
        <v>1</v>
      </c>
      <c r="BT90" s="95" t="b">
        <f>AB90='[2]500千伏-750千伏电网基建'!AB90</f>
        <v>1</v>
      </c>
      <c r="BU90" s="95" t="b">
        <f>AC90='[2]500千伏-750千伏电网基建'!AC90</f>
        <v>1</v>
      </c>
      <c r="BV90" s="95" t="b">
        <f>AD90='[2]500千伏-750千伏电网基建'!AD90</f>
        <v>1</v>
      </c>
      <c r="BW90" s="95" t="b">
        <f>AE90='[2]500千伏-750千伏电网基建'!AE90</f>
        <v>1</v>
      </c>
      <c r="BX90" s="95" t="b">
        <f>AF90='[2]500千伏-750千伏电网基建'!AF90</f>
        <v>1</v>
      </c>
      <c r="BY90" s="95" t="b">
        <f>AG90='[2]500千伏-750千伏电网基建'!AG90</f>
        <v>1</v>
      </c>
      <c r="BZ90" s="95" t="b">
        <f>AH90='[2]500千伏-750千伏电网基建'!AH90</f>
        <v>1</v>
      </c>
      <c r="CA90" s="95" t="b">
        <f>AI90='[2]500千伏-750千伏电网基建'!AI90</f>
        <v>1</v>
      </c>
      <c r="CB90" s="95" t="b">
        <f>AJ90='[2]500千伏-750千伏电网基建'!AJ90</f>
        <v>1</v>
      </c>
      <c r="CC90" s="95" t="b">
        <f>AK90='[2]500千伏-750千伏电网基建'!AK90</f>
        <v>1</v>
      </c>
    </row>
    <row r="91" s="95" customFormat="1" ht="73" hidden="1" customHeight="1" spans="1:81">
      <c r="A91" s="14"/>
      <c r="B91" s="14"/>
      <c r="C91" s="15"/>
      <c r="D91" s="15"/>
      <c r="E91" s="16"/>
      <c r="F91" s="16"/>
      <c r="G91" s="15"/>
      <c r="H91" s="47"/>
      <c r="I91" s="23" t="s">
        <v>1301</v>
      </c>
      <c r="J91" s="16" t="s">
        <v>1302</v>
      </c>
      <c r="K91" s="15"/>
      <c r="L91" s="15" t="s">
        <v>36</v>
      </c>
      <c r="M91" s="15"/>
      <c r="N91" s="15"/>
      <c r="O91" s="15"/>
      <c r="P91" s="15"/>
      <c r="Q91" s="15"/>
      <c r="R91" s="15"/>
      <c r="S91" s="15" t="s">
        <v>36</v>
      </c>
      <c r="T91" s="15" t="s">
        <v>492</v>
      </c>
      <c r="U91" s="15"/>
      <c r="V91" s="16" t="s">
        <v>1031</v>
      </c>
      <c r="W91" s="105" t="s">
        <v>1300</v>
      </c>
      <c r="X91" s="15" t="s">
        <v>474</v>
      </c>
      <c r="Y91" s="15" t="s">
        <v>473</v>
      </c>
      <c r="Z91" s="15"/>
      <c r="AA91" s="15" t="s">
        <v>474</v>
      </c>
      <c r="AB91" s="15" t="s">
        <v>473</v>
      </c>
      <c r="AC91" s="15"/>
      <c r="AD91" s="15"/>
      <c r="AE91" s="30"/>
      <c r="AF91" s="15"/>
      <c r="AG91" s="15"/>
      <c r="AH91" s="15" t="s">
        <v>476</v>
      </c>
      <c r="AI91" s="15" t="s">
        <v>476</v>
      </c>
      <c r="AJ91" s="15" t="s">
        <v>1028</v>
      </c>
      <c r="AK91" s="15"/>
      <c r="AL91" s="102" t="s">
        <v>1043</v>
      </c>
      <c r="AM91" s="23" t="s">
        <v>1044</v>
      </c>
      <c r="AN91" s="1"/>
      <c r="AO91" s="7" t="s">
        <v>1045</v>
      </c>
      <c r="AP91" s="7" t="s">
        <v>1045</v>
      </c>
      <c r="AQ91" s="7" t="s">
        <v>1045</v>
      </c>
      <c r="AR91" s="95" t="b">
        <f t="shared" si="1"/>
        <v>1</v>
      </c>
      <c r="AS91" s="95" t="b">
        <f>A91='[2]500千伏-750千伏电网基建'!A91</f>
        <v>1</v>
      </c>
      <c r="AT91" s="95" t="b">
        <f>B91='[2]500千伏-750千伏电网基建'!B91</f>
        <v>1</v>
      </c>
      <c r="AU91" s="95" t="b">
        <f>C91='[2]500千伏-750千伏电网基建'!C91</f>
        <v>1</v>
      </c>
      <c r="AV91" s="95" t="b">
        <f>D91='[2]500千伏-750千伏电网基建'!D91</f>
        <v>1</v>
      </c>
      <c r="AW91" s="95" t="b">
        <f>E91='[2]500千伏-750千伏电网基建'!E91</f>
        <v>1</v>
      </c>
      <c r="AX91" s="95" t="b">
        <f>F91='[2]500千伏-750千伏电网基建'!F91</f>
        <v>1</v>
      </c>
      <c r="AY91" s="95" t="b">
        <f>G91='[2]500千伏-750千伏电网基建'!G91</f>
        <v>1</v>
      </c>
      <c r="AZ91" s="95" t="b">
        <f>H91='[2]500千伏-750千伏电网基建'!H91</f>
        <v>1</v>
      </c>
      <c r="BA91" s="95" t="b">
        <f>I91='[2]500千伏-750千伏电网基建'!I91</f>
        <v>1</v>
      </c>
      <c r="BB91" s="95" t="b">
        <f>J91='[2]500千伏-750千伏电网基建'!J91</f>
        <v>1</v>
      </c>
      <c r="BC91" s="95" t="b">
        <f>K91='[2]500千伏-750千伏电网基建'!K91</f>
        <v>1</v>
      </c>
      <c r="BD91" s="95" t="b">
        <f>L91='[2]500千伏-750千伏电网基建'!L91</f>
        <v>1</v>
      </c>
      <c r="BE91" s="95" t="b">
        <f>M91='[2]500千伏-750千伏电网基建'!M91</f>
        <v>1</v>
      </c>
      <c r="BF91" s="95" t="b">
        <f>N91='[2]500千伏-750千伏电网基建'!N91</f>
        <v>1</v>
      </c>
      <c r="BG91" s="95" t="b">
        <f>O91='[2]500千伏-750千伏电网基建'!O91</f>
        <v>1</v>
      </c>
      <c r="BH91" s="95" t="b">
        <f>P91='[2]500千伏-750千伏电网基建'!P91</f>
        <v>1</v>
      </c>
      <c r="BI91" s="95" t="b">
        <f>Q91='[2]500千伏-750千伏电网基建'!Q91</f>
        <v>1</v>
      </c>
      <c r="BJ91" s="95" t="b">
        <f>R91='[2]500千伏-750千伏电网基建'!R91</f>
        <v>1</v>
      </c>
      <c r="BK91" s="95" t="b">
        <f>S91='[2]500千伏-750千伏电网基建'!S91</f>
        <v>1</v>
      </c>
      <c r="BL91" s="95" t="b">
        <f>T91='[2]500千伏-750千伏电网基建'!T91</f>
        <v>1</v>
      </c>
      <c r="BM91" s="95" t="b">
        <f>U91='[2]500千伏-750千伏电网基建'!U91</f>
        <v>1</v>
      </c>
      <c r="BN91" s="95" t="b">
        <f>V91='[2]500千伏-750千伏电网基建'!V91</f>
        <v>1</v>
      </c>
      <c r="BO91" s="95" t="b">
        <f>W91='[2]500千伏-750千伏电网基建'!W91</f>
        <v>1</v>
      </c>
      <c r="BP91" s="95" t="b">
        <f>X91='[2]500千伏-750千伏电网基建'!X91</f>
        <v>1</v>
      </c>
      <c r="BQ91" s="95" t="b">
        <f>Y91='[2]500千伏-750千伏电网基建'!Y91</f>
        <v>1</v>
      </c>
      <c r="BR91" s="95" t="b">
        <f>Z91='[2]500千伏-750千伏电网基建'!Z91</f>
        <v>1</v>
      </c>
      <c r="BS91" s="95" t="b">
        <f>AA91='[2]500千伏-750千伏电网基建'!AA91</f>
        <v>1</v>
      </c>
      <c r="BT91" s="95" t="b">
        <f>AB91='[2]500千伏-750千伏电网基建'!AB91</f>
        <v>1</v>
      </c>
      <c r="BU91" s="95" t="b">
        <f>AC91='[2]500千伏-750千伏电网基建'!AC91</f>
        <v>1</v>
      </c>
      <c r="BV91" s="95" t="b">
        <f>AD91='[2]500千伏-750千伏电网基建'!AD91</f>
        <v>1</v>
      </c>
      <c r="BW91" s="95" t="b">
        <f>AE91='[2]500千伏-750千伏电网基建'!AE91</f>
        <v>1</v>
      </c>
      <c r="BX91" s="95" t="b">
        <f>AF91='[2]500千伏-750千伏电网基建'!AF91</f>
        <v>1</v>
      </c>
      <c r="BY91" s="95" t="b">
        <f>AG91='[2]500千伏-750千伏电网基建'!AG91</f>
        <v>1</v>
      </c>
      <c r="BZ91" s="95" t="b">
        <f>AH91='[2]500千伏-750千伏电网基建'!AH91</f>
        <v>1</v>
      </c>
      <c r="CA91" s="95" t="b">
        <f>AI91='[2]500千伏-750千伏电网基建'!AI91</f>
        <v>1</v>
      </c>
      <c r="CB91" s="95" t="b">
        <f>AJ91='[2]500千伏-750千伏电网基建'!AJ91</f>
        <v>1</v>
      </c>
      <c r="CC91" s="95" t="b">
        <f>AK91='[2]500千伏-750千伏电网基建'!AK91</f>
        <v>1</v>
      </c>
    </row>
    <row r="92" s="95" customFormat="1" ht="67" hidden="1" customHeight="1" spans="1:81">
      <c r="A92" s="14"/>
      <c r="B92" s="14"/>
      <c r="C92" s="15"/>
      <c r="D92" s="15"/>
      <c r="E92" s="16"/>
      <c r="F92" s="16"/>
      <c r="G92" s="15"/>
      <c r="H92" s="47"/>
      <c r="I92" s="23" t="s">
        <v>1303</v>
      </c>
      <c r="J92" s="16" t="s">
        <v>1304</v>
      </c>
      <c r="K92" s="15"/>
      <c r="L92" s="15" t="s">
        <v>36</v>
      </c>
      <c r="M92" s="15"/>
      <c r="N92" s="15"/>
      <c r="O92" s="15"/>
      <c r="P92" s="15"/>
      <c r="Q92" s="15"/>
      <c r="R92" s="15"/>
      <c r="S92" s="15" t="s">
        <v>36</v>
      </c>
      <c r="T92" s="15" t="s">
        <v>492</v>
      </c>
      <c r="U92" s="15"/>
      <c r="V92" s="16" t="s">
        <v>1034</v>
      </c>
      <c r="W92" s="105" t="s">
        <v>1300</v>
      </c>
      <c r="X92" s="15" t="s">
        <v>474</v>
      </c>
      <c r="Y92" s="15" t="s">
        <v>473</v>
      </c>
      <c r="Z92" s="15"/>
      <c r="AA92" s="15" t="s">
        <v>474</v>
      </c>
      <c r="AB92" s="15" t="s">
        <v>473</v>
      </c>
      <c r="AC92" s="15"/>
      <c r="AD92" s="15"/>
      <c r="AE92" s="30"/>
      <c r="AF92" s="15"/>
      <c r="AG92" s="15"/>
      <c r="AH92" s="15" t="s">
        <v>476</v>
      </c>
      <c r="AI92" s="15" t="s">
        <v>476</v>
      </c>
      <c r="AJ92" s="15" t="s">
        <v>1028</v>
      </c>
      <c r="AK92" s="15"/>
      <c r="AL92" s="102" t="s">
        <v>1043</v>
      </c>
      <c r="AM92" s="23" t="s">
        <v>1044</v>
      </c>
      <c r="AN92" s="1"/>
      <c r="AO92" s="7" t="s">
        <v>1045</v>
      </c>
      <c r="AP92" s="7" t="s">
        <v>1045</v>
      </c>
      <c r="AQ92" s="7" t="s">
        <v>1045</v>
      </c>
      <c r="AR92" s="95" t="b">
        <f t="shared" si="1"/>
        <v>1</v>
      </c>
      <c r="AS92" s="95" t="b">
        <f>A92='[2]500千伏-750千伏电网基建'!A92</f>
        <v>1</v>
      </c>
      <c r="AT92" s="95" t="b">
        <f>B92='[2]500千伏-750千伏电网基建'!B92</f>
        <v>1</v>
      </c>
      <c r="AU92" s="95" t="b">
        <f>C92='[2]500千伏-750千伏电网基建'!C92</f>
        <v>1</v>
      </c>
      <c r="AV92" s="95" t="b">
        <f>D92='[2]500千伏-750千伏电网基建'!D92</f>
        <v>1</v>
      </c>
      <c r="AW92" s="95" t="b">
        <f>E92='[2]500千伏-750千伏电网基建'!E92</f>
        <v>1</v>
      </c>
      <c r="AX92" s="95" t="b">
        <f>F92='[2]500千伏-750千伏电网基建'!F92</f>
        <v>1</v>
      </c>
      <c r="AY92" s="95" t="b">
        <f>G92='[2]500千伏-750千伏电网基建'!G92</f>
        <v>1</v>
      </c>
      <c r="AZ92" s="95" t="b">
        <f>H92='[2]500千伏-750千伏电网基建'!H92</f>
        <v>1</v>
      </c>
      <c r="BA92" s="95" t="b">
        <f>I92='[2]500千伏-750千伏电网基建'!I92</f>
        <v>1</v>
      </c>
      <c r="BB92" s="95" t="b">
        <f>J92='[2]500千伏-750千伏电网基建'!J92</f>
        <v>1</v>
      </c>
      <c r="BC92" s="95" t="b">
        <f>K92='[2]500千伏-750千伏电网基建'!K92</f>
        <v>1</v>
      </c>
      <c r="BD92" s="95" t="b">
        <f>L92='[2]500千伏-750千伏电网基建'!L92</f>
        <v>1</v>
      </c>
      <c r="BE92" s="95" t="b">
        <f>M92='[2]500千伏-750千伏电网基建'!M92</f>
        <v>1</v>
      </c>
      <c r="BF92" s="95" t="b">
        <f>N92='[2]500千伏-750千伏电网基建'!N92</f>
        <v>1</v>
      </c>
      <c r="BG92" s="95" t="b">
        <f>O92='[2]500千伏-750千伏电网基建'!O92</f>
        <v>1</v>
      </c>
      <c r="BH92" s="95" t="b">
        <f>P92='[2]500千伏-750千伏电网基建'!P92</f>
        <v>1</v>
      </c>
      <c r="BI92" s="95" t="b">
        <f>Q92='[2]500千伏-750千伏电网基建'!Q92</f>
        <v>1</v>
      </c>
      <c r="BJ92" s="95" t="b">
        <f>R92='[2]500千伏-750千伏电网基建'!R92</f>
        <v>1</v>
      </c>
      <c r="BK92" s="95" t="b">
        <f>S92='[2]500千伏-750千伏电网基建'!S92</f>
        <v>1</v>
      </c>
      <c r="BL92" s="95" t="b">
        <f>T92='[2]500千伏-750千伏电网基建'!T92</f>
        <v>1</v>
      </c>
      <c r="BM92" s="95" t="b">
        <f>U92='[2]500千伏-750千伏电网基建'!U92</f>
        <v>1</v>
      </c>
      <c r="BN92" s="95" t="b">
        <f>V92='[2]500千伏-750千伏电网基建'!V92</f>
        <v>1</v>
      </c>
      <c r="BO92" s="95" t="b">
        <f>W92='[2]500千伏-750千伏电网基建'!W92</f>
        <v>1</v>
      </c>
      <c r="BP92" s="95" t="b">
        <f>X92='[2]500千伏-750千伏电网基建'!X92</f>
        <v>1</v>
      </c>
      <c r="BQ92" s="95" t="b">
        <f>Y92='[2]500千伏-750千伏电网基建'!Y92</f>
        <v>1</v>
      </c>
      <c r="BR92" s="95" t="b">
        <f>Z92='[2]500千伏-750千伏电网基建'!Z92</f>
        <v>1</v>
      </c>
      <c r="BS92" s="95" t="b">
        <f>AA92='[2]500千伏-750千伏电网基建'!AA92</f>
        <v>1</v>
      </c>
      <c r="BT92" s="95" t="b">
        <f>AB92='[2]500千伏-750千伏电网基建'!AB92</f>
        <v>1</v>
      </c>
      <c r="BU92" s="95" t="b">
        <f>AC92='[2]500千伏-750千伏电网基建'!AC92</f>
        <v>1</v>
      </c>
      <c r="BV92" s="95" t="b">
        <f>AD92='[2]500千伏-750千伏电网基建'!AD92</f>
        <v>1</v>
      </c>
      <c r="BW92" s="95" t="b">
        <f>AE92='[2]500千伏-750千伏电网基建'!AE92</f>
        <v>1</v>
      </c>
      <c r="BX92" s="95" t="b">
        <f>AF92='[2]500千伏-750千伏电网基建'!AF92</f>
        <v>1</v>
      </c>
      <c r="BY92" s="95" t="b">
        <f>AG92='[2]500千伏-750千伏电网基建'!AG92</f>
        <v>1</v>
      </c>
      <c r="BZ92" s="95" t="b">
        <f>AH92='[2]500千伏-750千伏电网基建'!AH92</f>
        <v>1</v>
      </c>
      <c r="CA92" s="95" t="b">
        <f>AI92='[2]500千伏-750千伏电网基建'!AI92</f>
        <v>1</v>
      </c>
      <c r="CB92" s="95" t="b">
        <f>AJ92='[2]500千伏-750千伏电网基建'!AJ92</f>
        <v>1</v>
      </c>
      <c r="CC92" s="95" t="b">
        <f>AK92='[2]500千伏-750千伏电网基建'!AK92</f>
        <v>1</v>
      </c>
    </row>
    <row r="93" s="95" customFormat="1" ht="76" hidden="1" customHeight="1" spans="1:81">
      <c r="A93" s="14"/>
      <c r="B93" s="14"/>
      <c r="C93" s="15"/>
      <c r="D93" s="15"/>
      <c r="E93" s="16"/>
      <c r="F93" s="16"/>
      <c r="G93" s="15"/>
      <c r="H93" s="48"/>
      <c r="I93" s="23" t="s">
        <v>1305</v>
      </c>
      <c r="J93" s="16" t="s">
        <v>1306</v>
      </c>
      <c r="K93" s="15"/>
      <c r="L93" s="15" t="s">
        <v>36</v>
      </c>
      <c r="M93" s="15"/>
      <c r="N93" s="15"/>
      <c r="O93" s="15"/>
      <c r="P93" s="15"/>
      <c r="Q93" s="15"/>
      <c r="R93" s="15"/>
      <c r="S93" s="15" t="s">
        <v>36</v>
      </c>
      <c r="T93" s="15" t="s">
        <v>492</v>
      </c>
      <c r="U93" s="15"/>
      <c r="V93" s="16" t="s">
        <v>1037</v>
      </c>
      <c r="W93" s="105" t="s">
        <v>1300</v>
      </c>
      <c r="X93" s="15" t="s">
        <v>474</v>
      </c>
      <c r="Y93" s="15" t="s">
        <v>473</v>
      </c>
      <c r="Z93" s="15"/>
      <c r="AA93" s="15" t="s">
        <v>474</v>
      </c>
      <c r="AB93" s="15" t="s">
        <v>473</v>
      </c>
      <c r="AC93" s="15"/>
      <c r="AD93" s="15"/>
      <c r="AE93" s="30"/>
      <c r="AF93" s="15"/>
      <c r="AG93" s="15"/>
      <c r="AH93" s="15" t="s">
        <v>476</v>
      </c>
      <c r="AI93" s="15" t="s">
        <v>476</v>
      </c>
      <c r="AJ93" s="15" t="s">
        <v>1028</v>
      </c>
      <c r="AK93" s="15"/>
      <c r="AL93" s="102" t="s">
        <v>1043</v>
      </c>
      <c r="AM93" s="23" t="s">
        <v>1044</v>
      </c>
      <c r="AN93" s="1"/>
      <c r="AO93" s="7" t="s">
        <v>1045</v>
      </c>
      <c r="AP93" s="7" t="s">
        <v>1045</v>
      </c>
      <c r="AQ93" s="7" t="s">
        <v>1045</v>
      </c>
      <c r="AR93" s="95" t="b">
        <f t="shared" si="1"/>
        <v>1</v>
      </c>
      <c r="AS93" s="95" t="b">
        <f>A93='[2]500千伏-750千伏电网基建'!A93</f>
        <v>1</v>
      </c>
      <c r="AT93" s="95" t="b">
        <f>B93='[2]500千伏-750千伏电网基建'!B93</f>
        <v>1</v>
      </c>
      <c r="AU93" s="95" t="b">
        <f>C93='[2]500千伏-750千伏电网基建'!C93</f>
        <v>1</v>
      </c>
      <c r="AV93" s="95" t="b">
        <f>D93='[2]500千伏-750千伏电网基建'!D93</f>
        <v>1</v>
      </c>
      <c r="AW93" s="95" t="b">
        <f>E93='[2]500千伏-750千伏电网基建'!E93</f>
        <v>1</v>
      </c>
      <c r="AX93" s="95" t="b">
        <f>F93='[2]500千伏-750千伏电网基建'!F93</f>
        <v>1</v>
      </c>
      <c r="AY93" s="95" t="b">
        <f>G93='[2]500千伏-750千伏电网基建'!G93</f>
        <v>1</v>
      </c>
      <c r="AZ93" s="95" t="b">
        <f>H93='[2]500千伏-750千伏电网基建'!H93</f>
        <v>1</v>
      </c>
      <c r="BA93" s="95" t="b">
        <f>I93='[2]500千伏-750千伏电网基建'!I93</f>
        <v>1</v>
      </c>
      <c r="BB93" s="95" t="b">
        <f>J93='[2]500千伏-750千伏电网基建'!J93</f>
        <v>1</v>
      </c>
      <c r="BC93" s="95" t="b">
        <f>K93='[2]500千伏-750千伏电网基建'!K93</f>
        <v>1</v>
      </c>
      <c r="BD93" s="95" t="b">
        <f>L93='[2]500千伏-750千伏电网基建'!L93</f>
        <v>1</v>
      </c>
      <c r="BE93" s="95" t="b">
        <f>M93='[2]500千伏-750千伏电网基建'!M93</f>
        <v>1</v>
      </c>
      <c r="BF93" s="95" t="b">
        <f>N93='[2]500千伏-750千伏电网基建'!N93</f>
        <v>1</v>
      </c>
      <c r="BG93" s="95" t="b">
        <f>O93='[2]500千伏-750千伏电网基建'!O93</f>
        <v>1</v>
      </c>
      <c r="BH93" s="95" t="b">
        <f>P93='[2]500千伏-750千伏电网基建'!P93</f>
        <v>1</v>
      </c>
      <c r="BI93" s="95" t="b">
        <f>Q93='[2]500千伏-750千伏电网基建'!Q93</f>
        <v>1</v>
      </c>
      <c r="BJ93" s="95" t="b">
        <f>R93='[2]500千伏-750千伏电网基建'!R93</f>
        <v>1</v>
      </c>
      <c r="BK93" s="95" t="b">
        <f>S93='[2]500千伏-750千伏电网基建'!S93</f>
        <v>1</v>
      </c>
      <c r="BL93" s="95" t="b">
        <f>T93='[2]500千伏-750千伏电网基建'!T93</f>
        <v>1</v>
      </c>
      <c r="BM93" s="95" t="b">
        <f>U93='[2]500千伏-750千伏电网基建'!U93</f>
        <v>1</v>
      </c>
      <c r="BN93" s="95" t="b">
        <f>V93='[2]500千伏-750千伏电网基建'!V93</f>
        <v>1</v>
      </c>
      <c r="BO93" s="95" t="b">
        <f>W93='[2]500千伏-750千伏电网基建'!W93</f>
        <v>1</v>
      </c>
      <c r="BP93" s="95" t="b">
        <f>X93='[2]500千伏-750千伏电网基建'!X93</f>
        <v>1</v>
      </c>
      <c r="BQ93" s="95" t="b">
        <f>Y93='[2]500千伏-750千伏电网基建'!Y93</f>
        <v>1</v>
      </c>
      <c r="BR93" s="95" t="b">
        <f>Z93='[2]500千伏-750千伏电网基建'!Z93</f>
        <v>1</v>
      </c>
      <c r="BS93" s="95" t="b">
        <f>AA93='[2]500千伏-750千伏电网基建'!AA93</f>
        <v>1</v>
      </c>
      <c r="BT93" s="95" t="b">
        <f>AB93='[2]500千伏-750千伏电网基建'!AB93</f>
        <v>1</v>
      </c>
      <c r="BU93" s="95" t="b">
        <f>AC93='[2]500千伏-750千伏电网基建'!AC93</f>
        <v>1</v>
      </c>
      <c r="BV93" s="95" t="b">
        <f>AD93='[2]500千伏-750千伏电网基建'!AD93</f>
        <v>1</v>
      </c>
      <c r="BW93" s="95" t="b">
        <f>AE93='[2]500千伏-750千伏电网基建'!AE93</f>
        <v>1</v>
      </c>
      <c r="BX93" s="95" t="b">
        <f>AF93='[2]500千伏-750千伏电网基建'!AF93</f>
        <v>1</v>
      </c>
      <c r="BY93" s="95" t="b">
        <f>AG93='[2]500千伏-750千伏电网基建'!AG93</f>
        <v>1</v>
      </c>
      <c r="BZ93" s="95" t="b">
        <f>AH93='[2]500千伏-750千伏电网基建'!AH93</f>
        <v>1</v>
      </c>
      <c r="CA93" s="95" t="b">
        <f>AI93='[2]500千伏-750千伏电网基建'!AI93</f>
        <v>1</v>
      </c>
      <c r="CB93" s="95" t="b">
        <f>AJ93='[2]500千伏-750千伏电网基建'!AJ93</f>
        <v>1</v>
      </c>
      <c r="CC93" s="95" t="b">
        <f>AK93='[2]500千伏-750千伏电网基建'!AK93</f>
        <v>1</v>
      </c>
    </row>
    <row r="94" s="96" customFormat="1" ht="164" hidden="1" customHeight="1" spans="1:81">
      <c r="A94" s="75"/>
      <c r="B94" s="90" t="s">
        <v>662</v>
      </c>
      <c r="C94" s="46" t="s">
        <v>485</v>
      </c>
      <c r="D94" s="46" t="s">
        <v>625</v>
      </c>
      <c r="E94" s="52" t="s">
        <v>626</v>
      </c>
      <c r="F94" s="68"/>
      <c r="G94" s="46" t="s">
        <v>1307</v>
      </c>
      <c r="H94" s="52" t="s">
        <v>628</v>
      </c>
      <c r="I94" s="54" t="s">
        <v>1308</v>
      </c>
      <c r="J94" s="52" t="s">
        <v>630</v>
      </c>
      <c r="K94" s="46"/>
      <c r="L94" s="46" t="s">
        <v>36</v>
      </c>
      <c r="M94" s="46"/>
      <c r="N94" s="46"/>
      <c r="O94" s="46" t="s">
        <v>36</v>
      </c>
      <c r="P94" s="46"/>
      <c r="Q94" s="46"/>
      <c r="R94" s="46" t="s">
        <v>36</v>
      </c>
      <c r="S94" s="46"/>
      <c r="T94" s="46" t="s">
        <v>492</v>
      </c>
      <c r="U94" s="46" t="s">
        <v>631</v>
      </c>
      <c r="V94" s="91" t="s">
        <v>632</v>
      </c>
      <c r="W94" s="52" t="s">
        <v>1309</v>
      </c>
      <c r="X94" s="46" t="s">
        <v>474</v>
      </c>
      <c r="Y94" s="46" t="s">
        <v>473</v>
      </c>
      <c r="Z94" s="70"/>
      <c r="AA94" s="46" t="s">
        <v>474</v>
      </c>
      <c r="AB94" s="46" t="s">
        <v>473</v>
      </c>
      <c r="AC94" s="70"/>
      <c r="AD94" s="46"/>
      <c r="AE94" s="46"/>
      <c r="AF94" s="46"/>
      <c r="AG94" s="46"/>
      <c r="AH94" s="46" t="s">
        <v>476</v>
      </c>
      <c r="AI94" s="46" t="s">
        <v>476</v>
      </c>
      <c r="AJ94" s="52" t="s">
        <v>634</v>
      </c>
      <c r="AK94" s="46" t="s">
        <v>635</v>
      </c>
      <c r="AL94" s="54" t="s">
        <v>1310</v>
      </c>
      <c r="AM94" s="46"/>
      <c r="AN94" s="54" t="s">
        <v>1311</v>
      </c>
      <c r="AO94" s="89" t="s">
        <v>1143</v>
      </c>
      <c r="AP94" s="89" t="s">
        <v>1312</v>
      </c>
      <c r="AQ94" s="89" t="s">
        <v>1312</v>
      </c>
      <c r="AR94" s="95" t="b">
        <f t="shared" si="1"/>
        <v>1</v>
      </c>
      <c r="AS94" s="95" t="b">
        <f>A94='[2]500千伏-750千伏电网基建'!A94</f>
        <v>1</v>
      </c>
      <c r="AT94" s="95" t="b">
        <f>B94='[2]500千伏-750千伏电网基建'!B94</f>
        <v>1</v>
      </c>
      <c r="AU94" s="95" t="b">
        <f>C94='[2]500千伏-750千伏电网基建'!C94</f>
        <v>1</v>
      </c>
      <c r="AV94" s="95" t="b">
        <f>D94='[2]500千伏-750千伏电网基建'!D94</f>
        <v>1</v>
      </c>
      <c r="AW94" s="95" t="b">
        <f>E94='[2]500千伏-750千伏电网基建'!E94</f>
        <v>1</v>
      </c>
      <c r="AX94" s="95" t="b">
        <f>F94='[2]500千伏-750千伏电网基建'!F94</f>
        <v>1</v>
      </c>
      <c r="AY94" s="95" t="b">
        <f>G94='[2]500千伏-750千伏电网基建'!G94</f>
        <v>1</v>
      </c>
      <c r="AZ94" s="95" t="b">
        <f>H94='[2]500千伏-750千伏电网基建'!H94</f>
        <v>1</v>
      </c>
      <c r="BA94" s="95" t="b">
        <f>I94='[2]500千伏-750千伏电网基建'!I94</f>
        <v>1</v>
      </c>
      <c r="BB94" s="95" t="b">
        <f>J94='[2]500千伏-750千伏电网基建'!J94</f>
        <v>1</v>
      </c>
      <c r="BC94" s="95" t="b">
        <f>K94='[2]500千伏-750千伏电网基建'!K94</f>
        <v>1</v>
      </c>
      <c r="BD94" s="95" t="b">
        <f>L94='[2]500千伏-750千伏电网基建'!L94</f>
        <v>1</v>
      </c>
      <c r="BE94" s="95" t="b">
        <f>M94='[2]500千伏-750千伏电网基建'!M94</f>
        <v>1</v>
      </c>
      <c r="BF94" s="95" t="b">
        <f>N94='[2]500千伏-750千伏电网基建'!N94</f>
        <v>1</v>
      </c>
      <c r="BG94" s="95" t="b">
        <f>O94='[2]500千伏-750千伏电网基建'!O94</f>
        <v>1</v>
      </c>
      <c r="BH94" s="95" t="b">
        <f>P94='[2]500千伏-750千伏电网基建'!P94</f>
        <v>1</v>
      </c>
      <c r="BI94" s="95" t="b">
        <f>Q94='[2]500千伏-750千伏电网基建'!Q94</f>
        <v>1</v>
      </c>
      <c r="BJ94" s="95" t="b">
        <f>R94='[2]500千伏-750千伏电网基建'!R94</f>
        <v>1</v>
      </c>
      <c r="BK94" s="95" t="b">
        <f>S94='[2]500千伏-750千伏电网基建'!S94</f>
        <v>1</v>
      </c>
      <c r="BL94" s="95" t="b">
        <f>T94='[2]500千伏-750千伏电网基建'!T94</f>
        <v>1</v>
      </c>
      <c r="BM94" s="95" t="b">
        <f>U94='[2]500千伏-750千伏电网基建'!U94</f>
        <v>1</v>
      </c>
      <c r="BN94" s="95" t="b">
        <f>V94='[2]500千伏-750千伏电网基建'!V94</f>
        <v>1</v>
      </c>
      <c r="BO94" s="95" t="b">
        <f>W94='[2]500千伏-750千伏电网基建'!W94</f>
        <v>1</v>
      </c>
      <c r="BP94" s="95" t="b">
        <f>X94='[2]500千伏-750千伏电网基建'!X94</f>
        <v>1</v>
      </c>
      <c r="BQ94" s="95" t="b">
        <f>Y94='[2]500千伏-750千伏电网基建'!Y94</f>
        <v>1</v>
      </c>
      <c r="BR94" s="95" t="b">
        <f>Z94='[2]500千伏-750千伏电网基建'!Z94</f>
        <v>1</v>
      </c>
      <c r="BS94" s="95" t="b">
        <f>AA94='[2]500千伏-750千伏电网基建'!AA94</f>
        <v>1</v>
      </c>
      <c r="BT94" s="95" t="b">
        <f>AB94='[2]500千伏-750千伏电网基建'!AB94</f>
        <v>1</v>
      </c>
      <c r="BU94" s="95" t="b">
        <f>AC94='[2]500千伏-750千伏电网基建'!AC94</f>
        <v>1</v>
      </c>
      <c r="BV94" s="95" t="b">
        <f>AD94='[2]500千伏-750千伏电网基建'!AD94</f>
        <v>1</v>
      </c>
      <c r="BW94" s="95" t="b">
        <f>AE94='[2]500千伏-750千伏电网基建'!AE94</f>
        <v>1</v>
      </c>
      <c r="BX94" s="95" t="b">
        <f>AF94='[2]500千伏-750千伏电网基建'!AF94</f>
        <v>1</v>
      </c>
      <c r="BY94" s="95" t="b">
        <f>AG94='[2]500千伏-750千伏电网基建'!AG94</f>
        <v>1</v>
      </c>
      <c r="BZ94" s="95" t="b">
        <f>AH94='[2]500千伏-750千伏电网基建'!AH94</f>
        <v>1</v>
      </c>
      <c r="CA94" s="95" t="b">
        <f>AI94='[2]500千伏-750千伏电网基建'!AI94</f>
        <v>1</v>
      </c>
      <c r="CB94" s="95" t="b">
        <f>AJ94='[2]500千伏-750千伏电网基建'!AJ94</f>
        <v>1</v>
      </c>
      <c r="CC94" s="95" t="b">
        <f>AK94='[2]500千伏-750千伏电网基建'!AK94</f>
        <v>1</v>
      </c>
    </row>
    <row r="95" s="96" customFormat="1" ht="162" hidden="1" customHeight="1" spans="1:81">
      <c r="A95" s="75"/>
      <c r="B95" s="74"/>
      <c r="C95" s="46" t="s">
        <v>536</v>
      </c>
      <c r="D95" s="46" t="s">
        <v>779</v>
      </c>
      <c r="E95" s="52" t="s">
        <v>1313</v>
      </c>
      <c r="F95" s="68" t="s">
        <v>801</v>
      </c>
      <c r="G95" s="46" t="s">
        <v>802</v>
      </c>
      <c r="H95" s="52" t="s">
        <v>803</v>
      </c>
      <c r="I95" s="54" t="s">
        <v>802</v>
      </c>
      <c r="J95" s="52" t="s">
        <v>805</v>
      </c>
      <c r="K95" s="46"/>
      <c r="L95" s="46"/>
      <c r="M95" s="46" t="s">
        <v>36</v>
      </c>
      <c r="N95" s="46" t="s">
        <v>36</v>
      </c>
      <c r="O95" s="46" t="s">
        <v>36</v>
      </c>
      <c r="P95" s="46"/>
      <c r="Q95" s="46"/>
      <c r="R95" s="46"/>
      <c r="S95" s="46"/>
      <c r="T95" s="46" t="s">
        <v>465</v>
      </c>
      <c r="U95" s="46" t="s">
        <v>1314</v>
      </c>
      <c r="V95" s="91" t="s">
        <v>1315</v>
      </c>
      <c r="W95" s="52" t="s">
        <v>1316</v>
      </c>
      <c r="X95" s="46" t="s">
        <v>474</v>
      </c>
      <c r="Y95" s="46" t="s">
        <v>473</v>
      </c>
      <c r="Z95" s="46"/>
      <c r="AA95" s="46" t="s">
        <v>474</v>
      </c>
      <c r="AB95" s="46" t="s">
        <v>473</v>
      </c>
      <c r="AC95" s="46"/>
      <c r="AD95" s="46"/>
      <c r="AE95" s="46"/>
      <c r="AF95" s="46"/>
      <c r="AG95" s="46"/>
      <c r="AH95" s="46" t="s">
        <v>476</v>
      </c>
      <c r="AI95" s="46" t="s">
        <v>476</v>
      </c>
      <c r="AJ95" s="52" t="s">
        <v>808</v>
      </c>
      <c r="AK95" s="46" t="s">
        <v>470</v>
      </c>
      <c r="AL95" s="54" t="s">
        <v>1317</v>
      </c>
      <c r="AM95" s="46" t="s">
        <v>1318</v>
      </c>
      <c r="AN95" s="54"/>
      <c r="AO95" s="89" t="s">
        <v>1143</v>
      </c>
      <c r="AP95" s="89" t="s">
        <v>1319</v>
      </c>
      <c r="AQ95" s="89" t="s">
        <v>1319</v>
      </c>
      <c r="AR95" s="95" t="b">
        <f t="shared" si="1"/>
        <v>1</v>
      </c>
      <c r="AS95" s="95" t="b">
        <f>A95='[2]500千伏-750千伏电网基建'!A95</f>
        <v>1</v>
      </c>
      <c r="AT95" s="95" t="b">
        <f>B95='[2]500千伏-750千伏电网基建'!B95</f>
        <v>1</v>
      </c>
      <c r="AU95" s="95" t="b">
        <f>C95='[2]500千伏-750千伏电网基建'!C95</f>
        <v>1</v>
      </c>
      <c r="AV95" s="95" t="b">
        <f>D95='[2]500千伏-750千伏电网基建'!D95</f>
        <v>1</v>
      </c>
      <c r="AW95" s="95" t="b">
        <f>E95='[2]500千伏-750千伏电网基建'!E95</f>
        <v>1</v>
      </c>
      <c r="AX95" s="95" t="b">
        <f>F95='[2]500千伏-750千伏电网基建'!F95</f>
        <v>1</v>
      </c>
      <c r="AY95" s="95" t="b">
        <f>G95='[2]500千伏-750千伏电网基建'!G95</f>
        <v>1</v>
      </c>
      <c r="AZ95" s="95" t="b">
        <f>H95='[2]500千伏-750千伏电网基建'!H95</f>
        <v>1</v>
      </c>
      <c r="BA95" s="95" t="b">
        <f>I95='[2]500千伏-750千伏电网基建'!I95</f>
        <v>1</v>
      </c>
      <c r="BB95" s="95" t="b">
        <f>J95='[2]500千伏-750千伏电网基建'!J95</f>
        <v>1</v>
      </c>
      <c r="BC95" s="95" t="b">
        <f>K95='[2]500千伏-750千伏电网基建'!K95</f>
        <v>1</v>
      </c>
      <c r="BD95" s="95" t="b">
        <f>L95='[2]500千伏-750千伏电网基建'!L95</f>
        <v>1</v>
      </c>
      <c r="BE95" s="95" t="b">
        <f>M95='[2]500千伏-750千伏电网基建'!M95</f>
        <v>1</v>
      </c>
      <c r="BF95" s="95" t="b">
        <f>N95='[2]500千伏-750千伏电网基建'!N95</f>
        <v>1</v>
      </c>
      <c r="BG95" s="95" t="b">
        <f>O95='[2]500千伏-750千伏电网基建'!O95</f>
        <v>1</v>
      </c>
      <c r="BH95" s="95" t="b">
        <f>P95='[2]500千伏-750千伏电网基建'!P95</f>
        <v>1</v>
      </c>
      <c r="BI95" s="95" t="b">
        <f>Q95='[2]500千伏-750千伏电网基建'!Q95</f>
        <v>1</v>
      </c>
      <c r="BJ95" s="95" t="b">
        <f>R95='[2]500千伏-750千伏电网基建'!R95</f>
        <v>1</v>
      </c>
      <c r="BK95" s="95" t="b">
        <f>S95='[2]500千伏-750千伏电网基建'!S95</f>
        <v>1</v>
      </c>
      <c r="BL95" s="95" t="b">
        <f>T95='[2]500千伏-750千伏电网基建'!T95</f>
        <v>1</v>
      </c>
      <c r="BM95" s="95" t="b">
        <f>U95='[2]500千伏-750千伏电网基建'!U95</f>
        <v>1</v>
      </c>
      <c r="BN95" s="95" t="b">
        <f>V95='[2]500千伏-750千伏电网基建'!V95</f>
        <v>1</v>
      </c>
      <c r="BO95" s="95" t="b">
        <f>W95='[2]500千伏-750千伏电网基建'!W95</f>
        <v>1</v>
      </c>
      <c r="BP95" s="95" t="b">
        <f>X95='[2]500千伏-750千伏电网基建'!X95</f>
        <v>1</v>
      </c>
      <c r="BQ95" s="95" t="b">
        <f>Y95='[2]500千伏-750千伏电网基建'!Y95</f>
        <v>1</v>
      </c>
      <c r="BR95" s="95" t="b">
        <f>Z95='[2]500千伏-750千伏电网基建'!Z95</f>
        <v>1</v>
      </c>
      <c r="BS95" s="95" t="b">
        <f>AA95='[2]500千伏-750千伏电网基建'!AA95</f>
        <v>1</v>
      </c>
      <c r="BT95" s="95" t="b">
        <f>AB95='[2]500千伏-750千伏电网基建'!AB95</f>
        <v>1</v>
      </c>
      <c r="BU95" s="95" t="b">
        <f>AC95='[2]500千伏-750千伏电网基建'!AC95</f>
        <v>1</v>
      </c>
      <c r="BV95" s="95" t="b">
        <f>AD95='[2]500千伏-750千伏电网基建'!AD95</f>
        <v>1</v>
      </c>
      <c r="BW95" s="95" t="b">
        <f>AE95='[2]500千伏-750千伏电网基建'!AE95</f>
        <v>1</v>
      </c>
      <c r="BX95" s="95" t="b">
        <f>AF95='[2]500千伏-750千伏电网基建'!AF95</f>
        <v>1</v>
      </c>
      <c r="BY95" s="95" t="b">
        <f>AG95='[2]500千伏-750千伏电网基建'!AG95</f>
        <v>1</v>
      </c>
      <c r="BZ95" s="95" t="b">
        <f>AH95='[2]500千伏-750千伏电网基建'!AH95</f>
        <v>1</v>
      </c>
      <c r="CA95" s="95" t="b">
        <f>AI95='[2]500千伏-750千伏电网基建'!AI95</f>
        <v>1</v>
      </c>
      <c r="CB95" s="95" t="b">
        <f>AJ95='[2]500千伏-750千伏电网基建'!AJ95</f>
        <v>1</v>
      </c>
      <c r="CC95" s="95" t="b">
        <f>AK95='[2]500千伏-750千伏电网基建'!AK95</f>
        <v>1</v>
      </c>
    </row>
  </sheetData>
  <sheetProtection formatCells="0" formatColumns="0" formatRows="0" insertRows="0" insertColumns="0" insertHyperlinks="0" deleteColumns="0" deleteRows="0" sort="0" autoFilter="0" pivotTables="0"/>
  <autoFilter xmlns:etc="http://www.wps.cn/officeDocument/2017/etCustomData" ref="A3:CC95" etc:filterBottomFollowUsedRange="0">
    <filterColumn colId="43">
      <customFilters>
        <customFilter operator="equal" val="FALSE"/>
      </customFilters>
    </filterColumn>
    <extLst/>
  </autoFilter>
  <mergeCells count="244">
    <mergeCell ref="A1:AK1"/>
    <mergeCell ref="K2:S2"/>
    <mergeCell ref="X2:Z2"/>
    <mergeCell ref="AA2:AC2"/>
    <mergeCell ref="AD2:AG2"/>
    <mergeCell ref="AH2:AJ2"/>
    <mergeCell ref="A2:A3"/>
    <mergeCell ref="A4:A11"/>
    <mergeCell ref="A12:A18"/>
    <mergeCell ref="A19:A27"/>
    <mergeCell ref="A28:A33"/>
    <mergeCell ref="A34:A39"/>
    <mergeCell ref="A41:A47"/>
    <mergeCell ref="A56:A63"/>
    <mergeCell ref="A64:A71"/>
    <mergeCell ref="A72:A79"/>
    <mergeCell ref="A80:A86"/>
    <mergeCell ref="A87:A93"/>
    <mergeCell ref="B2:B3"/>
    <mergeCell ref="B4:B11"/>
    <mergeCell ref="B12:B16"/>
    <mergeCell ref="B17:B18"/>
    <mergeCell ref="B19:B23"/>
    <mergeCell ref="B24:B27"/>
    <mergeCell ref="B28:B33"/>
    <mergeCell ref="B34:B39"/>
    <mergeCell ref="B41:B47"/>
    <mergeCell ref="B48:B55"/>
    <mergeCell ref="B56:B63"/>
    <mergeCell ref="B64:B68"/>
    <mergeCell ref="B69:B71"/>
    <mergeCell ref="B72:B79"/>
    <mergeCell ref="B80:B86"/>
    <mergeCell ref="B87:B93"/>
    <mergeCell ref="C2:C3"/>
    <mergeCell ref="C4:C5"/>
    <mergeCell ref="C6:C11"/>
    <mergeCell ref="C12:C16"/>
    <mergeCell ref="C17:C18"/>
    <mergeCell ref="C19:C21"/>
    <mergeCell ref="C22:C23"/>
    <mergeCell ref="C24:C27"/>
    <mergeCell ref="C28:C32"/>
    <mergeCell ref="C34:C38"/>
    <mergeCell ref="C41:C44"/>
    <mergeCell ref="C45:C47"/>
    <mergeCell ref="C49:C50"/>
    <mergeCell ref="C51:C52"/>
    <mergeCell ref="C53:C55"/>
    <mergeCell ref="C57:C58"/>
    <mergeCell ref="C59:C60"/>
    <mergeCell ref="C61:C63"/>
    <mergeCell ref="C64:C66"/>
    <mergeCell ref="C67:C68"/>
    <mergeCell ref="C69:C71"/>
    <mergeCell ref="C72:C79"/>
    <mergeCell ref="C80:C84"/>
    <mergeCell ref="C85:C86"/>
    <mergeCell ref="C87:C89"/>
    <mergeCell ref="C90:C93"/>
    <mergeCell ref="D2:D3"/>
    <mergeCell ref="D4:D5"/>
    <mergeCell ref="D6:D11"/>
    <mergeCell ref="D12:D16"/>
    <mergeCell ref="D17:D18"/>
    <mergeCell ref="D19:D21"/>
    <mergeCell ref="D22:D23"/>
    <mergeCell ref="D24:D27"/>
    <mergeCell ref="D28:D32"/>
    <mergeCell ref="D34:D38"/>
    <mergeCell ref="D41:D44"/>
    <mergeCell ref="D45:D47"/>
    <mergeCell ref="D49:D50"/>
    <mergeCell ref="D53:D55"/>
    <mergeCell ref="D57:D58"/>
    <mergeCell ref="D59:D60"/>
    <mergeCell ref="D61:D63"/>
    <mergeCell ref="D64:D66"/>
    <mergeCell ref="D67:D68"/>
    <mergeCell ref="D69:D71"/>
    <mergeCell ref="D72:D79"/>
    <mergeCell ref="D80:D84"/>
    <mergeCell ref="D85:D86"/>
    <mergeCell ref="D87:D89"/>
    <mergeCell ref="D90:D93"/>
    <mergeCell ref="E2:E3"/>
    <mergeCell ref="E4:E5"/>
    <mergeCell ref="E6:E8"/>
    <mergeCell ref="E9:E11"/>
    <mergeCell ref="E12:E14"/>
    <mergeCell ref="E15:E16"/>
    <mergeCell ref="E17:E18"/>
    <mergeCell ref="E19:E21"/>
    <mergeCell ref="E22:E23"/>
    <mergeCell ref="E24:E27"/>
    <mergeCell ref="E28:E32"/>
    <mergeCell ref="E34:E38"/>
    <mergeCell ref="E41:E44"/>
    <mergeCell ref="E45:E47"/>
    <mergeCell ref="E49:E50"/>
    <mergeCell ref="E53:E55"/>
    <mergeCell ref="E57:E58"/>
    <mergeCell ref="E59:E60"/>
    <mergeCell ref="E61:E63"/>
    <mergeCell ref="E64:E66"/>
    <mergeCell ref="E67:E68"/>
    <mergeCell ref="E69:E71"/>
    <mergeCell ref="E72:E73"/>
    <mergeCell ref="E74:E75"/>
    <mergeCell ref="E76:E79"/>
    <mergeCell ref="E80:E84"/>
    <mergeCell ref="E85:E86"/>
    <mergeCell ref="E87:E89"/>
    <mergeCell ref="E90:E93"/>
    <mergeCell ref="F2:F3"/>
    <mergeCell ref="F4:F5"/>
    <mergeCell ref="F6:F8"/>
    <mergeCell ref="F9:F11"/>
    <mergeCell ref="F12:F14"/>
    <mergeCell ref="F15:F16"/>
    <mergeCell ref="F17:F18"/>
    <mergeCell ref="F19:F21"/>
    <mergeCell ref="F22:F23"/>
    <mergeCell ref="F24:F27"/>
    <mergeCell ref="F28:F32"/>
    <mergeCell ref="F34:F38"/>
    <mergeCell ref="F41:F44"/>
    <mergeCell ref="F45:F47"/>
    <mergeCell ref="F49:F50"/>
    <mergeCell ref="F53:F55"/>
    <mergeCell ref="F57:F58"/>
    <mergeCell ref="F59:F60"/>
    <mergeCell ref="F61:F63"/>
    <mergeCell ref="F64:F66"/>
    <mergeCell ref="F67:F68"/>
    <mergeCell ref="F69:F71"/>
    <mergeCell ref="F72:F73"/>
    <mergeCell ref="F74:F75"/>
    <mergeCell ref="F76:F79"/>
    <mergeCell ref="F80:F84"/>
    <mergeCell ref="F85:F86"/>
    <mergeCell ref="F87:F89"/>
    <mergeCell ref="F90:F93"/>
    <mergeCell ref="G2:G3"/>
    <mergeCell ref="G4:G5"/>
    <mergeCell ref="G6:G8"/>
    <mergeCell ref="G9:G11"/>
    <mergeCell ref="G12:G14"/>
    <mergeCell ref="G15:G16"/>
    <mergeCell ref="G17:G18"/>
    <mergeCell ref="G19:G21"/>
    <mergeCell ref="G22:G23"/>
    <mergeCell ref="G24:G27"/>
    <mergeCell ref="G28:G32"/>
    <mergeCell ref="G34:G38"/>
    <mergeCell ref="G41:G44"/>
    <mergeCell ref="G45:G47"/>
    <mergeCell ref="G49:G50"/>
    <mergeCell ref="G53:G55"/>
    <mergeCell ref="G57:G58"/>
    <mergeCell ref="G59:G60"/>
    <mergeCell ref="G61:G63"/>
    <mergeCell ref="G64:G66"/>
    <mergeCell ref="G67:G68"/>
    <mergeCell ref="G69:G71"/>
    <mergeCell ref="G72:G73"/>
    <mergeCell ref="G74:G75"/>
    <mergeCell ref="G76:G79"/>
    <mergeCell ref="G80:G84"/>
    <mergeCell ref="G85:G86"/>
    <mergeCell ref="G87:G89"/>
    <mergeCell ref="G90:G93"/>
    <mergeCell ref="H2:H3"/>
    <mergeCell ref="H4:H5"/>
    <mergeCell ref="H6:H8"/>
    <mergeCell ref="H9:H11"/>
    <mergeCell ref="H12:H14"/>
    <mergeCell ref="H15:H16"/>
    <mergeCell ref="H17:H18"/>
    <mergeCell ref="H19:H21"/>
    <mergeCell ref="H22:H23"/>
    <mergeCell ref="H24:H27"/>
    <mergeCell ref="H28:H32"/>
    <mergeCell ref="H34:H38"/>
    <mergeCell ref="H41:H44"/>
    <mergeCell ref="H45:H47"/>
    <mergeCell ref="H49:H50"/>
    <mergeCell ref="H53:H55"/>
    <mergeCell ref="H57:H58"/>
    <mergeCell ref="H59:H60"/>
    <mergeCell ref="H61:H63"/>
    <mergeCell ref="H64:H66"/>
    <mergeCell ref="H67:H68"/>
    <mergeCell ref="H69:H71"/>
    <mergeCell ref="H72:H73"/>
    <mergeCell ref="H74:H75"/>
    <mergeCell ref="H76:H79"/>
    <mergeCell ref="H80:H84"/>
    <mergeCell ref="H85:H86"/>
    <mergeCell ref="H87:H89"/>
    <mergeCell ref="H90:H93"/>
    <mergeCell ref="I2:I3"/>
    <mergeCell ref="J2:J3"/>
    <mergeCell ref="T2:T3"/>
    <mergeCell ref="U2:U3"/>
    <mergeCell ref="V2:V3"/>
    <mergeCell ref="W2:W3"/>
    <mergeCell ref="X67:X68"/>
    <mergeCell ref="Y67:Y68"/>
    <mergeCell ref="Z67:Z68"/>
    <mergeCell ref="AA67:AA68"/>
    <mergeCell ref="AB67:AB68"/>
    <mergeCell ref="AC67:AC68"/>
    <mergeCell ref="AD67:AD68"/>
    <mergeCell ref="AE67:AE68"/>
    <mergeCell ref="AF67:AF68"/>
    <mergeCell ref="AG67:AG68"/>
    <mergeCell ref="AH67:AH68"/>
    <mergeCell ref="AI67:AI68"/>
    <mergeCell ref="AJ64:AJ65"/>
    <mergeCell ref="AJ67:AJ68"/>
    <mergeCell ref="AK2:AK3"/>
    <mergeCell ref="AK4:AK5"/>
    <mergeCell ref="AK13:AK14"/>
    <mergeCell ref="AK22:AK23"/>
    <mergeCell ref="AK25:AK27"/>
    <mergeCell ref="AK28:AK32"/>
    <mergeCell ref="AK34:AK38"/>
    <mergeCell ref="AK41:AK44"/>
    <mergeCell ref="AK46:AK47"/>
    <mergeCell ref="AK53:AK55"/>
    <mergeCell ref="AK64:AK66"/>
    <mergeCell ref="AK67:AK68"/>
    <mergeCell ref="AK69:AK71"/>
    <mergeCell ref="AK72:AK73"/>
    <mergeCell ref="AK74:AK75"/>
    <mergeCell ref="AK76:AK78"/>
    <mergeCell ref="AK80:AK84"/>
    <mergeCell ref="AK85:AK86"/>
    <mergeCell ref="AK87:AK89"/>
    <mergeCell ref="AK90:AK93"/>
    <mergeCell ref="AL2:AL3"/>
    <mergeCell ref="AL45:AL48"/>
    <mergeCell ref="AM2:AM3"/>
  </mergeCells>
  <dataValidations count="2">
    <dataValidation allowBlank="1" showInputMessage="1" showErrorMessage="1" sqref="V3 W27 U35 U43 U79 U81 H4:H33 H35:H51 H53:H95 J92:J93 U25:U30 U38:U40 U45:U47 U49:U50 U53:U59 U62:U76 U85:U87 U94:U95"/>
    <dataValidation type="list" allowBlank="1" showInputMessage="1" showErrorMessage="1" sqref="T2:T35 T38:T51 T53:T93">
      <formula1>#REF!</formula1>
    </dataValidation>
  </dataValidations>
  <pageMargins left="0.444444444444444" right="0.236111111111111" top="0.590277777777778" bottom="0.393055555555556" header="0.298611111111111" footer="0.298611111111111"/>
  <pageSetup paperSize="8" scale="54" fitToHeight="0" orientation="landscape" horizontalDpi="600"/>
  <headerFooter>
    <oddFooter>&amp;C第 &amp;P 页，共 &amp;N 页</oddFooter>
  </headerFooter>
  <rowBreaks count="11" manualBreakCount="11">
    <brk id="11" max="36" man="1"/>
    <brk id="18" max="36" man="1"/>
    <brk id="27" max="36" man="1"/>
    <brk id="33" max="36" man="1"/>
    <brk id="39" max="36" man="1"/>
    <brk id="47" max="36" man="1"/>
    <brk id="55" max="36" man="1"/>
    <brk id="63" max="36" man="1"/>
    <brk id="71" max="36" man="1"/>
    <brk id="79" max="36" man="1"/>
    <brk id="86" max="36"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opLeftCell="A17" workbookViewId="0">
      <selection activeCell="C17" sqref="C17"/>
    </sheetView>
  </sheetViews>
  <sheetFormatPr defaultColWidth="8.66666666666667" defaultRowHeight="13.8" outlineLevelCol="5"/>
  <cols>
    <col min="3" max="4" width="30.6666666666667" customWidth="1"/>
  </cols>
  <sheetData>
    <row r="1" ht="198" spans="1:6">
      <c r="A1" s="127" t="s">
        <v>1320</v>
      </c>
      <c r="B1" s="23" t="s">
        <v>528</v>
      </c>
      <c r="C1" s="16" t="s">
        <v>1321</v>
      </c>
      <c r="D1" s="16" t="str">
        <f>A1&amp;B1&amp;C1</f>
        <v>1、电网基建业务-3.可研经济性评审、财务合规性审核控制-控制措施02各级单位财务部门负责审核财务合规性，会签可研批复、确保严肃有效；审核过程中要深化内部价格库数据应用，借助智能评审工具分析比对项目造价水平，从严挡出不合理、高造价项目。编制设计前期考虑事项清单，提交经研院内审把关；建管、设计、属地、运维等多方联合现场踏勘，提前识别敏感区和重大风险点；充分调研同类工程造价水平，参考历史造价数据合理估列。</v>
      </c>
      <c r="F1" s="128" t="s">
        <v>1322</v>
      </c>
    </row>
    <row r="2" ht="132" spans="1:6">
      <c r="A2" s="127" t="s">
        <v>1323</v>
      </c>
      <c r="B2" s="23" t="s">
        <v>585</v>
      </c>
      <c r="C2" s="16" t="s">
        <v>1324</v>
      </c>
      <c r="D2" s="16" t="str">
        <f>A2&amp;B2&amp;C2</f>
        <v>2、电网基建业务-6.储备项目合规性、金额准确性的审批控制-控制措施02各级单位财务部门负责项目储备立项金额复核，建立投资计划与财务预算的复核机制，确保项目“有计划、有预算、有支出”。
计划经营部建立投资计划与财务预算的复核机制，确保项目“有计划、有预算、有支出”。</v>
      </c>
    </row>
    <row r="3" ht="158.4" spans="1:6">
      <c r="A3" s="127" t="s">
        <v>1325</v>
      </c>
      <c r="B3" s="23" t="s">
        <v>606</v>
      </c>
      <c r="C3" s="16" t="s">
        <v>1326</v>
      </c>
      <c r="D3" s="16" t="str">
        <f>A3&amp;B3&amp;C3</f>
        <v>3、电网基建业务-7.概算审核控制-控制措施03需调整概算时，各级单位建设部门严格履行项目概算调整审批流程。加强初设审查，逐项核验工程量、设备选型、材料规格；重点审查复杂地质、新型施工方式等高危环节方案可行性与投资匹配性；核定概算上限，确立投资“红线”；建安费限价对比清单总价下浮2%，勘察设计（非研设一体化）下浮15%，物资按上年度均价下浮5%。</v>
      </c>
    </row>
    <row r="4" ht="105.6" spans="1:6">
      <c r="A4" s="127" t="s">
        <v>1327</v>
      </c>
      <c r="B4" s="23" t="s">
        <v>1089</v>
      </c>
      <c r="C4" s="31" t="s">
        <v>1328</v>
      </c>
      <c r="D4" s="31" t="str">
        <f>A4&amp;B4&amp;C4</f>
        <v>4、电网基建业务-9.施工合同合规性、时效性控制-控制措施04各级单位物资部门各级单位建设部门对合同条款与合同招标文件进行复核。</v>
      </c>
    </row>
    <row r="5" ht="105.6" spans="1:6">
      <c r="A5" s="127" t="s">
        <v>1329</v>
      </c>
      <c r="B5" s="23" t="s">
        <v>1118</v>
      </c>
      <c r="C5" s="16" t="s">
        <v>1119</v>
      </c>
      <c r="D5" s="16" t="str">
        <f t="shared" ref="D5:D18" si="0">A5&amp;B5&amp;C5</f>
        <v>5、电网基建业务-11.农民工工资总包代发控制-控制措施05各级单位项目管理部门与财务部门审核农民工工资资金是否及时、按制度规定比例足额拨付到位、专户支出是否专款专用、支付手续是否符合完整性、规范性要求；</v>
      </c>
    </row>
    <row r="6" ht="132" spans="1:6">
      <c r="A6" s="127" t="s">
        <v>1330</v>
      </c>
      <c r="B6" s="23" t="s">
        <v>1146</v>
      </c>
      <c r="C6" s="31" t="s">
        <v>1331</v>
      </c>
      <c r="D6" s="31" t="str">
        <f t="shared" si="0"/>
        <v>6、电网基建业务-13.设计变更与现场签证真实性审核控制-控制措施01各级单位建设部门建立“谁鉴证谁负责”查勘机制，各级单位、施工单位、监理单位对现场进行查勘，并对查勘结果负责；
建设公司技经人员配合项目经理进行设计变更现场查勘，对合规性进行把关。</v>
      </c>
    </row>
    <row r="7" ht="118.8" spans="1:6">
      <c r="A7" s="127" t="s">
        <v>1332</v>
      </c>
      <c r="B7" s="23" t="s">
        <v>1149</v>
      </c>
      <c r="C7" s="31" t="s">
        <v>1333</v>
      </c>
      <c r="D7" s="31" t="str">
        <f t="shared" si="0"/>
        <v>7、电网基建业务-13.设计变更与现场签证真实性审核控制-控制措施02各级单位建设部门建立“谁审批谁负责”复核机制，各级单位、施工单位、监理单位对查勘结果进行审批复核；建设公司技经人员负责审核设计变更、现场签证费用，对合规性进行把关。</v>
      </c>
    </row>
    <row r="8" ht="118.8" spans="1:6">
      <c r="A8" s="127" t="s">
        <v>1334</v>
      </c>
      <c r="B8" s="23" t="s">
        <v>1150</v>
      </c>
      <c r="C8" s="31" t="s">
        <v>1335</v>
      </c>
      <c r="D8" s="31" t="str">
        <f t="shared" si="0"/>
        <v>8、电网基建业务-13.设计变更与现场签证真实性审核控制-控制措施03各级单位建设部门严格履行设计变更分级审批流程权限；
建设公司技经人员负责审核设计变更、现场签证费用，对合规性进行把关。</v>
      </c>
    </row>
    <row r="9" ht="118.8" spans="1:6">
      <c r="A9" s="127" t="s">
        <v>1336</v>
      </c>
      <c r="B9" s="23" t="s">
        <v>1157</v>
      </c>
      <c r="C9" s="16" t="s">
        <v>1158</v>
      </c>
      <c r="D9" s="16" t="str">
        <f t="shared" si="0"/>
        <v>9、电网基建业务-14.物资现场到货与采购一致性控制-控制措施01各级单位物资部门建立供应商、建设管理单位项目经理、物资供应人员三方到货交接责任机制，确保物资现场到货与采购合同一致；物资实行“按需领用、实名登记”。</v>
      </c>
    </row>
    <row r="10" ht="118.8" spans="1:6">
      <c r="A10" s="127" t="s">
        <v>1337</v>
      </c>
      <c r="B10" s="23" t="s">
        <v>1162</v>
      </c>
      <c r="C10" s="102" t="s">
        <v>1163</v>
      </c>
      <c r="D10" s="102" t="str">
        <f t="shared" si="0"/>
        <v>10、电网基建业务-14.物资现场到货与采购一致性控制-控制措施02各级单位建设部门建立现场物资安全保管责任制，明确设备移交双方责任，依托实物ID赋码实现全流程线上跟踪；无实物ID物资建立线上虚拟台账，定期开展账实核对并留存核对记录；</v>
      </c>
    </row>
    <row r="11" ht="118.8" spans="1:6">
      <c r="A11" s="127" t="s">
        <v>1338</v>
      </c>
      <c r="B11" s="23" t="s">
        <v>1165</v>
      </c>
      <c r="C11" s="102" t="s">
        <v>1166</v>
      </c>
      <c r="D11" s="102" t="str">
        <f t="shared" si="0"/>
        <v>11、电网基建业务-14.物资现场到货与采购一致性控制-控制措施03各级单位建设部门建立现场物资盘点机制，定期组织开展实物台账一致性核查。落实盘点人与保管人不相容岗位内控要求。</v>
      </c>
    </row>
    <row r="12" ht="277.2" spans="1:6">
      <c r="A12" s="127" t="s">
        <v>1339</v>
      </c>
      <c r="B12" s="23" t="s">
        <v>1172</v>
      </c>
      <c r="C12" s="31" t="s">
        <v>1340</v>
      </c>
      <c r="D12" s="31" t="str">
        <f t="shared" si="0"/>
        <v>12、电网基建业务-16.施工成本报账与现场进度一致性控制-控制措施01各级单位建设部门建立健全项目工程量与报账复核机制：
报账时，提供工程量清单、合同付款单等相关佐证材料，确保现场工作量与报账保持相对一致；
支付工程预付款时，审核是否开具收据或不征税普通发票，严禁提前确认工程成本；
审核进度款时，审核报审表与工程量清单进度一致，检查预付款扣回条款落实情况，按照合同约定在支付进度款时扣回预付款，确保进度款支付进度不超过合同约定。
建设公司技经人员对预付款、进度款报审费用及资料合规性进行审核，按照合同约定在支付进度款时扣回预付款，确保进度款支付进度不超过合同约定。</v>
      </c>
    </row>
    <row r="13" ht="198" spans="1:6">
      <c r="A13" s="127" t="s">
        <v>1341</v>
      </c>
      <c r="B13" s="23" t="s">
        <v>1194</v>
      </c>
      <c r="C13" s="16" t="s">
        <v>1195</v>
      </c>
      <c r="D13" s="16" t="str">
        <f t="shared" si="0"/>
        <v>13、电网基建业务-17.长期挂账在建工程清理-控制措施01各级单位财务部门建立在建工程长期挂账预警机制，按《国网工程财务管理办法》规定，对6个月及以上无支出的在建工程提出停滞预警，对一年以上无支出的在建工程提出核销预警，并结合区域特点（东北长期封冻期）、项目类型（藏区环境保护）、季节特性（春节、迎峰度夏期间）等并结合区域特点季节特性（春节、迎峰度夏度冬、春雨季、防汛期间）等，适当调整停滞预警和核销预警的时间；</v>
      </c>
    </row>
    <row r="14" ht="132" spans="1:6">
      <c r="A14" s="127" t="s">
        <v>1342</v>
      </c>
      <c r="B14" s="23" t="s">
        <v>1215</v>
      </c>
      <c r="C14" s="31" t="s">
        <v>1343</v>
      </c>
      <c r="D14" s="31" t="str">
        <f t="shared" si="0"/>
        <v>14、电网基建业务-20.工程成本暂估的真实性、准确性控制-控制措施01各级单位建设部门对暂估后成本低于概算75%或超概算仍进行暂估的，需履行相应审批程序；
建设公司技经人员定期开展建设工程成本分析，若存在工程成本超概算风险，及时组织上报并组织概算调整工作。竣工结算批复下达后及时完成项目成本入账。</v>
      </c>
    </row>
    <row r="15" ht="132" spans="1:6">
      <c r="A15" s="127" t="s">
        <v>1344</v>
      </c>
      <c r="B15" s="23" t="s">
        <v>1234</v>
      </c>
      <c r="C15" s="31" t="s">
        <v>1235</v>
      </c>
      <c r="D15" s="31" t="str">
        <f t="shared" si="0"/>
        <v>15、电网基建业务-22.已领未用物资退库控制-控制措施02各级单位财务部门比对出库物资、结算审定使用、结余物资退库的明细及数量，复核物资结余退库情况；
各级单位物资部门建立结余物资损失责任追究机制。投运后1个月内完成盘点，3个月内完成退库；决算前组织物资清理、资产盘点，确保账、卡、物一致。</v>
      </c>
    </row>
    <row r="16" ht="198" spans="1:6">
      <c r="A16" s="127" t="s">
        <v>1345</v>
      </c>
      <c r="B16" s="23" t="s">
        <v>1243</v>
      </c>
      <c r="C16" s="16" t="s">
        <v>1346</v>
      </c>
      <c r="D16" s="16" t="str">
        <f t="shared" si="0"/>
        <v>16、电网基建业务-23.拆旧物资处置控制-控制措施02各级单位物资部门建设部门、财务部门复核结算审定拆旧物资量与实际退库数量，对未提交拆除资产回收资料、应拆实交量存在重大偏差且无合理解释的，追究相关岗位责任。
建设公司技经人员负责接收、核验对拆旧物资移交不符要求单位的考核资料，配合协调相关责任单位缴纳考核金或扣减支付款，在工程竣工投产 110 天内向财务资产部提交考核资料、缴款凭证或扣款单。</v>
      </c>
    </row>
    <row r="17" ht="105.6" spans="1:4">
      <c r="A17" s="127" t="s">
        <v>1347</v>
      </c>
      <c r="B17" s="23" t="s">
        <v>1270</v>
      </c>
      <c r="C17" s="31" t="s">
        <v>1348</v>
      </c>
      <c r="D17" s="31" t="str">
        <f t="shared" si="0"/>
        <v>17、电网基建业务-27.项目结算时效管控-控制措施03各级单位建设部门启动资料预核查，督促施工单位及时补齐缺失要件；
建设公司技经人员严格执行结算及时性要求，根据合同、协议条款，对未及时提交结算资料的参建单位进行监督考核。</v>
      </c>
    </row>
    <row r="18" ht="118.8" spans="1:4">
      <c r="A18" s="127" t="s">
        <v>1349</v>
      </c>
      <c r="B18" s="23" t="s">
        <v>1295</v>
      </c>
      <c r="C18" s="16" t="s">
        <v>1350</v>
      </c>
      <c r="D18" s="16" t="str">
        <f t="shared" si="0"/>
        <v>18、电网基建业务-30.工程竣工决算分级审核控制-控制措施03各级单位财务部门对竣工决算金额与项目成本进行复核，确保二者一致。各级单位财务部门对竣工决算金额与项目成本进行复核，确保二者一致。强化过程跟踪审计和结算初审，推动审计监督关口前移。</v>
      </c>
    </row>
  </sheetData>
  <mergeCells count="1">
    <mergeCell ref="F1:F1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100"/>
  <sheetViews>
    <sheetView zoomScale="40" zoomScaleNormal="40" zoomScaleSheetLayoutView="70" workbookViewId="0">
      <pane xSplit="8" ySplit="3" topLeftCell="I4" activePane="bottomRight" state="frozen"/>
      <selection/>
      <selection pane="topRight"/>
      <selection pane="bottomLeft"/>
      <selection pane="bottomRight" activeCell="J8" sqref="J8"/>
    </sheetView>
  </sheetViews>
  <sheetFormatPr defaultColWidth="8.58333333333333" defaultRowHeight="21"/>
  <cols>
    <col min="1" max="1" width="4.62037037037037" style="4" customWidth="1"/>
    <col min="2" max="2" width="4.41666666666667" style="5" customWidth="1"/>
    <col min="3" max="3" width="4.18518518518519" style="1" customWidth="1"/>
    <col min="4" max="4" width="4.34259259259259" style="4" customWidth="1"/>
    <col min="5" max="5" width="12.5277777777778" style="1" customWidth="1"/>
    <col min="6" max="6" width="11.5" style="1" customWidth="1"/>
    <col min="7" max="8" width="12.787037037037" style="5" customWidth="1"/>
    <col min="9" max="9" width="17.4351851851852" style="5" customWidth="1"/>
    <col min="10" max="10" width="29.1388888888889" style="5" customWidth="1"/>
    <col min="11" max="17" width="3.62037037037037" style="5" customWidth="1"/>
    <col min="18" max="18" width="3.47222222222222" style="5" customWidth="1"/>
    <col min="19" max="19" width="3.52777777777778" style="5" customWidth="1"/>
    <col min="20" max="20" width="5.12037037037037" style="4" customWidth="1"/>
    <col min="21" max="21" width="12.3981481481481" style="4" customWidth="1"/>
    <col min="22" max="22" width="13.4722222222222" style="4" customWidth="1"/>
    <col min="23" max="23" width="34.6388888888889" style="1" customWidth="1"/>
    <col min="24" max="24" width="4" style="4" customWidth="1"/>
    <col min="25" max="29" width="3.62037037037037" style="1" customWidth="1"/>
    <col min="30" max="30" width="6.62037037037037" style="1" customWidth="1"/>
    <col min="31" max="35" width="3.62037037037037" style="1" customWidth="1"/>
    <col min="36" max="36" width="26.3611111111111" style="1" customWidth="1"/>
    <col min="37" max="37" width="7.96296296296296" style="1" customWidth="1"/>
    <col min="38" max="38" width="6.89814814814815" style="1" customWidth="1"/>
    <col min="39" max="39" width="6.89814814814815" style="4" customWidth="1"/>
    <col min="40" max="40" width="11.962962962963" style="23" customWidth="1"/>
    <col min="41" max="41" width="8.33333333333333" style="97" customWidth="1"/>
    <col min="42" max="42" width="17.0277777777778" style="98" customWidth="1"/>
    <col min="43" max="16384" width="8.58333333333333" style="95"/>
  </cols>
  <sheetData>
    <row r="1" spans="1:79">
      <c r="A1" s="9" t="s">
        <v>478</v>
      </c>
      <c r="B1" s="9"/>
      <c r="C1" s="9"/>
      <c r="D1" s="9"/>
      <c r="E1" s="9"/>
      <c r="F1" s="9"/>
      <c r="G1" s="9"/>
      <c r="H1" s="9"/>
      <c r="I1" s="9"/>
      <c r="J1" s="9"/>
      <c r="K1" s="9"/>
      <c r="L1" s="9"/>
      <c r="M1" s="9"/>
      <c r="N1" s="9"/>
      <c r="O1" s="9"/>
      <c r="P1" s="9"/>
      <c r="Q1" s="9"/>
      <c r="R1" s="9"/>
      <c r="S1" s="9"/>
      <c r="T1" s="9"/>
      <c r="U1" s="9"/>
      <c r="V1" s="9"/>
      <c r="W1" s="9"/>
      <c r="X1" s="9"/>
      <c r="Y1" s="9"/>
      <c r="Z1" s="9"/>
      <c r="AA1" s="9"/>
      <c r="AB1" s="9"/>
      <c r="AC1" s="9"/>
      <c r="AD1" s="9"/>
      <c r="AE1" s="10"/>
      <c r="AF1" s="9"/>
      <c r="AG1" s="9"/>
      <c r="AH1" s="9"/>
      <c r="AI1" s="9"/>
      <c r="AJ1" s="9"/>
      <c r="AK1" s="9"/>
      <c r="AO1" s="99"/>
    </row>
    <row r="2" s="95" customFormat="1" ht="30" customHeight="1" spans="1:79">
      <c r="A2" s="11" t="s">
        <v>415</v>
      </c>
      <c r="B2" s="11" t="s">
        <v>416</v>
      </c>
      <c r="C2" s="11" t="s">
        <v>417</v>
      </c>
      <c r="D2" s="11" t="s">
        <v>418</v>
      </c>
      <c r="E2" s="11" t="s">
        <v>419</v>
      </c>
      <c r="F2" s="11" t="s">
        <v>479</v>
      </c>
      <c r="G2" s="11" t="s">
        <v>421</v>
      </c>
      <c r="H2" s="11" t="s">
        <v>422</v>
      </c>
      <c r="I2" s="11" t="s">
        <v>424</v>
      </c>
      <c r="J2" s="11" t="s">
        <v>423</v>
      </c>
      <c r="K2" s="11" t="s">
        <v>425</v>
      </c>
      <c r="L2" s="11"/>
      <c r="M2" s="11"/>
      <c r="N2" s="11"/>
      <c r="O2" s="11"/>
      <c r="P2" s="11"/>
      <c r="Q2" s="11"/>
      <c r="R2" s="11"/>
      <c r="S2" s="11"/>
      <c r="T2" s="11" t="s">
        <v>480</v>
      </c>
      <c r="U2" s="11" t="s">
        <v>428</v>
      </c>
      <c r="V2" s="11" t="s">
        <v>481</v>
      </c>
      <c r="W2" s="11" t="s">
        <v>430</v>
      </c>
      <c r="X2" s="11" t="s">
        <v>431</v>
      </c>
      <c r="Y2" s="11"/>
      <c r="Z2" s="11"/>
      <c r="AA2" s="11" t="s">
        <v>432</v>
      </c>
      <c r="AB2" s="11"/>
      <c r="AC2" s="11"/>
      <c r="AD2" s="11" t="s">
        <v>433</v>
      </c>
      <c r="AE2" s="11"/>
      <c r="AF2" s="11"/>
      <c r="AG2" s="11"/>
      <c r="AH2" s="11" t="s">
        <v>434</v>
      </c>
      <c r="AI2" s="11"/>
      <c r="AJ2" s="11"/>
      <c r="AK2" s="11" t="s">
        <v>435</v>
      </c>
      <c r="AL2" s="11" t="s">
        <v>1038</v>
      </c>
      <c r="AM2" s="11" t="s">
        <v>1039</v>
      </c>
      <c r="AN2" s="100" t="s">
        <v>1040</v>
      </c>
      <c r="AO2" s="7">
        <v>7.22</v>
      </c>
      <c r="AP2" s="98">
        <v>7.27</v>
      </c>
    </row>
    <row r="3" s="95" customFormat="1" ht="76" customHeight="1" spans="1:79">
      <c r="A3" s="11"/>
      <c r="B3" s="11"/>
      <c r="C3" s="11"/>
      <c r="D3" s="11"/>
      <c r="E3" s="11"/>
      <c r="F3" s="11"/>
      <c r="G3" s="11"/>
      <c r="H3" s="11"/>
      <c r="I3" s="11"/>
      <c r="J3" s="11"/>
      <c r="K3" s="11" t="s">
        <v>437</v>
      </c>
      <c r="L3" s="11" t="s">
        <v>438</v>
      </c>
      <c r="M3" s="13" t="s">
        <v>482</v>
      </c>
      <c r="N3" s="11" t="s">
        <v>440</v>
      </c>
      <c r="O3" s="11" t="s">
        <v>441</v>
      </c>
      <c r="P3" s="11" t="s">
        <v>442</v>
      </c>
      <c r="Q3" s="11" t="s">
        <v>443</v>
      </c>
      <c r="R3" s="11" t="s">
        <v>444</v>
      </c>
      <c r="S3" s="11" t="s">
        <v>445</v>
      </c>
      <c r="T3" s="11"/>
      <c r="U3" s="11"/>
      <c r="V3" s="11"/>
      <c r="W3" s="11"/>
      <c r="X3" s="11" t="s">
        <v>449</v>
      </c>
      <c r="Y3" s="11" t="s">
        <v>450</v>
      </c>
      <c r="Z3" s="11" t="s">
        <v>451</v>
      </c>
      <c r="AA3" s="11" t="s">
        <v>449</v>
      </c>
      <c r="AB3" s="11" t="s">
        <v>450</v>
      </c>
      <c r="AC3" s="11" t="s">
        <v>451</v>
      </c>
      <c r="AD3" s="11" t="s">
        <v>433</v>
      </c>
      <c r="AE3" s="11" t="s">
        <v>449</v>
      </c>
      <c r="AF3" s="11" t="s">
        <v>450</v>
      </c>
      <c r="AG3" s="11" t="s">
        <v>451</v>
      </c>
      <c r="AH3" s="11" t="s">
        <v>452</v>
      </c>
      <c r="AI3" s="11" t="s">
        <v>453</v>
      </c>
      <c r="AJ3" s="11" t="s">
        <v>454</v>
      </c>
      <c r="AK3" s="11"/>
      <c r="AL3" s="11"/>
      <c r="AM3" s="11"/>
      <c r="AN3" s="101"/>
      <c r="AO3" s="7"/>
      <c r="AP3" s="98"/>
    </row>
    <row r="4" s="95" customFormat="1" ht="82" customHeight="1" spans="1:79">
      <c r="A4" s="14" t="s">
        <v>483</v>
      </c>
      <c r="B4" s="14" t="s">
        <v>484</v>
      </c>
      <c r="C4" s="15" t="s">
        <v>485</v>
      </c>
      <c r="D4" s="15" t="s">
        <v>486</v>
      </c>
      <c r="E4" s="16" t="s">
        <v>487</v>
      </c>
      <c r="F4" s="17"/>
      <c r="G4" s="15" t="s">
        <v>488</v>
      </c>
      <c r="H4" s="16" t="s">
        <v>489</v>
      </c>
      <c r="I4" s="23" t="s">
        <v>490</v>
      </c>
      <c r="J4" s="16" t="s">
        <v>1041</v>
      </c>
      <c r="K4" s="15"/>
      <c r="L4" s="15"/>
      <c r="M4" s="15"/>
      <c r="N4" s="15"/>
      <c r="O4" s="15"/>
      <c r="P4" s="15"/>
      <c r="Q4" s="15"/>
      <c r="R4" s="15" t="s">
        <v>36</v>
      </c>
      <c r="S4" s="15"/>
      <c r="T4" s="15" t="s">
        <v>492</v>
      </c>
      <c r="U4" s="15"/>
      <c r="V4" s="16" t="s">
        <v>493</v>
      </c>
      <c r="W4" s="35" t="s">
        <v>1042</v>
      </c>
      <c r="X4" s="15" t="s">
        <v>474</v>
      </c>
      <c r="Y4" s="15" t="s">
        <v>473</v>
      </c>
      <c r="Z4" s="15"/>
      <c r="AA4" s="15" t="s">
        <v>474</v>
      </c>
      <c r="AB4" s="15" t="s">
        <v>473</v>
      </c>
      <c r="AC4" s="15"/>
      <c r="AD4" s="15" t="s">
        <v>495</v>
      </c>
      <c r="AE4" s="15" t="s">
        <v>474</v>
      </c>
      <c r="AF4" s="15"/>
      <c r="AG4" s="15"/>
      <c r="AH4" s="15" t="s">
        <v>476</v>
      </c>
      <c r="AI4" s="15" t="s">
        <v>476</v>
      </c>
      <c r="AJ4" s="15" t="s">
        <v>496</v>
      </c>
      <c r="AK4" s="15" t="s">
        <v>497</v>
      </c>
      <c r="AL4" s="102" t="s">
        <v>1043</v>
      </c>
      <c r="AM4" s="23" t="s">
        <v>1044</v>
      </c>
      <c r="AN4" s="103"/>
      <c r="AO4" s="7" t="s">
        <v>1045</v>
      </c>
      <c r="AP4" s="98" t="s">
        <v>1045</v>
      </c>
      <c r="AQ4" s="95" t="b">
        <v>1</v>
      </c>
      <c r="AR4" s="95" t="b">
        <v>1</v>
      </c>
      <c r="AS4" s="95" t="b">
        <v>1</v>
      </c>
      <c r="AT4" s="95" t="b">
        <v>1</v>
      </c>
      <c r="AU4" s="95" t="b">
        <v>1</v>
      </c>
      <c r="AV4" s="95" t="b">
        <v>1</v>
      </c>
      <c r="AW4" s="95" t="b">
        <v>1</v>
      </c>
      <c r="AX4" s="95" t="b">
        <v>1</v>
      </c>
      <c r="AY4" s="95" t="b">
        <v>1</v>
      </c>
      <c r="AZ4" s="95" t="b">
        <v>1</v>
      </c>
      <c r="BA4" s="95" t="b">
        <v>1</v>
      </c>
      <c r="BB4" s="95" t="b">
        <v>1</v>
      </c>
      <c r="BC4" s="95" t="b">
        <v>1</v>
      </c>
      <c r="BD4" s="95" t="b">
        <v>1</v>
      </c>
      <c r="BE4" s="95" t="b">
        <v>1</v>
      </c>
      <c r="BF4" s="95" t="b">
        <v>1</v>
      </c>
      <c r="BG4" s="95" t="b">
        <v>1</v>
      </c>
      <c r="BH4" s="95" t="b">
        <v>1</v>
      </c>
      <c r="BI4" s="95" t="b">
        <v>1</v>
      </c>
      <c r="BJ4" s="95" t="b">
        <v>1</v>
      </c>
      <c r="BK4" s="95" t="b">
        <v>1</v>
      </c>
      <c r="BL4" s="95" t="b">
        <v>1</v>
      </c>
      <c r="BM4" s="95" t="b">
        <v>0</v>
      </c>
      <c r="BN4" s="95" t="b">
        <v>1</v>
      </c>
      <c r="BO4" s="95" t="b">
        <v>1</v>
      </c>
      <c r="BP4" s="95" t="b">
        <v>1</v>
      </c>
      <c r="BQ4" s="95" t="b">
        <v>1</v>
      </c>
      <c r="BR4" s="95" t="b">
        <v>1</v>
      </c>
      <c r="BS4" s="95" t="b">
        <v>1</v>
      </c>
      <c r="BT4" s="95" t="b">
        <v>1</v>
      </c>
      <c r="BU4" s="95" t="b">
        <v>1</v>
      </c>
      <c r="BV4" s="95" t="b">
        <v>1</v>
      </c>
      <c r="BW4" s="95" t="b">
        <v>1</v>
      </c>
      <c r="BX4" s="95" t="b">
        <v>1</v>
      </c>
      <c r="BY4" s="95" t="b">
        <v>1</v>
      </c>
      <c r="BZ4" s="95" t="b">
        <v>1</v>
      </c>
      <c r="CA4" s="95" t="b">
        <v>1</v>
      </c>
    </row>
    <row r="5" s="95" customFormat="1" ht="89" customHeight="1" spans="1:79">
      <c r="A5" s="14"/>
      <c r="B5" s="14"/>
      <c r="C5" s="15"/>
      <c r="D5" s="15"/>
      <c r="E5" s="16"/>
      <c r="F5" s="17"/>
      <c r="G5" s="15"/>
      <c r="H5" s="16"/>
      <c r="I5" s="23" t="s">
        <v>498</v>
      </c>
      <c r="J5" s="16" t="s">
        <v>499</v>
      </c>
      <c r="K5" s="15"/>
      <c r="L5" s="15" t="s">
        <v>36</v>
      </c>
      <c r="M5" s="15"/>
      <c r="N5" s="15"/>
      <c r="O5" s="15"/>
      <c r="P5" s="15"/>
      <c r="Q5" s="15"/>
      <c r="R5" s="15"/>
      <c r="S5" s="15"/>
      <c r="T5" s="15" t="s">
        <v>465</v>
      </c>
      <c r="U5" s="15" t="s">
        <v>500</v>
      </c>
      <c r="V5" s="16" t="s">
        <v>493</v>
      </c>
      <c r="W5" s="25" t="s">
        <v>501</v>
      </c>
      <c r="X5" s="15" t="s">
        <v>474</v>
      </c>
      <c r="Y5" s="15" t="s">
        <v>473</v>
      </c>
      <c r="Z5" s="15"/>
      <c r="AA5" s="15" t="s">
        <v>474</v>
      </c>
      <c r="AB5" s="15" t="s">
        <v>473</v>
      </c>
      <c r="AC5" s="15"/>
      <c r="AD5" s="15" t="s">
        <v>495</v>
      </c>
      <c r="AE5" s="15" t="s">
        <v>474</v>
      </c>
      <c r="AF5" s="15"/>
      <c r="AG5" s="15"/>
      <c r="AH5" s="15" t="s">
        <v>476</v>
      </c>
      <c r="AI5" s="15" t="s">
        <v>476</v>
      </c>
      <c r="AJ5" s="15" t="s">
        <v>496</v>
      </c>
      <c r="AK5" s="15"/>
      <c r="AL5" s="102" t="s">
        <v>1043</v>
      </c>
      <c r="AM5" s="23" t="s">
        <v>1046</v>
      </c>
      <c r="AN5" s="103"/>
      <c r="AO5" s="7" t="s">
        <v>1045</v>
      </c>
      <c r="AP5" s="98" t="s">
        <v>1045</v>
      </c>
      <c r="AQ5" s="95" t="b">
        <v>1</v>
      </c>
      <c r="AR5" s="95" t="b">
        <v>1</v>
      </c>
      <c r="AS5" s="95" t="b">
        <v>1</v>
      </c>
      <c r="AT5" s="95" t="b">
        <v>1</v>
      </c>
      <c r="AU5" s="95" t="b">
        <v>1</v>
      </c>
      <c r="AV5" s="95" t="b">
        <v>1</v>
      </c>
      <c r="AW5" s="95" t="b">
        <v>1</v>
      </c>
      <c r="AX5" s="95" t="b">
        <v>1</v>
      </c>
      <c r="AY5" s="95" t="b">
        <v>1</v>
      </c>
      <c r="AZ5" s="95" t="b">
        <v>1</v>
      </c>
      <c r="BA5" s="95" t="b">
        <v>1</v>
      </c>
      <c r="BB5" s="95" t="b">
        <v>1</v>
      </c>
      <c r="BC5" s="95" t="b">
        <v>1</v>
      </c>
      <c r="BD5" s="95" t="b">
        <v>1</v>
      </c>
      <c r="BE5" s="95" t="b">
        <v>1</v>
      </c>
      <c r="BF5" s="95" t="b">
        <v>1</v>
      </c>
      <c r="BG5" s="95" t="b">
        <v>1</v>
      </c>
      <c r="BH5" s="95" t="b">
        <v>1</v>
      </c>
      <c r="BI5" s="95" t="b">
        <v>1</v>
      </c>
      <c r="BJ5" s="95" t="b">
        <v>1</v>
      </c>
      <c r="BK5" s="95" t="b">
        <v>1</v>
      </c>
      <c r="BL5" s="95" t="b">
        <v>1</v>
      </c>
      <c r="BM5" s="95" t="b">
        <v>0</v>
      </c>
      <c r="BN5" s="95" t="b">
        <v>1</v>
      </c>
      <c r="BO5" s="95" t="b">
        <v>1</v>
      </c>
      <c r="BP5" s="95" t="b">
        <v>1</v>
      </c>
      <c r="BQ5" s="95" t="b">
        <v>1</v>
      </c>
      <c r="BR5" s="95" t="b">
        <v>1</v>
      </c>
      <c r="BS5" s="95" t="b">
        <v>1</v>
      </c>
      <c r="BT5" s="95" t="b">
        <v>1</v>
      </c>
      <c r="BU5" s="95" t="b">
        <v>1</v>
      </c>
      <c r="BV5" s="95" t="b">
        <v>1</v>
      </c>
      <c r="BW5" s="95" t="b">
        <v>1</v>
      </c>
      <c r="BX5" s="95" t="b">
        <v>1</v>
      </c>
      <c r="BY5" s="95" t="b">
        <v>1</v>
      </c>
      <c r="BZ5" s="95" t="b">
        <v>1</v>
      </c>
      <c r="CA5" s="95" t="b">
        <v>1</v>
      </c>
    </row>
    <row r="6" s="95" customFormat="1" ht="76" customHeight="1" spans="1:79">
      <c r="A6" s="14"/>
      <c r="B6" s="14"/>
      <c r="C6" s="15" t="s">
        <v>485</v>
      </c>
      <c r="D6" s="15" t="s">
        <v>502</v>
      </c>
      <c r="E6" s="16" t="s">
        <v>503</v>
      </c>
      <c r="F6" s="24"/>
      <c r="G6" s="15" t="s">
        <v>504</v>
      </c>
      <c r="H6" s="16" t="s">
        <v>505</v>
      </c>
      <c r="I6" s="23" t="s">
        <v>506</v>
      </c>
      <c r="J6" s="16" t="s">
        <v>1047</v>
      </c>
      <c r="K6" s="15"/>
      <c r="L6" s="15"/>
      <c r="M6" s="15"/>
      <c r="N6" s="15" t="s">
        <v>36</v>
      </c>
      <c r="O6" s="15"/>
      <c r="P6" s="15"/>
      <c r="Q6" s="15"/>
      <c r="R6" s="15"/>
      <c r="S6" s="15"/>
      <c r="T6" s="15" t="s">
        <v>492</v>
      </c>
      <c r="U6" s="15"/>
      <c r="V6" s="16" t="s">
        <v>508</v>
      </c>
      <c r="W6" s="35" t="s">
        <v>1048</v>
      </c>
      <c r="X6" s="15" t="s">
        <v>474</v>
      </c>
      <c r="Y6" s="15" t="s">
        <v>473</v>
      </c>
      <c r="Z6" s="15"/>
      <c r="AA6" s="15" t="s">
        <v>474</v>
      </c>
      <c r="AB6" s="15" t="s">
        <v>473</v>
      </c>
      <c r="AC6" s="15"/>
      <c r="AD6" s="15" t="s">
        <v>510</v>
      </c>
      <c r="AE6" s="15" t="s">
        <v>511</v>
      </c>
      <c r="AF6" s="15"/>
      <c r="AG6" s="14"/>
      <c r="AH6" s="15" t="s">
        <v>476</v>
      </c>
      <c r="AI6" s="15" t="s">
        <v>476</v>
      </c>
      <c r="AJ6" s="15" t="s">
        <v>512</v>
      </c>
      <c r="AK6" s="15" t="s">
        <v>497</v>
      </c>
      <c r="AL6" s="102" t="s">
        <v>1043</v>
      </c>
      <c r="AM6" s="23" t="s">
        <v>1044</v>
      </c>
      <c r="AN6" s="103"/>
      <c r="AO6" s="7" t="s">
        <v>1045</v>
      </c>
      <c r="AP6" s="98" t="s">
        <v>1045</v>
      </c>
      <c r="AQ6" s="95" t="b">
        <v>1</v>
      </c>
      <c r="AR6" s="95" t="b">
        <v>1</v>
      </c>
      <c r="AS6" s="95" t="b">
        <v>1</v>
      </c>
      <c r="AT6" s="95" t="b">
        <v>1</v>
      </c>
      <c r="AU6" s="95" t="b">
        <v>1</v>
      </c>
      <c r="AV6" s="95" t="b">
        <v>1</v>
      </c>
      <c r="AW6" s="95" t="b">
        <v>1</v>
      </c>
      <c r="AX6" s="95" t="b">
        <v>1</v>
      </c>
      <c r="AY6" s="95" t="b">
        <v>1</v>
      </c>
      <c r="AZ6" s="95" t="b">
        <v>1</v>
      </c>
      <c r="BA6" s="95" t="b">
        <v>1</v>
      </c>
      <c r="BB6" s="95" t="b">
        <v>1</v>
      </c>
      <c r="BC6" s="95" t="b">
        <v>1</v>
      </c>
      <c r="BD6" s="95" t="b">
        <v>1</v>
      </c>
      <c r="BE6" s="95" t="b">
        <v>1</v>
      </c>
      <c r="BF6" s="95" t="b">
        <v>1</v>
      </c>
      <c r="BG6" s="95" t="b">
        <v>1</v>
      </c>
      <c r="BH6" s="95" t="b">
        <v>1</v>
      </c>
      <c r="BI6" s="95" t="b">
        <v>1</v>
      </c>
      <c r="BJ6" s="95" t="b">
        <v>1</v>
      </c>
      <c r="BK6" s="95" t="b">
        <v>1</v>
      </c>
      <c r="BL6" s="95" t="b">
        <v>1</v>
      </c>
      <c r="BM6" s="95" t="b">
        <v>0</v>
      </c>
      <c r="BN6" s="95" t="b">
        <v>1</v>
      </c>
      <c r="BO6" s="95" t="b">
        <v>1</v>
      </c>
      <c r="BP6" s="95" t="b">
        <v>1</v>
      </c>
      <c r="BQ6" s="95" t="b">
        <v>1</v>
      </c>
      <c r="BR6" s="95" t="b">
        <v>1</v>
      </c>
      <c r="BS6" s="95" t="b">
        <v>1</v>
      </c>
      <c r="BT6" s="95" t="b">
        <v>1</v>
      </c>
      <c r="BU6" s="95" t="b">
        <v>1</v>
      </c>
      <c r="BV6" s="95" t="b">
        <v>1</v>
      </c>
      <c r="BW6" s="95" t="b">
        <v>1</v>
      </c>
      <c r="BX6" s="95" t="b">
        <v>1</v>
      </c>
      <c r="BY6" s="95" t="b">
        <v>1</v>
      </c>
      <c r="BZ6" s="95" t="b">
        <v>1</v>
      </c>
      <c r="CA6" s="95" t="b">
        <v>1</v>
      </c>
    </row>
    <row r="7" s="95" customFormat="1" ht="82" customHeight="1" spans="1:79">
      <c r="A7" s="14"/>
      <c r="B7" s="14"/>
      <c r="C7" s="15"/>
      <c r="D7" s="15"/>
      <c r="E7" s="16"/>
      <c r="F7" s="24"/>
      <c r="G7" s="15"/>
      <c r="H7" s="16"/>
      <c r="I7" s="23" t="s">
        <v>513</v>
      </c>
      <c r="J7" s="16" t="s">
        <v>1049</v>
      </c>
      <c r="K7" s="15"/>
      <c r="L7" s="15"/>
      <c r="M7" s="15"/>
      <c r="N7" s="15" t="s">
        <v>36</v>
      </c>
      <c r="O7" s="15"/>
      <c r="P7" s="15"/>
      <c r="Q7" s="15"/>
      <c r="R7" s="15"/>
      <c r="S7" s="15"/>
      <c r="T7" s="15" t="s">
        <v>492</v>
      </c>
      <c r="U7" s="15"/>
      <c r="V7" s="16" t="s">
        <v>508</v>
      </c>
      <c r="W7" s="35" t="s">
        <v>1050</v>
      </c>
      <c r="X7" s="15" t="s">
        <v>474</v>
      </c>
      <c r="Y7" s="15" t="s">
        <v>473</v>
      </c>
      <c r="Z7" s="15"/>
      <c r="AA7" s="15" t="s">
        <v>474</v>
      </c>
      <c r="AB7" s="15" t="s">
        <v>473</v>
      </c>
      <c r="AC7" s="15"/>
      <c r="AD7" s="15" t="s">
        <v>510</v>
      </c>
      <c r="AE7" s="15" t="s">
        <v>511</v>
      </c>
      <c r="AF7" s="15"/>
      <c r="AG7" s="14"/>
      <c r="AH7" s="15" t="s">
        <v>476</v>
      </c>
      <c r="AI7" s="15" t="s">
        <v>476</v>
      </c>
      <c r="AJ7" s="15" t="s">
        <v>512</v>
      </c>
      <c r="AK7" s="15" t="s">
        <v>497</v>
      </c>
      <c r="AL7" s="102" t="s">
        <v>1043</v>
      </c>
      <c r="AM7" s="23" t="s">
        <v>1044</v>
      </c>
      <c r="AN7" s="103"/>
      <c r="AO7" s="7" t="s">
        <v>1045</v>
      </c>
      <c r="AP7" s="98" t="s">
        <v>1045</v>
      </c>
      <c r="AQ7" s="95" t="b">
        <v>1</v>
      </c>
      <c r="AR7" s="95" t="b">
        <v>1</v>
      </c>
      <c r="AS7" s="95" t="b">
        <v>1</v>
      </c>
      <c r="AT7" s="95" t="b">
        <v>1</v>
      </c>
      <c r="AU7" s="95" t="b">
        <v>1</v>
      </c>
      <c r="AV7" s="95" t="b">
        <v>1</v>
      </c>
      <c r="AW7" s="95" t="b">
        <v>1</v>
      </c>
      <c r="AX7" s="95" t="b">
        <v>1</v>
      </c>
      <c r="AY7" s="95" t="b">
        <v>1</v>
      </c>
      <c r="AZ7" s="95" t="b">
        <v>1</v>
      </c>
      <c r="BA7" s="95" t="b">
        <v>1</v>
      </c>
      <c r="BB7" s="95" t="b">
        <v>1</v>
      </c>
      <c r="BC7" s="95" t="b">
        <v>1</v>
      </c>
      <c r="BD7" s="95" t="b">
        <v>1</v>
      </c>
      <c r="BE7" s="95" t="b">
        <v>1</v>
      </c>
      <c r="BF7" s="95" t="b">
        <v>1</v>
      </c>
      <c r="BG7" s="95" t="b">
        <v>1</v>
      </c>
      <c r="BH7" s="95" t="b">
        <v>1</v>
      </c>
      <c r="BI7" s="95" t="b">
        <v>1</v>
      </c>
      <c r="BJ7" s="95" t="b">
        <v>1</v>
      </c>
      <c r="BK7" s="95" t="b">
        <v>1</v>
      </c>
      <c r="BL7" s="95" t="b">
        <v>1</v>
      </c>
      <c r="BM7" s="95" t="b">
        <v>0</v>
      </c>
      <c r="BN7" s="95" t="b">
        <v>1</v>
      </c>
      <c r="BO7" s="95" t="b">
        <v>1</v>
      </c>
      <c r="BP7" s="95" t="b">
        <v>1</v>
      </c>
      <c r="BQ7" s="95" t="b">
        <v>1</v>
      </c>
      <c r="BR7" s="95" t="b">
        <v>1</v>
      </c>
      <c r="BS7" s="95" t="b">
        <v>1</v>
      </c>
      <c r="BT7" s="95" t="b">
        <v>1</v>
      </c>
      <c r="BU7" s="95" t="b">
        <v>1</v>
      </c>
      <c r="BV7" s="95" t="b">
        <v>1</v>
      </c>
      <c r="BW7" s="95" t="b">
        <v>1</v>
      </c>
      <c r="BX7" s="95" t="b">
        <v>1</v>
      </c>
      <c r="BY7" s="95" t="b">
        <v>1</v>
      </c>
      <c r="BZ7" s="95" t="b">
        <v>1</v>
      </c>
      <c r="CA7" s="95" t="b">
        <v>1</v>
      </c>
    </row>
    <row r="8" s="95" customFormat="1" ht="145" customHeight="1" spans="1:79">
      <c r="A8" s="14"/>
      <c r="B8" s="14"/>
      <c r="C8" s="15"/>
      <c r="D8" s="15"/>
      <c r="E8" s="16"/>
      <c r="F8" s="24"/>
      <c r="G8" s="15"/>
      <c r="H8" s="16"/>
      <c r="I8" s="23" t="s">
        <v>516</v>
      </c>
      <c r="J8" s="16" t="s">
        <v>517</v>
      </c>
      <c r="K8" s="15"/>
      <c r="L8" s="15"/>
      <c r="M8" s="15"/>
      <c r="N8" s="15"/>
      <c r="O8" s="15"/>
      <c r="P8" s="15"/>
      <c r="Q8" s="15"/>
      <c r="R8" s="15"/>
      <c r="S8" s="15" t="s">
        <v>36</v>
      </c>
      <c r="T8" s="15" t="s">
        <v>492</v>
      </c>
      <c r="U8" s="15"/>
      <c r="V8" s="16" t="s">
        <v>508</v>
      </c>
      <c r="W8" s="25" t="s">
        <v>1051</v>
      </c>
      <c r="X8" s="15" t="s">
        <v>474</v>
      </c>
      <c r="Y8" s="15" t="s">
        <v>473</v>
      </c>
      <c r="Z8" s="15"/>
      <c r="AA8" s="15" t="s">
        <v>474</v>
      </c>
      <c r="AB8" s="104" t="s">
        <v>473</v>
      </c>
      <c r="AC8" s="15"/>
      <c r="AD8" s="15" t="s">
        <v>510</v>
      </c>
      <c r="AE8" s="15" t="s">
        <v>472</v>
      </c>
      <c r="AF8" s="15"/>
      <c r="AG8" s="14"/>
      <c r="AH8" s="15" t="s">
        <v>476</v>
      </c>
      <c r="AI8" s="15" t="s">
        <v>476</v>
      </c>
      <c r="AJ8" s="15" t="s">
        <v>512</v>
      </c>
      <c r="AK8" s="15" t="s">
        <v>519</v>
      </c>
      <c r="AL8" s="15" t="s">
        <v>1052</v>
      </c>
      <c r="AM8" s="15" t="s">
        <v>1053</v>
      </c>
      <c r="AN8" s="100" t="s">
        <v>1054</v>
      </c>
      <c r="AO8" s="7" t="s">
        <v>1045</v>
      </c>
      <c r="AP8" s="98" t="s">
        <v>1045</v>
      </c>
      <c r="AQ8" s="95" t="b">
        <v>1</v>
      </c>
      <c r="AR8" s="95" t="b">
        <v>1</v>
      </c>
      <c r="AS8" s="95" t="b">
        <v>1</v>
      </c>
      <c r="AT8" s="95" t="b">
        <v>1</v>
      </c>
      <c r="AU8" s="95" t="b">
        <v>1</v>
      </c>
      <c r="AV8" s="95" t="b">
        <v>1</v>
      </c>
      <c r="AW8" s="95" t="b">
        <v>1</v>
      </c>
      <c r="AX8" s="95" t="b">
        <v>1</v>
      </c>
      <c r="AY8" s="95" t="b">
        <v>1</v>
      </c>
      <c r="AZ8" s="95" t="b">
        <v>1</v>
      </c>
      <c r="BA8" s="95" t="b">
        <v>1</v>
      </c>
      <c r="BB8" s="95" t="b">
        <v>1</v>
      </c>
      <c r="BC8" s="95" t="b">
        <v>1</v>
      </c>
      <c r="BD8" s="95" t="b">
        <v>1</v>
      </c>
      <c r="BE8" s="95" t="b">
        <v>1</v>
      </c>
      <c r="BF8" s="95" t="b">
        <v>1</v>
      </c>
      <c r="BG8" s="95" t="b">
        <v>1</v>
      </c>
      <c r="BH8" s="95" t="b">
        <v>1</v>
      </c>
      <c r="BI8" s="95" t="b">
        <v>1</v>
      </c>
      <c r="BJ8" s="95" t="b">
        <v>1</v>
      </c>
      <c r="BK8" s="95" t="b">
        <v>1</v>
      </c>
      <c r="BL8" s="95" t="b">
        <v>1</v>
      </c>
      <c r="BM8" s="95" t="b">
        <v>0</v>
      </c>
      <c r="BN8" s="95" t="b">
        <v>1</v>
      </c>
      <c r="BO8" s="95" t="b">
        <v>1</v>
      </c>
      <c r="BP8" s="95" t="b">
        <v>1</v>
      </c>
      <c r="BQ8" s="95" t="b">
        <v>1</v>
      </c>
      <c r="BR8" s="95" t="b">
        <v>1</v>
      </c>
      <c r="BS8" s="95" t="b">
        <v>1</v>
      </c>
      <c r="BT8" s="95" t="b">
        <v>1</v>
      </c>
      <c r="BU8" s="95" t="b">
        <v>1</v>
      </c>
      <c r="BV8" s="95" t="b">
        <v>1</v>
      </c>
      <c r="BW8" s="95" t="b">
        <v>1</v>
      </c>
      <c r="BX8" s="95" t="b">
        <v>1</v>
      </c>
      <c r="BY8" s="95" t="b">
        <v>1</v>
      </c>
      <c r="BZ8" s="95" t="b">
        <v>1</v>
      </c>
      <c r="CA8" s="95" t="b">
        <v>1</v>
      </c>
    </row>
    <row r="9" s="95" customFormat="1" ht="81" customHeight="1" spans="1:79">
      <c r="A9" s="14"/>
      <c r="B9" s="14"/>
      <c r="C9" s="15"/>
      <c r="D9" s="15"/>
      <c r="E9" s="16" t="s">
        <v>520</v>
      </c>
      <c r="F9" s="16"/>
      <c r="G9" s="15" t="s">
        <v>521</v>
      </c>
      <c r="H9" s="16" t="s">
        <v>522</v>
      </c>
      <c r="I9" s="23" t="s">
        <v>523</v>
      </c>
      <c r="J9" s="16" t="s">
        <v>1055</v>
      </c>
      <c r="K9" s="15"/>
      <c r="L9" s="15"/>
      <c r="M9" s="15"/>
      <c r="N9" s="15" t="s">
        <v>36</v>
      </c>
      <c r="O9" s="15"/>
      <c r="P9" s="15"/>
      <c r="Q9" s="15"/>
      <c r="R9" s="15"/>
      <c r="S9" s="15" t="s">
        <v>36</v>
      </c>
      <c r="T9" s="15" t="s">
        <v>492</v>
      </c>
      <c r="U9" s="15"/>
      <c r="V9" s="16" t="s">
        <v>525</v>
      </c>
      <c r="W9" s="35" t="s">
        <v>1056</v>
      </c>
      <c r="X9" s="15" t="s">
        <v>474</v>
      </c>
      <c r="Y9" s="15" t="s">
        <v>473</v>
      </c>
      <c r="Z9" s="15"/>
      <c r="AA9" s="15" t="s">
        <v>474</v>
      </c>
      <c r="AB9" s="15" t="s">
        <v>473</v>
      </c>
      <c r="AC9" s="15"/>
      <c r="AD9" s="15" t="s">
        <v>527</v>
      </c>
      <c r="AE9" s="15" t="s">
        <v>511</v>
      </c>
      <c r="AF9" s="15"/>
      <c r="AG9" s="14"/>
      <c r="AH9" s="15" t="s">
        <v>476</v>
      </c>
      <c r="AI9" s="15" t="s">
        <v>476</v>
      </c>
      <c r="AJ9" s="15" t="s">
        <v>512</v>
      </c>
      <c r="AK9" s="15" t="s">
        <v>497</v>
      </c>
      <c r="AL9" s="102" t="s">
        <v>1043</v>
      </c>
      <c r="AM9" s="23" t="s">
        <v>1044</v>
      </c>
      <c r="AN9" s="103"/>
      <c r="AO9" s="7" t="s">
        <v>1045</v>
      </c>
      <c r="AP9" s="98" t="s">
        <v>1045</v>
      </c>
      <c r="AQ9" s="95" t="b">
        <v>1</v>
      </c>
      <c r="AR9" s="95" t="b">
        <v>1</v>
      </c>
      <c r="AS9" s="95" t="b">
        <v>1</v>
      </c>
      <c r="AT9" s="95" t="b">
        <v>1</v>
      </c>
      <c r="AU9" s="95" t="b">
        <v>1</v>
      </c>
      <c r="AV9" s="95" t="b">
        <v>1</v>
      </c>
      <c r="AW9" s="95" t="b">
        <v>1</v>
      </c>
      <c r="AX9" s="95" t="b">
        <v>1</v>
      </c>
      <c r="AY9" s="95" t="b">
        <v>1</v>
      </c>
      <c r="AZ9" s="95" t="b">
        <v>1</v>
      </c>
      <c r="BA9" s="95" t="b">
        <v>1</v>
      </c>
      <c r="BB9" s="95" t="b">
        <v>1</v>
      </c>
      <c r="BC9" s="95" t="b">
        <v>1</v>
      </c>
      <c r="BD9" s="95" t="b">
        <v>1</v>
      </c>
      <c r="BE9" s="95" t="b">
        <v>1</v>
      </c>
      <c r="BF9" s="95" t="b">
        <v>1</v>
      </c>
      <c r="BG9" s="95" t="b">
        <v>1</v>
      </c>
      <c r="BH9" s="95" t="b">
        <v>1</v>
      </c>
      <c r="BI9" s="95" t="b">
        <v>1</v>
      </c>
      <c r="BJ9" s="95" t="b">
        <v>1</v>
      </c>
      <c r="BK9" s="95" t="b">
        <v>1</v>
      </c>
      <c r="BL9" s="95" t="b">
        <v>1</v>
      </c>
      <c r="BM9" s="95" t="b">
        <v>0</v>
      </c>
      <c r="BN9" s="95" t="b">
        <v>1</v>
      </c>
      <c r="BO9" s="95" t="b">
        <v>1</v>
      </c>
      <c r="BP9" s="95" t="b">
        <v>1</v>
      </c>
      <c r="BQ9" s="95" t="b">
        <v>1</v>
      </c>
      <c r="BR9" s="95" t="b">
        <v>1</v>
      </c>
      <c r="BS9" s="95" t="b">
        <v>1</v>
      </c>
      <c r="BT9" s="95" t="b">
        <v>1</v>
      </c>
      <c r="BU9" s="95" t="b">
        <v>1</v>
      </c>
      <c r="BV9" s="95" t="b">
        <v>1</v>
      </c>
      <c r="BW9" s="95" t="b">
        <v>1</v>
      </c>
      <c r="BX9" s="95" t="b">
        <v>1</v>
      </c>
      <c r="BY9" s="95" t="b">
        <v>1</v>
      </c>
      <c r="BZ9" s="95" t="b">
        <v>1</v>
      </c>
      <c r="CA9" s="95" t="b">
        <v>1</v>
      </c>
    </row>
    <row r="10" s="95" customFormat="1" ht="89" customHeight="1" spans="1:79">
      <c r="A10" s="14"/>
      <c r="B10" s="14"/>
      <c r="C10" s="15"/>
      <c r="D10" s="15"/>
      <c r="E10" s="16"/>
      <c r="F10" s="16"/>
      <c r="G10" s="15"/>
      <c r="H10" s="16"/>
      <c r="I10" s="23" t="s">
        <v>528</v>
      </c>
      <c r="J10" s="16" t="s">
        <v>1321</v>
      </c>
      <c r="K10" s="15"/>
      <c r="L10" s="15"/>
      <c r="M10" s="15"/>
      <c r="N10" s="15" t="s">
        <v>36</v>
      </c>
      <c r="O10" s="15"/>
      <c r="P10" s="15"/>
      <c r="Q10" s="15" t="s">
        <v>36</v>
      </c>
      <c r="R10" s="15"/>
      <c r="S10" s="15" t="s">
        <v>36</v>
      </c>
      <c r="T10" s="15" t="s">
        <v>465</v>
      </c>
      <c r="U10" s="15" t="s">
        <v>530</v>
      </c>
      <c r="V10" s="16" t="s">
        <v>525</v>
      </c>
      <c r="W10" s="32" t="s">
        <v>531</v>
      </c>
      <c r="X10" s="15" t="s">
        <v>474</v>
      </c>
      <c r="Y10" s="15" t="s">
        <v>473</v>
      </c>
      <c r="Z10" s="15"/>
      <c r="AA10" s="15" t="s">
        <v>474</v>
      </c>
      <c r="AB10" s="15" t="s">
        <v>473</v>
      </c>
      <c r="AC10" s="15"/>
      <c r="AD10" s="15" t="s">
        <v>527</v>
      </c>
      <c r="AE10" s="15" t="s">
        <v>511</v>
      </c>
      <c r="AF10" s="15"/>
      <c r="AG10" s="14"/>
      <c r="AH10" s="15" t="s">
        <v>476</v>
      </c>
      <c r="AI10" s="15" t="s">
        <v>476</v>
      </c>
      <c r="AJ10" s="15" t="s">
        <v>512</v>
      </c>
      <c r="AK10" s="15" t="s">
        <v>532</v>
      </c>
      <c r="AL10" s="16" t="s">
        <v>1057</v>
      </c>
      <c r="AM10" s="23" t="s">
        <v>470</v>
      </c>
      <c r="AN10" s="100" t="s">
        <v>1058</v>
      </c>
      <c r="AO10" s="7" t="s">
        <v>1059</v>
      </c>
      <c r="AP10" s="98" t="s">
        <v>1059</v>
      </c>
      <c r="AQ10" s="95" t="b">
        <v>1</v>
      </c>
      <c r="AR10" s="95" t="b">
        <v>1</v>
      </c>
      <c r="AS10" s="95" t="b">
        <v>1</v>
      </c>
      <c r="AT10" s="95" t="b">
        <v>1</v>
      </c>
      <c r="AU10" s="95" t="b">
        <v>1</v>
      </c>
      <c r="AV10" s="95" t="b">
        <v>1</v>
      </c>
      <c r="AW10" s="95" t="b">
        <v>1</v>
      </c>
      <c r="AX10" s="95" t="b">
        <v>1</v>
      </c>
      <c r="AY10" s="95" t="b">
        <v>1</v>
      </c>
      <c r="AZ10" s="95" t="b">
        <v>0</v>
      </c>
      <c r="BA10" s="95" t="b">
        <v>1</v>
      </c>
      <c r="BB10" s="95" t="b">
        <v>1</v>
      </c>
      <c r="BC10" s="95" t="b">
        <v>1</v>
      </c>
      <c r="BD10" s="95" t="b">
        <v>1</v>
      </c>
      <c r="BE10" s="95" t="b">
        <v>1</v>
      </c>
      <c r="BF10" s="95" t="b">
        <v>1</v>
      </c>
      <c r="BG10" s="95" t="b">
        <v>1</v>
      </c>
      <c r="BH10" s="95" t="b">
        <v>1</v>
      </c>
      <c r="BI10" s="95" t="b">
        <v>1</v>
      </c>
      <c r="BJ10" s="95" t="b">
        <v>1</v>
      </c>
      <c r="BK10" s="95" t="b">
        <v>1</v>
      </c>
      <c r="BL10" s="95" t="b">
        <v>1</v>
      </c>
      <c r="BM10" s="95" t="b">
        <v>0</v>
      </c>
      <c r="BN10" s="95" t="b">
        <v>1</v>
      </c>
      <c r="BO10" s="95" t="b">
        <v>1</v>
      </c>
      <c r="BP10" s="95" t="b">
        <v>1</v>
      </c>
      <c r="BQ10" s="95" t="b">
        <v>1</v>
      </c>
      <c r="BR10" s="95" t="b">
        <v>1</v>
      </c>
      <c r="BS10" s="95" t="b">
        <v>1</v>
      </c>
      <c r="BT10" s="95" t="b">
        <v>1</v>
      </c>
      <c r="BU10" s="95" t="b">
        <v>1</v>
      </c>
      <c r="BV10" s="95" t="b">
        <v>1</v>
      </c>
      <c r="BW10" s="95" t="b">
        <v>1</v>
      </c>
      <c r="BX10" s="95" t="b">
        <v>1</v>
      </c>
      <c r="BY10" s="95" t="b">
        <v>1</v>
      </c>
      <c r="BZ10" s="95" t="b">
        <v>1</v>
      </c>
      <c r="CA10" s="95" t="b">
        <v>1</v>
      </c>
    </row>
    <row r="11" s="95" customFormat="1" ht="85" customHeight="1" spans="1:79">
      <c r="A11" s="14"/>
      <c r="B11" s="14"/>
      <c r="C11" s="15"/>
      <c r="D11" s="15"/>
      <c r="E11" s="16"/>
      <c r="F11" s="16"/>
      <c r="G11" s="15"/>
      <c r="H11" s="16"/>
      <c r="I11" s="23" t="s">
        <v>533</v>
      </c>
      <c r="J11" s="16" t="s">
        <v>1060</v>
      </c>
      <c r="K11" s="15"/>
      <c r="L11" s="15"/>
      <c r="M11" s="15"/>
      <c r="N11" s="15" t="s">
        <v>36</v>
      </c>
      <c r="O11" s="15"/>
      <c r="P11" s="15"/>
      <c r="Q11" s="15"/>
      <c r="R11" s="15"/>
      <c r="S11" s="15"/>
      <c r="T11" s="15" t="s">
        <v>492</v>
      </c>
      <c r="U11" s="15"/>
      <c r="V11" s="16" t="s">
        <v>525</v>
      </c>
      <c r="W11" s="105" t="s">
        <v>535</v>
      </c>
      <c r="X11" s="15" t="s">
        <v>474</v>
      </c>
      <c r="Y11" s="15" t="s">
        <v>473</v>
      </c>
      <c r="Z11" s="15"/>
      <c r="AA11" s="15" t="s">
        <v>474</v>
      </c>
      <c r="AB11" s="15" t="s">
        <v>473</v>
      </c>
      <c r="AC11" s="15"/>
      <c r="AD11" s="15" t="s">
        <v>527</v>
      </c>
      <c r="AE11" s="15" t="s">
        <v>511</v>
      </c>
      <c r="AF11" s="15"/>
      <c r="AG11" s="14"/>
      <c r="AH11" s="15" t="s">
        <v>476</v>
      </c>
      <c r="AI11" s="15" t="s">
        <v>476</v>
      </c>
      <c r="AJ11" s="15" t="s">
        <v>512</v>
      </c>
      <c r="AK11" s="15" t="s">
        <v>497</v>
      </c>
      <c r="AL11" s="102" t="s">
        <v>1043</v>
      </c>
      <c r="AM11" s="23" t="s">
        <v>1044</v>
      </c>
      <c r="AN11" s="103"/>
      <c r="AO11" s="7" t="s">
        <v>1045</v>
      </c>
      <c r="AP11" s="98" t="s">
        <v>1045</v>
      </c>
      <c r="AQ11" s="95" t="b">
        <v>1</v>
      </c>
      <c r="AR11" s="95" t="b">
        <v>1</v>
      </c>
      <c r="AS11" s="95" t="b">
        <v>1</v>
      </c>
      <c r="AT11" s="95" t="b">
        <v>1</v>
      </c>
      <c r="AU11" s="95" t="b">
        <v>1</v>
      </c>
      <c r="AV11" s="95" t="b">
        <v>1</v>
      </c>
      <c r="AW11" s="95" t="b">
        <v>1</v>
      </c>
      <c r="AX11" s="95" t="b">
        <v>1</v>
      </c>
      <c r="AY11" s="95" t="b">
        <v>1</v>
      </c>
      <c r="AZ11" s="95" t="b">
        <v>1</v>
      </c>
      <c r="BA11" s="95" t="b">
        <v>1</v>
      </c>
      <c r="BB11" s="95" t="b">
        <v>1</v>
      </c>
      <c r="BC11" s="95" t="b">
        <v>1</v>
      </c>
      <c r="BD11" s="95" t="b">
        <v>1</v>
      </c>
      <c r="BE11" s="95" t="b">
        <v>1</v>
      </c>
      <c r="BF11" s="95" t="b">
        <v>1</v>
      </c>
      <c r="BG11" s="95" t="b">
        <v>1</v>
      </c>
      <c r="BH11" s="95" t="b">
        <v>1</v>
      </c>
      <c r="BI11" s="95" t="b">
        <v>1</v>
      </c>
      <c r="BJ11" s="95" t="b">
        <v>1</v>
      </c>
      <c r="BK11" s="95" t="b">
        <v>1</v>
      </c>
      <c r="BL11" s="95" t="b">
        <v>1</v>
      </c>
      <c r="BM11" s="95" t="b">
        <v>0</v>
      </c>
      <c r="BN11" s="95" t="b">
        <v>1</v>
      </c>
      <c r="BO11" s="95" t="b">
        <v>1</v>
      </c>
      <c r="BP11" s="95" t="b">
        <v>1</v>
      </c>
      <c r="BQ11" s="95" t="b">
        <v>1</v>
      </c>
      <c r="BR11" s="95" t="b">
        <v>1</v>
      </c>
      <c r="BS11" s="95" t="b">
        <v>1</v>
      </c>
      <c r="BT11" s="95" t="b">
        <v>1</v>
      </c>
      <c r="BU11" s="95" t="b">
        <v>1</v>
      </c>
      <c r="BV11" s="95" t="b">
        <v>1</v>
      </c>
      <c r="BW11" s="95" t="b">
        <v>1</v>
      </c>
      <c r="BX11" s="95" t="b">
        <v>1</v>
      </c>
      <c r="BY11" s="95" t="b">
        <v>1</v>
      </c>
      <c r="BZ11" s="95" t="b">
        <v>1</v>
      </c>
      <c r="CA11" s="95" t="b">
        <v>1</v>
      </c>
    </row>
    <row r="12" s="95" customFormat="1" ht="79" customHeight="1" spans="1:79">
      <c r="A12" s="14" t="s">
        <v>483</v>
      </c>
      <c r="B12" s="14" t="s">
        <v>484</v>
      </c>
      <c r="C12" s="15" t="s">
        <v>536</v>
      </c>
      <c r="D12" s="15" t="s">
        <v>537</v>
      </c>
      <c r="E12" s="16" t="s">
        <v>538</v>
      </c>
      <c r="F12" s="24"/>
      <c r="G12" s="15" t="s">
        <v>539</v>
      </c>
      <c r="H12" s="16" t="s">
        <v>540</v>
      </c>
      <c r="I12" s="23" t="s">
        <v>541</v>
      </c>
      <c r="J12" s="16" t="s">
        <v>542</v>
      </c>
      <c r="K12" s="15"/>
      <c r="L12" s="15" t="s">
        <v>36</v>
      </c>
      <c r="M12" s="15"/>
      <c r="N12" s="15"/>
      <c r="O12" s="15"/>
      <c r="P12" s="15"/>
      <c r="Q12" s="15"/>
      <c r="R12" s="15"/>
      <c r="S12" s="15"/>
      <c r="T12" s="15" t="s">
        <v>465</v>
      </c>
      <c r="U12" s="15" t="s">
        <v>543</v>
      </c>
      <c r="V12" s="16" t="s">
        <v>544</v>
      </c>
      <c r="W12" s="106" t="s">
        <v>545</v>
      </c>
      <c r="X12" s="15" t="s">
        <v>474</v>
      </c>
      <c r="Y12" s="15" t="s">
        <v>473</v>
      </c>
      <c r="Z12" s="15"/>
      <c r="AA12" s="15" t="s">
        <v>474</v>
      </c>
      <c r="AB12" s="15" t="s">
        <v>473</v>
      </c>
      <c r="AC12" s="15"/>
      <c r="AD12" s="15" t="s">
        <v>546</v>
      </c>
      <c r="AE12" s="15" t="s">
        <v>511</v>
      </c>
      <c r="AF12" s="30"/>
      <c r="AG12" s="14"/>
      <c r="AH12" s="15" t="s">
        <v>476</v>
      </c>
      <c r="AI12" s="30" t="s">
        <v>476</v>
      </c>
      <c r="AJ12" s="15" t="s">
        <v>547</v>
      </c>
      <c r="AK12" s="15" t="s">
        <v>497</v>
      </c>
      <c r="AL12" s="102" t="s">
        <v>1043</v>
      </c>
      <c r="AM12" s="23" t="s">
        <v>1046</v>
      </c>
      <c r="AN12" s="103"/>
      <c r="AO12" s="7" t="s">
        <v>1045</v>
      </c>
      <c r="AP12" s="98" t="s">
        <v>1045</v>
      </c>
      <c r="AQ12" s="95" t="b">
        <v>1</v>
      </c>
      <c r="AR12" s="95" t="b">
        <v>1</v>
      </c>
      <c r="AS12" s="95" t="b">
        <v>1</v>
      </c>
      <c r="AT12" s="95" t="b">
        <v>1</v>
      </c>
      <c r="AU12" s="95" t="b">
        <v>1</v>
      </c>
      <c r="AV12" s="95" t="b">
        <v>1</v>
      </c>
      <c r="AW12" s="95" t="b">
        <v>1</v>
      </c>
      <c r="AX12" s="95" t="b">
        <v>1</v>
      </c>
      <c r="AY12" s="95" t="b">
        <v>1</v>
      </c>
      <c r="AZ12" s="95" t="b">
        <v>1</v>
      </c>
      <c r="BA12" s="95" t="b">
        <v>1</v>
      </c>
      <c r="BB12" s="95" t="b">
        <v>1</v>
      </c>
      <c r="BC12" s="95" t="b">
        <v>1</v>
      </c>
      <c r="BD12" s="95" t="b">
        <v>1</v>
      </c>
      <c r="BE12" s="95" t="b">
        <v>1</v>
      </c>
      <c r="BF12" s="95" t="b">
        <v>1</v>
      </c>
      <c r="BG12" s="95" t="b">
        <v>1</v>
      </c>
      <c r="BH12" s="95" t="b">
        <v>1</v>
      </c>
      <c r="BI12" s="95" t="b">
        <v>1</v>
      </c>
      <c r="BJ12" s="95" t="b">
        <v>1</v>
      </c>
      <c r="BK12" s="95" t="b">
        <v>1</v>
      </c>
      <c r="BL12" s="95" t="b">
        <v>1</v>
      </c>
      <c r="BM12" s="95" t="b">
        <v>0</v>
      </c>
      <c r="BN12" s="95" t="b">
        <v>1</v>
      </c>
      <c r="BO12" s="95" t="b">
        <v>1</v>
      </c>
      <c r="BP12" s="95" t="b">
        <v>1</v>
      </c>
      <c r="BQ12" s="95" t="b">
        <v>1</v>
      </c>
      <c r="BR12" s="95" t="b">
        <v>1</v>
      </c>
      <c r="BS12" s="95" t="b">
        <v>1</v>
      </c>
      <c r="BT12" s="95" t="b">
        <v>1</v>
      </c>
      <c r="BU12" s="95" t="b">
        <v>1</v>
      </c>
      <c r="BV12" s="95" t="b">
        <v>1</v>
      </c>
      <c r="BW12" s="95" t="b">
        <v>1</v>
      </c>
      <c r="BX12" s="95" t="b">
        <v>1</v>
      </c>
      <c r="BY12" s="95" t="b">
        <v>1</v>
      </c>
      <c r="BZ12" s="95" t="b">
        <v>1</v>
      </c>
      <c r="CA12" s="95" t="b">
        <v>1</v>
      </c>
    </row>
    <row r="13" s="95" customFormat="1" ht="77" customHeight="1" spans="1:79">
      <c r="A13" s="14"/>
      <c r="B13" s="14"/>
      <c r="C13" s="15"/>
      <c r="D13" s="15"/>
      <c r="E13" s="16"/>
      <c r="F13" s="24"/>
      <c r="G13" s="15"/>
      <c r="H13" s="16"/>
      <c r="I13" s="23" t="s">
        <v>548</v>
      </c>
      <c r="J13" s="16" t="s">
        <v>1061</v>
      </c>
      <c r="K13" s="15"/>
      <c r="L13" s="15" t="s">
        <v>36</v>
      </c>
      <c r="M13" s="15"/>
      <c r="N13" s="15"/>
      <c r="O13" s="15"/>
      <c r="P13" s="15"/>
      <c r="Q13" s="15" t="s">
        <v>36</v>
      </c>
      <c r="R13" s="15"/>
      <c r="S13" s="15"/>
      <c r="T13" s="15" t="s">
        <v>550</v>
      </c>
      <c r="U13" s="15" t="s">
        <v>551</v>
      </c>
      <c r="V13" s="16" t="s">
        <v>552</v>
      </c>
      <c r="W13" s="31" t="s">
        <v>1062</v>
      </c>
      <c r="X13" s="15" t="s">
        <v>474</v>
      </c>
      <c r="Y13" s="15" t="s">
        <v>473</v>
      </c>
      <c r="Z13" s="15"/>
      <c r="AA13" s="15" t="s">
        <v>474</v>
      </c>
      <c r="AB13" s="15" t="s">
        <v>473</v>
      </c>
      <c r="AC13" s="15"/>
      <c r="AD13" s="15"/>
      <c r="AE13" s="30"/>
      <c r="AF13" s="30"/>
      <c r="AG13" s="14"/>
      <c r="AH13" s="15" t="s">
        <v>476</v>
      </c>
      <c r="AI13" s="30" t="s">
        <v>476</v>
      </c>
      <c r="AJ13" s="15" t="s">
        <v>554</v>
      </c>
      <c r="AK13" s="15" t="s">
        <v>532</v>
      </c>
      <c r="AL13" s="16" t="s">
        <v>1057</v>
      </c>
      <c r="AM13" s="15" t="s">
        <v>470</v>
      </c>
      <c r="AN13" s="100"/>
      <c r="AO13" s="7" t="s">
        <v>1045</v>
      </c>
      <c r="AP13" s="98" t="s">
        <v>1045</v>
      </c>
      <c r="AQ13" s="95" t="b">
        <v>1</v>
      </c>
      <c r="AR13" s="95" t="b">
        <v>1</v>
      </c>
      <c r="AS13" s="95" t="b">
        <v>1</v>
      </c>
      <c r="AT13" s="95" t="b">
        <v>1</v>
      </c>
      <c r="AU13" s="95" t="b">
        <v>1</v>
      </c>
      <c r="AV13" s="95" t="b">
        <v>1</v>
      </c>
      <c r="AW13" s="95" t="b">
        <v>1</v>
      </c>
      <c r="AX13" s="95" t="b">
        <v>1</v>
      </c>
      <c r="AY13" s="95" t="b">
        <v>1</v>
      </c>
      <c r="AZ13" s="95" t="b">
        <v>1</v>
      </c>
      <c r="BA13" s="95" t="b">
        <v>1</v>
      </c>
      <c r="BB13" s="95" t="b">
        <v>1</v>
      </c>
      <c r="BC13" s="95" t="b">
        <v>1</v>
      </c>
      <c r="BD13" s="95" t="b">
        <v>1</v>
      </c>
      <c r="BE13" s="95" t="b">
        <v>1</v>
      </c>
      <c r="BF13" s="95" t="b">
        <v>1</v>
      </c>
      <c r="BG13" s="95" t="b">
        <v>1</v>
      </c>
      <c r="BH13" s="95" t="b">
        <v>1</v>
      </c>
      <c r="BI13" s="95" t="b">
        <v>1</v>
      </c>
      <c r="BJ13" s="95" t="b">
        <v>1</v>
      </c>
      <c r="BK13" s="95" t="b">
        <v>1</v>
      </c>
      <c r="BL13" s="95" t="b">
        <v>1</v>
      </c>
      <c r="BM13" s="95" t="b">
        <v>0</v>
      </c>
      <c r="BN13" s="95" t="b">
        <v>1</v>
      </c>
      <c r="BO13" s="95" t="b">
        <v>1</v>
      </c>
      <c r="BP13" s="95" t="b">
        <v>1</v>
      </c>
      <c r="BQ13" s="95" t="b">
        <v>1</v>
      </c>
      <c r="BR13" s="95" t="b">
        <v>1</v>
      </c>
      <c r="BS13" s="95" t="b">
        <v>1</v>
      </c>
      <c r="BT13" s="95" t="b">
        <v>1</v>
      </c>
      <c r="BU13" s="95" t="b">
        <v>1</v>
      </c>
      <c r="BV13" s="95" t="b">
        <v>1</v>
      </c>
      <c r="BW13" s="95" t="b">
        <v>1</v>
      </c>
      <c r="BX13" s="95" t="b">
        <v>1</v>
      </c>
      <c r="BY13" s="95" t="b">
        <v>1</v>
      </c>
      <c r="BZ13" s="95" t="b">
        <v>1</v>
      </c>
      <c r="CA13" s="95" t="b">
        <v>1</v>
      </c>
    </row>
    <row r="14" s="95" customFormat="1" ht="78" customHeight="1" spans="1:79">
      <c r="A14" s="14"/>
      <c r="B14" s="14"/>
      <c r="C14" s="15"/>
      <c r="D14" s="15"/>
      <c r="E14" s="16"/>
      <c r="F14" s="24"/>
      <c r="G14" s="15"/>
      <c r="H14" s="16"/>
      <c r="I14" s="23" t="s">
        <v>555</v>
      </c>
      <c r="J14" s="16" t="s">
        <v>1063</v>
      </c>
      <c r="K14" s="15"/>
      <c r="L14" s="15"/>
      <c r="M14" s="15"/>
      <c r="N14" s="15"/>
      <c r="O14" s="15" t="s">
        <v>36</v>
      </c>
      <c r="P14" s="15" t="s">
        <v>36</v>
      </c>
      <c r="Q14" s="15" t="s">
        <v>36</v>
      </c>
      <c r="R14" s="15"/>
      <c r="S14" s="15"/>
      <c r="T14" s="15" t="s">
        <v>550</v>
      </c>
      <c r="U14" s="15" t="s">
        <v>467</v>
      </c>
      <c r="V14" s="16" t="s">
        <v>557</v>
      </c>
      <c r="W14" s="32" t="s">
        <v>553</v>
      </c>
      <c r="X14" s="15" t="s">
        <v>474</v>
      </c>
      <c r="Y14" s="15" t="s">
        <v>473</v>
      </c>
      <c r="Z14" s="15"/>
      <c r="AA14" s="15" t="s">
        <v>474</v>
      </c>
      <c r="AB14" s="15" t="s">
        <v>473</v>
      </c>
      <c r="AC14" s="15"/>
      <c r="AD14" s="15"/>
      <c r="AE14" s="30"/>
      <c r="AF14" s="30"/>
      <c r="AG14" s="14"/>
      <c r="AH14" s="15" t="s">
        <v>476</v>
      </c>
      <c r="AI14" s="30" t="s">
        <v>476</v>
      </c>
      <c r="AJ14" s="15" t="s">
        <v>558</v>
      </c>
      <c r="AK14" s="15"/>
      <c r="AL14" s="15" t="s">
        <v>1064</v>
      </c>
      <c r="AM14" s="15" t="s">
        <v>470</v>
      </c>
      <c r="AN14" s="103"/>
      <c r="AO14" s="7" t="s">
        <v>1045</v>
      </c>
      <c r="AP14" s="98" t="s">
        <v>1045</v>
      </c>
      <c r="AQ14" s="95" t="b">
        <v>1</v>
      </c>
      <c r="AR14" s="95" t="b">
        <v>1</v>
      </c>
      <c r="AS14" s="95" t="b">
        <v>1</v>
      </c>
      <c r="AT14" s="95" t="b">
        <v>1</v>
      </c>
      <c r="AU14" s="95" t="b">
        <v>1</v>
      </c>
      <c r="AV14" s="95" t="b">
        <v>1</v>
      </c>
      <c r="AW14" s="95" t="b">
        <v>1</v>
      </c>
      <c r="AX14" s="95" t="b">
        <v>1</v>
      </c>
      <c r="AY14" s="95" t="b">
        <v>1</v>
      </c>
      <c r="AZ14" s="95" t="b">
        <v>1</v>
      </c>
      <c r="BA14" s="95" t="b">
        <v>1</v>
      </c>
      <c r="BB14" s="95" t="b">
        <v>1</v>
      </c>
      <c r="BC14" s="95" t="b">
        <v>1</v>
      </c>
      <c r="BD14" s="95" t="b">
        <v>1</v>
      </c>
      <c r="BE14" s="95" t="b">
        <v>1</v>
      </c>
      <c r="BF14" s="95" t="b">
        <v>1</v>
      </c>
      <c r="BG14" s="95" t="b">
        <v>1</v>
      </c>
      <c r="BH14" s="95" t="b">
        <v>1</v>
      </c>
      <c r="BI14" s="95" t="b">
        <v>1</v>
      </c>
      <c r="BJ14" s="95" t="b">
        <v>1</v>
      </c>
      <c r="BK14" s="95" t="b">
        <v>1</v>
      </c>
      <c r="BL14" s="95" t="b">
        <v>1</v>
      </c>
      <c r="BM14" s="95" t="b">
        <v>0</v>
      </c>
      <c r="BN14" s="95" t="b">
        <v>1</v>
      </c>
      <c r="BO14" s="95" t="b">
        <v>1</v>
      </c>
      <c r="BP14" s="95" t="b">
        <v>1</v>
      </c>
      <c r="BQ14" s="95" t="b">
        <v>1</v>
      </c>
      <c r="BR14" s="95" t="b">
        <v>1</v>
      </c>
      <c r="BS14" s="95" t="b">
        <v>1</v>
      </c>
      <c r="BT14" s="95" t="b">
        <v>1</v>
      </c>
      <c r="BU14" s="95" t="b">
        <v>1</v>
      </c>
      <c r="BV14" s="95" t="b">
        <v>1</v>
      </c>
      <c r="BW14" s="95" t="b">
        <v>1</v>
      </c>
      <c r="BX14" s="95" t="b">
        <v>1</v>
      </c>
      <c r="BY14" s="95" t="b">
        <v>1</v>
      </c>
      <c r="BZ14" s="95" t="b">
        <v>1</v>
      </c>
      <c r="CA14" s="95" t="b">
        <v>1</v>
      </c>
    </row>
    <row r="15" s="95" customFormat="1" ht="76" customHeight="1" spans="1:79">
      <c r="A15" s="14"/>
      <c r="B15" s="14"/>
      <c r="C15" s="15"/>
      <c r="D15" s="15"/>
      <c r="E15" s="16" t="s">
        <v>559</v>
      </c>
      <c r="F15" s="16"/>
      <c r="G15" s="15" t="s">
        <v>560</v>
      </c>
      <c r="H15" s="16" t="s">
        <v>561</v>
      </c>
      <c r="I15" s="23" t="s">
        <v>562</v>
      </c>
      <c r="J15" s="16" t="s">
        <v>1065</v>
      </c>
      <c r="K15" s="15"/>
      <c r="L15" s="15"/>
      <c r="M15" s="15"/>
      <c r="N15" s="15"/>
      <c r="O15" s="15"/>
      <c r="P15" s="15"/>
      <c r="Q15" s="15" t="s">
        <v>36</v>
      </c>
      <c r="R15" s="15"/>
      <c r="S15" s="15"/>
      <c r="T15" s="15" t="s">
        <v>465</v>
      </c>
      <c r="U15" s="15" t="s">
        <v>467</v>
      </c>
      <c r="V15" s="16" t="s">
        <v>564</v>
      </c>
      <c r="W15" s="32" t="s">
        <v>1351</v>
      </c>
      <c r="X15" s="15" t="s">
        <v>565</v>
      </c>
      <c r="Y15" s="15" t="s">
        <v>566</v>
      </c>
      <c r="Z15" s="15"/>
      <c r="AA15" s="15" t="s">
        <v>474</v>
      </c>
      <c r="AB15" s="15" t="s">
        <v>473</v>
      </c>
      <c r="AC15" s="15"/>
      <c r="AD15" s="15" t="s">
        <v>567</v>
      </c>
      <c r="AE15" s="15" t="s">
        <v>511</v>
      </c>
      <c r="AF15" s="15"/>
      <c r="AG15" s="14"/>
      <c r="AH15" s="15" t="s">
        <v>476</v>
      </c>
      <c r="AI15" s="30" t="s">
        <v>476</v>
      </c>
      <c r="AJ15" s="15" t="s">
        <v>558</v>
      </c>
      <c r="AK15" s="15" t="s">
        <v>532</v>
      </c>
      <c r="AL15" s="15" t="s">
        <v>1064</v>
      </c>
      <c r="AM15" s="15" t="s">
        <v>470</v>
      </c>
      <c r="AN15" s="103"/>
      <c r="AO15" s="7" t="s">
        <v>1045</v>
      </c>
      <c r="AP15" s="98" t="s">
        <v>1045</v>
      </c>
      <c r="AQ15" s="95" t="b">
        <v>1</v>
      </c>
      <c r="AR15" s="95" t="b">
        <v>1</v>
      </c>
      <c r="AS15" s="95" t="b">
        <v>1</v>
      </c>
      <c r="AT15" s="95" t="b">
        <v>1</v>
      </c>
      <c r="AU15" s="95" t="b">
        <v>1</v>
      </c>
      <c r="AV15" s="95" t="b">
        <v>1</v>
      </c>
      <c r="AW15" s="95" t="b">
        <v>1</v>
      </c>
      <c r="AX15" s="95" t="b">
        <v>1</v>
      </c>
      <c r="AY15" s="95" t="b">
        <v>1</v>
      </c>
      <c r="AZ15" s="95" t="b">
        <v>1</v>
      </c>
      <c r="BA15" s="95" t="b">
        <v>1</v>
      </c>
      <c r="BB15" s="95" t="b">
        <v>1</v>
      </c>
      <c r="BC15" s="95" t="b">
        <v>1</v>
      </c>
      <c r="BD15" s="95" t="b">
        <v>1</v>
      </c>
      <c r="BE15" s="95" t="b">
        <v>1</v>
      </c>
      <c r="BF15" s="95" t="b">
        <v>1</v>
      </c>
      <c r="BG15" s="95" t="b">
        <v>1</v>
      </c>
      <c r="BH15" s="95" t="b">
        <v>1</v>
      </c>
      <c r="BI15" s="95" t="b">
        <v>1</v>
      </c>
      <c r="BJ15" s="95" t="b">
        <v>1</v>
      </c>
      <c r="BK15" s="95" t="b">
        <v>1</v>
      </c>
      <c r="BL15" s="95" t="b">
        <v>1</v>
      </c>
      <c r="BM15" s="95" t="b">
        <v>0</v>
      </c>
      <c r="BN15" s="95" t="b">
        <v>1</v>
      </c>
      <c r="BO15" s="95" t="b">
        <v>1</v>
      </c>
      <c r="BP15" s="95" t="b">
        <v>1</v>
      </c>
      <c r="BQ15" s="95" t="b">
        <v>1</v>
      </c>
      <c r="BR15" s="95" t="b">
        <v>1</v>
      </c>
      <c r="BS15" s="95" t="b">
        <v>1</v>
      </c>
      <c r="BT15" s="95" t="b">
        <v>1</v>
      </c>
      <c r="BU15" s="95" t="b">
        <v>1</v>
      </c>
      <c r="BV15" s="95" t="b">
        <v>1</v>
      </c>
      <c r="BW15" s="95" t="b">
        <v>1</v>
      </c>
      <c r="BX15" s="95" t="b">
        <v>1</v>
      </c>
      <c r="BY15" s="95" t="b">
        <v>1</v>
      </c>
      <c r="BZ15" s="95" t="b">
        <v>1</v>
      </c>
      <c r="CA15" s="95" t="b">
        <v>1</v>
      </c>
    </row>
    <row r="16" s="95" customFormat="1" ht="114" customHeight="1" spans="1:79">
      <c r="A16" s="14"/>
      <c r="B16" s="14"/>
      <c r="C16" s="15"/>
      <c r="D16" s="15"/>
      <c r="E16" s="16"/>
      <c r="F16" s="16"/>
      <c r="G16" s="15"/>
      <c r="H16" s="16"/>
      <c r="I16" s="23" t="s">
        <v>568</v>
      </c>
      <c r="J16" s="16" t="s">
        <v>569</v>
      </c>
      <c r="K16" s="15"/>
      <c r="L16" s="15" t="s">
        <v>36</v>
      </c>
      <c r="M16" s="15"/>
      <c r="N16" s="15"/>
      <c r="O16" s="15"/>
      <c r="P16" s="15"/>
      <c r="Q16" s="15"/>
      <c r="R16" s="15"/>
      <c r="S16" s="15"/>
      <c r="T16" s="15" t="s">
        <v>492</v>
      </c>
      <c r="U16" s="15"/>
      <c r="V16" s="16" t="s">
        <v>570</v>
      </c>
      <c r="W16" s="32" t="s">
        <v>1066</v>
      </c>
      <c r="X16" s="15" t="s">
        <v>565</v>
      </c>
      <c r="Y16" s="15" t="s">
        <v>566</v>
      </c>
      <c r="Z16" s="15"/>
      <c r="AA16" s="15" t="s">
        <v>474</v>
      </c>
      <c r="AB16" s="15" t="s">
        <v>473</v>
      </c>
      <c r="AC16" s="15"/>
      <c r="AD16" s="15"/>
      <c r="AE16" s="15"/>
      <c r="AF16" s="15"/>
      <c r="AG16" s="14"/>
      <c r="AH16" s="15" t="s">
        <v>476</v>
      </c>
      <c r="AI16" s="30" t="s">
        <v>476</v>
      </c>
      <c r="AJ16" s="15" t="s">
        <v>572</v>
      </c>
      <c r="AK16" s="15" t="s">
        <v>497</v>
      </c>
      <c r="AL16" s="16" t="s">
        <v>1067</v>
      </c>
      <c r="AM16" s="15" t="s">
        <v>1053</v>
      </c>
      <c r="AN16" s="100"/>
      <c r="AO16" s="7" t="s">
        <v>1045</v>
      </c>
      <c r="AP16" s="98" t="s">
        <v>1045</v>
      </c>
      <c r="AQ16" s="95" t="b">
        <v>1</v>
      </c>
      <c r="AR16" s="95" t="b">
        <v>1</v>
      </c>
      <c r="AS16" s="95" t="b">
        <v>1</v>
      </c>
      <c r="AT16" s="95" t="b">
        <v>1</v>
      </c>
      <c r="AU16" s="95" t="b">
        <v>1</v>
      </c>
      <c r="AV16" s="95" t="b">
        <v>1</v>
      </c>
      <c r="AW16" s="95" t="b">
        <v>1</v>
      </c>
      <c r="AX16" s="95" t="b">
        <v>1</v>
      </c>
      <c r="AY16" s="95" t="b">
        <v>1</v>
      </c>
      <c r="AZ16" s="95" t="b">
        <v>1</v>
      </c>
      <c r="BA16" s="95" t="b">
        <v>1</v>
      </c>
      <c r="BB16" s="95" t="b">
        <v>1</v>
      </c>
      <c r="BC16" s="95" t="b">
        <v>1</v>
      </c>
      <c r="BD16" s="95" t="b">
        <v>1</v>
      </c>
      <c r="BE16" s="95" t="b">
        <v>1</v>
      </c>
      <c r="BF16" s="95" t="b">
        <v>1</v>
      </c>
      <c r="BG16" s="95" t="b">
        <v>1</v>
      </c>
      <c r="BH16" s="95" t="b">
        <v>1</v>
      </c>
      <c r="BI16" s="95" t="b">
        <v>1</v>
      </c>
      <c r="BJ16" s="95" t="b">
        <v>1</v>
      </c>
      <c r="BK16" s="95" t="b">
        <v>1</v>
      </c>
      <c r="BL16" s="95" t="b">
        <v>1</v>
      </c>
      <c r="BM16" s="95" t="b">
        <v>0</v>
      </c>
      <c r="BN16" s="95" t="b">
        <v>1</v>
      </c>
      <c r="BO16" s="95" t="b">
        <v>1</v>
      </c>
      <c r="BP16" s="95" t="b">
        <v>1</v>
      </c>
      <c r="BQ16" s="95" t="b">
        <v>1</v>
      </c>
      <c r="BR16" s="95" t="b">
        <v>1</v>
      </c>
      <c r="BS16" s="95" t="b">
        <v>1</v>
      </c>
      <c r="BT16" s="95" t="b">
        <v>1</v>
      </c>
      <c r="BU16" s="95" t="b">
        <v>1</v>
      </c>
      <c r="BV16" s="95" t="b">
        <v>1</v>
      </c>
      <c r="BW16" s="95" t="b">
        <v>1</v>
      </c>
      <c r="BX16" s="95" t="b">
        <v>1</v>
      </c>
      <c r="BY16" s="95" t="b">
        <v>1</v>
      </c>
      <c r="BZ16" s="95" t="b">
        <v>1</v>
      </c>
      <c r="CA16" s="95" t="b">
        <v>1</v>
      </c>
    </row>
    <row r="17" s="95" customFormat="1" ht="85" customHeight="1" spans="1:79">
      <c r="A17" s="14"/>
      <c r="B17" s="14" t="s">
        <v>573</v>
      </c>
      <c r="C17" s="15" t="s">
        <v>485</v>
      </c>
      <c r="D17" s="15" t="s">
        <v>574</v>
      </c>
      <c r="E17" s="16" t="s">
        <v>575</v>
      </c>
      <c r="F17" s="17" t="s">
        <v>576</v>
      </c>
      <c r="G17" s="15" t="s">
        <v>577</v>
      </c>
      <c r="H17" s="16" t="s">
        <v>578</v>
      </c>
      <c r="I17" s="23" t="s">
        <v>579</v>
      </c>
      <c r="J17" s="16" t="s">
        <v>1068</v>
      </c>
      <c r="K17" s="15"/>
      <c r="L17" s="15" t="s">
        <v>36</v>
      </c>
      <c r="M17" s="15"/>
      <c r="N17" s="15"/>
      <c r="O17" s="15"/>
      <c r="P17" s="15"/>
      <c r="Q17" s="15"/>
      <c r="R17" s="15"/>
      <c r="S17" s="15"/>
      <c r="T17" s="15" t="s">
        <v>465</v>
      </c>
      <c r="U17" s="15" t="s">
        <v>500</v>
      </c>
      <c r="V17" s="16" t="s">
        <v>581</v>
      </c>
      <c r="W17" s="31" t="s">
        <v>1069</v>
      </c>
      <c r="X17" s="15" t="s">
        <v>474</v>
      </c>
      <c r="Y17" s="15" t="s">
        <v>473</v>
      </c>
      <c r="Z17" s="15"/>
      <c r="AA17" s="15" t="s">
        <v>474</v>
      </c>
      <c r="AB17" s="15" t="s">
        <v>473</v>
      </c>
      <c r="AC17" s="15"/>
      <c r="AD17" s="15" t="s">
        <v>583</v>
      </c>
      <c r="AE17" s="15" t="s">
        <v>511</v>
      </c>
      <c r="AF17" s="15"/>
      <c r="AG17" s="14"/>
      <c r="AH17" s="15" t="s">
        <v>476</v>
      </c>
      <c r="AI17" s="15" t="s">
        <v>476</v>
      </c>
      <c r="AJ17" s="15" t="s">
        <v>584</v>
      </c>
      <c r="AK17" s="15" t="s">
        <v>497</v>
      </c>
      <c r="AL17" s="102" t="s">
        <v>1043</v>
      </c>
      <c r="AM17" s="23" t="s">
        <v>1044</v>
      </c>
      <c r="AN17" s="103"/>
      <c r="AO17" s="7" t="s">
        <v>1045</v>
      </c>
      <c r="AP17" s="98" t="s">
        <v>1045</v>
      </c>
      <c r="AQ17" s="95" t="b">
        <v>1</v>
      </c>
      <c r="AR17" s="95" t="b">
        <v>1</v>
      </c>
      <c r="AS17" s="95" t="b">
        <v>1</v>
      </c>
      <c r="AT17" s="95" t="b">
        <v>1</v>
      </c>
      <c r="AU17" s="95" t="b">
        <v>1</v>
      </c>
      <c r="AV17" s="95" t="b">
        <v>1</v>
      </c>
      <c r="AW17" s="95" t="b">
        <v>1</v>
      </c>
      <c r="AX17" s="95" t="b">
        <v>1</v>
      </c>
      <c r="AY17" s="95" t="b">
        <v>1</v>
      </c>
      <c r="AZ17" s="95" t="b">
        <v>1</v>
      </c>
      <c r="BA17" s="95" t="b">
        <v>1</v>
      </c>
      <c r="BB17" s="95" t="b">
        <v>1</v>
      </c>
      <c r="BC17" s="95" t="b">
        <v>1</v>
      </c>
      <c r="BD17" s="95" t="b">
        <v>1</v>
      </c>
      <c r="BE17" s="95" t="b">
        <v>1</v>
      </c>
      <c r="BF17" s="95" t="b">
        <v>1</v>
      </c>
      <c r="BG17" s="95" t="b">
        <v>1</v>
      </c>
      <c r="BH17" s="95" t="b">
        <v>1</v>
      </c>
      <c r="BI17" s="95" t="b">
        <v>1</v>
      </c>
      <c r="BJ17" s="95" t="b">
        <v>1</v>
      </c>
      <c r="BK17" s="95" t="b">
        <v>1</v>
      </c>
      <c r="BL17" s="95" t="b">
        <v>1</v>
      </c>
      <c r="BM17" s="95" t="b">
        <v>0</v>
      </c>
      <c r="BN17" s="95" t="b">
        <v>1</v>
      </c>
      <c r="BO17" s="95" t="b">
        <v>1</v>
      </c>
      <c r="BP17" s="95" t="b">
        <v>1</v>
      </c>
      <c r="BQ17" s="95" t="b">
        <v>1</v>
      </c>
      <c r="BR17" s="95" t="b">
        <v>1</v>
      </c>
      <c r="BS17" s="95" t="b">
        <v>1</v>
      </c>
      <c r="BT17" s="95" t="b">
        <v>1</v>
      </c>
      <c r="BU17" s="95" t="b">
        <v>1</v>
      </c>
      <c r="BV17" s="95" t="b">
        <v>1</v>
      </c>
      <c r="BW17" s="95" t="b">
        <v>1</v>
      </c>
      <c r="BX17" s="95" t="b">
        <v>1</v>
      </c>
      <c r="BY17" s="95" t="b">
        <v>1</v>
      </c>
      <c r="BZ17" s="95" t="b">
        <v>1</v>
      </c>
      <c r="CA17" s="95" t="b">
        <v>1</v>
      </c>
    </row>
    <row r="18" s="95" customFormat="1" ht="98" customHeight="1" spans="1:79">
      <c r="A18" s="14"/>
      <c r="B18" s="14"/>
      <c r="C18" s="15"/>
      <c r="D18" s="15"/>
      <c r="E18" s="16"/>
      <c r="F18" s="17"/>
      <c r="G18" s="15"/>
      <c r="H18" s="16"/>
      <c r="I18" s="23" t="s">
        <v>585</v>
      </c>
      <c r="J18" s="16" t="s">
        <v>1324</v>
      </c>
      <c r="K18" s="15"/>
      <c r="L18" s="15"/>
      <c r="M18" s="15"/>
      <c r="N18" s="15" t="s">
        <v>36</v>
      </c>
      <c r="O18" s="15"/>
      <c r="P18" s="15"/>
      <c r="Q18" s="15" t="s">
        <v>36</v>
      </c>
      <c r="R18" s="15"/>
      <c r="S18" s="15"/>
      <c r="T18" s="15" t="s">
        <v>465</v>
      </c>
      <c r="U18" s="15" t="s">
        <v>587</v>
      </c>
      <c r="V18" s="16" t="s">
        <v>588</v>
      </c>
      <c r="W18" s="31" t="s">
        <v>589</v>
      </c>
      <c r="X18" s="15" t="s">
        <v>474</v>
      </c>
      <c r="Y18" s="15" t="s">
        <v>473</v>
      </c>
      <c r="Z18" s="15"/>
      <c r="AA18" s="15" t="s">
        <v>474</v>
      </c>
      <c r="AB18" s="15" t="s">
        <v>473</v>
      </c>
      <c r="AC18" s="15"/>
      <c r="AD18" s="15"/>
      <c r="AE18" s="15"/>
      <c r="AF18" s="15"/>
      <c r="AG18" s="14"/>
      <c r="AH18" s="15" t="s">
        <v>476</v>
      </c>
      <c r="AI18" s="15" t="s">
        <v>476</v>
      </c>
      <c r="AJ18" s="15" t="s">
        <v>584</v>
      </c>
      <c r="AK18" s="15" t="s">
        <v>532</v>
      </c>
      <c r="AL18" s="16" t="s">
        <v>1057</v>
      </c>
      <c r="AM18" s="15" t="s">
        <v>470</v>
      </c>
      <c r="AN18" s="100" t="s">
        <v>1071</v>
      </c>
      <c r="AO18" s="7" t="s">
        <v>1045</v>
      </c>
      <c r="AP18" s="98" t="s">
        <v>1059</v>
      </c>
      <c r="AQ18" s="95" t="b">
        <v>1</v>
      </c>
      <c r="AR18" s="95" t="b">
        <v>1</v>
      </c>
      <c r="AS18" s="95" t="b">
        <v>1</v>
      </c>
      <c r="AT18" s="95" t="b">
        <v>1</v>
      </c>
      <c r="AU18" s="95" t="b">
        <v>1</v>
      </c>
      <c r="AV18" s="95" t="b">
        <v>1</v>
      </c>
      <c r="AW18" s="95" t="b">
        <v>1</v>
      </c>
      <c r="AX18" s="95" t="b">
        <v>1</v>
      </c>
      <c r="AY18" s="95" t="b">
        <v>1</v>
      </c>
      <c r="AZ18" s="95" t="b">
        <v>0</v>
      </c>
      <c r="BA18" s="95" t="b">
        <v>1</v>
      </c>
      <c r="BB18" s="95" t="b">
        <v>1</v>
      </c>
      <c r="BC18" s="95" t="b">
        <v>1</v>
      </c>
      <c r="BD18" s="95" t="b">
        <v>1</v>
      </c>
      <c r="BE18" s="95" t="b">
        <v>1</v>
      </c>
      <c r="BF18" s="95" t="b">
        <v>1</v>
      </c>
      <c r="BG18" s="95" t="b">
        <v>1</v>
      </c>
      <c r="BH18" s="95" t="b">
        <v>1</v>
      </c>
      <c r="BI18" s="95" t="b">
        <v>1</v>
      </c>
      <c r="BJ18" s="95" t="b">
        <v>1</v>
      </c>
      <c r="BK18" s="95" t="b">
        <v>1</v>
      </c>
      <c r="BL18" s="95" t="b">
        <v>1</v>
      </c>
      <c r="BM18" s="95" t="b">
        <v>0</v>
      </c>
      <c r="BN18" s="95" t="b">
        <v>1</v>
      </c>
      <c r="BO18" s="95" t="b">
        <v>1</v>
      </c>
      <c r="BP18" s="95" t="b">
        <v>1</v>
      </c>
      <c r="BQ18" s="95" t="b">
        <v>1</v>
      </c>
      <c r="BR18" s="95" t="b">
        <v>1</v>
      </c>
      <c r="BS18" s="95" t="b">
        <v>1</v>
      </c>
      <c r="BT18" s="95" t="b">
        <v>1</v>
      </c>
      <c r="BU18" s="95" t="b">
        <v>1</v>
      </c>
      <c r="BV18" s="95" t="b">
        <v>1</v>
      </c>
      <c r="BW18" s="95" t="b">
        <v>1</v>
      </c>
      <c r="BX18" s="95" t="b">
        <v>1</v>
      </c>
      <c r="BY18" s="95" t="b">
        <v>1</v>
      </c>
      <c r="BZ18" s="95" t="b">
        <v>1</v>
      </c>
      <c r="CA18" s="95" t="b">
        <v>1</v>
      </c>
    </row>
    <row r="19" s="95" customFormat="1" ht="77" customHeight="1" spans="1:79">
      <c r="A19" s="14" t="s">
        <v>483</v>
      </c>
      <c r="B19" s="14" t="s">
        <v>573</v>
      </c>
      <c r="C19" s="15" t="s">
        <v>485</v>
      </c>
      <c r="D19" s="15" t="s">
        <v>590</v>
      </c>
      <c r="E19" s="16" t="s">
        <v>591</v>
      </c>
      <c r="F19" s="17" t="s">
        <v>592</v>
      </c>
      <c r="G19" s="15" t="s">
        <v>593</v>
      </c>
      <c r="H19" s="16" t="s">
        <v>594</v>
      </c>
      <c r="I19" s="23" t="s">
        <v>595</v>
      </c>
      <c r="J19" s="16" t="s">
        <v>1072</v>
      </c>
      <c r="K19" s="15"/>
      <c r="L19" s="15" t="s">
        <v>36</v>
      </c>
      <c r="M19" s="15"/>
      <c r="N19" s="15"/>
      <c r="O19" s="15"/>
      <c r="P19" s="15"/>
      <c r="Q19" s="15"/>
      <c r="R19" s="15"/>
      <c r="S19" s="15" t="s">
        <v>36</v>
      </c>
      <c r="T19" s="15" t="s">
        <v>492</v>
      </c>
      <c r="U19" s="35"/>
      <c r="V19" s="16" t="s">
        <v>597</v>
      </c>
      <c r="W19" s="38" t="s">
        <v>1352</v>
      </c>
      <c r="X19" s="15" t="s">
        <v>474</v>
      </c>
      <c r="Y19" s="15" t="s">
        <v>473</v>
      </c>
      <c r="Z19" s="15"/>
      <c r="AA19" s="15" t="s">
        <v>474</v>
      </c>
      <c r="AB19" s="15" t="s">
        <v>473</v>
      </c>
      <c r="AC19" s="15"/>
      <c r="AD19" s="15"/>
      <c r="AE19" s="15"/>
      <c r="AF19" s="15"/>
      <c r="AG19" s="30"/>
      <c r="AH19" s="15" t="s">
        <v>476</v>
      </c>
      <c r="AI19" s="15" t="s">
        <v>476</v>
      </c>
      <c r="AJ19" s="15" t="s">
        <v>598</v>
      </c>
      <c r="AK19" s="15" t="s">
        <v>599</v>
      </c>
      <c r="AL19" s="107" t="s">
        <v>1073</v>
      </c>
      <c r="AM19" s="23" t="s">
        <v>1044</v>
      </c>
      <c r="AN19" s="103"/>
      <c r="AO19" s="7" t="s">
        <v>1045</v>
      </c>
      <c r="AP19" s="98" t="s">
        <v>1045</v>
      </c>
      <c r="AQ19" s="95" t="b">
        <v>1</v>
      </c>
      <c r="AR19" s="95" t="b">
        <v>1</v>
      </c>
      <c r="AS19" s="95" t="b">
        <v>1</v>
      </c>
      <c r="AT19" s="95" t="b">
        <v>1</v>
      </c>
      <c r="AU19" s="95" t="b">
        <v>1</v>
      </c>
      <c r="AV19" s="95" t="b">
        <v>1</v>
      </c>
      <c r="AW19" s="95" t="b">
        <v>1</v>
      </c>
      <c r="AX19" s="95" t="b">
        <v>1</v>
      </c>
      <c r="AY19" s="95" t="b">
        <v>1</v>
      </c>
      <c r="AZ19" s="95" t="b">
        <v>1</v>
      </c>
      <c r="BA19" s="95" t="b">
        <v>1</v>
      </c>
      <c r="BB19" s="95" t="b">
        <v>1</v>
      </c>
      <c r="BC19" s="95" t="b">
        <v>1</v>
      </c>
      <c r="BD19" s="95" t="b">
        <v>1</v>
      </c>
      <c r="BE19" s="95" t="b">
        <v>1</v>
      </c>
      <c r="BF19" s="95" t="b">
        <v>1</v>
      </c>
      <c r="BG19" s="95" t="b">
        <v>1</v>
      </c>
      <c r="BH19" s="95" t="b">
        <v>1</v>
      </c>
      <c r="BI19" s="95" t="b">
        <v>1</v>
      </c>
      <c r="BJ19" s="95" t="b">
        <v>1</v>
      </c>
      <c r="BK19" s="95" t="b">
        <v>1</v>
      </c>
      <c r="BL19" s="95" t="b">
        <v>1</v>
      </c>
      <c r="BM19" s="95" t="b">
        <v>0</v>
      </c>
      <c r="BN19" s="95" t="b">
        <v>1</v>
      </c>
      <c r="BO19" s="95" t="b">
        <v>1</v>
      </c>
      <c r="BP19" s="95" t="b">
        <v>1</v>
      </c>
      <c r="BQ19" s="95" t="b">
        <v>1</v>
      </c>
      <c r="BR19" s="95" t="b">
        <v>1</v>
      </c>
      <c r="BS19" s="95" t="b">
        <v>1</v>
      </c>
      <c r="BT19" s="95" t="b">
        <v>1</v>
      </c>
      <c r="BU19" s="95" t="b">
        <v>1</v>
      </c>
      <c r="BV19" s="95" t="b">
        <v>1</v>
      </c>
      <c r="BW19" s="95" t="b">
        <v>1</v>
      </c>
      <c r="BX19" s="95" t="b">
        <v>1</v>
      </c>
      <c r="BY19" s="95" t="b">
        <v>1</v>
      </c>
      <c r="BZ19" s="95" t="b">
        <v>1</v>
      </c>
      <c r="CA19" s="95" t="b">
        <v>1</v>
      </c>
    </row>
    <row r="20" s="95" customFormat="1" ht="70" customHeight="1" spans="1:79">
      <c r="A20" s="14"/>
      <c r="B20" s="14"/>
      <c r="C20" s="15"/>
      <c r="D20" s="15"/>
      <c r="E20" s="16"/>
      <c r="F20" s="17"/>
      <c r="G20" s="15"/>
      <c r="H20" s="16"/>
      <c r="I20" s="23" t="s">
        <v>600</v>
      </c>
      <c r="J20" s="16" t="s">
        <v>1074</v>
      </c>
      <c r="K20" s="15"/>
      <c r="L20" s="15" t="s">
        <v>36</v>
      </c>
      <c r="M20" s="15"/>
      <c r="N20" s="15" t="s">
        <v>36</v>
      </c>
      <c r="O20" s="15"/>
      <c r="P20" s="15"/>
      <c r="Q20" s="15" t="s">
        <v>36</v>
      </c>
      <c r="R20" s="15"/>
      <c r="S20" s="15"/>
      <c r="T20" s="15" t="s">
        <v>550</v>
      </c>
      <c r="U20" s="15" t="s">
        <v>602</v>
      </c>
      <c r="V20" s="16" t="s">
        <v>603</v>
      </c>
      <c r="W20" s="108" t="s">
        <v>1353</v>
      </c>
      <c r="X20" s="15" t="s">
        <v>474</v>
      </c>
      <c r="Y20" s="15" t="s">
        <v>473</v>
      </c>
      <c r="Z20" s="15"/>
      <c r="AA20" s="15" t="s">
        <v>474</v>
      </c>
      <c r="AB20" s="15" t="s">
        <v>473</v>
      </c>
      <c r="AC20" s="15"/>
      <c r="AD20" s="15"/>
      <c r="AE20" s="15"/>
      <c r="AF20" s="15"/>
      <c r="AG20" s="30"/>
      <c r="AH20" s="15" t="s">
        <v>476</v>
      </c>
      <c r="AI20" s="30" t="s">
        <v>476</v>
      </c>
      <c r="AJ20" s="15" t="s">
        <v>605</v>
      </c>
      <c r="AK20" s="15" t="s">
        <v>599</v>
      </c>
      <c r="AL20" s="39" t="s">
        <v>1064</v>
      </c>
      <c r="AM20" s="16" t="s">
        <v>1075</v>
      </c>
      <c r="AN20" s="103"/>
      <c r="AO20" s="7" t="s">
        <v>1045</v>
      </c>
      <c r="AP20" s="98" t="s">
        <v>1045</v>
      </c>
      <c r="AQ20" s="95" t="b">
        <v>1</v>
      </c>
      <c r="AR20" s="95" t="b">
        <v>1</v>
      </c>
      <c r="AS20" s="95" t="b">
        <v>1</v>
      </c>
      <c r="AT20" s="95" t="b">
        <v>1</v>
      </c>
      <c r="AU20" s="95" t="b">
        <v>1</v>
      </c>
      <c r="AV20" s="95" t="b">
        <v>1</v>
      </c>
      <c r="AW20" s="95" t="b">
        <v>1</v>
      </c>
      <c r="AX20" s="95" t="b">
        <v>1</v>
      </c>
      <c r="AY20" s="95" t="b">
        <v>1</v>
      </c>
      <c r="AZ20" s="95" t="b">
        <v>1</v>
      </c>
      <c r="BA20" s="95" t="b">
        <v>1</v>
      </c>
      <c r="BB20" s="95" t="b">
        <v>1</v>
      </c>
      <c r="BC20" s="95" t="b">
        <v>1</v>
      </c>
      <c r="BD20" s="95" t="b">
        <v>1</v>
      </c>
      <c r="BE20" s="95" t="b">
        <v>1</v>
      </c>
      <c r="BF20" s="95" t="b">
        <v>1</v>
      </c>
      <c r="BG20" s="95" t="b">
        <v>1</v>
      </c>
      <c r="BH20" s="95" t="b">
        <v>1</v>
      </c>
      <c r="BI20" s="95" t="b">
        <v>1</v>
      </c>
      <c r="BJ20" s="95" t="b">
        <v>1</v>
      </c>
      <c r="BK20" s="95" t="b">
        <v>1</v>
      </c>
      <c r="BL20" s="95" t="b">
        <v>1</v>
      </c>
      <c r="BM20" s="95" t="b">
        <v>0</v>
      </c>
      <c r="BN20" s="95" t="b">
        <v>1</v>
      </c>
      <c r="BO20" s="95" t="b">
        <v>1</v>
      </c>
      <c r="BP20" s="95" t="b">
        <v>1</v>
      </c>
      <c r="BQ20" s="95" t="b">
        <v>1</v>
      </c>
      <c r="BR20" s="95" t="b">
        <v>1</v>
      </c>
      <c r="BS20" s="95" t="b">
        <v>1</v>
      </c>
      <c r="BT20" s="95" t="b">
        <v>1</v>
      </c>
      <c r="BU20" s="95" t="b">
        <v>1</v>
      </c>
      <c r="BV20" s="95" t="b">
        <v>1</v>
      </c>
      <c r="BW20" s="95" t="b">
        <v>1</v>
      </c>
      <c r="BX20" s="95" t="b">
        <v>1</v>
      </c>
      <c r="BY20" s="95" t="b">
        <v>1</v>
      </c>
      <c r="BZ20" s="95" t="b">
        <v>1</v>
      </c>
      <c r="CA20" s="95" t="b">
        <v>1</v>
      </c>
    </row>
    <row r="21" s="95" customFormat="1" ht="105" customHeight="1" spans="1:79">
      <c r="A21" s="14"/>
      <c r="B21" s="14"/>
      <c r="C21" s="15"/>
      <c r="D21" s="15"/>
      <c r="E21" s="16"/>
      <c r="F21" s="17"/>
      <c r="G21" s="15"/>
      <c r="H21" s="16"/>
      <c r="I21" s="23" t="s">
        <v>606</v>
      </c>
      <c r="J21" s="16" t="s">
        <v>1326</v>
      </c>
      <c r="K21" s="15"/>
      <c r="L21" s="15" t="s">
        <v>36</v>
      </c>
      <c r="M21" s="15"/>
      <c r="N21" s="15" t="s">
        <v>36</v>
      </c>
      <c r="O21" s="15"/>
      <c r="P21" s="15"/>
      <c r="Q21" s="15"/>
      <c r="R21" s="15"/>
      <c r="S21" s="15"/>
      <c r="T21" s="15" t="s">
        <v>465</v>
      </c>
      <c r="U21" s="15" t="s">
        <v>602</v>
      </c>
      <c r="V21" s="16" t="s">
        <v>603</v>
      </c>
      <c r="W21" s="108" t="s">
        <v>608</v>
      </c>
      <c r="X21" s="15" t="s">
        <v>474</v>
      </c>
      <c r="Y21" s="15" t="s">
        <v>473</v>
      </c>
      <c r="Z21" s="15"/>
      <c r="AA21" s="15" t="s">
        <v>474</v>
      </c>
      <c r="AB21" s="15" t="s">
        <v>473</v>
      </c>
      <c r="AC21" s="15"/>
      <c r="AD21" s="15" t="s">
        <v>609</v>
      </c>
      <c r="AE21" s="15" t="s">
        <v>511</v>
      </c>
      <c r="AF21" s="15"/>
      <c r="AG21" s="30"/>
      <c r="AH21" s="15" t="s">
        <v>476</v>
      </c>
      <c r="AI21" s="30" t="s">
        <v>610</v>
      </c>
      <c r="AJ21" s="15" t="s">
        <v>611</v>
      </c>
      <c r="AK21" s="15" t="s">
        <v>599</v>
      </c>
      <c r="AL21" s="39" t="s">
        <v>1064</v>
      </c>
      <c r="AM21" s="16" t="s">
        <v>1075</v>
      </c>
      <c r="AN21" s="1"/>
      <c r="AO21" s="7" t="s">
        <v>1045</v>
      </c>
      <c r="AP21" s="98" t="s">
        <v>1059</v>
      </c>
      <c r="AQ21" s="95" t="b">
        <v>1</v>
      </c>
      <c r="AR21" s="95" t="b">
        <v>1</v>
      </c>
      <c r="AS21" s="95" t="b">
        <v>1</v>
      </c>
      <c r="AT21" s="95" t="b">
        <v>1</v>
      </c>
      <c r="AU21" s="95" t="b">
        <v>1</v>
      </c>
      <c r="AV21" s="95" t="b">
        <v>1</v>
      </c>
      <c r="AW21" s="95" t="b">
        <v>1</v>
      </c>
      <c r="AX21" s="95" t="b">
        <v>1</v>
      </c>
      <c r="AY21" s="95" t="b">
        <v>1</v>
      </c>
      <c r="AZ21" s="95" t="b">
        <v>0</v>
      </c>
      <c r="BA21" s="95" t="b">
        <v>1</v>
      </c>
      <c r="BB21" s="95" t="b">
        <v>1</v>
      </c>
      <c r="BC21" s="95" t="b">
        <v>1</v>
      </c>
      <c r="BD21" s="95" t="b">
        <v>1</v>
      </c>
      <c r="BE21" s="95" t="b">
        <v>1</v>
      </c>
      <c r="BF21" s="95" t="b">
        <v>1</v>
      </c>
      <c r="BG21" s="95" t="b">
        <v>1</v>
      </c>
      <c r="BH21" s="95" t="b">
        <v>1</v>
      </c>
      <c r="BI21" s="95" t="b">
        <v>1</v>
      </c>
      <c r="BJ21" s="95" t="b">
        <v>1</v>
      </c>
      <c r="BK21" s="95" t="b">
        <v>1</v>
      </c>
      <c r="BL21" s="95" t="b">
        <v>1</v>
      </c>
      <c r="BM21" s="95" t="b">
        <v>0</v>
      </c>
      <c r="BN21" s="95" t="b">
        <v>1</v>
      </c>
      <c r="BO21" s="95" t="b">
        <v>1</v>
      </c>
      <c r="BP21" s="95" t="b">
        <v>1</v>
      </c>
      <c r="BQ21" s="95" t="b">
        <v>1</v>
      </c>
      <c r="BR21" s="95" t="b">
        <v>1</v>
      </c>
      <c r="BS21" s="95" t="b">
        <v>1</v>
      </c>
      <c r="BT21" s="95" t="b">
        <v>1</v>
      </c>
      <c r="BU21" s="95" t="b">
        <v>1</v>
      </c>
      <c r="BV21" s="95" t="b">
        <v>1</v>
      </c>
      <c r="BW21" s="95" t="b">
        <v>1</v>
      </c>
      <c r="BX21" s="95" t="b">
        <v>1</v>
      </c>
      <c r="BY21" s="95" t="b">
        <v>1</v>
      </c>
      <c r="BZ21" s="95" t="b">
        <v>1</v>
      </c>
      <c r="CA21" s="95" t="b">
        <v>1</v>
      </c>
    </row>
    <row r="22" s="95" customFormat="1" ht="132" customHeight="1" spans="1:79">
      <c r="A22" s="14"/>
      <c r="B22" s="14"/>
      <c r="C22" s="15" t="s">
        <v>536</v>
      </c>
      <c r="D22" s="15" t="s">
        <v>612</v>
      </c>
      <c r="E22" s="16" t="s">
        <v>613</v>
      </c>
      <c r="F22" s="24"/>
      <c r="G22" s="15" t="s">
        <v>614</v>
      </c>
      <c r="H22" s="16" t="s">
        <v>615</v>
      </c>
      <c r="I22" s="23" t="s">
        <v>616</v>
      </c>
      <c r="J22" s="16" t="s">
        <v>617</v>
      </c>
      <c r="K22" s="15"/>
      <c r="L22" s="15"/>
      <c r="M22" s="15"/>
      <c r="N22" s="15" t="s">
        <v>36</v>
      </c>
      <c r="O22" s="15"/>
      <c r="P22" s="15"/>
      <c r="Q22" s="15" t="s">
        <v>36</v>
      </c>
      <c r="R22" s="15"/>
      <c r="S22" s="15"/>
      <c r="T22" s="15" t="s">
        <v>465</v>
      </c>
      <c r="U22" s="15" t="s">
        <v>467</v>
      </c>
      <c r="V22" s="16" t="s">
        <v>618</v>
      </c>
      <c r="W22" s="32" t="s">
        <v>1354</v>
      </c>
      <c r="X22" s="15" t="s">
        <v>565</v>
      </c>
      <c r="Y22" s="15" t="s">
        <v>473</v>
      </c>
      <c r="Z22" s="15"/>
      <c r="AA22" s="15" t="s">
        <v>474</v>
      </c>
      <c r="AB22" s="15" t="s">
        <v>473</v>
      </c>
      <c r="AC22" s="15"/>
      <c r="AD22" s="15" t="s">
        <v>620</v>
      </c>
      <c r="AE22" s="15" t="s">
        <v>511</v>
      </c>
      <c r="AF22" s="15"/>
      <c r="AG22" s="30"/>
      <c r="AH22" s="15" t="s">
        <v>476</v>
      </c>
      <c r="AI22" s="30" t="s">
        <v>476</v>
      </c>
      <c r="AJ22" s="15" t="s">
        <v>621</v>
      </c>
      <c r="AK22" s="15" t="s">
        <v>532</v>
      </c>
      <c r="AL22" s="16" t="s">
        <v>1057</v>
      </c>
      <c r="AM22" s="23" t="s">
        <v>470</v>
      </c>
      <c r="AN22" s="23" t="s">
        <v>1078</v>
      </c>
      <c r="AO22" s="7" t="s">
        <v>1045</v>
      </c>
      <c r="AP22" s="98" t="s">
        <v>1045</v>
      </c>
      <c r="AQ22" s="95" t="b">
        <v>1</v>
      </c>
      <c r="AR22" s="95" t="b">
        <v>1</v>
      </c>
      <c r="AS22" s="95" t="b">
        <v>1</v>
      </c>
      <c r="AT22" s="95" t="b">
        <v>1</v>
      </c>
      <c r="AU22" s="95" t="b">
        <v>1</v>
      </c>
      <c r="AV22" s="95" t="b">
        <v>1</v>
      </c>
      <c r="AW22" s="95" t="b">
        <v>1</v>
      </c>
      <c r="AX22" s="95" t="b">
        <v>1</v>
      </c>
      <c r="AY22" s="95" t="b">
        <v>1</v>
      </c>
      <c r="AZ22" s="95" t="b">
        <v>1</v>
      </c>
      <c r="BA22" s="95" t="b">
        <v>1</v>
      </c>
      <c r="BB22" s="95" t="b">
        <v>1</v>
      </c>
      <c r="BC22" s="95" t="b">
        <v>1</v>
      </c>
      <c r="BD22" s="95" t="b">
        <v>1</v>
      </c>
      <c r="BE22" s="95" t="b">
        <v>1</v>
      </c>
      <c r="BF22" s="95" t="b">
        <v>1</v>
      </c>
      <c r="BG22" s="95" t="b">
        <v>1</v>
      </c>
      <c r="BH22" s="95" t="b">
        <v>1</v>
      </c>
      <c r="BI22" s="95" t="b">
        <v>1</v>
      </c>
      <c r="BJ22" s="95" t="b">
        <v>1</v>
      </c>
      <c r="BK22" s="95" t="b">
        <v>1</v>
      </c>
      <c r="BL22" s="95" t="b">
        <v>1</v>
      </c>
      <c r="BM22" s="95" t="b">
        <v>0</v>
      </c>
      <c r="BN22" s="95" t="b">
        <v>1</v>
      </c>
      <c r="BO22" s="95" t="b">
        <v>1</v>
      </c>
      <c r="BP22" s="95" t="b">
        <v>1</v>
      </c>
      <c r="BQ22" s="95" t="b">
        <v>1</v>
      </c>
      <c r="BR22" s="95" t="b">
        <v>1</v>
      </c>
      <c r="BS22" s="95" t="b">
        <v>1</v>
      </c>
      <c r="BT22" s="95" t="b">
        <v>1</v>
      </c>
      <c r="BU22" s="95" t="b">
        <v>1</v>
      </c>
      <c r="BV22" s="95" t="b">
        <v>1</v>
      </c>
      <c r="BW22" s="95" t="b">
        <v>1</v>
      </c>
      <c r="BX22" s="95" t="b">
        <v>1</v>
      </c>
      <c r="BY22" s="95" t="b">
        <v>1</v>
      </c>
      <c r="BZ22" s="95" t="b">
        <v>1</v>
      </c>
      <c r="CA22" s="95" t="b">
        <v>1</v>
      </c>
    </row>
    <row r="23" s="95" customFormat="1" ht="96" customHeight="1" spans="1:79">
      <c r="A23" s="14"/>
      <c r="B23" s="14"/>
      <c r="C23" s="15"/>
      <c r="D23" s="15"/>
      <c r="E23" s="16"/>
      <c r="F23" s="24"/>
      <c r="G23" s="15"/>
      <c r="H23" s="16"/>
      <c r="I23" s="23" t="s">
        <v>622</v>
      </c>
      <c r="J23" s="16" t="s">
        <v>1079</v>
      </c>
      <c r="K23" s="15"/>
      <c r="L23" s="15"/>
      <c r="M23" s="15"/>
      <c r="N23" s="15" t="s">
        <v>36</v>
      </c>
      <c r="O23" s="15"/>
      <c r="P23" s="15"/>
      <c r="Q23" s="15" t="s">
        <v>36</v>
      </c>
      <c r="R23" s="15"/>
      <c r="S23" s="15"/>
      <c r="T23" s="15" t="s">
        <v>465</v>
      </c>
      <c r="U23" s="15" t="s">
        <v>467</v>
      </c>
      <c r="V23" s="16" t="s">
        <v>618</v>
      </c>
      <c r="W23" s="32" t="s">
        <v>1080</v>
      </c>
      <c r="X23" s="15" t="s">
        <v>565</v>
      </c>
      <c r="Y23" s="15" t="s">
        <v>473</v>
      </c>
      <c r="Z23" s="15"/>
      <c r="AA23" s="15" t="s">
        <v>474</v>
      </c>
      <c r="AB23" s="15" t="s">
        <v>473</v>
      </c>
      <c r="AC23" s="15"/>
      <c r="AD23" s="15" t="s">
        <v>620</v>
      </c>
      <c r="AE23" s="15" t="s">
        <v>511</v>
      </c>
      <c r="AF23" s="15"/>
      <c r="AG23" s="30"/>
      <c r="AH23" s="15" t="s">
        <v>476</v>
      </c>
      <c r="AI23" s="30" t="s">
        <v>476</v>
      </c>
      <c r="AJ23" s="15" t="s">
        <v>621</v>
      </c>
      <c r="AK23" s="15"/>
      <c r="AL23" s="16" t="s">
        <v>1057</v>
      </c>
      <c r="AM23" s="15" t="s">
        <v>470</v>
      </c>
      <c r="AN23" s="23"/>
      <c r="AO23" s="7" t="s">
        <v>1045</v>
      </c>
      <c r="AP23" s="98" t="s">
        <v>1045</v>
      </c>
      <c r="AQ23" s="95" t="b">
        <v>1</v>
      </c>
      <c r="AR23" s="95" t="b">
        <v>1</v>
      </c>
      <c r="AS23" s="95" t="b">
        <v>1</v>
      </c>
      <c r="AT23" s="95" t="b">
        <v>1</v>
      </c>
      <c r="AU23" s="95" t="b">
        <v>1</v>
      </c>
      <c r="AV23" s="95" t="b">
        <v>1</v>
      </c>
      <c r="AW23" s="95" t="b">
        <v>1</v>
      </c>
      <c r="AX23" s="95" t="b">
        <v>1</v>
      </c>
      <c r="AY23" s="95" t="b">
        <v>1</v>
      </c>
      <c r="AZ23" s="95" t="b">
        <v>1</v>
      </c>
      <c r="BA23" s="95" t="b">
        <v>1</v>
      </c>
      <c r="BB23" s="95" t="b">
        <v>1</v>
      </c>
      <c r="BC23" s="95" t="b">
        <v>1</v>
      </c>
      <c r="BD23" s="95" t="b">
        <v>1</v>
      </c>
      <c r="BE23" s="95" t="b">
        <v>1</v>
      </c>
      <c r="BF23" s="95" t="b">
        <v>1</v>
      </c>
      <c r="BG23" s="95" t="b">
        <v>1</v>
      </c>
      <c r="BH23" s="95" t="b">
        <v>1</v>
      </c>
      <c r="BI23" s="95" t="b">
        <v>1</v>
      </c>
      <c r="BJ23" s="95" t="b">
        <v>1</v>
      </c>
      <c r="BK23" s="95" t="b">
        <v>1</v>
      </c>
      <c r="BL23" s="95" t="b">
        <v>1</v>
      </c>
      <c r="BM23" s="95" t="b">
        <v>0</v>
      </c>
      <c r="BN23" s="95" t="b">
        <v>1</v>
      </c>
      <c r="BO23" s="95" t="b">
        <v>1</v>
      </c>
      <c r="BP23" s="95" t="b">
        <v>1</v>
      </c>
      <c r="BQ23" s="95" t="b">
        <v>1</v>
      </c>
      <c r="BR23" s="95" t="b">
        <v>1</v>
      </c>
      <c r="BS23" s="95" t="b">
        <v>1</v>
      </c>
      <c r="BT23" s="95" t="b">
        <v>1</v>
      </c>
      <c r="BU23" s="95" t="b">
        <v>1</v>
      </c>
      <c r="BV23" s="95" t="b">
        <v>1</v>
      </c>
      <c r="BW23" s="95" t="b">
        <v>1</v>
      </c>
      <c r="BX23" s="95" t="b">
        <v>1</v>
      </c>
      <c r="BY23" s="95" t="b">
        <v>1</v>
      </c>
      <c r="BZ23" s="95" t="b">
        <v>1</v>
      </c>
      <c r="CA23" s="95" t="b">
        <v>1</v>
      </c>
    </row>
    <row r="24" s="95" customFormat="1" ht="105" customHeight="1" spans="1:79">
      <c r="A24" s="14"/>
      <c r="B24" s="14" t="s">
        <v>662</v>
      </c>
      <c r="C24" s="15" t="s">
        <v>485</v>
      </c>
      <c r="D24" s="15" t="s">
        <v>636</v>
      </c>
      <c r="E24" s="16" t="s">
        <v>637</v>
      </c>
      <c r="F24" s="24"/>
      <c r="G24" s="15" t="s">
        <v>1081</v>
      </c>
      <c r="H24" s="16" t="s">
        <v>639</v>
      </c>
      <c r="I24" s="23" t="s">
        <v>1082</v>
      </c>
      <c r="J24" s="16" t="s">
        <v>1083</v>
      </c>
      <c r="K24" s="15"/>
      <c r="L24" s="15" t="s">
        <v>36</v>
      </c>
      <c r="M24" s="15"/>
      <c r="N24" s="15"/>
      <c r="O24" s="15" t="s">
        <v>36</v>
      </c>
      <c r="P24" s="15"/>
      <c r="Q24" s="15"/>
      <c r="R24" s="15"/>
      <c r="S24" s="15"/>
      <c r="T24" s="15" t="s">
        <v>465</v>
      </c>
      <c r="U24" s="15" t="s">
        <v>642</v>
      </c>
      <c r="V24" s="16" t="s">
        <v>643</v>
      </c>
      <c r="W24" s="32" t="s">
        <v>644</v>
      </c>
      <c r="X24" s="15" t="s">
        <v>474</v>
      </c>
      <c r="Y24" s="15" t="s">
        <v>473</v>
      </c>
      <c r="Z24" s="30"/>
      <c r="AA24" s="15" t="s">
        <v>474</v>
      </c>
      <c r="AB24" s="15" t="s">
        <v>473</v>
      </c>
      <c r="AC24" s="30"/>
      <c r="AD24" s="15" t="s">
        <v>645</v>
      </c>
      <c r="AE24" s="15" t="s">
        <v>511</v>
      </c>
      <c r="AF24" s="15"/>
      <c r="AG24" s="30"/>
      <c r="AH24" s="15" t="s">
        <v>476</v>
      </c>
      <c r="AI24" s="15" t="s">
        <v>476</v>
      </c>
      <c r="AJ24" s="15" t="s">
        <v>646</v>
      </c>
      <c r="AK24" s="15" t="s">
        <v>647</v>
      </c>
      <c r="AL24" s="1" t="s">
        <v>1064</v>
      </c>
      <c r="AM24" s="23" t="s">
        <v>1046</v>
      </c>
      <c r="AN24" s="1"/>
      <c r="AO24" s="7" t="s">
        <v>1045</v>
      </c>
      <c r="AP24" s="98" t="s">
        <v>1045</v>
      </c>
      <c r="AQ24" s="95" t="b">
        <v>1</v>
      </c>
      <c r="AR24" s="95" t="b">
        <v>1</v>
      </c>
      <c r="AS24" s="95" t="b">
        <v>1</v>
      </c>
      <c r="AT24" s="95" t="b">
        <v>1</v>
      </c>
      <c r="AU24" s="95" t="b">
        <v>1</v>
      </c>
      <c r="AV24" s="95" t="b">
        <v>1</v>
      </c>
      <c r="AW24" s="95" t="b">
        <v>1</v>
      </c>
      <c r="AX24" s="95" t="b">
        <v>1</v>
      </c>
      <c r="AY24" s="95" t="b">
        <v>1</v>
      </c>
      <c r="AZ24" s="95" t="b">
        <v>1</v>
      </c>
      <c r="BA24" s="95" t="b">
        <v>1</v>
      </c>
      <c r="BB24" s="95" t="b">
        <v>1</v>
      </c>
      <c r="BC24" s="95" t="b">
        <v>1</v>
      </c>
      <c r="BD24" s="95" t="b">
        <v>1</v>
      </c>
      <c r="BE24" s="95" t="b">
        <v>1</v>
      </c>
      <c r="BF24" s="95" t="b">
        <v>1</v>
      </c>
      <c r="BG24" s="95" t="b">
        <v>1</v>
      </c>
      <c r="BH24" s="95" t="b">
        <v>1</v>
      </c>
      <c r="BI24" s="95" t="b">
        <v>1</v>
      </c>
      <c r="BJ24" s="95" t="b">
        <v>1</v>
      </c>
      <c r="BK24" s="95" t="b">
        <v>1</v>
      </c>
      <c r="BL24" s="95" t="b">
        <v>1</v>
      </c>
      <c r="BM24" s="95" t="b">
        <v>0</v>
      </c>
      <c r="BN24" s="95" t="b">
        <v>1</v>
      </c>
      <c r="BO24" s="95" t="b">
        <v>1</v>
      </c>
      <c r="BP24" s="95" t="b">
        <v>1</v>
      </c>
      <c r="BQ24" s="95" t="b">
        <v>1</v>
      </c>
      <c r="BR24" s="95" t="b">
        <v>1</v>
      </c>
      <c r="BS24" s="95" t="b">
        <v>1</v>
      </c>
      <c r="BT24" s="95" t="b">
        <v>1</v>
      </c>
      <c r="BU24" s="95" t="b">
        <v>1</v>
      </c>
      <c r="BV24" s="95" t="b">
        <v>1</v>
      </c>
      <c r="BW24" s="95" t="b">
        <v>1</v>
      </c>
      <c r="BX24" s="95" t="b">
        <v>1</v>
      </c>
      <c r="BY24" s="95" t="b">
        <v>1</v>
      </c>
      <c r="BZ24" s="95" t="b">
        <v>1</v>
      </c>
      <c r="CA24" s="95" t="b">
        <v>1</v>
      </c>
    </row>
    <row r="25" s="95" customFormat="1" ht="81" customHeight="1" spans="1:79">
      <c r="A25" s="14"/>
      <c r="B25" s="14"/>
      <c r="C25" s="15"/>
      <c r="D25" s="15"/>
      <c r="E25" s="16"/>
      <c r="F25" s="24"/>
      <c r="G25" s="15"/>
      <c r="H25" s="16"/>
      <c r="I25" s="23" t="s">
        <v>1084</v>
      </c>
      <c r="J25" s="16" t="s">
        <v>1085</v>
      </c>
      <c r="K25" s="15"/>
      <c r="L25" s="15" t="s">
        <v>36</v>
      </c>
      <c r="M25" s="15"/>
      <c r="N25" s="15"/>
      <c r="O25" s="15" t="s">
        <v>36</v>
      </c>
      <c r="P25" s="15"/>
      <c r="Q25" s="15"/>
      <c r="R25" s="15"/>
      <c r="S25" s="15"/>
      <c r="T25" s="15" t="s">
        <v>492</v>
      </c>
      <c r="U25" s="15"/>
      <c r="V25" s="16" t="s">
        <v>643</v>
      </c>
      <c r="W25" s="25" t="s">
        <v>651</v>
      </c>
      <c r="X25" s="15" t="s">
        <v>474</v>
      </c>
      <c r="Y25" s="15" t="s">
        <v>473</v>
      </c>
      <c r="Z25" s="30"/>
      <c r="AA25" s="15" t="s">
        <v>474</v>
      </c>
      <c r="AB25" s="15" t="s">
        <v>473</v>
      </c>
      <c r="AC25" s="30"/>
      <c r="AD25" s="15"/>
      <c r="AE25" s="30"/>
      <c r="AF25" s="30"/>
      <c r="AG25" s="30"/>
      <c r="AH25" s="15" t="s">
        <v>476</v>
      </c>
      <c r="AI25" s="15" t="s">
        <v>476</v>
      </c>
      <c r="AJ25" s="15" t="s">
        <v>652</v>
      </c>
      <c r="AK25" s="15" t="s">
        <v>653</v>
      </c>
      <c r="AL25" s="1" t="s">
        <v>1064</v>
      </c>
      <c r="AM25" s="15" t="s">
        <v>1086</v>
      </c>
      <c r="AN25" s="1"/>
      <c r="AO25" s="7" t="s">
        <v>1045</v>
      </c>
      <c r="AP25" s="7" t="s">
        <v>1045</v>
      </c>
      <c r="AQ25" s="95" t="b">
        <v>1</v>
      </c>
      <c r="AR25" s="95" t="b">
        <v>1</v>
      </c>
      <c r="AS25" s="95" t="b">
        <v>1</v>
      </c>
      <c r="AT25" s="95" t="b">
        <v>1</v>
      </c>
      <c r="AU25" s="95" t="b">
        <v>1</v>
      </c>
      <c r="AV25" s="95" t="b">
        <v>1</v>
      </c>
      <c r="AW25" s="95" t="b">
        <v>1</v>
      </c>
      <c r="AX25" s="95" t="b">
        <v>1</v>
      </c>
      <c r="AY25" s="95" t="b">
        <v>1</v>
      </c>
      <c r="AZ25" s="95" t="b">
        <v>1</v>
      </c>
      <c r="BA25" s="95" t="b">
        <v>1</v>
      </c>
      <c r="BB25" s="95" t="b">
        <v>1</v>
      </c>
      <c r="BC25" s="95" t="b">
        <v>1</v>
      </c>
      <c r="BD25" s="95" t="b">
        <v>1</v>
      </c>
      <c r="BE25" s="95" t="b">
        <v>1</v>
      </c>
      <c r="BF25" s="95" t="b">
        <v>1</v>
      </c>
      <c r="BG25" s="95" t="b">
        <v>1</v>
      </c>
      <c r="BH25" s="95" t="b">
        <v>1</v>
      </c>
      <c r="BI25" s="95" t="b">
        <v>1</v>
      </c>
      <c r="BJ25" s="95" t="b">
        <v>1</v>
      </c>
      <c r="BK25" s="95" t="b">
        <v>1</v>
      </c>
      <c r="BL25" s="95" t="b">
        <v>1</v>
      </c>
      <c r="BM25" s="95" t="b">
        <v>0</v>
      </c>
      <c r="BN25" s="95" t="b">
        <v>1</v>
      </c>
      <c r="BO25" s="95" t="b">
        <v>1</v>
      </c>
      <c r="BP25" s="95" t="b">
        <v>1</v>
      </c>
      <c r="BQ25" s="95" t="b">
        <v>1</v>
      </c>
      <c r="BR25" s="95" t="b">
        <v>1</v>
      </c>
      <c r="BS25" s="95" t="b">
        <v>1</v>
      </c>
      <c r="BT25" s="95" t="b">
        <v>1</v>
      </c>
      <c r="BU25" s="95" t="b">
        <v>1</v>
      </c>
      <c r="BV25" s="95" t="b">
        <v>1</v>
      </c>
      <c r="BW25" s="95" t="b">
        <v>1</v>
      </c>
      <c r="BX25" s="95" t="b">
        <v>1</v>
      </c>
      <c r="BY25" s="95" t="b">
        <v>1</v>
      </c>
      <c r="BZ25" s="95" t="b">
        <v>1</v>
      </c>
      <c r="CA25" s="95" t="b">
        <v>1</v>
      </c>
    </row>
    <row r="26" s="95" customFormat="1" ht="78" customHeight="1" spans="1:79">
      <c r="A26" s="14"/>
      <c r="B26" s="14"/>
      <c r="C26" s="15"/>
      <c r="D26" s="15"/>
      <c r="E26" s="16"/>
      <c r="F26" s="24"/>
      <c r="G26" s="15"/>
      <c r="H26" s="16"/>
      <c r="I26" s="23" t="s">
        <v>1087</v>
      </c>
      <c r="J26" s="16" t="s">
        <v>1088</v>
      </c>
      <c r="K26" s="15"/>
      <c r="L26" s="15" t="s">
        <v>36</v>
      </c>
      <c r="M26" s="15"/>
      <c r="N26" s="15"/>
      <c r="O26" s="15" t="s">
        <v>36</v>
      </c>
      <c r="P26" s="15"/>
      <c r="Q26" s="15"/>
      <c r="R26" s="15"/>
      <c r="S26" s="15"/>
      <c r="T26" s="15" t="s">
        <v>492</v>
      </c>
      <c r="U26" s="15"/>
      <c r="V26" s="16" t="s">
        <v>643</v>
      </c>
      <c r="W26" s="25" t="s">
        <v>656</v>
      </c>
      <c r="X26" s="15" t="s">
        <v>474</v>
      </c>
      <c r="Y26" s="15" t="s">
        <v>473</v>
      </c>
      <c r="Z26" s="30"/>
      <c r="AA26" s="15" t="s">
        <v>474</v>
      </c>
      <c r="AB26" s="15" t="s">
        <v>473</v>
      </c>
      <c r="AC26" s="30"/>
      <c r="AD26" s="15"/>
      <c r="AE26" s="30"/>
      <c r="AF26" s="30"/>
      <c r="AG26" s="30"/>
      <c r="AH26" s="15" t="s">
        <v>476</v>
      </c>
      <c r="AI26" s="15" t="s">
        <v>476</v>
      </c>
      <c r="AJ26" s="15" t="s">
        <v>657</v>
      </c>
      <c r="AK26" s="15"/>
      <c r="AL26" s="1" t="s">
        <v>1064</v>
      </c>
      <c r="AM26" s="15" t="s">
        <v>470</v>
      </c>
      <c r="AN26" s="1"/>
      <c r="AO26" s="7" t="s">
        <v>1045</v>
      </c>
      <c r="AP26" s="7" t="s">
        <v>1045</v>
      </c>
      <c r="AQ26" s="95" t="b">
        <v>1</v>
      </c>
      <c r="AR26" s="95" t="b">
        <v>1</v>
      </c>
      <c r="AS26" s="95" t="b">
        <v>1</v>
      </c>
      <c r="AT26" s="95" t="b">
        <v>1</v>
      </c>
      <c r="AU26" s="95" t="b">
        <v>1</v>
      </c>
      <c r="AV26" s="95" t="b">
        <v>1</v>
      </c>
      <c r="AW26" s="95" t="b">
        <v>1</v>
      </c>
      <c r="AX26" s="95" t="b">
        <v>1</v>
      </c>
      <c r="AY26" s="95" t="b">
        <v>1</v>
      </c>
      <c r="AZ26" s="95" t="b">
        <v>1</v>
      </c>
      <c r="BA26" s="95" t="b">
        <v>1</v>
      </c>
      <c r="BB26" s="95" t="b">
        <v>1</v>
      </c>
      <c r="BC26" s="95" t="b">
        <v>1</v>
      </c>
      <c r="BD26" s="95" t="b">
        <v>1</v>
      </c>
      <c r="BE26" s="95" t="b">
        <v>1</v>
      </c>
      <c r="BF26" s="95" t="b">
        <v>1</v>
      </c>
      <c r="BG26" s="95" t="b">
        <v>1</v>
      </c>
      <c r="BH26" s="95" t="b">
        <v>1</v>
      </c>
      <c r="BI26" s="95" t="b">
        <v>1</v>
      </c>
      <c r="BJ26" s="95" t="b">
        <v>1</v>
      </c>
      <c r="BK26" s="95" t="b">
        <v>1</v>
      </c>
      <c r="BL26" s="95" t="b">
        <v>1</v>
      </c>
      <c r="BM26" s="95" t="b">
        <v>0</v>
      </c>
      <c r="BN26" s="95" t="b">
        <v>1</v>
      </c>
      <c r="BO26" s="95" t="b">
        <v>1</v>
      </c>
      <c r="BP26" s="95" t="b">
        <v>1</v>
      </c>
      <c r="BQ26" s="95" t="b">
        <v>1</v>
      </c>
      <c r="BR26" s="95" t="b">
        <v>1</v>
      </c>
      <c r="BS26" s="95" t="b">
        <v>1</v>
      </c>
      <c r="BT26" s="95" t="b">
        <v>1</v>
      </c>
      <c r="BU26" s="95" t="b">
        <v>1</v>
      </c>
      <c r="BV26" s="95" t="b">
        <v>1</v>
      </c>
      <c r="BW26" s="95" t="b">
        <v>1</v>
      </c>
      <c r="BX26" s="95" t="b">
        <v>1</v>
      </c>
      <c r="BY26" s="95" t="b">
        <v>1</v>
      </c>
      <c r="BZ26" s="95" t="b">
        <v>1</v>
      </c>
      <c r="CA26" s="95" t="b">
        <v>1</v>
      </c>
    </row>
    <row r="27" s="95" customFormat="1" ht="85" customHeight="1" spans="1:79">
      <c r="A27" s="14"/>
      <c r="B27" s="14"/>
      <c r="C27" s="15"/>
      <c r="D27" s="15"/>
      <c r="E27" s="16"/>
      <c r="F27" s="24"/>
      <c r="G27" s="15"/>
      <c r="H27" s="16"/>
      <c r="I27" s="23" t="s">
        <v>1089</v>
      </c>
      <c r="J27" s="31" t="s">
        <v>1328</v>
      </c>
      <c r="K27" s="15"/>
      <c r="L27" s="15" t="s">
        <v>36</v>
      </c>
      <c r="M27" s="15"/>
      <c r="N27" s="15"/>
      <c r="O27" s="15" t="s">
        <v>36</v>
      </c>
      <c r="P27" s="15"/>
      <c r="Q27" s="15"/>
      <c r="R27" s="15"/>
      <c r="S27" s="15"/>
      <c r="T27" s="15" t="s">
        <v>492</v>
      </c>
      <c r="U27" s="15"/>
      <c r="V27" s="16" t="s">
        <v>643</v>
      </c>
      <c r="W27" s="25" t="s">
        <v>660</v>
      </c>
      <c r="X27" s="15" t="s">
        <v>474</v>
      </c>
      <c r="Y27" s="15" t="s">
        <v>473</v>
      </c>
      <c r="Z27" s="30"/>
      <c r="AA27" s="15" t="s">
        <v>474</v>
      </c>
      <c r="AB27" s="15" t="s">
        <v>473</v>
      </c>
      <c r="AC27" s="30"/>
      <c r="AD27" s="15"/>
      <c r="AE27" s="30"/>
      <c r="AF27" s="30"/>
      <c r="AG27" s="30"/>
      <c r="AH27" s="15" t="s">
        <v>476</v>
      </c>
      <c r="AI27" s="15" t="s">
        <v>476</v>
      </c>
      <c r="AJ27" s="15" t="s">
        <v>661</v>
      </c>
      <c r="AK27" s="15"/>
      <c r="AL27" s="1" t="s">
        <v>1064</v>
      </c>
      <c r="AM27" s="15" t="s">
        <v>1091</v>
      </c>
      <c r="AN27" s="1"/>
      <c r="AO27" s="7" t="s">
        <v>1045</v>
      </c>
      <c r="AP27" s="98" t="s">
        <v>1059</v>
      </c>
      <c r="AQ27" s="95" t="b">
        <v>1</v>
      </c>
      <c r="AR27" s="95" t="b">
        <v>1</v>
      </c>
      <c r="AS27" s="95" t="b">
        <v>1</v>
      </c>
      <c r="AT27" s="95" t="b">
        <v>1</v>
      </c>
      <c r="AU27" s="95" t="b">
        <v>1</v>
      </c>
      <c r="AV27" s="95" t="b">
        <v>1</v>
      </c>
      <c r="AW27" s="95" t="b">
        <v>1</v>
      </c>
      <c r="AX27" s="95" t="b">
        <v>1</v>
      </c>
      <c r="AY27" s="95" t="b">
        <v>1</v>
      </c>
      <c r="AZ27" s="95" t="b">
        <v>0</v>
      </c>
      <c r="BA27" s="95" t="b">
        <v>1</v>
      </c>
      <c r="BB27" s="95" t="b">
        <v>1</v>
      </c>
      <c r="BC27" s="95" t="b">
        <v>1</v>
      </c>
      <c r="BD27" s="95" t="b">
        <v>1</v>
      </c>
      <c r="BE27" s="95" t="b">
        <v>1</v>
      </c>
      <c r="BF27" s="95" t="b">
        <v>1</v>
      </c>
      <c r="BG27" s="95" t="b">
        <v>1</v>
      </c>
      <c r="BH27" s="95" t="b">
        <v>1</v>
      </c>
      <c r="BI27" s="95" t="b">
        <v>1</v>
      </c>
      <c r="BJ27" s="95" t="b">
        <v>1</v>
      </c>
      <c r="BK27" s="95" t="b">
        <v>1</v>
      </c>
      <c r="BL27" s="95" t="b">
        <v>1</v>
      </c>
      <c r="BM27" s="95" t="b">
        <v>0</v>
      </c>
      <c r="BN27" s="95" t="b">
        <v>1</v>
      </c>
      <c r="BO27" s="95" t="b">
        <v>1</v>
      </c>
      <c r="BP27" s="95" t="b">
        <v>1</v>
      </c>
      <c r="BQ27" s="95" t="b">
        <v>1</v>
      </c>
      <c r="BR27" s="95" t="b">
        <v>1</v>
      </c>
      <c r="BS27" s="95" t="b">
        <v>1</v>
      </c>
      <c r="BT27" s="95" t="b">
        <v>1</v>
      </c>
      <c r="BU27" s="95" t="b">
        <v>1</v>
      </c>
      <c r="BV27" s="95" t="b">
        <v>1</v>
      </c>
      <c r="BW27" s="95" t="b">
        <v>1</v>
      </c>
      <c r="BX27" s="95" t="b">
        <v>1</v>
      </c>
      <c r="BY27" s="95" t="b">
        <v>1</v>
      </c>
      <c r="BZ27" s="95" t="b">
        <v>1</v>
      </c>
      <c r="CA27" s="95" t="b">
        <v>1</v>
      </c>
    </row>
    <row r="28" s="95" customFormat="1" ht="119" customHeight="1" spans="1:79">
      <c r="A28" s="14" t="s">
        <v>483</v>
      </c>
      <c r="B28" s="14" t="s">
        <v>662</v>
      </c>
      <c r="C28" s="15" t="s">
        <v>485</v>
      </c>
      <c r="D28" s="41" t="s">
        <v>636</v>
      </c>
      <c r="E28" s="24" t="s">
        <v>663</v>
      </c>
      <c r="F28" s="17" t="s">
        <v>664</v>
      </c>
      <c r="G28" s="15" t="s">
        <v>1092</v>
      </c>
      <c r="H28" s="16" t="s">
        <v>666</v>
      </c>
      <c r="I28" s="23" t="s">
        <v>1093</v>
      </c>
      <c r="J28" s="16" t="s">
        <v>1094</v>
      </c>
      <c r="K28" s="15"/>
      <c r="L28" s="15"/>
      <c r="M28" s="15"/>
      <c r="N28" s="15"/>
      <c r="O28" s="15" t="s">
        <v>36</v>
      </c>
      <c r="P28" s="15"/>
      <c r="Q28" s="15"/>
      <c r="R28" s="15"/>
      <c r="S28" s="15"/>
      <c r="T28" s="15" t="s">
        <v>550</v>
      </c>
      <c r="U28" s="15" t="s">
        <v>669</v>
      </c>
      <c r="V28" s="16" t="s">
        <v>670</v>
      </c>
      <c r="W28" s="42" t="s">
        <v>671</v>
      </c>
      <c r="X28" s="41" t="s">
        <v>474</v>
      </c>
      <c r="Y28" s="41" t="s">
        <v>473</v>
      </c>
      <c r="Z28" s="41"/>
      <c r="AA28" s="41" t="s">
        <v>474</v>
      </c>
      <c r="AB28" s="41" t="s">
        <v>473</v>
      </c>
      <c r="AC28" s="41"/>
      <c r="AD28" s="41"/>
      <c r="AE28" s="41"/>
      <c r="AF28" s="41"/>
      <c r="AG28" s="43"/>
      <c r="AH28" s="41" t="s">
        <v>476</v>
      </c>
      <c r="AI28" s="43" t="s">
        <v>476</v>
      </c>
      <c r="AJ28" s="41" t="s">
        <v>672</v>
      </c>
      <c r="AK28" s="41" t="s">
        <v>673</v>
      </c>
      <c r="AL28" s="1" t="s">
        <v>1064</v>
      </c>
      <c r="AM28" s="15" t="s">
        <v>1091</v>
      </c>
      <c r="AN28" s="1"/>
      <c r="AO28" s="7" t="s">
        <v>1045</v>
      </c>
      <c r="AP28" s="7" t="s">
        <v>1045</v>
      </c>
      <c r="AQ28" s="95" t="b">
        <v>1</v>
      </c>
      <c r="AR28" s="95" t="b">
        <v>1</v>
      </c>
      <c r="AS28" s="95" t="b">
        <v>1</v>
      </c>
      <c r="AT28" s="95" t="b">
        <v>1</v>
      </c>
      <c r="AU28" s="95" t="b">
        <v>1</v>
      </c>
      <c r="AV28" s="95" t="b">
        <v>1</v>
      </c>
      <c r="AW28" s="95" t="b">
        <v>1</v>
      </c>
      <c r="AX28" s="95" t="b">
        <v>1</v>
      </c>
      <c r="AY28" s="95" t="b">
        <v>1</v>
      </c>
      <c r="AZ28" s="95" t="b">
        <v>1</v>
      </c>
      <c r="BA28" s="95" t="b">
        <v>1</v>
      </c>
      <c r="BB28" s="95" t="b">
        <v>1</v>
      </c>
      <c r="BC28" s="95" t="b">
        <v>1</v>
      </c>
      <c r="BD28" s="95" t="b">
        <v>1</v>
      </c>
      <c r="BE28" s="95" t="b">
        <v>1</v>
      </c>
      <c r="BF28" s="95" t="b">
        <v>1</v>
      </c>
      <c r="BG28" s="95" t="b">
        <v>1</v>
      </c>
      <c r="BH28" s="95" t="b">
        <v>1</v>
      </c>
      <c r="BI28" s="95" t="b">
        <v>1</v>
      </c>
      <c r="BJ28" s="95" t="b">
        <v>1</v>
      </c>
      <c r="BK28" s="95" t="b">
        <v>1</v>
      </c>
      <c r="BL28" s="95" t="b">
        <v>1</v>
      </c>
      <c r="BM28" s="95" t="b">
        <v>0</v>
      </c>
      <c r="BN28" s="95" t="b">
        <v>1</v>
      </c>
      <c r="BO28" s="95" t="b">
        <v>1</v>
      </c>
      <c r="BP28" s="95" t="b">
        <v>1</v>
      </c>
      <c r="BQ28" s="95" t="b">
        <v>1</v>
      </c>
      <c r="BR28" s="95" t="b">
        <v>1</v>
      </c>
      <c r="BS28" s="95" t="b">
        <v>1</v>
      </c>
      <c r="BT28" s="95" t="b">
        <v>1</v>
      </c>
      <c r="BU28" s="95" t="b">
        <v>1</v>
      </c>
      <c r="BV28" s="95" t="b">
        <v>1</v>
      </c>
      <c r="BW28" s="95" t="b">
        <v>1</v>
      </c>
      <c r="BX28" s="95" t="b">
        <v>1</v>
      </c>
      <c r="BY28" s="95" t="b">
        <v>1</v>
      </c>
      <c r="BZ28" s="95" t="b">
        <v>1</v>
      </c>
      <c r="CA28" s="95" t="b">
        <v>1</v>
      </c>
    </row>
    <row r="29" s="95" customFormat="1" ht="149" customHeight="1" spans="1:79">
      <c r="A29" s="14"/>
      <c r="B29" s="14"/>
      <c r="C29" s="15"/>
      <c r="D29" s="41"/>
      <c r="E29" s="24"/>
      <c r="F29" s="17"/>
      <c r="G29" s="15"/>
      <c r="H29" s="16"/>
      <c r="I29" s="23" t="s">
        <v>1095</v>
      </c>
      <c r="J29" s="109" t="s">
        <v>1355</v>
      </c>
      <c r="K29" s="15"/>
      <c r="L29" s="15"/>
      <c r="M29" s="15"/>
      <c r="N29" s="15"/>
      <c r="O29" s="15" t="s">
        <v>36</v>
      </c>
      <c r="P29" s="15"/>
      <c r="Q29" s="15"/>
      <c r="R29" s="15"/>
      <c r="S29" s="15" t="s">
        <v>36</v>
      </c>
      <c r="T29" s="15" t="s">
        <v>550</v>
      </c>
      <c r="U29" s="15" t="s">
        <v>669</v>
      </c>
      <c r="V29" s="16" t="s">
        <v>670</v>
      </c>
      <c r="W29" s="42" t="s">
        <v>1356</v>
      </c>
      <c r="X29" s="41" t="s">
        <v>474</v>
      </c>
      <c r="Y29" s="41" t="s">
        <v>473</v>
      </c>
      <c r="Z29" s="41"/>
      <c r="AA29" s="41" t="s">
        <v>474</v>
      </c>
      <c r="AB29" s="41" t="s">
        <v>473</v>
      </c>
      <c r="AC29" s="41"/>
      <c r="AD29" s="41"/>
      <c r="AE29" s="41"/>
      <c r="AF29" s="41"/>
      <c r="AG29" s="43"/>
      <c r="AH29" s="41" t="s">
        <v>476</v>
      </c>
      <c r="AI29" s="43" t="s">
        <v>476</v>
      </c>
      <c r="AJ29" s="41" t="s">
        <v>672</v>
      </c>
      <c r="AK29" s="41"/>
      <c r="AL29" s="1" t="s">
        <v>1064</v>
      </c>
      <c r="AM29" s="15" t="s">
        <v>1091</v>
      </c>
      <c r="AN29" s="1"/>
      <c r="AO29" s="7" t="s">
        <v>1059</v>
      </c>
      <c r="AP29" s="7" t="s">
        <v>1059</v>
      </c>
      <c r="AQ29" s="95" t="b">
        <v>1</v>
      </c>
      <c r="AR29" s="95" t="b">
        <v>1</v>
      </c>
      <c r="AS29" s="95" t="b">
        <v>1</v>
      </c>
      <c r="AT29" s="95" t="b">
        <v>1</v>
      </c>
      <c r="AU29" s="95" t="b">
        <v>1</v>
      </c>
      <c r="AV29" s="95" t="b">
        <v>1</v>
      </c>
      <c r="AW29" s="95" t="b">
        <v>1</v>
      </c>
      <c r="AX29" s="95" t="b">
        <v>1</v>
      </c>
      <c r="AY29" s="95" t="b">
        <v>1</v>
      </c>
      <c r="AZ29" s="95" t="b">
        <v>1</v>
      </c>
      <c r="BA29" s="95" t="b">
        <v>1</v>
      </c>
      <c r="BB29" s="95" t="b">
        <v>1</v>
      </c>
      <c r="BC29" s="95" t="b">
        <v>1</v>
      </c>
      <c r="BD29" s="95" t="b">
        <v>1</v>
      </c>
      <c r="BE29" s="95" t="b">
        <v>1</v>
      </c>
      <c r="BF29" s="95" t="b">
        <v>1</v>
      </c>
      <c r="BG29" s="95" t="b">
        <v>1</v>
      </c>
      <c r="BH29" s="95" t="b">
        <v>1</v>
      </c>
      <c r="BI29" s="95" t="b">
        <v>1</v>
      </c>
      <c r="BJ29" s="95" t="b">
        <v>1</v>
      </c>
      <c r="BK29" s="95" t="b">
        <v>1</v>
      </c>
      <c r="BL29" s="95" t="b">
        <v>1</v>
      </c>
      <c r="BM29" s="95" t="b">
        <v>0</v>
      </c>
      <c r="BN29" s="95" t="b">
        <v>1</v>
      </c>
      <c r="BO29" s="95" t="b">
        <v>1</v>
      </c>
      <c r="BP29" s="95" t="b">
        <v>1</v>
      </c>
      <c r="BQ29" s="95" t="b">
        <v>1</v>
      </c>
      <c r="BR29" s="95" t="b">
        <v>1</v>
      </c>
      <c r="BS29" s="95" t="b">
        <v>1</v>
      </c>
      <c r="BT29" s="95" t="b">
        <v>1</v>
      </c>
      <c r="BU29" s="95" t="b">
        <v>1</v>
      </c>
      <c r="BV29" s="95" t="b">
        <v>1</v>
      </c>
      <c r="BW29" s="95" t="b">
        <v>1</v>
      </c>
      <c r="BX29" s="95" t="b">
        <v>1</v>
      </c>
      <c r="BY29" s="95" t="b">
        <v>1</v>
      </c>
      <c r="BZ29" s="95" t="b">
        <v>1</v>
      </c>
      <c r="CA29" s="95" t="b">
        <v>1</v>
      </c>
    </row>
    <row r="30" s="95" customFormat="1" ht="131" customHeight="1" spans="1:79">
      <c r="A30" s="14"/>
      <c r="B30" s="14"/>
      <c r="C30" s="15"/>
      <c r="D30" s="41"/>
      <c r="E30" s="24"/>
      <c r="F30" s="17"/>
      <c r="G30" s="15"/>
      <c r="H30" s="16"/>
      <c r="I30" s="23" t="s">
        <v>1098</v>
      </c>
      <c r="J30" s="16" t="s">
        <v>1099</v>
      </c>
      <c r="K30" s="15"/>
      <c r="L30" s="15"/>
      <c r="M30" s="15"/>
      <c r="N30" s="15"/>
      <c r="O30" s="15" t="s">
        <v>36</v>
      </c>
      <c r="P30" s="15"/>
      <c r="Q30" s="15"/>
      <c r="R30" s="15"/>
      <c r="S30" s="15" t="s">
        <v>36</v>
      </c>
      <c r="T30" s="15" t="s">
        <v>492</v>
      </c>
      <c r="U30" s="15"/>
      <c r="V30" s="16" t="s">
        <v>679</v>
      </c>
      <c r="W30" s="42" t="s">
        <v>671</v>
      </c>
      <c r="X30" s="41" t="s">
        <v>474</v>
      </c>
      <c r="Y30" s="41" t="s">
        <v>473</v>
      </c>
      <c r="Z30" s="41"/>
      <c r="AA30" s="41" t="s">
        <v>474</v>
      </c>
      <c r="AB30" s="41" t="s">
        <v>473</v>
      </c>
      <c r="AC30" s="41"/>
      <c r="AD30" s="41"/>
      <c r="AE30" s="41"/>
      <c r="AF30" s="41"/>
      <c r="AG30" s="43"/>
      <c r="AH30" s="41" t="s">
        <v>476</v>
      </c>
      <c r="AI30" s="43" t="s">
        <v>476</v>
      </c>
      <c r="AJ30" s="41" t="s">
        <v>672</v>
      </c>
      <c r="AK30" s="41"/>
      <c r="AL30" s="1" t="s">
        <v>1064</v>
      </c>
      <c r="AM30" s="15" t="s">
        <v>1091</v>
      </c>
      <c r="AN30" s="1"/>
      <c r="AO30" s="7" t="s">
        <v>1045</v>
      </c>
      <c r="AP30" s="7" t="s">
        <v>1045</v>
      </c>
      <c r="AQ30" s="95" t="b">
        <v>1</v>
      </c>
      <c r="AR30" s="95" t="b">
        <v>1</v>
      </c>
      <c r="AS30" s="95" t="b">
        <v>1</v>
      </c>
      <c r="AT30" s="95" t="b">
        <v>1</v>
      </c>
      <c r="AU30" s="95" t="b">
        <v>1</v>
      </c>
      <c r="AV30" s="95" t="b">
        <v>1</v>
      </c>
      <c r="AW30" s="95" t="b">
        <v>1</v>
      </c>
      <c r="AX30" s="95" t="b">
        <v>1</v>
      </c>
      <c r="AY30" s="95" t="b">
        <v>1</v>
      </c>
      <c r="AZ30" s="95" t="b">
        <v>1</v>
      </c>
      <c r="BA30" s="95" t="b">
        <v>1</v>
      </c>
      <c r="BB30" s="95" t="b">
        <v>1</v>
      </c>
      <c r="BC30" s="95" t="b">
        <v>1</v>
      </c>
      <c r="BD30" s="95" t="b">
        <v>1</v>
      </c>
      <c r="BE30" s="95" t="b">
        <v>1</v>
      </c>
      <c r="BF30" s="95" t="b">
        <v>1</v>
      </c>
      <c r="BG30" s="95" t="b">
        <v>1</v>
      </c>
      <c r="BH30" s="95" t="b">
        <v>1</v>
      </c>
      <c r="BI30" s="95" t="b">
        <v>1</v>
      </c>
      <c r="BJ30" s="95" t="b">
        <v>1</v>
      </c>
      <c r="BK30" s="95" t="b">
        <v>1</v>
      </c>
      <c r="BL30" s="95" t="b">
        <v>1</v>
      </c>
      <c r="BM30" s="95" t="b">
        <v>0</v>
      </c>
      <c r="BN30" s="95" t="b">
        <v>1</v>
      </c>
      <c r="BO30" s="95" t="b">
        <v>1</v>
      </c>
      <c r="BP30" s="95" t="b">
        <v>1</v>
      </c>
      <c r="BQ30" s="95" t="b">
        <v>1</v>
      </c>
      <c r="BR30" s="95" t="b">
        <v>1</v>
      </c>
      <c r="BS30" s="95" t="b">
        <v>1</v>
      </c>
      <c r="BT30" s="95" t="b">
        <v>1</v>
      </c>
      <c r="BU30" s="95" t="b">
        <v>1</v>
      </c>
      <c r="BV30" s="95" t="b">
        <v>1</v>
      </c>
      <c r="BW30" s="95" t="b">
        <v>1</v>
      </c>
      <c r="BX30" s="95" t="b">
        <v>1</v>
      </c>
      <c r="BY30" s="95" t="b">
        <v>1</v>
      </c>
      <c r="BZ30" s="95" t="b">
        <v>1</v>
      </c>
      <c r="CA30" s="95" t="b">
        <v>1</v>
      </c>
    </row>
    <row r="31" s="95" customFormat="1" ht="147" customHeight="1" spans="1:79">
      <c r="A31" s="14"/>
      <c r="B31" s="14"/>
      <c r="C31" s="15"/>
      <c r="D31" s="41"/>
      <c r="E31" s="24"/>
      <c r="F31" s="17"/>
      <c r="G31" s="15"/>
      <c r="H31" s="16"/>
      <c r="I31" s="23" t="s">
        <v>1100</v>
      </c>
      <c r="J31" s="16" t="s">
        <v>1101</v>
      </c>
      <c r="K31" s="15"/>
      <c r="L31" s="15" t="s">
        <v>36</v>
      </c>
      <c r="M31" s="15" t="s">
        <v>36</v>
      </c>
      <c r="N31" s="15"/>
      <c r="O31" s="15" t="s">
        <v>36</v>
      </c>
      <c r="P31" s="15" t="s">
        <v>36</v>
      </c>
      <c r="Q31" s="15" t="s">
        <v>36</v>
      </c>
      <c r="R31" s="15"/>
      <c r="S31" s="15"/>
      <c r="T31" s="15" t="s">
        <v>550</v>
      </c>
      <c r="U31" s="15" t="s">
        <v>682</v>
      </c>
      <c r="V31" s="16" t="s">
        <v>683</v>
      </c>
      <c r="W31" s="25" t="s">
        <v>684</v>
      </c>
      <c r="X31" s="41" t="s">
        <v>474</v>
      </c>
      <c r="Y31" s="41" t="s">
        <v>473</v>
      </c>
      <c r="Z31" s="41"/>
      <c r="AA31" s="41" t="s">
        <v>474</v>
      </c>
      <c r="AB31" s="41" t="s">
        <v>473</v>
      </c>
      <c r="AC31" s="41"/>
      <c r="AD31" s="41"/>
      <c r="AE31" s="41"/>
      <c r="AF31" s="41"/>
      <c r="AG31" s="43"/>
      <c r="AH31" s="41" t="s">
        <v>476</v>
      </c>
      <c r="AI31" s="43" t="s">
        <v>476</v>
      </c>
      <c r="AJ31" s="41" t="s">
        <v>672</v>
      </c>
      <c r="AK31" s="41"/>
      <c r="AL31" s="1" t="s">
        <v>1064</v>
      </c>
      <c r="AM31" s="23" t="s">
        <v>1102</v>
      </c>
      <c r="AN31" s="1"/>
      <c r="AO31" s="7" t="s">
        <v>1045</v>
      </c>
      <c r="AP31" s="7" t="s">
        <v>1045</v>
      </c>
      <c r="AQ31" s="95" t="b">
        <v>1</v>
      </c>
      <c r="AR31" s="95" t="b">
        <v>1</v>
      </c>
      <c r="AS31" s="95" t="b">
        <v>1</v>
      </c>
      <c r="AT31" s="95" t="b">
        <v>1</v>
      </c>
      <c r="AU31" s="95" t="b">
        <v>1</v>
      </c>
      <c r="AV31" s="95" t="b">
        <v>1</v>
      </c>
      <c r="AW31" s="95" t="b">
        <v>1</v>
      </c>
      <c r="AX31" s="95" t="b">
        <v>1</v>
      </c>
      <c r="AY31" s="95" t="b">
        <v>1</v>
      </c>
      <c r="AZ31" s="95" t="b">
        <v>1</v>
      </c>
      <c r="BA31" s="95" t="b">
        <v>1</v>
      </c>
      <c r="BB31" s="95" t="b">
        <v>1</v>
      </c>
      <c r="BC31" s="95" t="b">
        <v>1</v>
      </c>
      <c r="BD31" s="95" t="b">
        <v>1</v>
      </c>
      <c r="BE31" s="95" t="b">
        <v>1</v>
      </c>
      <c r="BF31" s="95" t="b">
        <v>1</v>
      </c>
      <c r="BG31" s="95" t="b">
        <v>1</v>
      </c>
      <c r="BH31" s="95" t="b">
        <v>1</v>
      </c>
      <c r="BI31" s="95" t="b">
        <v>1</v>
      </c>
      <c r="BJ31" s="95" t="b">
        <v>1</v>
      </c>
      <c r="BK31" s="95" t="b">
        <v>1</v>
      </c>
      <c r="BL31" s="95" t="b">
        <v>1</v>
      </c>
      <c r="BM31" s="95" t="b">
        <v>0</v>
      </c>
      <c r="BN31" s="95" t="b">
        <v>1</v>
      </c>
      <c r="BO31" s="95" t="b">
        <v>1</v>
      </c>
      <c r="BP31" s="95" t="b">
        <v>1</v>
      </c>
      <c r="BQ31" s="95" t="b">
        <v>1</v>
      </c>
      <c r="BR31" s="95" t="b">
        <v>1</v>
      </c>
      <c r="BS31" s="95" t="b">
        <v>1</v>
      </c>
      <c r="BT31" s="95" t="b">
        <v>1</v>
      </c>
      <c r="BU31" s="95" t="b">
        <v>1</v>
      </c>
      <c r="BV31" s="95" t="b">
        <v>1</v>
      </c>
      <c r="BW31" s="95" t="b">
        <v>1</v>
      </c>
      <c r="BX31" s="95" t="b">
        <v>1</v>
      </c>
      <c r="BY31" s="95" t="b">
        <v>1</v>
      </c>
      <c r="BZ31" s="95" t="b">
        <v>1</v>
      </c>
      <c r="CA31" s="95" t="b">
        <v>1</v>
      </c>
    </row>
    <row r="32" s="95" customFormat="1" ht="121" customHeight="1" spans="1:79">
      <c r="A32" s="14"/>
      <c r="B32" s="14"/>
      <c r="C32" s="15"/>
      <c r="D32" s="41"/>
      <c r="E32" s="24"/>
      <c r="F32" s="17"/>
      <c r="G32" s="15"/>
      <c r="H32" s="16"/>
      <c r="I32" s="23" t="s">
        <v>1103</v>
      </c>
      <c r="J32" s="16" t="s">
        <v>1104</v>
      </c>
      <c r="K32" s="15"/>
      <c r="L32" s="15"/>
      <c r="M32" s="15"/>
      <c r="N32" s="15"/>
      <c r="O32" s="15"/>
      <c r="P32" s="15" t="s">
        <v>36</v>
      </c>
      <c r="Q32" s="15" t="s">
        <v>36</v>
      </c>
      <c r="R32" s="15"/>
      <c r="S32" s="15" t="s">
        <v>36</v>
      </c>
      <c r="T32" s="15" t="s">
        <v>492</v>
      </c>
      <c r="U32" s="15"/>
      <c r="V32" s="16" t="s">
        <v>687</v>
      </c>
      <c r="W32" s="42" t="s">
        <v>671</v>
      </c>
      <c r="X32" s="41" t="s">
        <v>474</v>
      </c>
      <c r="Y32" s="41" t="s">
        <v>473</v>
      </c>
      <c r="Z32" s="41"/>
      <c r="AA32" s="41" t="s">
        <v>474</v>
      </c>
      <c r="AB32" s="41" t="s">
        <v>473</v>
      </c>
      <c r="AC32" s="41"/>
      <c r="AD32" s="41"/>
      <c r="AE32" s="41"/>
      <c r="AF32" s="41"/>
      <c r="AG32" s="43"/>
      <c r="AH32" s="41" t="s">
        <v>476</v>
      </c>
      <c r="AI32" s="43" t="s">
        <v>476</v>
      </c>
      <c r="AJ32" s="41" t="s">
        <v>672</v>
      </c>
      <c r="AK32" s="41"/>
      <c r="AL32" s="1" t="s">
        <v>1064</v>
      </c>
      <c r="AM32" s="23" t="s">
        <v>1091</v>
      </c>
      <c r="AN32" s="1"/>
      <c r="AO32" s="7" t="s">
        <v>1045</v>
      </c>
      <c r="AP32" s="7" t="s">
        <v>1045</v>
      </c>
      <c r="AQ32" s="95" t="b">
        <v>1</v>
      </c>
      <c r="AR32" s="95" t="b">
        <v>1</v>
      </c>
      <c r="AS32" s="95" t="b">
        <v>1</v>
      </c>
      <c r="AT32" s="95" t="b">
        <v>1</v>
      </c>
      <c r="AU32" s="95" t="b">
        <v>1</v>
      </c>
      <c r="AV32" s="95" t="b">
        <v>1</v>
      </c>
      <c r="AW32" s="95" t="b">
        <v>1</v>
      </c>
      <c r="AX32" s="95" t="b">
        <v>1</v>
      </c>
      <c r="AY32" s="95" t="b">
        <v>1</v>
      </c>
      <c r="AZ32" s="95" t="b">
        <v>1</v>
      </c>
      <c r="BA32" s="95" t="b">
        <v>1</v>
      </c>
      <c r="BB32" s="95" t="b">
        <v>1</v>
      </c>
      <c r="BC32" s="95" t="b">
        <v>1</v>
      </c>
      <c r="BD32" s="95" t="b">
        <v>1</v>
      </c>
      <c r="BE32" s="95" t="b">
        <v>1</v>
      </c>
      <c r="BF32" s="95" t="b">
        <v>1</v>
      </c>
      <c r="BG32" s="95" t="b">
        <v>1</v>
      </c>
      <c r="BH32" s="95" t="b">
        <v>1</v>
      </c>
      <c r="BI32" s="95" t="b">
        <v>1</v>
      </c>
      <c r="BJ32" s="95" t="b">
        <v>1</v>
      </c>
      <c r="BK32" s="95" t="b">
        <v>1</v>
      </c>
      <c r="BL32" s="95" t="b">
        <v>1</v>
      </c>
      <c r="BM32" s="95" t="b">
        <v>0</v>
      </c>
      <c r="BN32" s="95" t="b">
        <v>1</v>
      </c>
      <c r="BO32" s="95" t="b">
        <v>1</v>
      </c>
      <c r="BP32" s="95" t="b">
        <v>1</v>
      </c>
      <c r="BQ32" s="95" t="b">
        <v>1</v>
      </c>
      <c r="BR32" s="95" t="b">
        <v>1</v>
      </c>
      <c r="BS32" s="95" t="b">
        <v>1</v>
      </c>
      <c r="BT32" s="95" t="b">
        <v>1</v>
      </c>
      <c r="BU32" s="95" t="b">
        <v>1</v>
      </c>
      <c r="BV32" s="95" t="b">
        <v>1</v>
      </c>
      <c r="BW32" s="95" t="b">
        <v>1</v>
      </c>
      <c r="BX32" s="95" t="b">
        <v>1</v>
      </c>
      <c r="BY32" s="95" t="b">
        <v>1</v>
      </c>
      <c r="BZ32" s="95" t="b">
        <v>1</v>
      </c>
      <c r="CA32" s="95" t="b">
        <v>1</v>
      </c>
    </row>
    <row r="33" s="95" customFormat="1" ht="86" customHeight="1" spans="1:79">
      <c r="A33" s="14"/>
      <c r="B33" s="14"/>
      <c r="C33" s="15" t="s">
        <v>485</v>
      </c>
      <c r="D33" s="15" t="s">
        <v>688</v>
      </c>
      <c r="E33" s="16" t="s">
        <v>689</v>
      </c>
      <c r="F33" s="17" t="s">
        <v>690</v>
      </c>
      <c r="G33" s="15" t="s">
        <v>1105</v>
      </c>
      <c r="H33" s="16" t="s">
        <v>692</v>
      </c>
      <c r="I33" s="23" t="s">
        <v>1106</v>
      </c>
      <c r="J33" s="31" t="s">
        <v>1357</v>
      </c>
      <c r="K33" s="15"/>
      <c r="L33" s="15"/>
      <c r="M33" s="15"/>
      <c r="N33" s="15"/>
      <c r="O33" s="15"/>
      <c r="P33" s="15"/>
      <c r="Q33" s="15"/>
      <c r="R33" s="15"/>
      <c r="S33" s="15"/>
      <c r="T33" s="15" t="s">
        <v>492</v>
      </c>
      <c r="U33" s="15"/>
      <c r="V33" s="16"/>
      <c r="W33" s="42" t="s">
        <v>695</v>
      </c>
      <c r="X33" s="41"/>
      <c r="Y33" s="41"/>
      <c r="Z33" s="41"/>
      <c r="AA33" s="41"/>
      <c r="AB33" s="41"/>
      <c r="AC33" s="41"/>
      <c r="AD33" s="41"/>
      <c r="AE33" s="41"/>
      <c r="AF33" s="41"/>
      <c r="AG33" s="39"/>
      <c r="AH33" s="43" t="s">
        <v>610</v>
      </c>
      <c r="AI33" s="43" t="s">
        <v>610</v>
      </c>
      <c r="AJ33" s="41"/>
      <c r="AK33" s="41" t="s">
        <v>673</v>
      </c>
      <c r="AL33" s="1" t="s">
        <v>1064</v>
      </c>
      <c r="AM33" s="23" t="s">
        <v>1091</v>
      </c>
      <c r="AN33" s="1"/>
      <c r="AO33" s="7" t="s">
        <v>1059</v>
      </c>
      <c r="AP33" s="7" t="s">
        <v>1045</v>
      </c>
      <c r="AQ33" s="95" t="b">
        <v>1</v>
      </c>
      <c r="AR33" s="95" t="b">
        <v>1</v>
      </c>
      <c r="AS33" s="95" t="b">
        <v>1</v>
      </c>
      <c r="AT33" s="95" t="b">
        <v>1</v>
      </c>
      <c r="AU33" s="95" t="b">
        <v>1</v>
      </c>
      <c r="AV33" s="95" t="b">
        <v>1</v>
      </c>
      <c r="AW33" s="95" t="b">
        <v>1</v>
      </c>
      <c r="AX33" s="95" t="b">
        <v>1</v>
      </c>
      <c r="AY33" s="95" t="b">
        <v>1</v>
      </c>
      <c r="AZ33" s="95" t="b">
        <v>0</v>
      </c>
      <c r="BA33" s="95" t="b">
        <v>1</v>
      </c>
      <c r="BB33" s="95" t="b">
        <v>1</v>
      </c>
      <c r="BC33" s="95" t="b">
        <v>1</v>
      </c>
      <c r="BD33" s="95" t="b">
        <v>1</v>
      </c>
      <c r="BE33" s="95" t="b">
        <v>1</v>
      </c>
      <c r="BF33" s="95" t="b">
        <v>1</v>
      </c>
      <c r="BG33" s="95" t="b">
        <v>1</v>
      </c>
      <c r="BH33" s="95" t="b">
        <v>1</v>
      </c>
      <c r="BI33" s="95" t="b">
        <v>1</v>
      </c>
      <c r="BJ33" s="95" t="b">
        <v>1</v>
      </c>
      <c r="BK33" s="95" t="b">
        <v>1</v>
      </c>
      <c r="BL33" s="95" t="b">
        <v>1</v>
      </c>
      <c r="BM33" s="95" t="b">
        <v>0</v>
      </c>
      <c r="BN33" s="95" t="b">
        <v>1</v>
      </c>
      <c r="BO33" s="95" t="b">
        <v>1</v>
      </c>
      <c r="BP33" s="95" t="b">
        <v>1</v>
      </c>
      <c r="BQ33" s="95" t="b">
        <v>1</v>
      </c>
      <c r="BR33" s="95" t="b">
        <v>1</v>
      </c>
      <c r="BS33" s="95" t="b">
        <v>1</v>
      </c>
      <c r="BT33" s="95" t="b">
        <v>1</v>
      </c>
      <c r="BU33" s="95" t="b">
        <v>1</v>
      </c>
      <c r="BV33" s="95" t="b">
        <v>1</v>
      </c>
      <c r="BW33" s="95" t="b">
        <v>1</v>
      </c>
      <c r="BX33" s="95" t="b">
        <v>1</v>
      </c>
      <c r="BY33" s="95" t="b">
        <v>1</v>
      </c>
      <c r="BZ33" s="95" t="b">
        <v>1</v>
      </c>
      <c r="CA33" s="95" t="b">
        <v>1</v>
      </c>
    </row>
    <row r="34" s="95" customFormat="1" ht="98" customHeight="1" spans="1:79">
      <c r="A34" s="14" t="s">
        <v>483</v>
      </c>
      <c r="B34" s="14" t="s">
        <v>662</v>
      </c>
      <c r="C34" s="15" t="s">
        <v>485</v>
      </c>
      <c r="D34" s="15" t="s">
        <v>688</v>
      </c>
      <c r="E34" s="16" t="s">
        <v>689</v>
      </c>
      <c r="F34" s="17" t="s">
        <v>690</v>
      </c>
      <c r="G34" s="15" t="s">
        <v>1105</v>
      </c>
      <c r="H34" s="16" t="s">
        <v>692</v>
      </c>
      <c r="I34" s="23" t="s">
        <v>1108</v>
      </c>
      <c r="J34" s="16" t="s">
        <v>1109</v>
      </c>
      <c r="K34" s="15"/>
      <c r="L34" s="15"/>
      <c r="M34" s="35" t="s">
        <v>36</v>
      </c>
      <c r="N34" s="15"/>
      <c r="O34" s="15"/>
      <c r="P34" s="15"/>
      <c r="Q34" s="15"/>
      <c r="R34" s="15"/>
      <c r="S34" s="15"/>
      <c r="T34" s="15" t="s">
        <v>492</v>
      </c>
      <c r="U34" s="15"/>
      <c r="V34" s="16" t="s">
        <v>698</v>
      </c>
      <c r="W34" s="42" t="s">
        <v>705</v>
      </c>
      <c r="X34" s="110" t="s">
        <v>474</v>
      </c>
      <c r="Y34" s="110" t="s">
        <v>473</v>
      </c>
      <c r="Z34" s="110"/>
      <c r="AA34" s="110" t="s">
        <v>474</v>
      </c>
      <c r="AB34" s="110" t="s">
        <v>473</v>
      </c>
      <c r="AC34" s="111"/>
      <c r="AD34" s="111"/>
      <c r="AE34" s="111"/>
      <c r="AF34" s="111"/>
      <c r="AG34" s="112"/>
      <c r="AH34" s="113" t="s">
        <v>1358</v>
      </c>
      <c r="AI34" s="113" t="s">
        <v>1358</v>
      </c>
      <c r="AJ34" s="114" t="s">
        <v>699</v>
      </c>
      <c r="AK34" s="115" t="s">
        <v>673</v>
      </c>
      <c r="AL34" s="1" t="s">
        <v>1064</v>
      </c>
      <c r="AM34" s="23" t="s">
        <v>1091</v>
      </c>
      <c r="AN34" s="1"/>
      <c r="AO34" s="7" t="s">
        <v>1110</v>
      </c>
      <c r="AP34" s="7" t="s">
        <v>1110</v>
      </c>
      <c r="AQ34" s="95" t="b">
        <v>1</v>
      </c>
      <c r="AR34" s="95" t="b">
        <v>1</v>
      </c>
      <c r="AS34" s="95" t="b">
        <v>1</v>
      </c>
      <c r="AT34" s="95" t="b">
        <v>1</v>
      </c>
      <c r="AU34" s="95" t="b">
        <v>1</v>
      </c>
      <c r="AV34" s="95" t="b">
        <v>1</v>
      </c>
      <c r="AW34" s="95" t="b">
        <v>1</v>
      </c>
      <c r="AX34" s="95" t="b">
        <v>1</v>
      </c>
      <c r="AY34" s="95" t="b">
        <v>1</v>
      </c>
      <c r="AZ34" s="95" t="b">
        <v>1</v>
      </c>
      <c r="BA34" s="95" t="b">
        <v>1</v>
      </c>
      <c r="BB34" s="95" t="b">
        <v>1</v>
      </c>
      <c r="BC34" s="95" t="b">
        <v>1</v>
      </c>
      <c r="BD34" s="95" t="b">
        <v>1</v>
      </c>
      <c r="BE34" s="95" t="b">
        <v>1</v>
      </c>
      <c r="BF34" s="95" t="b">
        <v>1</v>
      </c>
      <c r="BG34" s="95" t="b">
        <v>1</v>
      </c>
      <c r="BH34" s="95" t="b">
        <v>1</v>
      </c>
      <c r="BI34" s="95" t="b">
        <v>1</v>
      </c>
      <c r="BJ34" s="95" t="b">
        <v>1</v>
      </c>
      <c r="BK34" s="95" t="b">
        <v>1</v>
      </c>
      <c r="BL34" s="95" t="b">
        <v>1</v>
      </c>
      <c r="BM34" s="95" t="b">
        <v>0</v>
      </c>
      <c r="BN34" s="95" t="b">
        <v>1</v>
      </c>
      <c r="BO34" s="95" t="b">
        <v>1</v>
      </c>
      <c r="BP34" s="95" t="b">
        <v>1</v>
      </c>
      <c r="BQ34" s="95" t="b">
        <v>1</v>
      </c>
      <c r="BR34" s="95" t="b">
        <v>1</v>
      </c>
      <c r="BS34" s="95" t="b">
        <v>1</v>
      </c>
      <c r="BT34" s="95" t="b">
        <v>1</v>
      </c>
      <c r="BU34" s="95" t="b">
        <v>1</v>
      </c>
      <c r="BV34" s="95" t="b">
        <v>1</v>
      </c>
      <c r="BW34" s="95" t="b">
        <v>1</v>
      </c>
      <c r="BX34" s="95" t="b">
        <v>0</v>
      </c>
      <c r="BY34" s="95" t="b">
        <v>0</v>
      </c>
      <c r="BZ34" s="95" t="b">
        <v>1</v>
      </c>
      <c r="CA34" s="95" t="b">
        <v>1</v>
      </c>
    </row>
    <row r="35" s="95" customFormat="1" ht="92" customHeight="1" spans="1:79">
      <c r="A35" s="14"/>
      <c r="B35" s="14"/>
      <c r="C35" s="15"/>
      <c r="D35" s="15"/>
      <c r="E35" s="16"/>
      <c r="F35" s="17"/>
      <c r="G35" s="15"/>
      <c r="H35" s="16"/>
      <c r="I35" s="23" t="s">
        <v>1111</v>
      </c>
      <c r="J35" s="16" t="s">
        <v>1112</v>
      </c>
      <c r="K35" s="15"/>
      <c r="L35" s="15"/>
      <c r="M35" s="15" t="s">
        <v>36</v>
      </c>
      <c r="N35" s="15"/>
      <c r="O35" s="15"/>
      <c r="P35" s="15"/>
      <c r="Q35" s="15"/>
      <c r="R35" s="15"/>
      <c r="S35" s="15"/>
      <c r="T35" s="15" t="s">
        <v>492</v>
      </c>
      <c r="U35" s="15"/>
      <c r="V35" s="16" t="s">
        <v>698</v>
      </c>
      <c r="W35" s="42" t="s">
        <v>705</v>
      </c>
      <c r="X35" s="15" t="s">
        <v>474</v>
      </c>
      <c r="Y35" s="15" t="s">
        <v>473</v>
      </c>
      <c r="Z35" s="15"/>
      <c r="AA35" s="15" t="s">
        <v>474</v>
      </c>
      <c r="AB35" s="15" t="s">
        <v>473</v>
      </c>
      <c r="AC35" s="15"/>
      <c r="AD35" s="15"/>
      <c r="AE35" s="30"/>
      <c r="AF35" s="30"/>
      <c r="AG35" s="30"/>
      <c r="AH35" s="15" t="s">
        <v>476</v>
      </c>
      <c r="AI35" s="15" t="s">
        <v>476</v>
      </c>
      <c r="AJ35" s="15" t="s">
        <v>699</v>
      </c>
      <c r="AK35" s="116"/>
      <c r="AL35" s="1" t="s">
        <v>1064</v>
      </c>
      <c r="AM35" s="23" t="s">
        <v>1091</v>
      </c>
      <c r="AN35" s="1"/>
      <c r="AO35" s="7" t="s">
        <v>1045</v>
      </c>
      <c r="AP35" s="7" t="s">
        <v>1045</v>
      </c>
      <c r="AQ35" s="95" t="b">
        <v>1</v>
      </c>
      <c r="AR35" s="95" t="b">
        <v>1</v>
      </c>
      <c r="AS35" s="95" t="b">
        <v>1</v>
      </c>
      <c r="AT35" s="95" t="b">
        <v>1</v>
      </c>
      <c r="AU35" s="95" t="b">
        <v>1</v>
      </c>
      <c r="AV35" s="95" t="b">
        <v>1</v>
      </c>
      <c r="AW35" s="95" t="b">
        <v>1</v>
      </c>
      <c r="AX35" s="95" t="b">
        <v>1</v>
      </c>
      <c r="AY35" s="95" t="b">
        <v>1</v>
      </c>
      <c r="AZ35" s="95" t="b">
        <v>1</v>
      </c>
      <c r="BA35" s="95" t="b">
        <v>1</v>
      </c>
      <c r="BB35" s="95" t="b">
        <v>1</v>
      </c>
      <c r="BC35" s="95" t="b">
        <v>1</v>
      </c>
      <c r="BD35" s="95" t="b">
        <v>1</v>
      </c>
      <c r="BE35" s="95" t="b">
        <v>1</v>
      </c>
      <c r="BF35" s="95" t="b">
        <v>1</v>
      </c>
      <c r="BG35" s="95" t="b">
        <v>1</v>
      </c>
      <c r="BH35" s="95" t="b">
        <v>1</v>
      </c>
      <c r="BI35" s="95" t="b">
        <v>1</v>
      </c>
      <c r="BJ35" s="95" t="b">
        <v>1</v>
      </c>
      <c r="BK35" s="95" t="b">
        <v>1</v>
      </c>
      <c r="BL35" s="95" t="b">
        <v>1</v>
      </c>
      <c r="BM35" s="95" t="b">
        <v>0</v>
      </c>
      <c r="BN35" s="95" t="b">
        <v>1</v>
      </c>
      <c r="BO35" s="95" t="b">
        <v>1</v>
      </c>
      <c r="BP35" s="95" t="b">
        <v>1</v>
      </c>
      <c r="BQ35" s="95" t="b">
        <v>1</v>
      </c>
      <c r="BR35" s="95" t="b">
        <v>1</v>
      </c>
      <c r="BS35" s="95" t="b">
        <v>1</v>
      </c>
      <c r="BT35" s="95" t="b">
        <v>1</v>
      </c>
      <c r="BU35" s="95" t="b">
        <v>1</v>
      </c>
      <c r="BV35" s="95" t="b">
        <v>1</v>
      </c>
      <c r="BW35" s="95" t="b">
        <v>1</v>
      </c>
      <c r="BX35" s="95" t="b">
        <v>1</v>
      </c>
      <c r="BY35" s="95" t="b">
        <v>1</v>
      </c>
      <c r="BZ35" s="95" t="b">
        <v>1</v>
      </c>
      <c r="CA35" s="95" t="b">
        <v>1</v>
      </c>
    </row>
    <row r="36" s="95" customFormat="1" ht="100" customHeight="1" spans="1:79">
      <c r="A36" s="14"/>
      <c r="B36" s="14"/>
      <c r="C36" s="15"/>
      <c r="D36" s="15"/>
      <c r="E36" s="16"/>
      <c r="F36" s="17"/>
      <c r="G36" s="15"/>
      <c r="H36" s="16"/>
      <c r="I36" s="23" t="s">
        <v>1113</v>
      </c>
      <c r="J36" s="16" t="s">
        <v>1114</v>
      </c>
      <c r="K36" s="15"/>
      <c r="L36" s="15"/>
      <c r="M36" s="46" t="s">
        <v>36</v>
      </c>
      <c r="N36" s="15"/>
      <c r="O36" s="15"/>
      <c r="P36" s="15"/>
      <c r="Q36" s="15"/>
      <c r="R36" s="15"/>
      <c r="S36" s="15"/>
      <c r="T36" s="110" t="s">
        <v>1115</v>
      </c>
      <c r="U36" s="110" t="s">
        <v>669</v>
      </c>
      <c r="V36" s="31" t="s">
        <v>1116</v>
      </c>
      <c r="W36" s="42" t="s">
        <v>705</v>
      </c>
      <c r="X36" s="15" t="s">
        <v>474</v>
      </c>
      <c r="Y36" s="15" t="s">
        <v>473</v>
      </c>
      <c r="Z36" s="15"/>
      <c r="AA36" s="15" t="s">
        <v>474</v>
      </c>
      <c r="AB36" s="15" t="s">
        <v>473</v>
      </c>
      <c r="AC36" s="15"/>
      <c r="AD36" s="15"/>
      <c r="AE36" s="30"/>
      <c r="AF36" s="30"/>
      <c r="AG36" s="30"/>
      <c r="AH36" s="15" t="s">
        <v>476</v>
      </c>
      <c r="AI36" s="15" t="s">
        <v>476</v>
      </c>
      <c r="AJ36" s="15" t="s">
        <v>699</v>
      </c>
      <c r="AK36" s="116"/>
      <c r="AL36" s="1" t="s">
        <v>1064</v>
      </c>
      <c r="AM36" s="23" t="s">
        <v>1091</v>
      </c>
      <c r="AN36" s="1"/>
      <c r="AO36" s="7" t="s">
        <v>1117</v>
      </c>
      <c r="AP36" s="7" t="s">
        <v>1117</v>
      </c>
      <c r="AQ36" s="95" t="b">
        <v>1</v>
      </c>
      <c r="AR36" s="95" t="b">
        <v>1</v>
      </c>
      <c r="AS36" s="95" t="b">
        <v>1</v>
      </c>
      <c r="AT36" s="95" t="b">
        <v>1</v>
      </c>
      <c r="AU36" s="95" t="b">
        <v>1</v>
      </c>
      <c r="AV36" s="95" t="b">
        <v>1</v>
      </c>
      <c r="AW36" s="95" t="b">
        <v>1</v>
      </c>
      <c r="AX36" s="95" t="b">
        <v>1</v>
      </c>
      <c r="AY36" s="95" t="b">
        <v>1</v>
      </c>
      <c r="AZ36" s="95" t="b">
        <v>1</v>
      </c>
      <c r="BA36" s="95" t="b">
        <v>1</v>
      </c>
      <c r="BB36" s="95" t="b">
        <v>1</v>
      </c>
      <c r="BC36" s="95" t="b">
        <v>0</v>
      </c>
      <c r="BD36" s="95" t="b">
        <v>1</v>
      </c>
      <c r="BE36" s="95" t="b">
        <v>1</v>
      </c>
      <c r="BF36" s="95" t="b">
        <v>1</v>
      </c>
      <c r="BG36" s="95" t="b">
        <v>1</v>
      </c>
      <c r="BH36" s="95" t="b">
        <v>1</v>
      </c>
      <c r="BI36" s="95" t="b">
        <v>1</v>
      </c>
      <c r="BJ36" s="95" t="b">
        <v>0</v>
      </c>
      <c r="BK36" s="95" t="b">
        <v>1</v>
      </c>
      <c r="BL36" s="95" t="b">
        <v>0</v>
      </c>
      <c r="BM36" s="95" t="b">
        <v>0</v>
      </c>
      <c r="BN36" s="95" t="b">
        <v>1</v>
      </c>
      <c r="BO36" s="95" t="b">
        <v>1</v>
      </c>
      <c r="BP36" s="95" t="b">
        <v>1</v>
      </c>
      <c r="BQ36" s="95" t="b">
        <v>1</v>
      </c>
      <c r="BR36" s="95" t="b">
        <v>1</v>
      </c>
      <c r="BS36" s="95" t="b">
        <v>1</v>
      </c>
      <c r="BT36" s="95" t="b">
        <v>1</v>
      </c>
      <c r="BU36" s="95" t="b">
        <v>1</v>
      </c>
      <c r="BV36" s="95" t="b">
        <v>1</v>
      </c>
      <c r="BW36" s="95" t="b">
        <v>1</v>
      </c>
      <c r="BX36" s="95" t="b">
        <v>1</v>
      </c>
      <c r="BY36" s="95" t="b">
        <v>1</v>
      </c>
      <c r="BZ36" s="95" t="b">
        <v>1</v>
      </c>
      <c r="CA36" s="95" t="b">
        <v>1</v>
      </c>
    </row>
    <row r="37" s="95" customFormat="1" ht="118" customHeight="1" spans="1:79">
      <c r="A37" s="14"/>
      <c r="B37" s="14"/>
      <c r="C37" s="15"/>
      <c r="D37" s="15"/>
      <c r="E37" s="16"/>
      <c r="F37" s="17"/>
      <c r="G37" s="15"/>
      <c r="H37" s="16"/>
      <c r="I37" s="23" t="s">
        <v>1118</v>
      </c>
      <c r="J37" s="16" t="s">
        <v>1119</v>
      </c>
      <c r="K37" s="15"/>
      <c r="L37" s="15"/>
      <c r="M37" s="15"/>
      <c r="N37" s="15"/>
      <c r="O37" s="35" t="s">
        <v>36</v>
      </c>
      <c r="P37" s="35"/>
      <c r="Q37" s="35" t="s">
        <v>36</v>
      </c>
      <c r="R37" s="15"/>
      <c r="S37" s="15"/>
      <c r="T37" s="35" t="s">
        <v>1120</v>
      </c>
      <c r="U37" s="46" t="s">
        <v>669</v>
      </c>
      <c r="V37" s="16" t="s">
        <v>1121</v>
      </c>
      <c r="W37" s="117" t="s">
        <v>1122</v>
      </c>
      <c r="X37" s="15" t="s">
        <v>474</v>
      </c>
      <c r="Y37" s="15" t="s">
        <v>473</v>
      </c>
      <c r="Z37" s="15"/>
      <c r="AA37" s="15" t="s">
        <v>474</v>
      </c>
      <c r="AB37" s="15" t="s">
        <v>473</v>
      </c>
      <c r="AC37" s="15"/>
      <c r="AD37" s="15"/>
      <c r="AE37" s="30"/>
      <c r="AF37" s="30"/>
      <c r="AG37" s="30"/>
      <c r="AH37" s="15" t="s">
        <v>476</v>
      </c>
      <c r="AI37" s="15" t="s">
        <v>476</v>
      </c>
      <c r="AJ37" s="15" t="s">
        <v>699</v>
      </c>
      <c r="AK37" s="116"/>
      <c r="AL37" s="1" t="s">
        <v>1064</v>
      </c>
      <c r="AM37" s="23" t="s">
        <v>1091</v>
      </c>
      <c r="AN37" s="1"/>
      <c r="AO37" s="7" t="s">
        <v>1117</v>
      </c>
      <c r="AP37" s="98" t="s">
        <v>1123</v>
      </c>
      <c r="AQ37" s="95" t="b">
        <v>1</v>
      </c>
      <c r="AR37" s="95" t="b">
        <v>1</v>
      </c>
      <c r="AS37" s="95" t="b">
        <v>1</v>
      </c>
      <c r="AT37" s="95" t="b">
        <v>1</v>
      </c>
      <c r="AU37" s="95" t="b">
        <v>1</v>
      </c>
      <c r="AV37" s="95" t="b">
        <v>1</v>
      </c>
      <c r="AW37" s="95" t="b">
        <v>1</v>
      </c>
      <c r="AX37" s="95" t="b">
        <v>1</v>
      </c>
      <c r="AY37" s="95" t="b">
        <v>1</v>
      </c>
      <c r="AZ37" s="95" t="b">
        <v>0</v>
      </c>
      <c r="BA37" s="95" t="b">
        <v>1</v>
      </c>
      <c r="BB37" s="95" t="b">
        <v>1</v>
      </c>
      <c r="BC37" s="95" t="b">
        <v>1</v>
      </c>
      <c r="BD37" s="95" t="b">
        <v>1</v>
      </c>
      <c r="BE37" s="95" t="b">
        <v>1</v>
      </c>
      <c r="BF37" s="95" t="b">
        <v>1</v>
      </c>
      <c r="BG37" s="95" t="b">
        <v>1</v>
      </c>
      <c r="BH37" s="95" t="b">
        <v>1</v>
      </c>
      <c r="BI37" s="95" t="b">
        <v>1</v>
      </c>
      <c r="BJ37" s="95" t="b">
        <v>0</v>
      </c>
      <c r="BK37" s="95" t="b">
        <v>0</v>
      </c>
      <c r="BL37" s="95" t="b">
        <v>0</v>
      </c>
      <c r="BM37" s="95" t="b">
        <v>0</v>
      </c>
      <c r="BN37" s="95" t="b">
        <v>1</v>
      </c>
      <c r="BO37" s="95" t="b">
        <v>1</v>
      </c>
      <c r="BP37" s="95" t="b">
        <v>1</v>
      </c>
      <c r="BQ37" s="95" t="b">
        <v>1</v>
      </c>
      <c r="BR37" s="95" t="b">
        <v>1</v>
      </c>
      <c r="BS37" s="95" t="b">
        <v>1</v>
      </c>
      <c r="BT37" s="95" t="b">
        <v>1</v>
      </c>
      <c r="BU37" s="95" t="b">
        <v>1</v>
      </c>
      <c r="BV37" s="95" t="b">
        <v>1</v>
      </c>
      <c r="BW37" s="95" t="b">
        <v>1</v>
      </c>
      <c r="BX37" s="95" t="b">
        <v>1</v>
      </c>
      <c r="BY37" s="95" t="b">
        <v>1</v>
      </c>
      <c r="BZ37" s="95" t="b">
        <v>1</v>
      </c>
      <c r="CA37" s="95" t="b">
        <v>1</v>
      </c>
    </row>
    <row r="38" s="95" customFormat="1" ht="118" customHeight="1" spans="1:79">
      <c r="A38" s="14"/>
      <c r="B38" s="14"/>
      <c r="C38" s="15"/>
      <c r="D38" s="15"/>
      <c r="E38" s="16"/>
      <c r="F38" s="17"/>
      <c r="G38" s="15"/>
      <c r="H38" s="16"/>
      <c r="I38" s="23" t="s">
        <v>1125</v>
      </c>
      <c r="J38" s="16" t="s">
        <v>1126</v>
      </c>
      <c r="K38" s="15"/>
      <c r="L38" s="15"/>
      <c r="M38" s="15"/>
      <c r="N38" s="15"/>
      <c r="O38" s="46" t="s">
        <v>36</v>
      </c>
      <c r="P38" s="15"/>
      <c r="Q38" s="15" t="s">
        <v>36</v>
      </c>
      <c r="R38" s="15"/>
      <c r="S38" s="15"/>
      <c r="T38" s="15" t="s">
        <v>492</v>
      </c>
      <c r="U38" s="15"/>
      <c r="V38" s="16" t="s">
        <v>1127</v>
      </c>
      <c r="W38" s="25" t="s">
        <v>713</v>
      </c>
      <c r="X38" s="15" t="s">
        <v>474</v>
      </c>
      <c r="Y38" s="15" t="s">
        <v>473</v>
      </c>
      <c r="Z38" s="15"/>
      <c r="AA38" s="15" t="s">
        <v>474</v>
      </c>
      <c r="AB38" s="15" t="s">
        <v>473</v>
      </c>
      <c r="AC38" s="15"/>
      <c r="AD38" s="15"/>
      <c r="AE38" s="30"/>
      <c r="AF38" s="30"/>
      <c r="AG38" s="30"/>
      <c r="AH38" s="15" t="s">
        <v>476</v>
      </c>
      <c r="AI38" s="15" t="s">
        <v>476</v>
      </c>
      <c r="AJ38" s="15" t="s">
        <v>699</v>
      </c>
      <c r="AK38" s="118"/>
      <c r="AL38" s="1" t="s">
        <v>1064</v>
      </c>
      <c r="AM38" s="23" t="s">
        <v>470</v>
      </c>
      <c r="AN38" s="1"/>
      <c r="AO38" s="7" t="s">
        <v>1128</v>
      </c>
      <c r="AP38" s="7" t="s">
        <v>1128</v>
      </c>
      <c r="AQ38" s="95" t="b">
        <v>1</v>
      </c>
      <c r="AR38" s="95" t="b">
        <v>1</v>
      </c>
      <c r="AS38" s="95" t="b">
        <v>1</v>
      </c>
      <c r="AT38" s="95" t="b">
        <v>1</v>
      </c>
      <c r="AU38" s="95" t="b">
        <v>1</v>
      </c>
      <c r="AV38" s="95" t="b">
        <v>1</v>
      </c>
      <c r="AW38" s="95" t="b">
        <v>1</v>
      </c>
      <c r="AX38" s="95" t="b">
        <v>1</v>
      </c>
      <c r="AY38" s="95" t="b">
        <v>1</v>
      </c>
      <c r="AZ38" s="95" t="b">
        <v>1</v>
      </c>
      <c r="BA38" s="95" t="b">
        <v>1</v>
      </c>
      <c r="BB38" s="95" t="b">
        <v>1</v>
      </c>
      <c r="BC38" s="95" t="b">
        <v>1</v>
      </c>
      <c r="BD38" s="95" t="b">
        <v>1</v>
      </c>
      <c r="BE38" s="95" t="b">
        <v>0</v>
      </c>
      <c r="BF38" s="95" t="b">
        <v>1</v>
      </c>
      <c r="BG38" s="95" t="b">
        <v>1</v>
      </c>
      <c r="BH38" s="95" t="b">
        <v>1</v>
      </c>
      <c r="BI38" s="95" t="b">
        <v>1</v>
      </c>
      <c r="BJ38" s="95" t="b">
        <v>1</v>
      </c>
      <c r="BK38" s="95" t="b">
        <v>1</v>
      </c>
      <c r="BL38" s="95" t="b">
        <v>0</v>
      </c>
      <c r="BM38" s="95" t="b">
        <v>0</v>
      </c>
      <c r="BN38" s="95" t="b">
        <v>1</v>
      </c>
      <c r="BO38" s="95" t="b">
        <v>1</v>
      </c>
      <c r="BP38" s="95" t="b">
        <v>1</v>
      </c>
      <c r="BQ38" s="95" t="b">
        <v>1</v>
      </c>
      <c r="BR38" s="95" t="b">
        <v>1</v>
      </c>
      <c r="BS38" s="95" t="b">
        <v>1</v>
      </c>
      <c r="BT38" s="95" t="b">
        <v>1</v>
      </c>
      <c r="BU38" s="95" t="b">
        <v>1</v>
      </c>
      <c r="BV38" s="95" t="b">
        <v>1</v>
      </c>
      <c r="BW38" s="95" t="b">
        <v>1</v>
      </c>
      <c r="BX38" s="95" t="b">
        <v>1</v>
      </c>
      <c r="BY38" s="95" t="b">
        <v>1</v>
      </c>
      <c r="BZ38" s="95" t="b">
        <v>1</v>
      </c>
      <c r="CA38" s="95" t="b">
        <v>1</v>
      </c>
    </row>
    <row r="39" s="95" customFormat="1" ht="101" customHeight="1" spans="1:79">
      <c r="A39" s="14"/>
      <c r="B39" s="14"/>
      <c r="C39" s="15" t="s">
        <v>485</v>
      </c>
      <c r="D39" s="15" t="s">
        <v>714</v>
      </c>
      <c r="E39" s="16" t="s">
        <v>715</v>
      </c>
      <c r="F39" s="49"/>
      <c r="G39" s="15" t="s">
        <v>1129</v>
      </c>
      <c r="H39" s="16" t="s">
        <v>717</v>
      </c>
      <c r="I39" s="23" t="s">
        <v>1130</v>
      </c>
      <c r="J39" s="16" t="s">
        <v>1131</v>
      </c>
      <c r="K39" s="15"/>
      <c r="L39" s="15" t="s">
        <v>36</v>
      </c>
      <c r="M39" s="15" t="s">
        <v>36</v>
      </c>
      <c r="N39" s="15"/>
      <c r="O39" s="15"/>
      <c r="P39" s="15"/>
      <c r="Q39" s="15"/>
      <c r="R39" s="15"/>
      <c r="S39" s="15"/>
      <c r="T39" s="15" t="s">
        <v>492</v>
      </c>
      <c r="U39" s="15"/>
      <c r="V39" s="16" t="s">
        <v>720</v>
      </c>
      <c r="W39" s="38" t="s">
        <v>721</v>
      </c>
      <c r="X39" s="23" t="s">
        <v>474</v>
      </c>
      <c r="Y39" s="23" t="s">
        <v>473</v>
      </c>
      <c r="Z39" s="50"/>
      <c r="AA39" s="50" t="s">
        <v>474</v>
      </c>
      <c r="AB39" s="50" t="s">
        <v>473</v>
      </c>
      <c r="AC39" s="51"/>
      <c r="AD39" s="50"/>
      <c r="AE39" s="50"/>
      <c r="AF39" s="50"/>
      <c r="AG39" s="51"/>
      <c r="AH39" s="15" t="s">
        <v>476</v>
      </c>
      <c r="AI39" s="15" t="s">
        <v>476</v>
      </c>
      <c r="AJ39" s="15" t="s">
        <v>722</v>
      </c>
      <c r="AK39" s="23" t="s">
        <v>599</v>
      </c>
      <c r="AL39" s="107" t="s">
        <v>1073</v>
      </c>
      <c r="AM39" s="23" t="s">
        <v>1053</v>
      </c>
      <c r="AN39" s="1"/>
      <c r="AO39" s="7" t="s">
        <v>1045</v>
      </c>
      <c r="AP39" s="7" t="s">
        <v>1045</v>
      </c>
      <c r="AQ39" s="95" t="b">
        <v>1</v>
      </c>
      <c r="AR39" s="95" t="b">
        <v>1</v>
      </c>
      <c r="AS39" s="95" t="b">
        <v>1</v>
      </c>
      <c r="AT39" s="95" t="b">
        <v>1</v>
      </c>
      <c r="AU39" s="95" t="b">
        <v>1</v>
      </c>
      <c r="AV39" s="95" t="b">
        <v>1</v>
      </c>
      <c r="AW39" s="95" t="b">
        <v>1</v>
      </c>
      <c r="AX39" s="95" t="b">
        <v>1</v>
      </c>
      <c r="AY39" s="95" t="b">
        <v>1</v>
      </c>
      <c r="AZ39" s="95" t="b">
        <v>1</v>
      </c>
      <c r="BA39" s="95" t="b">
        <v>1</v>
      </c>
      <c r="BB39" s="95" t="b">
        <v>1</v>
      </c>
      <c r="BC39" s="95" t="b">
        <v>1</v>
      </c>
      <c r="BD39" s="95" t="b">
        <v>1</v>
      </c>
      <c r="BE39" s="95" t="b">
        <v>1</v>
      </c>
      <c r="BF39" s="95" t="b">
        <v>1</v>
      </c>
      <c r="BG39" s="95" t="b">
        <v>1</v>
      </c>
      <c r="BH39" s="95" t="b">
        <v>1</v>
      </c>
      <c r="BI39" s="95" t="b">
        <v>1</v>
      </c>
      <c r="BJ39" s="95" t="b">
        <v>1</v>
      </c>
      <c r="BK39" s="95" t="b">
        <v>1</v>
      </c>
      <c r="BL39" s="95" t="b">
        <v>1</v>
      </c>
      <c r="BM39" s="95" t="b">
        <v>0</v>
      </c>
      <c r="BN39" s="95" t="b">
        <v>1</v>
      </c>
      <c r="BO39" s="95" t="b">
        <v>1</v>
      </c>
      <c r="BP39" s="95" t="b">
        <v>1</v>
      </c>
      <c r="BQ39" s="95" t="b">
        <v>1</v>
      </c>
      <c r="BR39" s="95" t="b">
        <v>1</v>
      </c>
      <c r="BS39" s="95" t="b">
        <v>1</v>
      </c>
      <c r="BT39" s="95" t="b">
        <v>1</v>
      </c>
      <c r="BU39" s="95" t="b">
        <v>1</v>
      </c>
      <c r="BV39" s="95" t="b">
        <v>1</v>
      </c>
      <c r="BW39" s="95" t="b">
        <v>1</v>
      </c>
      <c r="BX39" s="95" t="b">
        <v>1</v>
      </c>
      <c r="BY39" s="95" t="b">
        <v>1</v>
      </c>
      <c r="BZ39" s="95" t="b">
        <v>1</v>
      </c>
      <c r="CA39" s="95" t="b">
        <v>1</v>
      </c>
    </row>
    <row r="40" s="95" customFormat="1" ht="137" customHeight="1" spans="1:79">
      <c r="A40" s="14"/>
      <c r="B40" s="46" t="s">
        <v>1132</v>
      </c>
      <c r="C40" s="15"/>
      <c r="D40" s="15"/>
      <c r="E40" s="52" t="s">
        <v>1133</v>
      </c>
      <c r="F40" s="53"/>
      <c r="G40" s="46" t="s">
        <v>1134</v>
      </c>
      <c r="H40" s="52" t="s">
        <v>1135</v>
      </c>
      <c r="I40" s="54" t="s">
        <v>1136</v>
      </c>
      <c r="J40" s="52" t="s">
        <v>1137</v>
      </c>
      <c r="K40" s="46"/>
      <c r="L40" s="46"/>
      <c r="M40" s="46"/>
      <c r="N40" s="46"/>
      <c r="O40" s="46"/>
      <c r="P40" s="46"/>
      <c r="Q40" s="46"/>
      <c r="R40" s="46"/>
      <c r="S40" s="46"/>
      <c r="T40" s="46" t="s">
        <v>492</v>
      </c>
      <c r="U40" s="46"/>
      <c r="V40" s="52" t="s">
        <v>1359</v>
      </c>
      <c r="W40" s="119" t="s">
        <v>1139</v>
      </c>
      <c r="X40" s="23"/>
      <c r="Y40" s="23"/>
      <c r="Z40" s="50"/>
      <c r="AA40" s="50"/>
      <c r="AB40" s="50"/>
      <c r="AC40" s="51"/>
      <c r="AD40" s="50"/>
      <c r="AE40" s="50"/>
      <c r="AF40" s="50"/>
      <c r="AG40" s="51"/>
      <c r="AH40" s="15"/>
      <c r="AI40" s="15"/>
      <c r="AJ40" s="46" t="s">
        <v>1140</v>
      </c>
      <c r="AK40" s="54" t="s">
        <v>470</v>
      </c>
      <c r="AL40" s="1" t="s">
        <v>1064</v>
      </c>
      <c r="AM40" s="54" t="s">
        <v>1141</v>
      </c>
      <c r="AN40" s="23" t="s">
        <v>1142</v>
      </c>
      <c r="AO40" s="7" t="s">
        <v>1143</v>
      </c>
      <c r="AP40" s="7" t="s">
        <v>1144</v>
      </c>
    </row>
    <row r="41" s="95" customFormat="1" ht="78" customHeight="1" spans="1:79">
      <c r="A41" s="14" t="s">
        <v>483</v>
      </c>
      <c r="B41" s="14" t="s">
        <v>662</v>
      </c>
      <c r="C41" s="15" t="s">
        <v>485</v>
      </c>
      <c r="D41" s="15" t="s">
        <v>731</v>
      </c>
      <c r="E41" s="16" t="s">
        <v>732</v>
      </c>
      <c r="F41" s="17" t="s">
        <v>733</v>
      </c>
      <c r="G41" s="15" t="s">
        <v>1145</v>
      </c>
      <c r="H41" s="16" t="s">
        <v>735</v>
      </c>
      <c r="I41" s="23" t="s">
        <v>1146</v>
      </c>
      <c r="J41" s="31" t="s">
        <v>1331</v>
      </c>
      <c r="K41" s="15"/>
      <c r="L41" s="15" t="s">
        <v>36</v>
      </c>
      <c r="M41" s="15" t="s">
        <v>36</v>
      </c>
      <c r="N41" s="15"/>
      <c r="O41" s="15"/>
      <c r="P41" s="15"/>
      <c r="Q41" s="15"/>
      <c r="R41" s="15"/>
      <c r="S41" s="15"/>
      <c r="T41" s="15" t="s">
        <v>492</v>
      </c>
      <c r="U41" s="15"/>
      <c r="V41" s="31" t="s">
        <v>738</v>
      </c>
      <c r="W41" s="120" t="s">
        <v>739</v>
      </c>
      <c r="X41" s="15" t="s">
        <v>474</v>
      </c>
      <c r="Y41" s="15" t="s">
        <v>473</v>
      </c>
      <c r="Z41" s="30"/>
      <c r="AA41" s="15" t="s">
        <v>474</v>
      </c>
      <c r="AB41" s="15" t="s">
        <v>473</v>
      </c>
      <c r="AC41" s="30"/>
      <c r="AD41" s="15"/>
      <c r="AE41" s="30"/>
      <c r="AF41" s="30"/>
      <c r="AG41" s="30"/>
      <c r="AH41" s="15" t="s">
        <v>476</v>
      </c>
      <c r="AI41" s="15" t="s">
        <v>476</v>
      </c>
      <c r="AJ41" s="15" t="s">
        <v>740</v>
      </c>
      <c r="AK41" s="15" t="s">
        <v>599</v>
      </c>
      <c r="AL41" s="1" t="s">
        <v>1064</v>
      </c>
      <c r="AM41" s="23" t="s">
        <v>1091</v>
      </c>
      <c r="AN41" s="23" t="s">
        <v>1147</v>
      </c>
      <c r="AO41" s="7" t="s">
        <v>1148</v>
      </c>
      <c r="AP41" s="98" t="s">
        <v>1148</v>
      </c>
      <c r="AQ41" s="95" t="b">
        <v>1</v>
      </c>
      <c r="AR41" s="95" t="b">
        <v>1</v>
      </c>
      <c r="AS41" s="95" t="b">
        <v>1</v>
      </c>
      <c r="AT41" s="95" t="b">
        <v>1</v>
      </c>
      <c r="AU41" s="95" t="b">
        <v>1</v>
      </c>
      <c r="AV41" s="95" t="b">
        <v>1</v>
      </c>
      <c r="AW41" s="95" t="b">
        <v>1</v>
      </c>
      <c r="AX41" s="95" t="b">
        <v>1</v>
      </c>
      <c r="AY41" s="95" t="b">
        <v>1</v>
      </c>
      <c r="AZ41" s="95" t="b">
        <v>0</v>
      </c>
      <c r="BA41" s="95" t="b">
        <v>1</v>
      </c>
      <c r="BB41" s="95" t="b">
        <v>1</v>
      </c>
      <c r="BC41" s="95" t="b">
        <v>1</v>
      </c>
      <c r="BD41" s="95" t="b">
        <v>1</v>
      </c>
      <c r="BE41" s="95" t="b">
        <v>1</v>
      </c>
      <c r="BF41" s="95" t="b">
        <v>1</v>
      </c>
      <c r="BG41" s="95" t="b">
        <v>1</v>
      </c>
      <c r="BH41" s="95" t="b">
        <v>1</v>
      </c>
      <c r="BI41" s="95" t="b">
        <v>1</v>
      </c>
      <c r="BJ41" s="95" t="b">
        <v>1</v>
      </c>
      <c r="BK41" s="95" t="b">
        <v>1</v>
      </c>
      <c r="BL41" s="95" t="b">
        <v>0</v>
      </c>
      <c r="BM41" s="95" t="b">
        <v>0</v>
      </c>
      <c r="BN41" s="95" t="b">
        <v>1</v>
      </c>
      <c r="BO41" s="95" t="b">
        <v>1</v>
      </c>
      <c r="BP41" s="95" t="b">
        <v>1</v>
      </c>
      <c r="BQ41" s="95" t="b">
        <v>1</v>
      </c>
      <c r="BR41" s="95" t="b">
        <v>1</v>
      </c>
      <c r="BS41" s="95" t="b">
        <v>1</v>
      </c>
      <c r="BT41" s="95" t="b">
        <v>1</v>
      </c>
      <c r="BU41" s="95" t="b">
        <v>1</v>
      </c>
      <c r="BV41" s="95" t="b">
        <v>1</v>
      </c>
      <c r="BW41" s="95" t="b">
        <v>1</v>
      </c>
      <c r="BX41" s="95" t="b">
        <v>1</v>
      </c>
      <c r="BY41" s="95" t="b">
        <v>1</v>
      </c>
      <c r="BZ41" s="95" t="b">
        <v>1</v>
      </c>
      <c r="CA41" s="95" t="b">
        <v>1</v>
      </c>
    </row>
    <row r="42" s="95" customFormat="1" ht="81" customHeight="1" spans="1:79">
      <c r="A42" s="14"/>
      <c r="B42" s="14"/>
      <c r="C42" s="15"/>
      <c r="D42" s="15"/>
      <c r="E42" s="16"/>
      <c r="F42" s="17"/>
      <c r="G42" s="15"/>
      <c r="H42" s="16"/>
      <c r="I42" s="23" t="s">
        <v>1149</v>
      </c>
      <c r="J42" s="31" t="s">
        <v>1333</v>
      </c>
      <c r="K42" s="15"/>
      <c r="L42" s="15" t="s">
        <v>36</v>
      </c>
      <c r="M42" s="15" t="s">
        <v>36</v>
      </c>
      <c r="N42" s="15"/>
      <c r="O42" s="15"/>
      <c r="P42" s="15"/>
      <c r="Q42" s="15"/>
      <c r="R42" s="15"/>
      <c r="S42" s="15"/>
      <c r="T42" s="15" t="s">
        <v>492</v>
      </c>
      <c r="U42" s="15"/>
      <c r="V42" s="16" t="s">
        <v>743</v>
      </c>
      <c r="W42" s="120" t="s">
        <v>739</v>
      </c>
      <c r="X42" s="15" t="s">
        <v>474</v>
      </c>
      <c r="Y42" s="15" t="s">
        <v>473</v>
      </c>
      <c r="Z42" s="30"/>
      <c r="AA42" s="15" t="s">
        <v>474</v>
      </c>
      <c r="AB42" s="15" t="s">
        <v>473</v>
      </c>
      <c r="AC42" s="30"/>
      <c r="AD42" s="15"/>
      <c r="AE42" s="30"/>
      <c r="AF42" s="30"/>
      <c r="AG42" s="30"/>
      <c r="AH42" s="15" t="s">
        <v>476</v>
      </c>
      <c r="AI42" s="15" t="s">
        <v>476</v>
      </c>
      <c r="AJ42" s="15" t="s">
        <v>740</v>
      </c>
      <c r="AK42" s="15"/>
      <c r="AL42" s="1" t="s">
        <v>1064</v>
      </c>
      <c r="AM42" s="23" t="s">
        <v>1091</v>
      </c>
      <c r="AN42" s="1"/>
      <c r="AO42" s="7" t="s">
        <v>1045</v>
      </c>
      <c r="AP42" s="98" t="s">
        <v>1059</v>
      </c>
      <c r="AQ42" s="95" t="b">
        <v>1</v>
      </c>
      <c r="AR42" s="95" t="b">
        <v>1</v>
      </c>
      <c r="AS42" s="95" t="b">
        <v>1</v>
      </c>
      <c r="AT42" s="95" t="b">
        <v>1</v>
      </c>
      <c r="AU42" s="95" t="b">
        <v>1</v>
      </c>
      <c r="AV42" s="95" t="b">
        <v>1</v>
      </c>
      <c r="AW42" s="95" t="b">
        <v>1</v>
      </c>
      <c r="AX42" s="95" t="b">
        <v>1</v>
      </c>
      <c r="AY42" s="95" t="b">
        <v>1</v>
      </c>
      <c r="AZ42" s="95" t="b">
        <v>0</v>
      </c>
      <c r="BA42" s="95" t="b">
        <v>1</v>
      </c>
      <c r="BB42" s="95" t="b">
        <v>1</v>
      </c>
      <c r="BC42" s="95" t="b">
        <v>1</v>
      </c>
      <c r="BD42" s="95" t="b">
        <v>1</v>
      </c>
      <c r="BE42" s="95" t="b">
        <v>1</v>
      </c>
      <c r="BF42" s="95" t="b">
        <v>1</v>
      </c>
      <c r="BG42" s="95" t="b">
        <v>1</v>
      </c>
      <c r="BH42" s="95" t="b">
        <v>1</v>
      </c>
      <c r="BI42" s="95" t="b">
        <v>1</v>
      </c>
      <c r="BJ42" s="95" t="b">
        <v>1</v>
      </c>
      <c r="BK42" s="95" t="b">
        <v>1</v>
      </c>
      <c r="BL42" s="95" t="b">
        <v>1</v>
      </c>
      <c r="BM42" s="95" t="b">
        <v>0</v>
      </c>
      <c r="BN42" s="95" t="b">
        <v>1</v>
      </c>
      <c r="BO42" s="95" t="b">
        <v>1</v>
      </c>
      <c r="BP42" s="95" t="b">
        <v>1</v>
      </c>
      <c r="BQ42" s="95" t="b">
        <v>1</v>
      </c>
      <c r="BR42" s="95" t="b">
        <v>1</v>
      </c>
      <c r="BS42" s="95" t="b">
        <v>1</v>
      </c>
      <c r="BT42" s="95" t="b">
        <v>1</v>
      </c>
      <c r="BU42" s="95" t="b">
        <v>1</v>
      </c>
      <c r="BV42" s="95" t="b">
        <v>1</v>
      </c>
      <c r="BW42" s="95" t="b">
        <v>1</v>
      </c>
      <c r="BX42" s="95" t="b">
        <v>1</v>
      </c>
      <c r="BY42" s="95" t="b">
        <v>1</v>
      </c>
      <c r="BZ42" s="95" t="b">
        <v>1</v>
      </c>
      <c r="CA42" s="95" t="b">
        <v>1</v>
      </c>
    </row>
    <row r="43" s="95" customFormat="1" ht="78" customHeight="1" spans="1:79">
      <c r="A43" s="14"/>
      <c r="B43" s="14"/>
      <c r="C43" s="15"/>
      <c r="D43" s="15"/>
      <c r="E43" s="16"/>
      <c r="F43" s="17"/>
      <c r="G43" s="15"/>
      <c r="H43" s="16"/>
      <c r="I43" s="23" t="s">
        <v>1150</v>
      </c>
      <c r="J43" s="31" t="s">
        <v>1335</v>
      </c>
      <c r="K43" s="15"/>
      <c r="L43" s="15" t="s">
        <v>36</v>
      </c>
      <c r="M43" s="15" t="s">
        <v>36</v>
      </c>
      <c r="N43" s="15"/>
      <c r="O43" s="15"/>
      <c r="P43" s="15"/>
      <c r="Q43" s="15"/>
      <c r="R43" s="15"/>
      <c r="S43" s="15"/>
      <c r="T43" s="15" t="s">
        <v>465</v>
      </c>
      <c r="U43" s="15" t="s">
        <v>602</v>
      </c>
      <c r="V43" s="16" t="s">
        <v>743</v>
      </c>
      <c r="W43" s="120" t="s">
        <v>739</v>
      </c>
      <c r="X43" s="15" t="s">
        <v>474</v>
      </c>
      <c r="Y43" s="15" t="s">
        <v>473</v>
      </c>
      <c r="Z43" s="30"/>
      <c r="AA43" s="15" t="s">
        <v>474</v>
      </c>
      <c r="AB43" s="15" t="s">
        <v>473</v>
      </c>
      <c r="AC43" s="30"/>
      <c r="AD43" s="15"/>
      <c r="AE43" s="30"/>
      <c r="AF43" s="30"/>
      <c r="AG43" s="30"/>
      <c r="AH43" s="15" t="s">
        <v>476</v>
      </c>
      <c r="AI43" s="15" t="s">
        <v>476</v>
      </c>
      <c r="AJ43" s="15" t="s">
        <v>746</v>
      </c>
      <c r="AK43" s="15"/>
      <c r="AL43" s="1" t="s">
        <v>1064</v>
      </c>
      <c r="AM43" s="23" t="s">
        <v>1075</v>
      </c>
      <c r="AN43" s="1"/>
      <c r="AO43" s="7" t="s">
        <v>1152</v>
      </c>
      <c r="AP43" s="98" t="s">
        <v>1152</v>
      </c>
      <c r="AQ43" s="95" t="b">
        <v>1</v>
      </c>
      <c r="AR43" s="95" t="b">
        <v>1</v>
      </c>
      <c r="AS43" s="95" t="b">
        <v>1</v>
      </c>
      <c r="AT43" s="95" t="b">
        <v>1</v>
      </c>
      <c r="AU43" s="95" t="b">
        <v>1</v>
      </c>
      <c r="AV43" s="95" t="b">
        <v>1</v>
      </c>
      <c r="AW43" s="95" t="b">
        <v>1</v>
      </c>
      <c r="AX43" s="95" t="b">
        <v>1</v>
      </c>
      <c r="AY43" s="95" t="b">
        <v>1</v>
      </c>
      <c r="AZ43" s="95" t="b">
        <v>0</v>
      </c>
      <c r="BA43" s="95" t="b">
        <v>1</v>
      </c>
      <c r="BB43" s="95" t="b">
        <v>1</v>
      </c>
      <c r="BC43" s="95" t="b">
        <v>1</v>
      </c>
      <c r="BD43" s="95" t="b">
        <v>1</v>
      </c>
      <c r="BE43" s="95" t="b">
        <v>1</v>
      </c>
      <c r="BF43" s="95" t="b">
        <v>1</v>
      </c>
      <c r="BG43" s="95" t="b">
        <v>1</v>
      </c>
      <c r="BH43" s="95" t="b">
        <v>1</v>
      </c>
      <c r="BI43" s="95" t="b">
        <v>1</v>
      </c>
      <c r="BJ43" s="95" t="b">
        <v>1</v>
      </c>
      <c r="BK43" s="95" t="b">
        <v>1</v>
      </c>
      <c r="BL43" s="95" t="b">
        <v>1</v>
      </c>
      <c r="BM43" s="95" t="b">
        <v>0</v>
      </c>
      <c r="BN43" s="95" t="b">
        <v>1</v>
      </c>
      <c r="BO43" s="95" t="b">
        <v>1</v>
      </c>
      <c r="BP43" s="95" t="b">
        <v>1</v>
      </c>
      <c r="BQ43" s="95" t="b">
        <v>1</v>
      </c>
      <c r="BR43" s="95" t="b">
        <v>1</v>
      </c>
      <c r="BS43" s="95" t="b">
        <v>1</v>
      </c>
      <c r="BT43" s="95" t="b">
        <v>1</v>
      </c>
      <c r="BU43" s="95" t="b">
        <v>1</v>
      </c>
      <c r="BV43" s="95" t="b">
        <v>1</v>
      </c>
      <c r="BW43" s="95" t="b">
        <v>1</v>
      </c>
      <c r="BX43" s="95" t="b">
        <v>1</v>
      </c>
      <c r="BY43" s="95" t="b">
        <v>1</v>
      </c>
      <c r="BZ43" s="95" t="b">
        <v>0</v>
      </c>
      <c r="CA43" s="95" t="b">
        <v>1</v>
      </c>
    </row>
    <row r="44" s="95" customFormat="1" ht="80" customHeight="1" spans="1:79">
      <c r="A44" s="14"/>
      <c r="B44" s="14"/>
      <c r="C44" s="15"/>
      <c r="D44" s="15"/>
      <c r="E44" s="16"/>
      <c r="F44" s="17"/>
      <c r="G44" s="15"/>
      <c r="H44" s="16"/>
      <c r="I44" s="23" t="s">
        <v>1153</v>
      </c>
      <c r="J44" s="16" t="s">
        <v>1360</v>
      </c>
      <c r="K44" s="15"/>
      <c r="L44" s="15" t="s">
        <v>36</v>
      </c>
      <c r="M44" s="15" t="s">
        <v>36</v>
      </c>
      <c r="N44" s="15"/>
      <c r="O44" s="15"/>
      <c r="P44" s="15"/>
      <c r="Q44" s="15"/>
      <c r="R44" s="15"/>
      <c r="S44" s="15" t="s">
        <v>36</v>
      </c>
      <c r="T44" s="15" t="s">
        <v>492</v>
      </c>
      <c r="U44" s="15"/>
      <c r="V44" s="16" t="s">
        <v>743</v>
      </c>
      <c r="W44" s="120" t="s">
        <v>749</v>
      </c>
      <c r="X44" s="15" t="s">
        <v>474</v>
      </c>
      <c r="Y44" s="15" t="s">
        <v>473</v>
      </c>
      <c r="Z44" s="30"/>
      <c r="AA44" s="15" t="s">
        <v>474</v>
      </c>
      <c r="AB44" s="15" t="s">
        <v>473</v>
      </c>
      <c r="AC44" s="30"/>
      <c r="AD44" s="15"/>
      <c r="AE44" s="30"/>
      <c r="AF44" s="30"/>
      <c r="AG44" s="30"/>
      <c r="AH44" s="15" t="s">
        <v>476</v>
      </c>
      <c r="AI44" s="15" t="s">
        <v>476</v>
      </c>
      <c r="AJ44" s="15" t="s">
        <v>740</v>
      </c>
      <c r="AK44" s="15"/>
      <c r="AL44" s="1" t="s">
        <v>1064</v>
      </c>
      <c r="AM44" s="23" t="s">
        <v>1075</v>
      </c>
      <c r="AN44" s="54" t="s">
        <v>1155</v>
      </c>
      <c r="AO44" s="7" t="s">
        <v>1045</v>
      </c>
      <c r="AP44" s="98" t="s">
        <v>1045</v>
      </c>
      <c r="AQ44" s="95" t="b">
        <v>1</v>
      </c>
      <c r="AR44" s="95" t="b">
        <v>1</v>
      </c>
      <c r="AS44" s="95" t="b">
        <v>1</v>
      </c>
      <c r="AT44" s="95" t="b">
        <v>1</v>
      </c>
      <c r="AU44" s="95" t="b">
        <v>1</v>
      </c>
      <c r="AV44" s="95" t="b">
        <v>1</v>
      </c>
      <c r="AW44" s="95" t="b">
        <v>1</v>
      </c>
      <c r="AX44" s="95" t="b">
        <v>1</v>
      </c>
      <c r="AY44" s="95" t="b">
        <v>1</v>
      </c>
      <c r="AZ44" s="95" t="b">
        <v>1</v>
      </c>
      <c r="BA44" s="95" t="b">
        <v>1</v>
      </c>
      <c r="BB44" s="95" t="b">
        <v>1</v>
      </c>
      <c r="BC44" s="95" t="b">
        <v>1</v>
      </c>
      <c r="BD44" s="95" t="b">
        <v>1</v>
      </c>
      <c r="BE44" s="95" t="b">
        <v>1</v>
      </c>
      <c r="BF44" s="95" t="b">
        <v>1</v>
      </c>
      <c r="BG44" s="95" t="b">
        <v>1</v>
      </c>
      <c r="BH44" s="95" t="b">
        <v>1</v>
      </c>
      <c r="BI44" s="95" t="b">
        <v>1</v>
      </c>
      <c r="BJ44" s="95" t="b">
        <v>1</v>
      </c>
      <c r="BK44" s="95" t="b">
        <v>1</v>
      </c>
      <c r="BL44" s="95" t="b">
        <v>1</v>
      </c>
      <c r="BM44" s="95" t="b">
        <v>0</v>
      </c>
      <c r="BN44" s="95" t="b">
        <v>1</v>
      </c>
      <c r="BO44" s="95" t="b">
        <v>1</v>
      </c>
      <c r="BP44" s="95" t="b">
        <v>1</v>
      </c>
      <c r="BQ44" s="95" t="b">
        <v>1</v>
      </c>
      <c r="BR44" s="95" t="b">
        <v>1</v>
      </c>
      <c r="BS44" s="95" t="b">
        <v>1</v>
      </c>
      <c r="BT44" s="95" t="b">
        <v>1</v>
      </c>
      <c r="BU44" s="95" t="b">
        <v>1</v>
      </c>
      <c r="BV44" s="95" t="b">
        <v>1</v>
      </c>
      <c r="BW44" s="95" t="b">
        <v>1</v>
      </c>
      <c r="BX44" s="95" t="b">
        <v>1</v>
      </c>
      <c r="BY44" s="95" t="b">
        <v>1</v>
      </c>
      <c r="BZ44" s="95" t="b">
        <v>1</v>
      </c>
      <c r="CA44" s="95" t="b">
        <v>1</v>
      </c>
    </row>
    <row r="45" s="95" customFormat="1" ht="80" customHeight="1" spans="1:79">
      <c r="A45" s="14"/>
      <c r="B45" s="14"/>
      <c r="C45" s="46" t="str">
        <f t="shared" ref="C45:H45" si="0">C41</f>
        <v>资金资产安全</v>
      </c>
      <c r="D45" s="46" t="str">
        <f t="shared" si="0"/>
        <v>项目设计变更与审批</v>
      </c>
      <c r="E45" s="46" t="str">
        <f t="shared" si="0"/>
        <v>违规肢解、拆分设计变更，或虚假设计变更、现场签证等，导致工程量不实，施工费结算出现偏差，造成成本增加损失。</v>
      </c>
      <c r="F45" s="46" t="str">
        <f t="shared" si="0"/>
        <v>25.结算不准确，多结算工程款：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
29.工程变更管理不规范：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v>
      </c>
      <c r="G45" s="46" t="str">
        <f t="shared" si="0"/>
        <v>13.设计变更与现场签证真实性审核控制</v>
      </c>
      <c r="H45" s="46" t="str">
        <f t="shared" si="0"/>
        <v>设计变更、现场签证与现场工程量一致。</v>
      </c>
      <c r="I45" s="54" t="s">
        <v>1361</v>
      </c>
      <c r="J45" s="52" t="s">
        <v>1362</v>
      </c>
      <c r="K45" s="74"/>
      <c r="L45" s="74"/>
      <c r="M45" s="74"/>
      <c r="N45" s="74"/>
      <c r="O45" s="74"/>
      <c r="P45" s="74"/>
      <c r="Q45" s="74"/>
      <c r="R45" s="74"/>
      <c r="S45" s="74"/>
      <c r="T45" s="46" t="s">
        <v>492</v>
      </c>
      <c r="U45" s="75"/>
      <c r="V45" s="52" t="s">
        <v>1363</v>
      </c>
      <c r="W45" s="46" t="s">
        <v>1364</v>
      </c>
      <c r="X45" s="46" t="s">
        <v>474</v>
      </c>
      <c r="Y45" s="46" t="s">
        <v>473</v>
      </c>
      <c r="Z45" s="70"/>
      <c r="AA45" s="46" t="s">
        <v>474</v>
      </c>
      <c r="AB45" s="46" t="s">
        <v>473</v>
      </c>
      <c r="AC45" s="70"/>
      <c r="AD45" s="46" t="s">
        <v>792</v>
      </c>
      <c r="AE45" s="46" t="s">
        <v>511</v>
      </c>
      <c r="AF45" s="46"/>
      <c r="AG45" s="70"/>
      <c r="AH45" s="46" t="s">
        <v>476</v>
      </c>
      <c r="AI45" s="46" t="s">
        <v>476</v>
      </c>
      <c r="AJ45" s="46" t="s">
        <v>1365</v>
      </c>
      <c r="AK45" s="46" t="s">
        <v>470</v>
      </c>
      <c r="AL45" s="46" t="s">
        <v>1366</v>
      </c>
      <c r="AM45" s="46" t="s">
        <v>1141</v>
      </c>
      <c r="AN45" s="54" t="s">
        <v>1367</v>
      </c>
      <c r="AO45" s="89"/>
      <c r="AP45" s="121" t="s">
        <v>1368</v>
      </c>
    </row>
    <row r="46" s="95" customFormat="1" ht="73" customHeight="1" spans="1:79">
      <c r="A46" s="14"/>
      <c r="B46" s="14"/>
      <c r="C46" s="15" t="s">
        <v>485</v>
      </c>
      <c r="D46" s="15" t="s">
        <v>750</v>
      </c>
      <c r="E46" s="16" t="s">
        <v>751</v>
      </c>
      <c r="F46" s="17" t="s">
        <v>752</v>
      </c>
      <c r="G46" s="15" t="s">
        <v>1156</v>
      </c>
      <c r="H46" s="16" t="s">
        <v>754</v>
      </c>
      <c r="I46" s="23" t="s">
        <v>1157</v>
      </c>
      <c r="J46" s="16" t="s">
        <v>1158</v>
      </c>
      <c r="K46" s="15"/>
      <c r="L46" s="15"/>
      <c r="M46" s="15" t="s">
        <v>36</v>
      </c>
      <c r="N46" s="15"/>
      <c r="O46" s="15" t="s">
        <v>36</v>
      </c>
      <c r="P46" s="15"/>
      <c r="Q46" s="15"/>
      <c r="R46" s="15" t="s">
        <v>36</v>
      </c>
      <c r="S46" s="15"/>
      <c r="T46" s="15" t="s">
        <v>465</v>
      </c>
      <c r="U46" s="15" t="s">
        <v>757</v>
      </c>
      <c r="V46" s="16" t="s">
        <v>758</v>
      </c>
      <c r="W46" s="35" t="s">
        <v>1159</v>
      </c>
      <c r="X46" s="15" t="s">
        <v>474</v>
      </c>
      <c r="Y46" s="15" t="s">
        <v>473</v>
      </c>
      <c r="Z46" s="15"/>
      <c r="AA46" s="15" t="s">
        <v>474</v>
      </c>
      <c r="AB46" s="15" t="s">
        <v>473</v>
      </c>
      <c r="AC46" s="15"/>
      <c r="AD46" s="15" t="s">
        <v>760</v>
      </c>
      <c r="AE46" s="15" t="s">
        <v>511</v>
      </c>
      <c r="AF46" s="15"/>
      <c r="AG46" s="30"/>
      <c r="AH46" s="15" t="s">
        <v>476</v>
      </c>
      <c r="AI46" s="15" t="s">
        <v>476</v>
      </c>
      <c r="AJ46" s="15" t="s">
        <v>761</v>
      </c>
      <c r="AK46" s="15" t="s">
        <v>762</v>
      </c>
      <c r="AL46" s="45" t="s">
        <v>1160</v>
      </c>
      <c r="AM46" s="23" t="s">
        <v>1161</v>
      </c>
      <c r="AN46" s="1"/>
      <c r="AO46" s="7" t="s">
        <v>1059</v>
      </c>
      <c r="AP46" s="7" t="s">
        <v>1059</v>
      </c>
      <c r="AQ46" s="95" t="b">
        <v>1</v>
      </c>
      <c r="AR46" s="95" t="b">
        <v>1</v>
      </c>
      <c r="AS46" s="95" t="b">
        <v>1</v>
      </c>
      <c r="AT46" s="95" t="b">
        <v>1</v>
      </c>
      <c r="AU46" s="95" t="b">
        <v>1</v>
      </c>
      <c r="AV46" s="95" t="b">
        <v>1</v>
      </c>
      <c r="AW46" s="95" t="b">
        <v>1</v>
      </c>
      <c r="AX46" s="95" t="b">
        <v>1</v>
      </c>
      <c r="AY46" s="95" t="b">
        <v>1</v>
      </c>
      <c r="AZ46" s="95" t="b">
        <v>0</v>
      </c>
      <c r="BA46" s="95" t="b">
        <v>1</v>
      </c>
      <c r="BB46" s="95" t="b">
        <v>1</v>
      </c>
      <c r="BC46" s="95" t="b">
        <v>1</v>
      </c>
      <c r="BD46" s="95" t="b">
        <v>1</v>
      </c>
      <c r="BE46" s="95" t="b">
        <v>1</v>
      </c>
      <c r="BF46" s="95" t="b">
        <v>1</v>
      </c>
      <c r="BG46" s="95" t="b">
        <v>1</v>
      </c>
      <c r="BH46" s="95" t="b">
        <v>1</v>
      </c>
      <c r="BI46" s="95" t="b">
        <v>1</v>
      </c>
      <c r="BJ46" s="95" t="b">
        <v>1</v>
      </c>
      <c r="BK46" s="95" t="b">
        <v>1</v>
      </c>
      <c r="BL46" s="95" t="b">
        <v>1</v>
      </c>
      <c r="BM46" s="95" t="b">
        <v>0</v>
      </c>
      <c r="BN46" s="95" t="b">
        <v>1</v>
      </c>
      <c r="BO46" s="95" t="b">
        <v>1</v>
      </c>
      <c r="BP46" s="95" t="b">
        <v>1</v>
      </c>
      <c r="BQ46" s="95" t="b">
        <v>1</v>
      </c>
      <c r="BR46" s="95" t="b">
        <v>1</v>
      </c>
      <c r="BS46" s="95" t="b">
        <v>1</v>
      </c>
      <c r="BT46" s="95" t="b">
        <v>1</v>
      </c>
      <c r="BU46" s="95" t="b">
        <v>1</v>
      </c>
      <c r="BV46" s="95" t="b">
        <v>1</v>
      </c>
      <c r="BW46" s="95" t="b">
        <v>1</v>
      </c>
      <c r="BX46" s="95" t="b">
        <v>1</v>
      </c>
      <c r="BY46" s="95" t="b">
        <v>1</v>
      </c>
      <c r="BZ46" s="95" t="b">
        <v>1</v>
      </c>
      <c r="CA46" s="95" t="b">
        <v>1</v>
      </c>
    </row>
    <row r="47" s="95" customFormat="1" ht="82" customHeight="1" spans="1:79">
      <c r="A47" s="14"/>
      <c r="B47" s="14"/>
      <c r="C47" s="15"/>
      <c r="D47" s="15"/>
      <c r="E47" s="16"/>
      <c r="F47" s="17"/>
      <c r="G47" s="15"/>
      <c r="H47" s="16"/>
      <c r="I47" s="23" t="s">
        <v>1162</v>
      </c>
      <c r="J47" s="102" t="s">
        <v>1163</v>
      </c>
      <c r="K47" s="15"/>
      <c r="L47" s="15"/>
      <c r="M47" s="15"/>
      <c r="N47" s="15"/>
      <c r="O47" s="15"/>
      <c r="P47" s="15"/>
      <c r="Q47" s="15"/>
      <c r="R47" s="15" t="s">
        <v>36</v>
      </c>
      <c r="S47" s="15"/>
      <c r="T47" s="15" t="s">
        <v>492</v>
      </c>
      <c r="U47" s="15"/>
      <c r="V47" s="16" t="s">
        <v>765</v>
      </c>
      <c r="W47" s="35" t="s">
        <v>1164</v>
      </c>
      <c r="X47" s="15" t="s">
        <v>474</v>
      </c>
      <c r="Y47" s="15" t="s">
        <v>473</v>
      </c>
      <c r="Z47" s="15"/>
      <c r="AA47" s="15" t="s">
        <v>474</v>
      </c>
      <c r="AB47" s="15" t="s">
        <v>473</v>
      </c>
      <c r="AC47" s="15"/>
      <c r="AD47" s="15"/>
      <c r="AE47" s="15"/>
      <c r="AF47" s="15"/>
      <c r="AG47" s="30"/>
      <c r="AH47" s="15" t="s">
        <v>476</v>
      </c>
      <c r="AI47" s="15" t="s">
        <v>476</v>
      </c>
      <c r="AJ47" s="15" t="s">
        <v>767</v>
      </c>
      <c r="AK47" s="15" t="s">
        <v>599</v>
      </c>
      <c r="AL47" s="47"/>
      <c r="AM47" s="23" t="s">
        <v>1161</v>
      </c>
      <c r="AN47" s="1"/>
      <c r="AO47" s="7" t="s">
        <v>1059</v>
      </c>
      <c r="AP47" s="7" t="s">
        <v>1059</v>
      </c>
      <c r="AQ47" s="95" t="b">
        <v>1</v>
      </c>
      <c r="AR47" s="95" t="b">
        <v>1</v>
      </c>
      <c r="AS47" s="95" t="b">
        <v>1</v>
      </c>
      <c r="AT47" s="95" t="b">
        <v>1</v>
      </c>
      <c r="AU47" s="95" t="b">
        <v>1</v>
      </c>
      <c r="AV47" s="95" t="b">
        <v>1</v>
      </c>
      <c r="AW47" s="95" t="b">
        <v>1</v>
      </c>
      <c r="AX47" s="95" t="b">
        <v>1</v>
      </c>
      <c r="AY47" s="95" t="b">
        <v>1</v>
      </c>
      <c r="AZ47" s="95" t="b">
        <v>1</v>
      </c>
      <c r="BA47" s="95" t="b">
        <v>1</v>
      </c>
      <c r="BB47" s="95" t="b">
        <v>1</v>
      </c>
      <c r="BC47" s="95" t="b">
        <v>1</v>
      </c>
      <c r="BD47" s="95" t="b">
        <v>1</v>
      </c>
      <c r="BE47" s="95" t="b">
        <v>1</v>
      </c>
      <c r="BF47" s="95" t="b">
        <v>1</v>
      </c>
      <c r="BG47" s="95" t="b">
        <v>1</v>
      </c>
      <c r="BH47" s="95" t="b">
        <v>1</v>
      </c>
      <c r="BI47" s="95" t="b">
        <v>1</v>
      </c>
      <c r="BJ47" s="95" t="b">
        <v>1</v>
      </c>
      <c r="BK47" s="95" t="b">
        <v>1</v>
      </c>
      <c r="BL47" s="95" t="b">
        <v>1</v>
      </c>
      <c r="BM47" s="95" t="b">
        <v>0</v>
      </c>
      <c r="BN47" s="95" t="b">
        <v>1</v>
      </c>
      <c r="BO47" s="95" t="b">
        <v>1</v>
      </c>
      <c r="BP47" s="95" t="b">
        <v>1</v>
      </c>
      <c r="BQ47" s="95" t="b">
        <v>1</v>
      </c>
      <c r="BR47" s="95" t="b">
        <v>1</v>
      </c>
      <c r="BS47" s="95" t="b">
        <v>1</v>
      </c>
      <c r="BT47" s="95" t="b">
        <v>1</v>
      </c>
      <c r="BU47" s="95" t="b">
        <v>1</v>
      </c>
      <c r="BV47" s="95" t="b">
        <v>1</v>
      </c>
      <c r="BW47" s="95" t="b">
        <v>1</v>
      </c>
      <c r="BX47" s="95" t="b">
        <v>1</v>
      </c>
      <c r="BY47" s="95" t="b">
        <v>1</v>
      </c>
      <c r="BZ47" s="95" t="b">
        <v>1</v>
      </c>
      <c r="CA47" s="95" t="b">
        <v>1</v>
      </c>
    </row>
    <row r="48" s="95" customFormat="1" ht="71" customHeight="1" spans="1:79">
      <c r="A48" s="14"/>
      <c r="B48" s="14"/>
      <c r="C48" s="15"/>
      <c r="D48" s="15"/>
      <c r="E48" s="16"/>
      <c r="F48" s="17"/>
      <c r="G48" s="15"/>
      <c r="H48" s="16"/>
      <c r="I48" s="23" t="s">
        <v>1165</v>
      </c>
      <c r="J48" s="102" t="s">
        <v>1166</v>
      </c>
      <c r="K48" s="15" t="s">
        <v>36</v>
      </c>
      <c r="L48" s="15"/>
      <c r="M48" s="15"/>
      <c r="N48" s="15"/>
      <c r="O48" s="15"/>
      <c r="P48" s="15"/>
      <c r="Q48" s="15"/>
      <c r="R48" s="15" t="s">
        <v>36</v>
      </c>
      <c r="S48" s="15"/>
      <c r="T48" s="15" t="s">
        <v>492</v>
      </c>
      <c r="U48" s="15"/>
      <c r="V48" s="16" t="s">
        <v>765</v>
      </c>
      <c r="W48" s="35" t="s">
        <v>1164</v>
      </c>
      <c r="X48" s="15" t="s">
        <v>474</v>
      </c>
      <c r="Y48" s="15" t="s">
        <v>473</v>
      </c>
      <c r="Z48" s="15"/>
      <c r="AA48" s="15" t="s">
        <v>474</v>
      </c>
      <c r="AB48" s="15" t="s">
        <v>473</v>
      </c>
      <c r="AC48" s="15"/>
      <c r="AD48" s="15"/>
      <c r="AE48" s="15"/>
      <c r="AF48" s="15"/>
      <c r="AG48" s="30"/>
      <c r="AH48" s="15" t="s">
        <v>476</v>
      </c>
      <c r="AI48" s="15" t="s">
        <v>476</v>
      </c>
      <c r="AJ48" s="15" t="s">
        <v>767</v>
      </c>
      <c r="AK48" s="15"/>
      <c r="AL48" s="47"/>
      <c r="AM48" s="23" t="s">
        <v>1161</v>
      </c>
      <c r="AN48" s="1"/>
      <c r="AO48" s="7" t="s">
        <v>1059</v>
      </c>
      <c r="AP48" s="7" t="s">
        <v>1059</v>
      </c>
      <c r="AQ48" s="95" t="b">
        <v>1</v>
      </c>
      <c r="AR48" s="95" t="b">
        <v>1</v>
      </c>
      <c r="AS48" s="95" t="b">
        <v>1</v>
      </c>
      <c r="AT48" s="95" t="b">
        <v>1</v>
      </c>
      <c r="AU48" s="95" t="b">
        <v>1</v>
      </c>
      <c r="AV48" s="95" t="b">
        <v>1</v>
      </c>
      <c r="AW48" s="95" t="b">
        <v>1</v>
      </c>
      <c r="AX48" s="95" t="b">
        <v>1</v>
      </c>
      <c r="AY48" s="95" t="b">
        <v>1</v>
      </c>
      <c r="AZ48" s="95" t="b">
        <v>1</v>
      </c>
      <c r="BA48" s="95" t="b">
        <v>1</v>
      </c>
      <c r="BB48" s="95" t="b">
        <v>1</v>
      </c>
      <c r="BC48" s="95" t="b">
        <v>1</v>
      </c>
      <c r="BD48" s="95" t="b">
        <v>1</v>
      </c>
      <c r="BE48" s="95" t="b">
        <v>1</v>
      </c>
      <c r="BF48" s="95" t="b">
        <v>1</v>
      </c>
      <c r="BG48" s="95" t="b">
        <v>1</v>
      </c>
      <c r="BH48" s="95" t="b">
        <v>1</v>
      </c>
      <c r="BI48" s="95" t="b">
        <v>1</v>
      </c>
      <c r="BJ48" s="95" t="b">
        <v>1</v>
      </c>
      <c r="BK48" s="95" t="b">
        <v>1</v>
      </c>
      <c r="BL48" s="95" t="b">
        <v>1</v>
      </c>
      <c r="BM48" s="95" t="b">
        <v>0</v>
      </c>
      <c r="BN48" s="95" t="b">
        <v>1</v>
      </c>
      <c r="BO48" s="95" t="b">
        <v>1</v>
      </c>
      <c r="BP48" s="95" t="b">
        <v>1</v>
      </c>
      <c r="BQ48" s="95" t="b">
        <v>1</v>
      </c>
      <c r="BR48" s="95" t="b">
        <v>1</v>
      </c>
      <c r="BS48" s="95" t="b">
        <v>1</v>
      </c>
      <c r="BT48" s="95" t="b">
        <v>1</v>
      </c>
      <c r="BU48" s="95" t="b">
        <v>1</v>
      </c>
      <c r="BV48" s="95" t="b">
        <v>1</v>
      </c>
      <c r="BW48" s="95" t="b">
        <v>1</v>
      </c>
      <c r="BX48" s="95" t="b">
        <v>1</v>
      </c>
      <c r="BY48" s="95" t="b">
        <v>1</v>
      </c>
      <c r="BZ48" s="95" t="b">
        <v>1</v>
      </c>
      <c r="CA48" s="95" t="b">
        <v>1</v>
      </c>
    </row>
    <row r="49" s="95" customFormat="1" ht="90" customHeight="1" spans="1:79">
      <c r="A49" s="63" t="s">
        <v>483</v>
      </c>
      <c r="B49" s="64" t="s">
        <v>662</v>
      </c>
      <c r="C49" s="15" t="s">
        <v>485</v>
      </c>
      <c r="D49" s="15" t="s">
        <v>770</v>
      </c>
      <c r="E49" s="16" t="s">
        <v>771</v>
      </c>
      <c r="F49" s="24"/>
      <c r="G49" s="15" t="s">
        <v>1167</v>
      </c>
      <c r="H49" s="16" t="s">
        <v>773</v>
      </c>
      <c r="I49" s="23" t="s">
        <v>1168</v>
      </c>
      <c r="J49" s="16" t="s">
        <v>1169</v>
      </c>
      <c r="K49" s="15"/>
      <c r="L49" s="15"/>
      <c r="M49" s="15" t="s">
        <v>36</v>
      </c>
      <c r="N49" s="15"/>
      <c r="O49" s="15"/>
      <c r="P49" s="15"/>
      <c r="Q49" s="15" t="s">
        <v>36</v>
      </c>
      <c r="R49" s="15" t="s">
        <v>36</v>
      </c>
      <c r="S49" s="15"/>
      <c r="T49" s="15" t="s">
        <v>492</v>
      </c>
      <c r="U49" s="15"/>
      <c r="V49" s="16" t="s">
        <v>776</v>
      </c>
      <c r="W49" s="35" t="s">
        <v>1170</v>
      </c>
      <c r="X49" s="15" t="s">
        <v>474</v>
      </c>
      <c r="Y49" s="15" t="s">
        <v>473</v>
      </c>
      <c r="Z49" s="15"/>
      <c r="AA49" s="15" t="s">
        <v>474</v>
      </c>
      <c r="AB49" s="15" t="s">
        <v>473</v>
      </c>
      <c r="AC49" s="15"/>
      <c r="AD49" s="15"/>
      <c r="AE49" s="30"/>
      <c r="AF49" s="30"/>
      <c r="AG49" s="30"/>
      <c r="AH49" s="15" t="s">
        <v>476</v>
      </c>
      <c r="AI49" s="15" t="s">
        <v>476</v>
      </c>
      <c r="AJ49" s="15" t="s">
        <v>778</v>
      </c>
      <c r="AK49" s="15" t="s">
        <v>532</v>
      </c>
      <c r="AL49" s="48"/>
      <c r="AM49" s="23" t="s">
        <v>1161</v>
      </c>
      <c r="AN49" s="1"/>
      <c r="AO49" s="7" t="s">
        <v>1045</v>
      </c>
      <c r="AP49" s="7" t="s">
        <v>1045</v>
      </c>
      <c r="AQ49" s="95" t="b">
        <v>1</v>
      </c>
      <c r="AR49" s="95" t="b">
        <v>1</v>
      </c>
      <c r="AS49" s="95" t="b">
        <v>1</v>
      </c>
      <c r="AT49" s="95" t="b">
        <v>1</v>
      </c>
      <c r="AU49" s="95" t="b">
        <v>1</v>
      </c>
      <c r="AV49" s="95" t="b">
        <v>1</v>
      </c>
      <c r="AW49" s="95" t="b">
        <v>1</v>
      </c>
      <c r="AX49" s="95" t="b">
        <v>1</v>
      </c>
      <c r="AY49" s="95" t="b">
        <v>1</v>
      </c>
      <c r="AZ49" s="95" t="b">
        <v>1</v>
      </c>
      <c r="BA49" s="95" t="b">
        <v>1</v>
      </c>
      <c r="BB49" s="95" t="b">
        <v>1</v>
      </c>
      <c r="BC49" s="95" t="b">
        <v>1</v>
      </c>
      <c r="BD49" s="95" t="b">
        <v>1</v>
      </c>
      <c r="BE49" s="95" t="b">
        <v>1</v>
      </c>
      <c r="BF49" s="95" t="b">
        <v>1</v>
      </c>
      <c r="BG49" s="95" t="b">
        <v>1</v>
      </c>
      <c r="BH49" s="95" t="b">
        <v>1</v>
      </c>
      <c r="BI49" s="95" t="b">
        <v>1</v>
      </c>
      <c r="BJ49" s="95" t="b">
        <v>1</v>
      </c>
      <c r="BK49" s="95" t="b">
        <v>1</v>
      </c>
      <c r="BL49" s="95" t="b">
        <v>1</v>
      </c>
      <c r="BM49" s="95" t="b">
        <v>0</v>
      </c>
      <c r="BN49" s="95" t="b">
        <v>1</v>
      </c>
      <c r="BO49" s="95" t="b">
        <v>1</v>
      </c>
      <c r="BP49" s="95" t="b">
        <v>1</v>
      </c>
      <c r="BQ49" s="95" t="b">
        <v>1</v>
      </c>
      <c r="BR49" s="95" t="b">
        <v>1</v>
      </c>
      <c r="BS49" s="95" t="b">
        <v>1</v>
      </c>
      <c r="BT49" s="95" t="b">
        <v>1</v>
      </c>
      <c r="BU49" s="95" t="b">
        <v>1</v>
      </c>
      <c r="BV49" s="95" t="b">
        <v>1</v>
      </c>
      <c r="BW49" s="95" t="b">
        <v>1</v>
      </c>
      <c r="BX49" s="95" t="b">
        <v>1</v>
      </c>
      <c r="BY49" s="95" t="b">
        <v>1</v>
      </c>
      <c r="BZ49" s="95" t="b">
        <v>1</v>
      </c>
      <c r="CA49" s="95" t="b">
        <v>1</v>
      </c>
    </row>
    <row r="50" s="95" customFormat="1" ht="277" customHeight="1" spans="1:79">
      <c r="A50" s="63"/>
      <c r="B50" s="67"/>
      <c r="C50" s="15" t="s">
        <v>536</v>
      </c>
      <c r="D50" s="15" t="s">
        <v>779</v>
      </c>
      <c r="E50" s="16" t="s">
        <v>780</v>
      </c>
      <c r="F50" s="17" t="s">
        <v>781</v>
      </c>
      <c r="G50" s="45" t="s">
        <v>1171</v>
      </c>
      <c r="H50" s="16" t="s">
        <v>783</v>
      </c>
      <c r="I50" s="23" t="s">
        <v>1172</v>
      </c>
      <c r="J50" s="31" t="s">
        <v>1340</v>
      </c>
      <c r="K50" s="15"/>
      <c r="L50" s="15"/>
      <c r="M50" s="15" t="s">
        <v>36</v>
      </c>
      <c r="N50" s="15"/>
      <c r="O50" s="15" t="s">
        <v>36</v>
      </c>
      <c r="P50" s="15"/>
      <c r="Q50" s="15"/>
      <c r="R50" s="15"/>
      <c r="S50" s="15"/>
      <c r="T50" s="15" t="s">
        <v>550</v>
      </c>
      <c r="U50" s="15" t="s">
        <v>786</v>
      </c>
      <c r="V50" s="16" t="s">
        <v>787</v>
      </c>
      <c r="W50" s="25" t="s">
        <v>749</v>
      </c>
      <c r="X50" s="15" t="s">
        <v>474</v>
      </c>
      <c r="Y50" s="15" t="s">
        <v>473</v>
      </c>
      <c r="Z50" s="30"/>
      <c r="AA50" s="15" t="s">
        <v>474</v>
      </c>
      <c r="AB50" s="15" t="s">
        <v>473</v>
      </c>
      <c r="AC50" s="30"/>
      <c r="AD50" s="15"/>
      <c r="AE50" s="30"/>
      <c r="AF50" s="30"/>
      <c r="AG50" s="30"/>
      <c r="AH50" s="15" t="s">
        <v>476</v>
      </c>
      <c r="AI50" s="15" t="s">
        <v>476</v>
      </c>
      <c r="AJ50" s="15" t="s">
        <v>778</v>
      </c>
      <c r="AK50" s="15" t="s">
        <v>599</v>
      </c>
      <c r="AL50" s="1" t="s">
        <v>1064</v>
      </c>
      <c r="AM50" s="4" t="s">
        <v>1075</v>
      </c>
      <c r="AN50" s="1"/>
      <c r="AO50" s="7" t="s">
        <v>1045</v>
      </c>
      <c r="AP50" s="7" t="s">
        <v>1059</v>
      </c>
      <c r="AQ50" s="95" t="b">
        <v>1</v>
      </c>
      <c r="AR50" s="95" t="b">
        <v>1</v>
      </c>
      <c r="AS50" s="95" t="b">
        <v>1</v>
      </c>
      <c r="AT50" s="95" t="b">
        <v>1</v>
      </c>
      <c r="AU50" s="95" t="b">
        <v>1</v>
      </c>
      <c r="AV50" s="95" t="b">
        <v>1</v>
      </c>
      <c r="AW50" s="95" t="b">
        <v>1</v>
      </c>
      <c r="AX50" s="95" t="b">
        <v>1</v>
      </c>
      <c r="AY50" s="95" t="b">
        <v>1</v>
      </c>
      <c r="AZ50" s="95" t="b">
        <v>0</v>
      </c>
      <c r="BA50" s="95" t="b">
        <v>1</v>
      </c>
      <c r="BB50" s="95" t="b">
        <v>1</v>
      </c>
      <c r="BC50" s="95" t="b">
        <v>1</v>
      </c>
      <c r="BD50" s="95" t="b">
        <v>1</v>
      </c>
      <c r="BE50" s="95" t="b">
        <v>1</v>
      </c>
      <c r="BF50" s="95" t="b">
        <v>1</v>
      </c>
      <c r="BG50" s="95" t="b">
        <v>1</v>
      </c>
      <c r="BH50" s="95" t="b">
        <v>1</v>
      </c>
      <c r="BI50" s="95" t="b">
        <v>1</v>
      </c>
      <c r="BJ50" s="95" t="b">
        <v>1</v>
      </c>
      <c r="BK50" s="95" t="b">
        <v>1</v>
      </c>
      <c r="BL50" s="95" t="b">
        <v>1</v>
      </c>
      <c r="BM50" s="95" t="b">
        <v>0</v>
      </c>
      <c r="BN50" s="95" t="b">
        <v>1</v>
      </c>
      <c r="BO50" s="95" t="b">
        <v>1</v>
      </c>
      <c r="BP50" s="95" t="b">
        <v>1</v>
      </c>
      <c r="BQ50" s="95" t="b">
        <v>1</v>
      </c>
      <c r="BR50" s="95" t="b">
        <v>1</v>
      </c>
      <c r="BS50" s="95" t="b">
        <v>1</v>
      </c>
      <c r="BT50" s="95" t="b">
        <v>1</v>
      </c>
      <c r="BU50" s="95" t="b">
        <v>1</v>
      </c>
      <c r="BV50" s="95" t="b">
        <v>1</v>
      </c>
      <c r="BW50" s="95" t="b">
        <v>1</v>
      </c>
      <c r="BX50" s="95" t="b">
        <v>1</v>
      </c>
      <c r="BY50" s="95" t="b">
        <v>1</v>
      </c>
      <c r="BZ50" s="95" t="b">
        <v>1</v>
      </c>
      <c r="CA50" s="95" t="b">
        <v>1</v>
      </c>
    </row>
    <row r="51" s="95" customFormat="1" ht="91" customHeight="1" spans="1:79">
      <c r="A51" s="63"/>
      <c r="B51" s="67"/>
      <c r="C51" s="15"/>
      <c r="D51" s="15"/>
      <c r="E51" s="16"/>
      <c r="F51" s="17"/>
      <c r="G51" s="47"/>
      <c r="H51" s="16"/>
      <c r="I51" s="23" t="s">
        <v>1174</v>
      </c>
      <c r="J51" s="16" t="s">
        <v>1175</v>
      </c>
      <c r="K51" s="15"/>
      <c r="L51" s="15"/>
      <c r="M51" s="15" t="s">
        <v>36</v>
      </c>
      <c r="N51" s="15"/>
      <c r="O51" s="15" t="s">
        <v>36</v>
      </c>
      <c r="P51" s="15"/>
      <c r="Q51" s="15" t="s">
        <v>36</v>
      </c>
      <c r="R51" s="15"/>
      <c r="S51" s="15"/>
      <c r="T51" s="15" t="s">
        <v>465</v>
      </c>
      <c r="U51" s="15" t="s">
        <v>790</v>
      </c>
      <c r="V51" s="16" t="s">
        <v>791</v>
      </c>
      <c r="W51" s="25" t="s">
        <v>656</v>
      </c>
      <c r="X51" s="15" t="s">
        <v>474</v>
      </c>
      <c r="Y51" s="15" t="s">
        <v>473</v>
      </c>
      <c r="Z51" s="30"/>
      <c r="AA51" s="15" t="s">
        <v>474</v>
      </c>
      <c r="AB51" s="15" t="s">
        <v>473</v>
      </c>
      <c r="AC51" s="30"/>
      <c r="AD51" s="15" t="s">
        <v>792</v>
      </c>
      <c r="AE51" s="15" t="s">
        <v>511</v>
      </c>
      <c r="AF51" s="15"/>
      <c r="AG51" s="30"/>
      <c r="AH51" s="15" t="s">
        <v>476</v>
      </c>
      <c r="AI51" s="15" t="s">
        <v>476</v>
      </c>
      <c r="AJ51" s="15" t="s">
        <v>778</v>
      </c>
      <c r="AK51" s="15" t="s">
        <v>532</v>
      </c>
      <c r="AL51" s="1" t="s">
        <v>1064</v>
      </c>
      <c r="AM51" s="15" t="s">
        <v>470</v>
      </c>
      <c r="AN51" s="1"/>
      <c r="AO51" s="7" t="s">
        <v>1045</v>
      </c>
      <c r="AP51" s="7" t="s">
        <v>1045</v>
      </c>
      <c r="AQ51" s="95" t="b">
        <v>1</v>
      </c>
      <c r="AR51" s="95" t="b">
        <v>1</v>
      </c>
      <c r="AS51" s="95" t="b">
        <v>1</v>
      </c>
      <c r="AT51" s="95" t="b">
        <v>1</v>
      </c>
      <c r="AU51" s="95" t="b">
        <v>1</v>
      </c>
      <c r="AV51" s="95" t="b">
        <v>1</v>
      </c>
      <c r="AW51" s="95" t="b">
        <v>1</v>
      </c>
      <c r="AX51" s="95" t="b">
        <v>1</v>
      </c>
      <c r="AY51" s="95" t="b">
        <v>1</v>
      </c>
      <c r="AZ51" s="95" t="b">
        <v>1</v>
      </c>
      <c r="BA51" s="95" t="b">
        <v>1</v>
      </c>
      <c r="BB51" s="95" t="b">
        <v>1</v>
      </c>
      <c r="BC51" s="95" t="b">
        <v>1</v>
      </c>
      <c r="BD51" s="95" t="b">
        <v>1</v>
      </c>
      <c r="BE51" s="95" t="b">
        <v>1</v>
      </c>
      <c r="BF51" s="95" t="b">
        <v>1</v>
      </c>
      <c r="BG51" s="95" t="b">
        <v>1</v>
      </c>
      <c r="BH51" s="95" t="b">
        <v>1</v>
      </c>
      <c r="BI51" s="95" t="b">
        <v>1</v>
      </c>
      <c r="BJ51" s="95" t="b">
        <v>1</v>
      </c>
      <c r="BK51" s="95" t="b">
        <v>1</v>
      </c>
      <c r="BL51" s="95" t="b">
        <v>1</v>
      </c>
      <c r="BM51" s="95" t="b">
        <v>0</v>
      </c>
      <c r="BN51" s="95" t="b">
        <v>1</v>
      </c>
      <c r="BO51" s="95" t="b">
        <v>1</v>
      </c>
      <c r="BP51" s="95" t="b">
        <v>1</v>
      </c>
      <c r="BQ51" s="95" t="b">
        <v>1</v>
      </c>
      <c r="BR51" s="95" t="b">
        <v>1</v>
      </c>
      <c r="BS51" s="95" t="b">
        <v>1</v>
      </c>
      <c r="BT51" s="95" t="b">
        <v>1</v>
      </c>
      <c r="BU51" s="95" t="b">
        <v>1</v>
      </c>
      <c r="BV51" s="95" t="b">
        <v>1</v>
      </c>
      <c r="BW51" s="95" t="b">
        <v>1</v>
      </c>
      <c r="BX51" s="95" t="b">
        <v>1</v>
      </c>
      <c r="BY51" s="95" t="b">
        <v>1</v>
      </c>
      <c r="BZ51" s="95" t="b">
        <v>1</v>
      </c>
      <c r="CA51" s="95" t="b">
        <v>1</v>
      </c>
    </row>
    <row r="52" s="95" customFormat="1" ht="141" customHeight="1" spans="1:79">
      <c r="A52" s="14"/>
      <c r="B52" s="67"/>
      <c r="C52" s="45" t="s">
        <v>485</v>
      </c>
      <c r="D52" s="15" t="s">
        <v>1176</v>
      </c>
      <c r="E52" s="52" t="s">
        <v>793</v>
      </c>
      <c r="F52" s="68"/>
      <c r="G52" s="69" t="s">
        <v>1177</v>
      </c>
      <c r="H52" s="52" t="s">
        <v>795</v>
      </c>
      <c r="I52" s="54" t="s">
        <v>1178</v>
      </c>
      <c r="J52" s="52" t="s">
        <v>1179</v>
      </c>
      <c r="K52" s="46"/>
      <c r="L52" s="46"/>
      <c r="M52" s="46" t="s">
        <v>36</v>
      </c>
      <c r="N52" s="46"/>
      <c r="O52" s="46"/>
      <c r="P52" s="46"/>
      <c r="Q52" s="46" t="s">
        <v>36</v>
      </c>
      <c r="R52" s="46" t="s">
        <v>36</v>
      </c>
      <c r="S52" s="46" t="s">
        <v>36</v>
      </c>
      <c r="T52" s="46" t="s">
        <v>492</v>
      </c>
      <c r="U52" s="46" t="s">
        <v>790</v>
      </c>
      <c r="V52" s="52" t="s">
        <v>1180</v>
      </c>
      <c r="W52" s="122" t="s">
        <v>1181</v>
      </c>
      <c r="X52" s="46" t="s">
        <v>474</v>
      </c>
      <c r="Y52" s="46" t="s">
        <v>473</v>
      </c>
      <c r="Z52" s="46"/>
      <c r="AA52" s="46" t="s">
        <v>474</v>
      </c>
      <c r="AB52" s="46" t="s">
        <v>473</v>
      </c>
      <c r="AC52" s="46"/>
      <c r="AD52" s="46"/>
      <c r="AE52" s="70"/>
      <c r="AF52" s="70"/>
      <c r="AG52" s="70"/>
      <c r="AH52" s="46" t="s">
        <v>476</v>
      </c>
      <c r="AI52" s="46" t="s">
        <v>476</v>
      </c>
      <c r="AJ52" s="46" t="s">
        <v>1182</v>
      </c>
      <c r="AK52" s="46" t="s">
        <v>470</v>
      </c>
      <c r="AL52" s="1" t="s">
        <v>1064</v>
      </c>
      <c r="AM52" s="46" t="s">
        <v>1141</v>
      </c>
      <c r="AN52" s="71"/>
      <c r="AO52" s="7" t="s">
        <v>1143</v>
      </c>
      <c r="AP52" s="7" t="s">
        <v>1183</v>
      </c>
    </row>
    <row r="53" ht="137" customHeight="1" spans="1:79">
      <c r="A53" s="14"/>
      <c r="B53" s="67"/>
      <c r="C53" s="48"/>
      <c r="D53" s="73" t="s">
        <v>1184</v>
      </c>
      <c r="E53" s="52" t="s">
        <v>1185</v>
      </c>
      <c r="F53" s="3"/>
      <c r="G53" s="69" t="s">
        <v>1186</v>
      </c>
      <c r="H53" s="52" t="s">
        <v>1187</v>
      </c>
      <c r="I53" s="54" t="s">
        <v>1188</v>
      </c>
      <c r="J53" s="52" t="s">
        <v>1189</v>
      </c>
      <c r="K53" s="46"/>
      <c r="L53" s="46"/>
      <c r="M53" s="74"/>
      <c r="N53" s="74"/>
      <c r="O53" s="46"/>
      <c r="P53" s="74"/>
      <c r="Q53" s="74"/>
      <c r="R53" s="74"/>
      <c r="S53" s="46"/>
      <c r="T53" s="46" t="s">
        <v>492</v>
      </c>
      <c r="U53" s="75"/>
      <c r="V53" s="52" t="s">
        <v>1190</v>
      </c>
      <c r="W53" s="123" t="s">
        <v>1191</v>
      </c>
      <c r="X53" s="46"/>
      <c r="Y53" s="46"/>
      <c r="Z53" s="46"/>
      <c r="AA53" s="46"/>
      <c r="AB53" s="46"/>
      <c r="AC53" s="46"/>
      <c r="AD53" s="46"/>
      <c r="AE53" s="46"/>
      <c r="AF53" s="46"/>
      <c r="AG53" s="46"/>
      <c r="AH53" s="46"/>
      <c r="AI53" s="46"/>
      <c r="AJ53" s="52" t="s">
        <v>817</v>
      </c>
      <c r="AK53" s="46" t="s">
        <v>470</v>
      </c>
      <c r="AL53" s="1" t="s">
        <v>1064</v>
      </c>
      <c r="AM53" s="46" t="s">
        <v>1141</v>
      </c>
      <c r="AN53" s="76"/>
      <c r="AO53" s="7" t="s">
        <v>1143</v>
      </c>
      <c r="AP53" s="7" t="s">
        <v>1192</v>
      </c>
    </row>
    <row r="54" s="95" customFormat="1" ht="191" customHeight="1" spans="1:79">
      <c r="A54" s="63"/>
      <c r="B54" s="67"/>
      <c r="C54" s="15" t="s">
        <v>485</v>
      </c>
      <c r="D54" s="15" t="s">
        <v>818</v>
      </c>
      <c r="E54" s="16" t="s">
        <v>819</v>
      </c>
      <c r="F54" s="24"/>
      <c r="G54" s="15" t="s">
        <v>1193</v>
      </c>
      <c r="H54" s="16" t="s">
        <v>821</v>
      </c>
      <c r="I54" s="23" t="s">
        <v>1194</v>
      </c>
      <c r="J54" s="16" t="s">
        <v>1195</v>
      </c>
      <c r="K54" s="15"/>
      <c r="L54" s="15"/>
      <c r="M54" s="15"/>
      <c r="N54" s="15"/>
      <c r="O54" s="15"/>
      <c r="P54" s="15"/>
      <c r="Q54" s="15" t="s">
        <v>36</v>
      </c>
      <c r="R54" s="15"/>
      <c r="S54" s="15"/>
      <c r="T54" s="15" t="s">
        <v>550</v>
      </c>
      <c r="U54" s="15" t="s">
        <v>467</v>
      </c>
      <c r="V54" s="16" t="s">
        <v>824</v>
      </c>
      <c r="W54" s="35" t="s">
        <v>825</v>
      </c>
      <c r="X54" s="15" t="s">
        <v>474</v>
      </c>
      <c r="Y54" s="15" t="s">
        <v>473</v>
      </c>
      <c r="Z54" s="30"/>
      <c r="AA54" s="15" t="s">
        <v>474</v>
      </c>
      <c r="AB54" s="15" t="s">
        <v>473</v>
      </c>
      <c r="AC54" s="30"/>
      <c r="AD54" s="15"/>
      <c r="AE54" s="30"/>
      <c r="AF54" s="30"/>
      <c r="AG54" s="30"/>
      <c r="AH54" s="15" t="s">
        <v>476</v>
      </c>
      <c r="AI54" s="30" t="s">
        <v>476</v>
      </c>
      <c r="AJ54" s="15" t="s">
        <v>558</v>
      </c>
      <c r="AK54" s="15" t="s">
        <v>673</v>
      </c>
      <c r="AL54" s="1" t="s">
        <v>1064</v>
      </c>
      <c r="AM54" s="15" t="s">
        <v>470</v>
      </c>
      <c r="AN54" s="1"/>
      <c r="AO54" s="7" t="s">
        <v>1059</v>
      </c>
      <c r="AP54" s="7" t="s">
        <v>1059</v>
      </c>
      <c r="AQ54" s="95" t="b">
        <v>1</v>
      </c>
      <c r="AR54" s="95" t="b">
        <v>1</v>
      </c>
      <c r="AS54" s="95" t="b">
        <v>1</v>
      </c>
      <c r="AT54" s="95" t="b">
        <v>1</v>
      </c>
      <c r="AU54" s="95" t="b">
        <v>1</v>
      </c>
      <c r="AV54" s="95" t="b">
        <v>1</v>
      </c>
      <c r="AW54" s="95" t="b">
        <v>1</v>
      </c>
      <c r="AX54" s="95" t="b">
        <v>1</v>
      </c>
      <c r="AY54" s="95" t="b">
        <v>1</v>
      </c>
      <c r="AZ54" s="95" t="b">
        <v>0</v>
      </c>
      <c r="BA54" s="95" t="b">
        <v>1</v>
      </c>
      <c r="BB54" s="95" t="b">
        <v>1</v>
      </c>
      <c r="BC54" s="95" t="b">
        <v>1</v>
      </c>
      <c r="BD54" s="95" t="b">
        <v>1</v>
      </c>
      <c r="BE54" s="95" t="b">
        <v>1</v>
      </c>
      <c r="BF54" s="95" t="b">
        <v>1</v>
      </c>
      <c r="BG54" s="95" t="b">
        <v>1</v>
      </c>
      <c r="BH54" s="95" t="b">
        <v>1</v>
      </c>
      <c r="BI54" s="95" t="b">
        <v>1</v>
      </c>
      <c r="BJ54" s="95" t="b">
        <v>1</v>
      </c>
      <c r="BK54" s="95" t="b">
        <v>1</v>
      </c>
      <c r="BL54" s="95" t="b">
        <v>1</v>
      </c>
      <c r="BM54" s="95" t="b">
        <v>0</v>
      </c>
      <c r="BN54" s="95" t="b">
        <v>1</v>
      </c>
      <c r="BO54" s="95" t="b">
        <v>1</v>
      </c>
      <c r="BP54" s="95" t="b">
        <v>1</v>
      </c>
      <c r="BQ54" s="95" t="b">
        <v>1</v>
      </c>
      <c r="BR54" s="95" t="b">
        <v>1</v>
      </c>
      <c r="BS54" s="95" t="b">
        <v>1</v>
      </c>
      <c r="BT54" s="95" t="b">
        <v>1</v>
      </c>
      <c r="BU54" s="95" t="b">
        <v>1</v>
      </c>
      <c r="BV54" s="95" t="b">
        <v>1</v>
      </c>
      <c r="BW54" s="95" t="b">
        <v>1</v>
      </c>
      <c r="BX54" s="95" t="b">
        <v>1</v>
      </c>
      <c r="BY54" s="95" t="b">
        <v>1</v>
      </c>
      <c r="BZ54" s="95" t="b">
        <v>1</v>
      </c>
      <c r="CA54" s="95" t="b">
        <v>1</v>
      </c>
    </row>
    <row r="55" s="95" customFormat="1" ht="84" customHeight="1" spans="1:79">
      <c r="A55" s="63"/>
      <c r="B55" s="67"/>
      <c r="C55" s="15"/>
      <c r="D55" s="15"/>
      <c r="E55" s="16"/>
      <c r="F55" s="24"/>
      <c r="G55" s="15"/>
      <c r="H55" s="16"/>
      <c r="I55" s="23" t="s">
        <v>1196</v>
      </c>
      <c r="J55" s="16" t="s">
        <v>1197</v>
      </c>
      <c r="K55" s="15"/>
      <c r="L55" s="15"/>
      <c r="M55" s="15"/>
      <c r="N55" s="15"/>
      <c r="O55" s="15"/>
      <c r="P55" s="15"/>
      <c r="Q55" s="15"/>
      <c r="R55" s="15"/>
      <c r="S55" s="15"/>
      <c r="T55" s="15" t="s">
        <v>492</v>
      </c>
      <c r="U55" s="15"/>
      <c r="V55" s="16" t="s">
        <v>828</v>
      </c>
      <c r="W55" s="35" t="s">
        <v>829</v>
      </c>
      <c r="X55" s="15" t="s">
        <v>474</v>
      </c>
      <c r="Y55" s="15" t="s">
        <v>473</v>
      </c>
      <c r="Z55" s="30"/>
      <c r="AA55" s="15" t="s">
        <v>474</v>
      </c>
      <c r="AB55" s="15" t="s">
        <v>473</v>
      </c>
      <c r="AC55" s="30"/>
      <c r="AD55" s="15"/>
      <c r="AE55" s="30"/>
      <c r="AF55" s="30"/>
      <c r="AG55" s="30"/>
      <c r="AH55" s="15" t="s">
        <v>476</v>
      </c>
      <c r="AI55" s="30" t="s">
        <v>476</v>
      </c>
      <c r="AJ55" s="15" t="s">
        <v>558</v>
      </c>
      <c r="AK55" s="15"/>
      <c r="AL55" s="1" t="s">
        <v>1064</v>
      </c>
      <c r="AM55" s="15" t="s">
        <v>1091</v>
      </c>
      <c r="AN55" s="1"/>
      <c r="AO55" s="7" t="s">
        <v>1045</v>
      </c>
      <c r="AP55" s="7" t="s">
        <v>1045</v>
      </c>
      <c r="AQ55" s="95" t="b">
        <v>1</v>
      </c>
      <c r="AR55" s="95" t="b">
        <v>1</v>
      </c>
      <c r="AS55" s="95" t="b">
        <v>1</v>
      </c>
      <c r="AT55" s="95" t="b">
        <v>1</v>
      </c>
      <c r="AU55" s="95" t="b">
        <v>1</v>
      </c>
      <c r="AV55" s="95" t="b">
        <v>1</v>
      </c>
      <c r="AW55" s="95" t="b">
        <v>1</v>
      </c>
      <c r="AX55" s="95" t="b">
        <v>1</v>
      </c>
      <c r="AY55" s="95" t="b">
        <v>1</v>
      </c>
      <c r="AZ55" s="95" t="b">
        <v>1</v>
      </c>
      <c r="BA55" s="95" t="b">
        <v>1</v>
      </c>
      <c r="BB55" s="95" t="b">
        <v>1</v>
      </c>
      <c r="BC55" s="95" t="b">
        <v>1</v>
      </c>
      <c r="BD55" s="95" t="b">
        <v>1</v>
      </c>
      <c r="BE55" s="95" t="b">
        <v>1</v>
      </c>
      <c r="BF55" s="95" t="b">
        <v>1</v>
      </c>
      <c r="BG55" s="95" t="b">
        <v>1</v>
      </c>
      <c r="BH55" s="95" t="b">
        <v>1</v>
      </c>
      <c r="BI55" s="95" t="b">
        <v>1</v>
      </c>
      <c r="BJ55" s="95" t="b">
        <v>1</v>
      </c>
      <c r="BK55" s="95" t="b">
        <v>1</v>
      </c>
      <c r="BL55" s="95" t="b">
        <v>1</v>
      </c>
      <c r="BM55" s="95" t="b">
        <v>0</v>
      </c>
      <c r="BN55" s="95" t="b">
        <v>1</v>
      </c>
      <c r="BO55" s="95" t="b">
        <v>1</v>
      </c>
      <c r="BP55" s="95" t="b">
        <v>1</v>
      </c>
      <c r="BQ55" s="95" t="b">
        <v>1</v>
      </c>
      <c r="BR55" s="95" t="b">
        <v>1</v>
      </c>
      <c r="BS55" s="95" t="b">
        <v>1</v>
      </c>
      <c r="BT55" s="95" t="b">
        <v>1</v>
      </c>
      <c r="BU55" s="95" t="b">
        <v>1</v>
      </c>
      <c r="BV55" s="95" t="b">
        <v>1</v>
      </c>
      <c r="BW55" s="95" t="b">
        <v>1</v>
      </c>
      <c r="BX55" s="95" t="b">
        <v>1</v>
      </c>
      <c r="BY55" s="95" t="b">
        <v>1</v>
      </c>
      <c r="BZ55" s="95" t="b">
        <v>1</v>
      </c>
      <c r="CA55" s="95" t="b">
        <v>1</v>
      </c>
    </row>
    <row r="56" s="95" customFormat="1" ht="74" customHeight="1" spans="1:79">
      <c r="A56" s="63"/>
      <c r="B56" s="78"/>
      <c r="C56" s="15"/>
      <c r="D56" s="15"/>
      <c r="E56" s="16"/>
      <c r="F56" s="24"/>
      <c r="G56" s="15"/>
      <c r="H56" s="16"/>
      <c r="I56" s="23" t="s">
        <v>1198</v>
      </c>
      <c r="J56" s="16" t="s">
        <v>1199</v>
      </c>
      <c r="K56" s="15"/>
      <c r="L56" s="15"/>
      <c r="M56" s="15"/>
      <c r="N56" s="15"/>
      <c r="O56" s="15"/>
      <c r="P56" s="15"/>
      <c r="Q56" s="15"/>
      <c r="R56" s="15"/>
      <c r="S56" s="15"/>
      <c r="T56" s="15" t="s">
        <v>492</v>
      </c>
      <c r="U56" s="15"/>
      <c r="V56" s="16" t="s">
        <v>828</v>
      </c>
      <c r="W56" s="35" t="s">
        <v>671</v>
      </c>
      <c r="X56" s="15" t="s">
        <v>474</v>
      </c>
      <c r="Y56" s="15" t="s">
        <v>473</v>
      </c>
      <c r="Z56" s="30"/>
      <c r="AA56" s="15" t="s">
        <v>474</v>
      </c>
      <c r="AB56" s="15" t="s">
        <v>473</v>
      </c>
      <c r="AC56" s="30"/>
      <c r="AD56" s="15"/>
      <c r="AE56" s="30"/>
      <c r="AF56" s="30"/>
      <c r="AG56" s="30"/>
      <c r="AH56" s="15" t="s">
        <v>476</v>
      </c>
      <c r="AI56" s="30" t="s">
        <v>610</v>
      </c>
      <c r="AJ56" s="15" t="s">
        <v>832</v>
      </c>
      <c r="AK56" s="15"/>
      <c r="AL56" s="1" t="s">
        <v>1064</v>
      </c>
      <c r="AM56" s="15" t="s">
        <v>1091</v>
      </c>
      <c r="AN56" s="1"/>
      <c r="AO56" s="7" t="s">
        <v>1045</v>
      </c>
      <c r="AP56" s="7" t="s">
        <v>1045</v>
      </c>
      <c r="AQ56" s="95" t="b">
        <v>1</v>
      </c>
      <c r="AR56" s="95" t="b">
        <v>1</v>
      </c>
      <c r="AS56" s="95" t="b">
        <v>1</v>
      </c>
      <c r="AT56" s="95" t="b">
        <v>1</v>
      </c>
      <c r="AU56" s="95" t="b">
        <v>1</v>
      </c>
      <c r="AV56" s="95" t="b">
        <v>1</v>
      </c>
      <c r="AW56" s="95" t="b">
        <v>1</v>
      </c>
      <c r="AX56" s="95" t="b">
        <v>1</v>
      </c>
      <c r="AY56" s="95" t="b">
        <v>1</v>
      </c>
      <c r="AZ56" s="95" t="b">
        <v>1</v>
      </c>
      <c r="BA56" s="95" t="b">
        <v>1</v>
      </c>
      <c r="BB56" s="95" t="b">
        <v>1</v>
      </c>
      <c r="BC56" s="95" t="b">
        <v>1</v>
      </c>
      <c r="BD56" s="95" t="b">
        <v>1</v>
      </c>
      <c r="BE56" s="95" t="b">
        <v>1</v>
      </c>
      <c r="BF56" s="95" t="b">
        <v>1</v>
      </c>
      <c r="BG56" s="95" t="b">
        <v>1</v>
      </c>
      <c r="BH56" s="95" t="b">
        <v>1</v>
      </c>
      <c r="BI56" s="95" t="b">
        <v>1</v>
      </c>
      <c r="BJ56" s="95" t="b">
        <v>1</v>
      </c>
      <c r="BK56" s="95" t="b">
        <v>1</v>
      </c>
      <c r="BL56" s="95" t="b">
        <v>1</v>
      </c>
      <c r="BM56" s="95" t="b">
        <v>0</v>
      </c>
      <c r="BN56" s="95" t="b">
        <v>1</v>
      </c>
      <c r="BO56" s="95" t="b">
        <v>1</v>
      </c>
      <c r="BP56" s="95" t="b">
        <v>1</v>
      </c>
      <c r="BQ56" s="95" t="b">
        <v>1</v>
      </c>
      <c r="BR56" s="95" t="b">
        <v>1</v>
      </c>
      <c r="BS56" s="95" t="b">
        <v>1</v>
      </c>
      <c r="BT56" s="95" t="b">
        <v>1</v>
      </c>
      <c r="BU56" s="95" t="b">
        <v>1</v>
      </c>
      <c r="BV56" s="95" t="b">
        <v>1</v>
      </c>
      <c r="BW56" s="95" t="b">
        <v>1</v>
      </c>
      <c r="BX56" s="95" t="b">
        <v>1</v>
      </c>
      <c r="BY56" s="95" t="b">
        <v>1</v>
      </c>
      <c r="BZ56" s="95" t="b">
        <v>1</v>
      </c>
      <c r="CA56" s="95" t="b">
        <v>1</v>
      </c>
    </row>
    <row r="57" s="95" customFormat="1" ht="139" customHeight="1" spans="1:79">
      <c r="A57" s="14" t="s">
        <v>483</v>
      </c>
      <c r="B57" s="14" t="s">
        <v>833</v>
      </c>
      <c r="C57" s="15" t="s">
        <v>485</v>
      </c>
      <c r="D57" s="15" t="s">
        <v>834</v>
      </c>
      <c r="E57" s="16" t="s">
        <v>835</v>
      </c>
      <c r="F57" s="17" t="s">
        <v>836</v>
      </c>
      <c r="G57" s="15" t="s">
        <v>1200</v>
      </c>
      <c r="H57" s="16" t="s">
        <v>838</v>
      </c>
      <c r="I57" s="23" t="s">
        <v>1201</v>
      </c>
      <c r="J57" s="16" t="s">
        <v>1202</v>
      </c>
      <c r="K57" s="15"/>
      <c r="L57" s="15"/>
      <c r="M57" s="15" t="s">
        <v>36</v>
      </c>
      <c r="N57" s="15"/>
      <c r="O57" s="15"/>
      <c r="P57" s="15"/>
      <c r="Q57" s="15"/>
      <c r="R57" s="15" t="s">
        <v>36</v>
      </c>
      <c r="S57" s="15"/>
      <c r="T57" s="15" t="s">
        <v>492</v>
      </c>
      <c r="U57" s="15"/>
      <c r="V57" s="16" t="s">
        <v>841</v>
      </c>
      <c r="W57" s="32" t="s">
        <v>1369</v>
      </c>
      <c r="X57" s="15" t="s">
        <v>474</v>
      </c>
      <c r="Y57" s="15" t="s">
        <v>473</v>
      </c>
      <c r="Z57" s="30"/>
      <c r="AA57" s="15" t="s">
        <v>474</v>
      </c>
      <c r="AB57" s="15" t="s">
        <v>473</v>
      </c>
      <c r="AC57" s="30"/>
      <c r="AD57" s="15"/>
      <c r="AE57" s="15"/>
      <c r="AF57" s="15"/>
      <c r="AG57" s="30"/>
      <c r="AH57" s="15" t="s">
        <v>476</v>
      </c>
      <c r="AI57" s="15" t="s">
        <v>476</v>
      </c>
      <c r="AJ57" s="15" t="s">
        <v>843</v>
      </c>
      <c r="AK57" s="15" t="s">
        <v>599</v>
      </c>
      <c r="AL57" s="124" t="s">
        <v>1204</v>
      </c>
      <c r="AM57" s="23" t="s">
        <v>1205</v>
      </c>
      <c r="AN57" s="1"/>
      <c r="AO57" s="7" t="s">
        <v>1045</v>
      </c>
      <c r="AP57" s="7" t="s">
        <v>1045</v>
      </c>
      <c r="AQ57" s="95" t="b">
        <v>1</v>
      </c>
      <c r="AR57" s="95" t="b">
        <v>1</v>
      </c>
      <c r="AS57" s="95" t="b">
        <v>1</v>
      </c>
      <c r="AT57" s="95" t="b">
        <v>1</v>
      </c>
      <c r="AU57" s="95" t="b">
        <v>1</v>
      </c>
      <c r="AV57" s="95" t="b">
        <v>1</v>
      </c>
      <c r="AW57" s="95" t="b">
        <v>1</v>
      </c>
      <c r="AX57" s="95" t="b">
        <v>1</v>
      </c>
      <c r="AY57" s="95" t="b">
        <v>1</v>
      </c>
      <c r="AZ57" s="95" t="b">
        <v>1</v>
      </c>
      <c r="BA57" s="95" t="b">
        <v>1</v>
      </c>
      <c r="BB57" s="95" t="b">
        <v>1</v>
      </c>
      <c r="BC57" s="95" t="b">
        <v>1</v>
      </c>
      <c r="BD57" s="95" t="b">
        <v>1</v>
      </c>
      <c r="BE57" s="95" t="b">
        <v>1</v>
      </c>
      <c r="BF57" s="95" t="b">
        <v>1</v>
      </c>
      <c r="BG57" s="95" t="b">
        <v>1</v>
      </c>
      <c r="BH57" s="95" t="b">
        <v>1</v>
      </c>
      <c r="BI57" s="95" t="b">
        <v>1</v>
      </c>
      <c r="BJ57" s="95" t="b">
        <v>1</v>
      </c>
      <c r="BK57" s="95" t="b">
        <v>1</v>
      </c>
      <c r="BL57" s="95" t="b">
        <v>1</v>
      </c>
      <c r="BM57" s="95" t="b">
        <v>0</v>
      </c>
      <c r="BN57" s="95" t="b">
        <v>1</v>
      </c>
      <c r="BO57" s="95" t="b">
        <v>1</v>
      </c>
      <c r="BP57" s="95" t="b">
        <v>1</v>
      </c>
      <c r="BQ57" s="95" t="b">
        <v>1</v>
      </c>
      <c r="BR57" s="95" t="b">
        <v>1</v>
      </c>
      <c r="BS57" s="95" t="b">
        <v>1</v>
      </c>
      <c r="BT57" s="95" t="b">
        <v>1</v>
      </c>
      <c r="BU57" s="95" t="b">
        <v>1</v>
      </c>
      <c r="BV57" s="95" t="b">
        <v>1</v>
      </c>
      <c r="BW57" s="95" t="b">
        <v>1</v>
      </c>
      <c r="BX57" s="95" t="b">
        <v>1</v>
      </c>
      <c r="BY57" s="95" t="b">
        <v>1</v>
      </c>
      <c r="BZ57" s="95" t="b">
        <v>1</v>
      </c>
      <c r="CA57" s="95" t="b">
        <v>1</v>
      </c>
    </row>
    <row r="58" s="95" customFormat="1" ht="131" customHeight="1" spans="1:79">
      <c r="A58" s="14"/>
      <c r="B58" s="14"/>
      <c r="C58" s="15" t="s">
        <v>485</v>
      </c>
      <c r="D58" s="15" t="s">
        <v>844</v>
      </c>
      <c r="E58" s="16" t="s">
        <v>845</v>
      </c>
      <c r="F58" s="24"/>
      <c r="G58" s="15" t="s">
        <v>1206</v>
      </c>
      <c r="H58" s="16" t="s">
        <v>847</v>
      </c>
      <c r="I58" s="23" t="s">
        <v>1207</v>
      </c>
      <c r="J58" s="16" t="s">
        <v>1208</v>
      </c>
      <c r="K58" s="15"/>
      <c r="L58" s="15"/>
      <c r="M58" s="15"/>
      <c r="N58" s="15"/>
      <c r="O58" s="15"/>
      <c r="P58" s="15"/>
      <c r="Q58" s="15"/>
      <c r="R58" s="15" t="s">
        <v>36</v>
      </c>
      <c r="S58" s="15"/>
      <c r="T58" s="15" t="s">
        <v>492</v>
      </c>
      <c r="U58" s="15"/>
      <c r="V58" s="16" t="s">
        <v>850</v>
      </c>
      <c r="W58" s="125" t="s">
        <v>1370</v>
      </c>
      <c r="X58" s="15" t="s">
        <v>474</v>
      </c>
      <c r="Y58" s="15" t="s">
        <v>473</v>
      </c>
      <c r="Z58" s="15"/>
      <c r="AA58" s="15" t="s">
        <v>474</v>
      </c>
      <c r="AB58" s="15" t="s">
        <v>473</v>
      </c>
      <c r="AC58" s="15"/>
      <c r="AD58" s="15"/>
      <c r="AE58" s="30"/>
      <c r="AF58" s="30"/>
      <c r="AG58" s="30"/>
      <c r="AH58" s="15" t="s">
        <v>476</v>
      </c>
      <c r="AI58" s="15" t="s">
        <v>476</v>
      </c>
      <c r="AJ58" s="15" t="s">
        <v>852</v>
      </c>
      <c r="AK58" s="15" t="s">
        <v>853</v>
      </c>
      <c r="AL58" s="124" t="s">
        <v>1204</v>
      </c>
      <c r="AM58" s="23" t="s">
        <v>1210</v>
      </c>
      <c r="AN58" s="1"/>
      <c r="AO58" s="7" t="s">
        <v>1045</v>
      </c>
      <c r="AP58" s="7" t="s">
        <v>1045</v>
      </c>
      <c r="AQ58" s="95" t="b">
        <v>1</v>
      </c>
      <c r="AR58" s="95" t="b">
        <v>1</v>
      </c>
      <c r="AS58" s="95" t="b">
        <v>1</v>
      </c>
      <c r="AT58" s="95" t="b">
        <v>1</v>
      </c>
      <c r="AU58" s="95" t="b">
        <v>1</v>
      </c>
      <c r="AV58" s="95" t="b">
        <v>1</v>
      </c>
      <c r="AW58" s="95" t="b">
        <v>1</v>
      </c>
      <c r="AX58" s="95" t="b">
        <v>1</v>
      </c>
      <c r="AY58" s="95" t="b">
        <v>1</v>
      </c>
      <c r="AZ58" s="95" t="b">
        <v>1</v>
      </c>
      <c r="BA58" s="95" t="b">
        <v>1</v>
      </c>
      <c r="BB58" s="95" t="b">
        <v>1</v>
      </c>
      <c r="BC58" s="95" t="b">
        <v>1</v>
      </c>
      <c r="BD58" s="95" t="b">
        <v>1</v>
      </c>
      <c r="BE58" s="95" t="b">
        <v>1</v>
      </c>
      <c r="BF58" s="95" t="b">
        <v>1</v>
      </c>
      <c r="BG58" s="95" t="b">
        <v>1</v>
      </c>
      <c r="BH58" s="95" t="b">
        <v>1</v>
      </c>
      <c r="BI58" s="95" t="b">
        <v>1</v>
      </c>
      <c r="BJ58" s="95" t="b">
        <v>1</v>
      </c>
      <c r="BK58" s="95" t="b">
        <v>1</v>
      </c>
      <c r="BL58" s="95" t="b">
        <v>1</v>
      </c>
      <c r="BM58" s="95" t="b">
        <v>0</v>
      </c>
      <c r="BN58" s="95" t="b">
        <v>1</v>
      </c>
      <c r="BO58" s="95" t="b">
        <v>1</v>
      </c>
      <c r="BP58" s="95" t="b">
        <v>1</v>
      </c>
      <c r="BQ58" s="95" t="b">
        <v>1</v>
      </c>
      <c r="BR58" s="95" t="b">
        <v>1</v>
      </c>
      <c r="BS58" s="95" t="b">
        <v>1</v>
      </c>
      <c r="BT58" s="95" t="b">
        <v>1</v>
      </c>
      <c r="BU58" s="95" t="b">
        <v>1</v>
      </c>
      <c r="BV58" s="95" t="b">
        <v>1</v>
      </c>
      <c r="BW58" s="95" t="b">
        <v>1</v>
      </c>
      <c r="BX58" s="95" t="b">
        <v>1</v>
      </c>
      <c r="BY58" s="95" t="b">
        <v>1</v>
      </c>
      <c r="BZ58" s="95" t="b">
        <v>1</v>
      </c>
      <c r="CA58" s="95" t="b">
        <v>1</v>
      </c>
    </row>
    <row r="59" s="95" customFormat="1" ht="93" customHeight="1" spans="1:79">
      <c r="A59" s="14"/>
      <c r="B59" s="14"/>
      <c r="C59" s="15"/>
      <c r="D59" s="15"/>
      <c r="E59" s="16"/>
      <c r="F59" s="24"/>
      <c r="G59" s="15"/>
      <c r="H59" s="16"/>
      <c r="I59" s="23" t="s">
        <v>1211</v>
      </c>
      <c r="J59" s="16" t="s">
        <v>1212</v>
      </c>
      <c r="K59" s="15"/>
      <c r="L59" s="15"/>
      <c r="M59" s="15"/>
      <c r="N59" s="15"/>
      <c r="O59" s="15"/>
      <c r="P59" s="15"/>
      <c r="Q59" s="15"/>
      <c r="R59" s="15" t="s">
        <v>36</v>
      </c>
      <c r="S59" s="15"/>
      <c r="T59" s="15" t="s">
        <v>465</v>
      </c>
      <c r="U59" s="15" t="s">
        <v>856</v>
      </c>
      <c r="V59" s="16" t="s">
        <v>850</v>
      </c>
      <c r="W59" s="35" t="s">
        <v>1371</v>
      </c>
      <c r="X59" s="15" t="s">
        <v>474</v>
      </c>
      <c r="Y59" s="15" t="s">
        <v>473</v>
      </c>
      <c r="Z59" s="15"/>
      <c r="AA59" s="15" t="s">
        <v>474</v>
      </c>
      <c r="AB59" s="15" t="s">
        <v>473</v>
      </c>
      <c r="AC59" s="15"/>
      <c r="AD59" s="15" t="s">
        <v>858</v>
      </c>
      <c r="AE59" s="15" t="s">
        <v>511</v>
      </c>
      <c r="AF59" s="15"/>
      <c r="AG59" s="30"/>
      <c r="AH59" s="15" t="s">
        <v>476</v>
      </c>
      <c r="AI59" s="15" t="s">
        <v>476</v>
      </c>
      <c r="AJ59" s="15" t="s">
        <v>859</v>
      </c>
      <c r="AK59" s="15" t="s">
        <v>860</v>
      </c>
      <c r="AL59" s="124" t="s">
        <v>1204</v>
      </c>
      <c r="AM59" s="23" t="s">
        <v>1213</v>
      </c>
      <c r="AN59" s="1"/>
      <c r="AO59" s="7" t="s">
        <v>1045</v>
      </c>
      <c r="AP59" s="7" t="s">
        <v>1045</v>
      </c>
      <c r="AQ59" s="95" t="b">
        <v>1</v>
      </c>
      <c r="AR59" s="95" t="b">
        <v>1</v>
      </c>
      <c r="AS59" s="95" t="b">
        <v>1</v>
      </c>
      <c r="AT59" s="95" t="b">
        <v>1</v>
      </c>
      <c r="AU59" s="95" t="b">
        <v>1</v>
      </c>
      <c r="AV59" s="95" t="b">
        <v>1</v>
      </c>
      <c r="AW59" s="95" t="b">
        <v>1</v>
      </c>
      <c r="AX59" s="95" t="b">
        <v>1</v>
      </c>
      <c r="AY59" s="95" t="b">
        <v>1</v>
      </c>
      <c r="AZ59" s="95" t="b">
        <v>1</v>
      </c>
      <c r="BA59" s="95" t="b">
        <v>1</v>
      </c>
      <c r="BB59" s="95" t="b">
        <v>1</v>
      </c>
      <c r="BC59" s="95" t="b">
        <v>1</v>
      </c>
      <c r="BD59" s="95" t="b">
        <v>1</v>
      </c>
      <c r="BE59" s="95" t="b">
        <v>1</v>
      </c>
      <c r="BF59" s="95" t="b">
        <v>1</v>
      </c>
      <c r="BG59" s="95" t="b">
        <v>1</v>
      </c>
      <c r="BH59" s="95" t="b">
        <v>1</v>
      </c>
      <c r="BI59" s="95" t="b">
        <v>1</v>
      </c>
      <c r="BJ59" s="95" t="b">
        <v>1</v>
      </c>
      <c r="BK59" s="95" t="b">
        <v>1</v>
      </c>
      <c r="BL59" s="95" t="b">
        <v>1</v>
      </c>
      <c r="BM59" s="95" t="b">
        <v>0</v>
      </c>
      <c r="BN59" s="95" t="b">
        <v>1</v>
      </c>
      <c r="BO59" s="95" t="b">
        <v>1</v>
      </c>
      <c r="BP59" s="95" t="b">
        <v>1</v>
      </c>
      <c r="BQ59" s="95" t="b">
        <v>1</v>
      </c>
      <c r="BR59" s="95" t="b">
        <v>1</v>
      </c>
      <c r="BS59" s="95" t="b">
        <v>1</v>
      </c>
      <c r="BT59" s="95" t="b">
        <v>1</v>
      </c>
      <c r="BU59" s="95" t="b">
        <v>1</v>
      </c>
      <c r="BV59" s="95" t="b">
        <v>1</v>
      </c>
      <c r="BW59" s="95" t="b">
        <v>1</v>
      </c>
      <c r="BX59" s="95" t="b">
        <v>1</v>
      </c>
      <c r="BY59" s="95" t="b">
        <v>1</v>
      </c>
      <c r="BZ59" s="95" t="b">
        <v>1</v>
      </c>
      <c r="CA59" s="95" t="b">
        <v>1</v>
      </c>
    </row>
    <row r="60" s="95" customFormat="1" ht="99" customHeight="1" spans="1:79">
      <c r="A60" s="14"/>
      <c r="B60" s="14"/>
      <c r="C60" s="15" t="s">
        <v>536</v>
      </c>
      <c r="D60" s="15" t="s">
        <v>861</v>
      </c>
      <c r="E60" s="16" t="s">
        <v>862</v>
      </c>
      <c r="F60" s="24"/>
      <c r="G60" s="15" t="s">
        <v>1214</v>
      </c>
      <c r="H60" s="16" t="s">
        <v>864</v>
      </c>
      <c r="I60" s="23" t="s">
        <v>1215</v>
      </c>
      <c r="J60" s="31" t="s">
        <v>1343</v>
      </c>
      <c r="K60" s="15"/>
      <c r="L60" s="15"/>
      <c r="M60" s="15"/>
      <c r="N60" s="15"/>
      <c r="O60" s="15" t="s">
        <v>36</v>
      </c>
      <c r="P60" s="15"/>
      <c r="Q60" s="15"/>
      <c r="R60" s="15"/>
      <c r="S60" s="15"/>
      <c r="T60" s="15" t="s">
        <v>465</v>
      </c>
      <c r="U60" s="15" t="s">
        <v>790</v>
      </c>
      <c r="V60" s="16" t="s">
        <v>867</v>
      </c>
      <c r="W60" s="25" t="s">
        <v>868</v>
      </c>
      <c r="X60" s="15" t="s">
        <v>474</v>
      </c>
      <c r="Y60" s="15" t="s">
        <v>473</v>
      </c>
      <c r="Z60" s="30"/>
      <c r="AA60" s="15" t="s">
        <v>474</v>
      </c>
      <c r="AB60" s="15" t="s">
        <v>473</v>
      </c>
      <c r="AC60" s="30"/>
      <c r="AD60" s="15" t="s">
        <v>869</v>
      </c>
      <c r="AE60" s="15" t="s">
        <v>511</v>
      </c>
      <c r="AF60" s="15"/>
      <c r="AG60" s="30"/>
      <c r="AH60" s="15" t="s">
        <v>476</v>
      </c>
      <c r="AI60" s="30" t="s">
        <v>610</v>
      </c>
      <c r="AJ60" s="15" t="s">
        <v>870</v>
      </c>
      <c r="AK60" s="15" t="s">
        <v>673</v>
      </c>
      <c r="AL60" s="1" t="s">
        <v>1064</v>
      </c>
      <c r="AM60" s="23" t="s">
        <v>1075</v>
      </c>
      <c r="AN60" s="1"/>
      <c r="AO60" s="7" t="s">
        <v>1045</v>
      </c>
      <c r="AP60" s="98" t="s">
        <v>1059</v>
      </c>
      <c r="AQ60" s="95" t="b">
        <v>1</v>
      </c>
      <c r="AR60" s="95" t="b">
        <v>1</v>
      </c>
      <c r="AS60" s="95" t="b">
        <v>1</v>
      </c>
      <c r="AT60" s="95" t="b">
        <v>1</v>
      </c>
      <c r="AU60" s="95" t="b">
        <v>1</v>
      </c>
      <c r="AV60" s="95" t="b">
        <v>1</v>
      </c>
      <c r="AW60" s="95" t="b">
        <v>1</v>
      </c>
      <c r="AX60" s="95" t="b">
        <v>1</v>
      </c>
      <c r="AY60" s="95" t="b">
        <v>1</v>
      </c>
      <c r="AZ60" s="95" t="b">
        <v>0</v>
      </c>
      <c r="BA60" s="95" t="b">
        <v>1</v>
      </c>
      <c r="BB60" s="95" t="b">
        <v>1</v>
      </c>
      <c r="BC60" s="95" t="b">
        <v>1</v>
      </c>
      <c r="BD60" s="95" t="b">
        <v>1</v>
      </c>
      <c r="BE60" s="95" t="b">
        <v>1</v>
      </c>
      <c r="BF60" s="95" t="b">
        <v>1</v>
      </c>
      <c r="BG60" s="95" t="b">
        <v>1</v>
      </c>
      <c r="BH60" s="95" t="b">
        <v>1</v>
      </c>
      <c r="BI60" s="95" t="b">
        <v>1</v>
      </c>
      <c r="BJ60" s="95" t="b">
        <v>1</v>
      </c>
      <c r="BK60" s="95" t="b">
        <v>1</v>
      </c>
      <c r="BL60" s="95" t="b">
        <v>1</v>
      </c>
      <c r="BM60" s="95" t="b">
        <v>0</v>
      </c>
      <c r="BN60" s="95" t="b">
        <v>1</v>
      </c>
      <c r="BO60" s="95" t="b">
        <v>1</v>
      </c>
      <c r="BP60" s="95" t="b">
        <v>1</v>
      </c>
      <c r="BQ60" s="95" t="b">
        <v>1</v>
      </c>
      <c r="BR60" s="95" t="b">
        <v>1</v>
      </c>
      <c r="BS60" s="95" t="b">
        <v>1</v>
      </c>
      <c r="BT60" s="95" t="b">
        <v>1</v>
      </c>
      <c r="BU60" s="95" t="b">
        <v>1</v>
      </c>
      <c r="BV60" s="95" t="b">
        <v>1</v>
      </c>
      <c r="BW60" s="95" t="b">
        <v>1</v>
      </c>
      <c r="BX60" s="95" t="b">
        <v>1</v>
      </c>
      <c r="BY60" s="95" t="b">
        <v>1</v>
      </c>
      <c r="BZ60" s="95" t="b">
        <v>1</v>
      </c>
      <c r="CA60" s="95" t="b">
        <v>1</v>
      </c>
    </row>
    <row r="61" s="95" customFormat="1" ht="71" customHeight="1" spans="1:79">
      <c r="A61" s="14"/>
      <c r="B61" s="14"/>
      <c r="C61" s="15"/>
      <c r="D61" s="15"/>
      <c r="E61" s="16"/>
      <c r="F61" s="24"/>
      <c r="G61" s="15"/>
      <c r="H61" s="16"/>
      <c r="I61" s="23" t="s">
        <v>1217</v>
      </c>
      <c r="J61" s="16" t="s">
        <v>1218</v>
      </c>
      <c r="K61" s="15"/>
      <c r="L61" s="15"/>
      <c r="M61" s="15"/>
      <c r="N61" s="15"/>
      <c r="O61" s="15"/>
      <c r="P61" s="15"/>
      <c r="Q61" s="15" t="s">
        <v>36</v>
      </c>
      <c r="R61" s="15"/>
      <c r="S61" s="15"/>
      <c r="T61" s="15" t="s">
        <v>492</v>
      </c>
      <c r="U61" s="15"/>
      <c r="V61" s="16" t="s">
        <v>867</v>
      </c>
      <c r="W61" s="15" t="s">
        <v>1219</v>
      </c>
      <c r="X61" s="15" t="s">
        <v>474</v>
      </c>
      <c r="Y61" s="15" t="s">
        <v>473</v>
      </c>
      <c r="Z61" s="30"/>
      <c r="AA61" s="15" t="s">
        <v>474</v>
      </c>
      <c r="AB61" s="15" t="s">
        <v>473</v>
      </c>
      <c r="AC61" s="30"/>
      <c r="AD61" s="15"/>
      <c r="AE61" s="30"/>
      <c r="AF61" s="15"/>
      <c r="AG61" s="30"/>
      <c r="AH61" s="15" t="s">
        <v>476</v>
      </c>
      <c r="AI61" s="30" t="s">
        <v>476</v>
      </c>
      <c r="AJ61" s="15" t="s">
        <v>874</v>
      </c>
      <c r="AK61" s="15" t="s">
        <v>532</v>
      </c>
      <c r="AL61" s="1" t="s">
        <v>1064</v>
      </c>
      <c r="AM61" s="23" t="s">
        <v>470</v>
      </c>
      <c r="AN61" s="1"/>
      <c r="AO61" s="7"/>
      <c r="AP61" s="98"/>
      <c r="AQ61" s="95" t="b">
        <v>1</v>
      </c>
      <c r="AR61" s="95" t="b">
        <v>1</v>
      </c>
      <c r="AS61" s="95" t="b">
        <v>1</v>
      </c>
      <c r="AT61" s="95" t="b">
        <v>1</v>
      </c>
      <c r="AU61" s="95" t="b">
        <v>1</v>
      </c>
      <c r="AV61" s="95" t="b">
        <v>1</v>
      </c>
      <c r="AW61" s="95" t="b">
        <v>1</v>
      </c>
      <c r="AX61" s="95" t="b">
        <v>1</v>
      </c>
      <c r="AY61" s="95" t="b">
        <v>1</v>
      </c>
      <c r="AZ61" s="95" t="b">
        <v>1</v>
      </c>
      <c r="BA61" s="95" t="b">
        <v>1</v>
      </c>
      <c r="BB61" s="95" t="b">
        <v>1</v>
      </c>
      <c r="BC61" s="95" t="b">
        <v>1</v>
      </c>
      <c r="BD61" s="95" t="b">
        <v>1</v>
      </c>
      <c r="BE61" s="95" t="b">
        <v>1</v>
      </c>
      <c r="BF61" s="95" t="b">
        <v>1</v>
      </c>
      <c r="BG61" s="95" t="b">
        <v>1</v>
      </c>
      <c r="BH61" s="95" t="b">
        <v>1</v>
      </c>
      <c r="BI61" s="95" t="b">
        <v>1</v>
      </c>
      <c r="BJ61" s="95" t="b">
        <v>1</v>
      </c>
      <c r="BK61" s="95" t="b">
        <v>1</v>
      </c>
      <c r="BL61" s="95" t="b">
        <v>1</v>
      </c>
      <c r="BM61" s="95" t="b">
        <v>1</v>
      </c>
      <c r="BN61" s="95" t="b">
        <v>1</v>
      </c>
      <c r="BO61" s="95" t="b">
        <v>1</v>
      </c>
      <c r="BP61" s="95" t="b">
        <v>1</v>
      </c>
      <c r="BQ61" s="95" t="b">
        <v>1</v>
      </c>
      <c r="BR61" s="95" t="b">
        <v>1</v>
      </c>
      <c r="BS61" s="95" t="b">
        <v>1</v>
      </c>
      <c r="BT61" s="95" t="b">
        <v>1</v>
      </c>
      <c r="BU61" s="95" t="b">
        <v>1</v>
      </c>
      <c r="BV61" s="95" t="b">
        <v>1</v>
      </c>
      <c r="BW61" s="95" t="b">
        <v>1</v>
      </c>
      <c r="BX61" s="95" t="b">
        <v>1</v>
      </c>
      <c r="BY61" s="95" t="b">
        <v>1</v>
      </c>
      <c r="BZ61" s="95" t="b">
        <v>1</v>
      </c>
      <c r="CA61" s="95" t="b">
        <v>1</v>
      </c>
    </row>
    <row r="62" s="95" customFormat="1" ht="98" customHeight="1" spans="1:79">
      <c r="A62" s="14"/>
      <c r="B62" s="14"/>
      <c r="C62" s="15" t="s">
        <v>536</v>
      </c>
      <c r="D62" s="15" t="s">
        <v>875</v>
      </c>
      <c r="E62" s="16" t="s">
        <v>876</v>
      </c>
      <c r="F62" s="24"/>
      <c r="G62" s="15" t="s">
        <v>1220</v>
      </c>
      <c r="H62" s="16" t="s">
        <v>878</v>
      </c>
      <c r="I62" s="23" t="s">
        <v>1221</v>
      </c>
      <c r="J62" s="16" t="s">
        <v>1222</v>
      </c>
      <c r="K62" s="15"/>
      <c r="L62" s="15"/>
      <c r="M62" s="15"/>
      <c r="N62" s="15"/>
      <c r="O62" s="15"/>
      <c r="P62" s="15"/>
      <c r="Q62" s="15" t="s">
        <v>36</v>
      </c>
      <c r="R62" s="15" t="s">
        <v>36</v>
      </c>
      <c r="S62" s="15"/>
      <c r="T62" s="15" t="s">
        <v>465</v>
      </c>
      <c r="U62" s="15" t="s">
        <v>587</v>
      </c>
      <c r="V62" s="16" t="s">
        <v>882</v>
      </c>
      <c r="W62" s="35" t="s">
        <v>1372</v>
      </c>
      <c r="X62" s="15" t="s">
        <v>511</v>
      </c>
      <c r="Y62" s="15" t="s">
        <v>566</v>
      </c>
      <c r="Z62" s="30"/>
      <c r="AA62" s="15" t="s">
        <v>474</v>
      </c>
      <c r="AB62" s="15" t="s">
        <v>473</v>
      </c>
      <c r="AC62" s="30"/>
      <c r="AD62" s="15" t="s">
        <v>884</v>
      </c>
      <c r="AE62" s="15" t="s">
        <v>511</v>
      </c>
      <c r="AF62" s="15"/>
      <c r="AG62" s="30"/>
      <c r="AH62" s="15" t="s">
        <v>476</v>
      </c>
      <c r="AI62" s="15" t="s">
        <v>476</v>
      </c>
      <c r="AJ62" s="15" t="s">
        <v>874</v>
      </c>
      <c r="AK62" s="15" t="s">
        <v>532</v>
      </c>
      <c r="AL62" s="1" t="s">
        <v>1064</v>
      </c>
      <c r="AM62" s="23" t="s">
        <v>470</v>
      </c>
      <c r="AN62" s="1"/>
      <c r="AO62" s="7" t="s">
        <v>1045</v>
      </c>
      <c r="AP62" s="7" t="s">
        <v>1045</v>
      </c>
      <c r="AQ62" s="95" t="b">
        <v>1</v>
      </c>
      <c r="AR62" s="95" t="b">
        <v>1</v>
      </c>
      <c r="AS62" s="95" t="b">
        <v>1</v>
      </c>
      <c r="AT62" s="95" t="b">
        <v>1</v>
      </c>
      <c r="AU62" s="95" t="b">
        <v>1</v>
      </c>
      <c r="AV62" s="95" t="b">
        <v>1</v>
      </c>
      <c r="AW62" s="95" t="b">
        <v>1</v>
      </c>
      <c r="AX62" s="95" t="b">
        <v>1</v>
      </c>
      <c r="AY62" s="95" t="b">
        <v>1</v>
      </c>
      <c r="AZ62" s="95" t="b">
        <v>1</v>
      </c>
      <c r="BA62" s="95" t="b">
        <v>1</v>
      </c>
      <c r="BB62" s="95" t="b">
        <v>1</v>
      </c>
      <c r="BC62" s="95" t="b">
        <v>1</v>
      </c>
      <c r="BD62" s="95" t="b">
        <v>1</v>
      </c>
      <c r="BE62" s="95" t="b">
        <v>1</v>
      </c>
      <c r="BF62" s="95" t="b">
        <v>1</v>
      </c>
      <c r="BG62" s="95" t="b">
        <v>1</v>
      </c>
      <c r="BH62" s="95" t="b">
        <v>1</v>
      </c>
      <c r="BI62" s="95" t="b">
        <v>1</v>
      </c>
      <c r="BJ62" s="95" t="b">
        <v>1</v>
      </c>
      <c r="BK62" s="95" t="b">
        <v>1</v>
      </c>
      <c r="BL62" s="95" t="b">
        <v>1</v>
      </c>
      <c r="BM62" s="95" t="b">
        <v>0</v>
      </c>
      <c r="BN62" s="95" t="b">
        <v>1</v>
      </c>
      <c r="BO62" s="95" t="b">
        <v>1</v>
      </c>
      <c r="BP62" s="95" t="b">
        <v>1</v>
      </c>
      <c r="BQ62" s="95" t="b">
        <v>1</v>
      </c>
      <c r="BR62" s="95" t="b">
        <v>1</v>
      </c>
      <c r="BS62" s="95" t="b">
        <v>1</v>
      </c>
      <c r="BT62" s="95" t="b">
        <v>1</v>
      </c>
      <c r="BU62" s="95" t="b">
        <v>1</v>
      </c>
      <c r="BV62" s="95" t="b">
        <v>1</v>
      </c>
      <c r="BW62" s="95" t="b">
        <v>1</v>
      </c>
      <c r="BX62" s="95" t="b">
        <v>1</v>
      </c>
      <c r="BY62" s="95" t="b">
        <v>1</v>
      </c>
      <c r="BZ62" s="95" t="b">
        <v>1</v>
      </c>
      <c r="CA62" s="95" t="b">
        <v>1</v>
      </c>
    </row>
    <row r="63" s="95" customFormat="1" ht="75" customHeight="1" spans="1:79">
      <c r="A63" s="14"/>
      <c r="B63" s="14"/>
      <c r="C63" s="15"/>
      <c r="D63" s="15"/>
      <c r="E63" s="16"/>
      <c r="F63" s="24"/>
      <c r="G63" s="15"/>
      <c r="H63" s="16"/>
      <c r="I63" s="23" t="s">
        <v>1224</v>
      </c>
      <c r="J63" s="16" t="s">
        <v>1225</v>
      </c>
      <c r="K63" s="15"/>
      <c r="L63" s="15"/>
      <c r="M63" s="15"/>
      <c r="N63" s="15"/>
      <c r="O63" s="15"/>
      <c r="P63" s="15"/>
      <c r="Q63" s="15"/>
      <c r="R63" s="15"/>
      <c r="S63" s="15"/>
      <c r="T63" s="15" t="s">
        <v>492</v>
      </c>
      <c r="U63" s="15"/>
      <c r="V63" s="16" t="s">
        <v>887</v>
      </c>
      <c r="W63" s="35" t="s">
        <v>671</v>
      </c>
      <c r="X63" s="15" t="s">
        <v>511</v>
      </c>
      <c r="Y63" s="15" t="s">
        <v>566</v>
      </c>
      <c r="Z63" s="30"/>
      <c r="AA63" s="15" t="s">
        <v>474</v>
      </c>
      <c r="AB63" s="15" t="s">
        <v>473</v>
      </c>
      <c r="AC63" s="30"/>
      <c r="AD63" s="15"/>
      <c r="AE63" s="30"/>
      <c r="AF63" s="15"/>
      <c r="AG63" s="30"/>
      <c r="AH63" s="15" t="s">
        <v>476</v>
      </c>
      <c r="AI63" s="15" t="s">
        <v>610</v>
      </c>
      <c r="AJ63" s="15" t="s">
        <v>870</v>
      </c>
      <c r="AK63" s="15" t="s">
        <v>599</v>
      </c>
      <c r="AL63" s="1" t="s">
        <v>1064</v>
      </c>
      <c r="AM63" s="23" t="s">
        <v>1091</v>
      </c>
      <c r="AN63" s="1"/>
      <c r="AO63" s="7" t="s">
        <v>1045</v>
      </c>
      <c r="AP63" s="7" t="s">
        <v>1045</v>
      </c>
      <c r="AQ63" s="95" t="b">
        <v>1</v>
      </c>
      <c r="AR63" s="95" t="b">
        <v>1</v>
      </c>
      <c r="AS63" s="95" t="b">
        <v>1</v>
      </c>
      <c r="AT63" s="95" t="b">
        <v>1</v>
      </c>
      <c r="AU63" s="95" t="b">
        <v>1</v>
      </c>
      <c r="AV63" s="95" t="b">
        <v>1</v>
      </c>
      <c r="AW63" s="95" t="b">
        <v>1</v>
      </c>
      <c r="AX63" s="95" t="b">
        <v>1</v>
      </c>
      <c r="AY63" s="95" t="b">
        <v>1</v>
      </c>
      <c r="AZ63" s="95" t="b">
        <v>1</v>
      </c>
      <c r="BA63" s="95" t="b">
        <v>1</v>
      </c>
      <c r="BB63" s="95" t="b">
        <v>1</v>
      </c>
      <c r="BC63" s="95" t="b">
        <v>1</v>
      </c>
      <c r="BD63" s="95" t="b">
        <v>1</v>
      </c>
      <c r="BE63" s="95" t="b">
        <v>1</v>
      </c>
      <c r="BF63" s="95" t="b">
        <v>1</v>
      </c>
      <c r="BG63" s="95" t="b">
        <v>1</v>
      </c>
      <c r="BH63" s="95" t="b">
        <v>1</v>
      </c>
      <c r="BI63" s="95" t="b">
        <v>1</v>
      </c>
      <c r="BJ63" s="95" t="b">
        <v>1</v>
      </c>
      <c r="BK63" s="95" t="b">
        <v>1</v>
      </c>
      <c r="BL63" s="95" t="b">
        <v>1</v>
      </c>
      <c r="BM63" s="95" t="b">
        <v>0</v>
      </c>
      <c r="BN63" s="95" t="b">
        <v>1</v>
      </c>
      <c r="BO63" s="95" t="b">
        <v>1</v>
      </c>
      <c r="BP63" s="95" t="b">
        <v>1</v>
      </c>
      <c r="BQ63" s="95" t="b">
        <v>1</v>
      </c>
      <c r="BR63" s="95" t="b">
        <v>1</v>
      </c>
      <c r="BS63" s="95" t="b">
        <v>1</v>
      </c>
      <c r="BT63" s="95" t="b">
        <v>1</v>
      </c>
      <c r="BU63" s="95" t="b">
        <v>1</v>
      </c>
      <c r="BV63" s="95" t="b">
        <v>1</v>
      </c>
      <c r="BW63" s="95" t="b">
        <v>1</v>
      </c>
      <c r="BX63" s="95" t="b">
        <v>1</v>
      </c>
      <c r="BY63" s="95" t="b">
        <v>1</v>
      </c>
      <c r="BZ63" s="95" t="b">
        <v>1</v>
      </c>
      <c r="CA63" s="95" t="b">
        <v>1</v>
      </c>
    </row>
    <row r="64" s="95" customFormat="1" ht="85" customHeight="1" spans="1:79">
      <c r="A64" s="14"/>
      <c r="B64" s="14"/>
      <c r="C64" s="15"/>
      <c r="D64" s="15"/>
      <c r="E64" s="16"/>
      <c r="F64" s="24"/>
      <c r="G64" s="15"/>
      <c r="H64" s="16"/>
      <c r="I64" s="23" t="s">
        <v>1227</v>
      </c>
      <c r="J64" s="16" t="s">
        <v>1228</v>
      </c>
      <c r="K64" s="15"/>
      <c r="L64" s="15"/>
      <c r="M64" s="15"/>
      <c r="N64" s="15"/>
      <c r="O64" s="15"/>
      <c r="P64" s="15"/>
      <c r="Q64" s="15" t="s">
        <v>36</v>
      </c>
      <c r="R64" s="15"/>
      <c r="S64" s="15"/>
      <c r="T64" s="15" t="s">
        <v>492</v>
      </c>
      <c r="U64" s="15"/>
      <c r="V64" s="16" t="s">
        <v>887</v>
      </c>
      <c r="W64" s="35" t="s">
        <v>891</v>
      </c>
      <c r="X64" s="15" t="s">
        <v>511</v>
      </c>
      <c r="Y64" s="15" t="s">
        <v>566</v>
      </c>
      <c r="Z64" s="30"/>
      <c r="AA64" s="15" t="s">
        <v>474</v>
      </c>
      <c r="AB64" s="15" t="s">
        <v>473</v>
      </c>
      <c r="AC64" s="30"/>
      <c r="AD64" s="15"/>
      <c r="AE64" s="30"/>
      <c r="AF64" s="15"/>
      <c r="AG64" s="30"/>
      <c r="AH64" s="15" t="s">
        <v>476</v>
      </c>
      <c r="AI64" s="15" t="s">
        <v>476</v>
      </c>
      <c r="AJ64" s="15" t="s">
        <v>870</v>
      </c>
      <c r="AK64" s="15" t="s">
        <v>532</v>
      </c>
      <c r="AL64" s="1" t="s">
        <v>1064</v>
      </c>
      <c r="AM64" s="23" t="s">
        <v>470</v>
      </c>
      <c r="AN64" s="1"/>
      <c r="AO64" s="7" t="s">
        <v>1045</v>
      </c>
      <c r="AP64" s="7" t="s">
        <v>1045</v>
      </c>
      <c r="AQ64" s="95" t="b">
        <v>1</v>
      </c>
      <c r="AR64" s="95" t="b">
        <v>1</v>
      </c>
      <c r="AS64" s="95" t="b">
        <v>1</v>
      </c>
      <c r="AT64" s="95" t="b">
        <v>1</v>
      </c>
      <c r="AU64" s="95" t="b">
        <v>1</v>
      </c>
      <c r="AV64" s="95" t="b">
        <v>1</v>
      </c>
      <c r="AW64" s="95" t="b">
        <v>1</v>
      </c>
      <c r="AX64" s="95" t="b">
        <v>1</v>
      </c>
      <c r="AY64" s="95" t="b">
        <v>1</v>
      </c>
      <c r="AZ64" s="95" t="b">
        <v>1</v>
      </c>
      <c r="BA64" s="95" t="b">
        <v>1</v>
      </c>
      <c r="BB64" s="95" t="b">
        <v>1</v>
      </c>
      <c r="BC64" s="95" t="b">
        <v>1</v>
      </c>
      <c r="BD64" s="95" t="b">
        <v>1</v>
      </c>
      <c r="BE64" s="95" t="b">
        <v>1</v>
      </c>
      <c r="BF64" s="95" t="b">
        <v>1</v>
      </c>
      <c r="BG64" s="95" t="b">
        <v>1</v>
      </c>
      <c r="BH64" s="95" t="b">
        <v>1</v>
      </c>
      <c r="BI64" s="95" t="b">
        <v>1</v>
      </c>
      <c r="BJ64" s="95" t="b">
        <v>1</v>
      </c>
      <c r="BK64" s="95" t="b">
        <v>1</v>
      </c>
      <c r="BL64" s="95" t="b">
        <v>1</v>
      </c>
      <c r="BM64" s="95" t="b">
        <v>0</v>
      </c>
      <c r="BN64" s="95" t="b">
        <v>1</v>
      </c>
      <c r="BO64" s="95" t="b">
        <v>1</v>
      </c>
      <c r="BP64" s="95" t="b">
        <v>1</v>
      </c>
      <c r="BQ64" s="95" t="b">
        <v>1</v>
      </c>
      <c r="BR64" s="95" t="b">
        <v>1</v>
      </c>
      <c r="BS64" s="95" t="b">
        <v>1</v>
      </c>
      <c r="BT64" s="95" t="b">
        <v>1</v>
      </c>
      <c r="BU64" s="95" t="b">
        <v>1</v>
      </c>
      <c r="BV64" s="95" t="b">
        <v>1</v>
      </c>
      <c r="BW64" s="95" t="b">
        <v>1</v>
      </c>
      <c r="BX64" s="95" t="b">
        <v>1</v>
      </c>
      <c r="BY64" s="95" t="b">
        <v>1</v>
      </c>
      <c r="BZ64" s="95" t="b">
        <v>1</v>
      </c>
      <c r="CA64" s="95" t="b">
        <v>1</v>
      </c>
    </row>
    <row r="65" s="95" customFormat="1" ht="93" customHeight="1" spans="1:79">
      <c r="A65" s="14" t="s">
        <v>483</v>
      </c>
      <c r="B65" s="14" t="s">
        <v>833</v>
      </c>
      <c r="C65" s="15" t="s">
        <v>485</v>
      </c>
      <c r="D65" s="15" t="s">
        <v>892</v>
      </c>
      <c r="E65" s="16" t="s">
        <v>893</v>
      </c>
      <c r="F65" s="17" t="s">
        <v>894</v>
      </c>
      <c r="G65" s="15" t="s">
        <v>1229</v>
      </c>
      <c r="H65" s="16" t="s">
        <v>896</v>
      </c>
      <c r="I65" s="23" t="s">
        <v>1230</v>
      </c>
      <c r="J65" s="16" t="s">
        <v>1231</v>
      </c>
      <c r="K65" s="15"/>
      <c r="L65" s="15"/>
      <c r="M65" s="15"/>
      <c r="N65" s="15"/>
      <c r="O65" s="15"/>
      <c r="P65" s="15"/>
      <c r="Q65" s="15"/>
      <c r="R65" s="15" t="s">
        <v>36</v>
      </c>
      <c r="S65" s="15"/>
      <c r="T65" s="15" t="s">
        <v>492</v>
      </c>
      <c r="U65" s="15"/>
      <c r="V65" s="16" t="s">
        <v>899</v>
      </c>
      <c r="W65" s="126" t="s">
        <v>1373</v>
      </c>
      <c r="X65" s="15" t="s">
        <v>474</v>
      </c>
      <c r="Y65" s="15" t="s">
        <v>473</v>
      </c>
      <c r="Z65" s="30"/>
      <c r="AA65" s="15" t="s">
        <v>474</v>
      </c>
      <c r="AB65" s="15" t="s">
        <v>473</v>
      </c>
      <c r="AC65" s="30"/>
      <c r="AD65" s="15"/>
      <c r="AE65" s="30"/>
      <c r="AF65" s="15"/>
      <c r="AG65" s="30"/>
      <c r="AH65" s="15" t="s">
        <v>476</v>
      </c>
      <c r="AI65" s="15" t="s">
        <v>476</v>
      </c>
      <c r="AJ65" s="15" t="s">
        <v>901</v>
      </c>
      <c r="AK65" s="15" t="s">
        <v>673</v>
      </c>
      <c r="AL65" s="124" t="s">
        <v>1233</v>
      </c>
      <c r="AM65" s="23" t="s">
        <v>1091</v>
      </c>
      <c r="AN65" s="1"/>
      <c r="AO65" s="7" t="s">
        <v>1045</v>
      </c>
      <c r="AP65" s="7" t="s">
        <v>1045</v>
      </c>
      <c r="AQ65" s="95" t="b">
        <v>1</v>
      </c>
      <c r="AR65" s="95" t="b">
        <v>1</v>
      </c>
      <c r="AS65" s="95" t="b">
        <v>1</v>
      </c>
      <c r="AT65" s="95" t="b">
        <v>1</v>
      </c>
      <c r="AU65" s="95" t="b">
        <v>1</v>
      </c>
      <c r="AV65" s="95" t="b">
        <v>1</v>
      </c>
      <c r="AW65" s="95" t="b">
        <v>1</v>
      </c>
      <c r="AX65" s="95" t="b">
        <v>1</v>
      </c>
      <c r="AY65" s="95" t="b">
        <v>1</v>
      </c>
      <c r="AZ65" s="95" t="b">
        <v>1</v>
      </c>
      <c r="BA65" s="95" t="b">
        <v>1</v>
      </c>
      <c r="BB65" s="95" t="b">
        <v>1</v>
      </c>
      <c r="BC65" s="95" t="b">
        <v>1</v>
      </c>
      <c r="BD65" s="95" t="b">
        <v>1</v>
      </c>
      <c r="BE65" s="95" t="b">
        <v>1</v>
      </c>
      <c r="BF65" s="95" t="b">
        <v>1</v>
      </c>
      <c r="BG65" s="95" t="b">
        <v>1</v>
      </c>
      <c r="BH65" s="95" t="b">
        <v>1</v>
      </c>
      <c r="BI65" s="95" t="b">
        <v>1</v>
      </c>
      <c r="BJ65" s="95" t="b">
        <v>1</v>
      </c>
      <c r="BK65" s="95" t="b">
        <v>1</v>
      </c>
      <c r="BL65" s="95" t="b">
        <v>1</v>
      </c>
      <c r="BM65" s="95" t="b">
        <v>0</v>
      </c>
      <c r="BN65" s="95" t="b">
        <v>1</v>
      </c>
      <c r="BO65" s="95" t="b">
        <v>1</v>
      </c>
      <c r="BP65" s="95" t="b">
        <v>1</v>
      </c>
      <c r="BQ65" s="95" t="b">
        <v>1</v>
      </c>
      <c r="BR65" s="95" t="b">
        <v>1</v>
      </c>
      <c r="BS65" s="95" t="b">
        <v>1</v>
      </c>
      <c r="BT65" s="95" t="b">
        <v>1</v>
      </c>
      <c r="BU65" s="95" t="b">
        <v>1</v>
      </c>
      <c r="BV65" s="95" t="b">
        <v>1</v>
      </c>
      <c r="BW65" s="95" t="b">
        <v>1</v>
      </c>
      <c r="BX65" s="95" t="b">
        <v>1</v>
      </c>
      <c r="BY65" s="95" t="b">
        <v>1</v>
      </c>
      <c r="BZ65" s="95" t="b">
        <v>1</v>
      </c>
      <c r="CA65" s="95" t="b">
        <v>1</v>
      </c>
    </row>
    <row r="66" s="95" customFormat="1" ht="76" customHeight="1" spans="1:79">
      <c r="A66" s="14"/>
      <c r="B66" s="14"/>
      <c r="C66" s="15"/>
      <c r="D66" s="15"/>
      <c r="E66" s="16"/>
      <c r="F66" s="17"/>
      <c r="G66" s="15"/>
      <c r="H66" s="16"/>
      <c r="I66" s="23" t="s">
        <v>1234</v>
      </c>
      <c r="J66" s="31" t="s">
        <v>1235</v>
      </c>
      <c r="K66" s="15"/>
      <c r="L66" s="15"/>
      <c r="M66" s="15"/>
      <c r="N66" s="15"/>
      <c r="O66" s="15"/>
      <c r="P66" s="15"/>
      <c r="Q66" s="15" t="s">
        <v>36</v>
      </c>
      <c r="R66" s="15" t="s">
        <v>36</v>
      </c>
      <c r="S66" s="15"/>
      <c r="T66" s="15" t="s">
        <v>492</v>
      </c>
      <c r="U66" s="15"/>
      <c r="V66" s="16" t="s">
        <v>904</v>
      </c>
      <c r="W66" s="35" t="s">
        <v>891</v>
      </c>
      <c r="X66" s="15" t="s">
        <v>474</v>
      </c>
      <c r="Y66" s="15" t="s">
        <v>473</v>
      </c>
      <c r="Z66" s="30"/>
      <c r="AA66" s="15" t="s">
        <v>474</v>
      </c>
      <c r="AB66" s="15" t="s">
        <v>473</v>
      </c>
      <c r="AC66" s="30"/>
      <c r="AD66" s="15"/>
      <c r="AE66" s="30"/>
      <c r="AF66" s="15"/>
      <c r="AG66" s="30"/>
      <c r="AH66" s="15" t="s">
        <v>476</v>
      </c>
      <c r="AI66" s="15" t="s">
        <v>476</v>
      </c>
      <c r="AJ66" s="15"/>
      <c r="AK66" s="15"/>
      <c r="AL66" s="1" t="s">
        <v>1064</v>
      </c>
      <c r="AM66" s="23" t="s">
        <v>470</v>
      </c>
      <c r="AN66" s="1"/>
      <c r="AO66" s="7" t="s">
        <v>1045</v>
      </c>
      <c r="AP66" s="98" t="s">
        <v>1059</v>
      </c>
      <c r="AQ66" s="95" t="b">
        <v>1</v>
      </c>
      <c r="AR66" s="95" t="b">
        <v>1</v>
      </c>
      <c r="AS66" s="95" t="b">
        <v>1</v>
      </c>
      <c r="AT66" s="95" t="b">
        <v>1</v>
      </c>
      <c r="AU66" s="95" t="b">
        <v>1</v>
      </c>
      <c r="AV66" s="95" t="b">
        <v>1</v>
      </c>
      <c r="AW66" s="95" t="b">
        <v>1</v>
      </c>
      <c r="AX66" s="95" t="b">
        <v>1</v>
      </c>
      <c r="AY66" s="95" t="b">
        <v>1</v>
      </c>
      <c r="AZ66" s="95" t="b">
        <v>0</v>
      </c>
      <c r="BA66" s="95" t="b">
        <v>1</v>
      </c>
      <c r="BB66" s="95" t="b">
        <v>1</v>
      </c>
      <c r="BC66" s="95" t="b">
        <v>1</v>
      </c>
      <c r="BD66" s="95" t="b">
        <v>1</v>
      </c>
      <c r="BE66" s="95" t="b">
        <v>1</v>
      </c>
      <c r="BF66" s="95" t="b">
        <v>1</v>
      </c>
      <c r="BG66" s="95" t="b">
        <v>1</v>
      </c>
      <c r="BH66" s="95" t="b">
        <v>1</v>
      </c>
      <c r="BI66" s="95" t="b">
        <v>1</v>
      </c>
      <c r="BJ66" s="95" t="b">
        <v>1</v>
      </c>
      <c r="BK66" s="95" t="b">
        <v>1</v>
      </c>
      <c r="BL66" s="95" t="b">
        <v>1</v>
      </c>
      <c r="BM66" s="95" t="b">
        <v>0</v>
      </c>
      <c r="BN66" s="95" t="b">
        <v>1</v>
      </c>
      <c r="BO66" s="95" t="b">
        <v>1</v>
      </c>
      <c r="BP66" s="95" t="b">
        <v>1</v>
      </c>
      <c r="BQ66" s="95" t="b">
        <v>1</v>
      </c>
      <c r="BR66" s="95" t="b">
        <v>1</v>
      </c>
      <c r="BS66" s="95" t="b">
        <v>1</v>
      </c>
      <c r="BT66" s="95" t="b">
        <v>1</v>
      </c>
      <c r="BU66" s="95" t="b">
        <v>1</v>
      </c>
      <c r="BV66" s="95" t="b">
        <v>1</v>
      </c>
      <c r="BW66" s="95" t="b">
        <v>1</v>
      </c>
      <c r="BX66" s="95" t="b">
        <v>1</v>
      </c>
      <c r="BY66" s="95" t="b">
        <v>1</v>
      </c>
      <c r="BZ66" s="95" t="b">
        <v>1</v>
      </c>
      <c r="CA66" s="95" t="b">
        <v>1</v>
      </c>
    </row>
    <row r="67" s="95" customFormat="1" ht="69" customHeight="1" spans="1:79">
      <c r="A67" s="14"/>
      <c r="B67" s="14"/>
      <c r="C67" s="15"/>
      <c r="D67" s="15"/>
      <c r="E67" s="16"/>
      <c r="F67" s="17"/>
      <c r="G67" s="15"/>
      <c r="H67" s="16"/>
      <c r="I67" s="23" t="s">
        <v>1236</v>
      </c>
      <c r="J67" s="16" t="s">
        <v>1237</v>
      </c>
      <c r="K67" s="15"/>
      <c r="L67" s="15"/>
      <c r="M67" s="15"/>
      <c r="N67" s="15"/>
      <c r="O67" s="15"/>
      <c r="P67" s="15"/>
      <c r="Q67" s="15"/>
      <c r="R67" s="15" t="s">
        <v>36</v>
      </c>
      <c r="S67" s="15"/>
      <c r="T67" s="15" t="s">
        <v>492</v>
      </c>
      <c r="U67" s="15"/>
      <c r="V67" s="16" t="s">
        <v>899</v>
      </c>
      <c r="W67" s="35" t="s">
        <v>907</v>
      </c>
      <c r="X67" s="15" t="s">
        <v>474</v>
      </c>
      <c r="Y67" s="15" t="s">
        <v>473</v>
      </c>
      <c r="Z67" s="30"/>
      <c r="AA67" s="15" t="s">
        <v>474</v>
      </c>
      <c r="AB67" s="15" t="s">
        <v>473</v>
      </c>
      <c r="AC67" s="30"/>
      <c r="AD67" s="15"/>
      <c r="AE67" s="30"/>
      <c r="AF67" s="15"/>
      <c r="AG67" s="30"/>
      <c r="AH67" s="15" t="s">
        <v>476</v>
      </c>
      <c r="AI67" s="15" t="s">
        <v>476</v>
      </c>
      <c r="AJ67" s="15" t="s">
        <v>908</v>
      </c>
      <c r="AK67" s="15"/>
      <c r="AL67" s="1" t="s">
        <v>1064</v>
      </c>
      <c r="AM67" s="23" t="s">
        <v>1091</v>
      </c>
      <c r="AN67" s="1"/>
      <c r="AO67" s="7" t="s">
        <v>1045</v>
      </c>
      <c r="AP67" s="7" t="s">
        <v>1045</v>
      </c>
      <c r="AQ67" s="95" t="b">
        <v>1</v>
      </c>
      <c r="AR67" s="95" t="b">
        <v>1</v>
      </c>
      <c r="AS67" s="95" t="b">
        <v>1</v>
      </c>
      <c r="AT67" s="95" t="b">
        <v>1</v>
      </c>
      <c r="AU67" s="95" t="b">
        <v>1</v>
      </c>
      <c r="AV67" s="95" t="b">
        <v>1</v>
      </c>
      <c r="AW67" s="95" t="b">
        <v>1</v>
      </c>
      <c r="AX67" s="95" t="b">
        <v>1</v>
      </c>
      <c r="AY67" s="95" t="b">
        <v>1</v>
      </c>
      <c r="AZ67" s="95" t="b">
        <v>1</v>
      </c>
      <c r="BA67" s="95" t="b">
        <v>1</v>
      </c>
      <c r="BB67" s="95" t="b">
        <v>1</v>
      </c>
      <c r="BC67" s="95" t="b">
        <v>1</v>
      </c>
      <c r="BD67" s="95" t="b">
        <v>1</v>
      </c>
      <c r="BE67" s="95" t="b">
        <v>1</v>
      </c>
      <c r="BF67" s="95" t="b">
        <v>1</v>
      </c>
      <c r="BG67" s="95" t="b">
        <v>1</v>
      </c>
      <c r="BH67" s="95" t="b">
        <v>1</v>
      </c>
      <c r="BI67" s="95" t="b">
        <v>1</v>
      </c>
      <c r="BJ67" s="95" t="b">
        <v>1</v>
      </c>
      <c r="BK67" s="95" t="b">
        <v>1</v>
      </c>
      <c r="BL67" s="95" t="b">
        <v>1</v>
      </c>
      <c r="BM67" s="95" t="b">
        <v>0</v>
      </c>
      <c r="BN67" s="95" t="b">
        <v>1</v>
      </c>
      <c r="BO67" s="95" t="b">
        <v>1</v>
      </c>
      <c r="BP67" s="95" t="b">
        <v>1</v>
      </c>
      <c r="BQ67" s="95" t="b">
        <v>1</v>
      </c>
      <c r="BR67" s="95" t="b">
        <v>1</v>
      </c>
      <c r="BS67" s="95" t="b">
        <v>1</v>
      </c>
      <c r="BT67" s="95" t="b">
        <v>1</v>
      </c>
      <c r="BU67" s="95" t="b">
        <v>1</v>
      </c>
      <c r="BV67" s="95" t="b">
        <v>1</v>
      </c>
      <c r="BW67" s="95" t="b">
        <v>1</v>
      </c>
      <c r="BX67" s="95" t="b">
        <v>1</v>
      </c>
      <c r="BY67" s="95" t="b">
        <v>1</v>
      </c>
      <c r="BZ67" s="95" t="b">
        <v>1</v>
      </c>
      <c r="CA67" s="95" t="b">
        <v>1</v>
      </c>
    </row>
    <row r="68" s="95" customFormat="1" ht="117" customHeight="1" spans="1:79">
      <c r="A68" s="14"/>
      <c r="B68" s="14"/>
      <c r="C68" s="15" t="s">
        <v>485</v>
      </c>
      <c r="D68" s="15" t="s">
        <v>909</v>
      </c>
      <c r="E68" s="16" t="s">
        <v>910</v>
      </c>
      <c r="F68" s="24"/>
      <c r="G68" s="15" t="s">
        <v>1238</v>
      </c>
      <c r="H68" s="16" t="s">
        <v>912</v>
      </c>
      <c r="I68" s="23" t="s">
        <v>1239</v>
      </c>
      <c r="J68" s="16" t="s">
        <v>1240</v>
      </c>
      <c r="K68" s="15"/>
      <c r="L68" s="15"/>
      <c r="M68" s="15"/>
      <c r="N68" s="15"/>
      <c r="O68" s="15"/>
      <c r="P68" s="15"/>
      <c r="Q68" s="15"/>
      <c r="R68" s="15" t="s">
        <v>36</v>
      </c>
      <c r="S68" s="15"/>
      <c r="T68" s="15" t="s">
        <v>492</v>
      </c>
      <c r="U68" s="15"/>
      <c r="V68" s="16" t="s">
        <v>1241</v>
      </c>
      <c r="W68" s="35" t="s">
        <v>1374</v>
      </c>
      <c r="X68" s="15" t="s">
        <v>474</v>
      </c>
      <c r="Y68" s="15" t="s">
        <v>473</v>
      </c>
      <c r="Z68" s="15"/>
      <c r="AA68" s="15" t="s">
        <v>474</v>
      </c>
      <c r="AB68" s="15" t="s">
        <v>473</v>
      </c>
      <c r="AC68" s="15"/>
      <c r="AD68" s="15"/>
      <c r="AE68" s="15"/>
      <c r="AF68" s="15"/>
      <c r="AG68" s="30"/>
      <c r="AH68" s="15" t="s">
        <v>476</v>
      </c>
      <c r="AI68" s="15" t="s">
        <v>476</v>
      </c>
      <c r="AJ68" s="15" t="s">
        <v>917</v>
      </c>
      <c r="AK68" s="15" t="s">
        <v>673</v>
      </c>
      <c r="AL68" s="23" t="s">
        <v>1204</v>
      </c>
      <c r="AM68" s="23" t="s">
        <v>1091</v>
      </c>
      <c r="AN68" s="1"/>
      <c r="AO68" s="7" t="s">
        <v>1045</v>
      </c>
      <c r="AP68" s="7" t="s">
        <v>1045</v>
      </c>
      <c r="AQ68" s="95" t="b">
        <v>1</v>
      </c>
      <c r="AR68" s="95" t="b">
        <v>1</v>
      </c>
      <c r="AS68" s="95" t="b">
        <v>1</v>
      </c>
      <c r="AT68" s="95" t="b">
        <v>1</v>
      </c>
      <c r="AU68" s="95" t="b">
        <v>1</v>
      </c>
      <c r="AV68" s="95" t="b">
        <v>1</v>
      </c>
      <c r="AW68" s="95" t="b">
        <v>1</v>
      </c>
      <c r="AX68" s="95" t="b">
        <v>1</v>
      </c>
      <c r="AY68" s="95" t="b">
        <v>1</v>
      </c>
      <c r="AZ68" s="95" t="b">
        <v>1</v>
      </c>
      <c r="BA68" s="95" t="b">
        <v>1</v>
      </c>
      <c r="BB68" s="95" t="b">
        <v>1</v>
      </c>
      <c r="BC68" s="95" t="b">
        <v>1</v>
      </c>
      <c r="BD68" s="95" t="b">
        <v>1</v>
      </c>
      <c r="BE68" s="95" t="b">
        <v>1</v>
      </c>
      <c r="BF68" s="95" t="b">
        <v>1</v>
      </c>
      <c r="BG68" s="95" t="b">
        <v>1</v>
      </c>
      <c r="BH68" s="95" t="b">
        <v>1</v>
      </c>
      <c r="BI68" s="95" t="b">
        <v>1</v>
      </c>
      <c r="BJ68" s="95" t="b">
        <v>1</v>
      </c>
      <c r="BK68" s="95" t="b">
        <v>1</v>
      </c>
      <c r="BL68" s="95" t="b">
        <v>1</v>
      </c>
      <c r="BM68" s="95" t="b">
        <v>0</v>
      </c>
      <c r="BN68" s="95" t="b">
        <v>1</v>
      </c>
      <c r="BO68" s="95" t="b">
        <v>1</v>
      </c>
      <c r="BP68" s="95" t="b">
        <v>1</v>
      </c>
      <c r="BQ68" s="95" t="b">
        <v>1</v>
      </c>
      <c r="BR68" s="95" t="b">
        <v>1</v>
      </c>
      <c r="BS68" s="95" t="b">
        <v>1</v>
      </c>
      <c r="BT68" s="95" t="b">
        <v>1</v>
      </c>
      <c r="BU68" s="95" t="b">
        <v>1</v>
      </c>
      <c r="BV68" s="95" t="b">
        <v>1</v>
      </c>
      <c r="BW68" s="95" t="b">
        <v>1</v>
      </c>
      <c r="BX68" s="95" t="b">
        <v>1</v>
      </c>
      <c r="BY68" s="95" t="b">
        <v>1</v>
      </c>
      <c r="BZ68" s="95" t="b">
        <v>1</v>
      </c>
      <c r="CA68" s="95" t="b">
        <v>1</v>
      </c>
    </row>
    <row r="69" s="95" customFormat="1" ht="167" customHeight="1" spans="1:79">
      <c r="A69" s="14"/>
      <c r="B69" s="14"/>
      <c r="C69" s="15"/>
      <c r="D69" s="15"/>
      <c r="E69" s="16"/>
      <c r="F69" s="24"/>
      <c r="G69" s="15"/>
      <c r="H69" s="16"/>
      <c r="I69" s="23" t="s">
        <v>1243</v>
      </c>
      <c r="J69" s="109" t="s">
        <v>1346</v>
      </c>
      <c r="K69" s="15"/>
      <c r="L69" s="15"/>
      <c r="M69" s="15"/>
      <c r="N69" s="15"/>
      <c r="O69" s="15"/>
      <c r="P69" s="15"/>
      <c r="Q69" s="15" t="s">
        <v>36</v>
      </c>
      <c r="R69" s="15" t="s">
        <v>36</v>
      </c>
      <c r="S69" s="15"/>
      <c r="T69" s="15" t="s">
        <v>492</v>
      </c>
      <c r="U69" s="15"/>
      <c r="V69" s="16" t="s">
        <v>920</v>
      </c>
      <c r="W69" s="31" t="s">
        <v>1375</v>
      </c>
      <c r="X69" s="15"/>
      <c r="Y69" s="15"/>
      <c r="Z69" s="15"/>
      <c r="AA69" s="15"/>
      <c r="AB69" s="15"/>
      <c r="AC69" s="15"/>
      <c r="AD69" s="15"/>
      <c r="AE69" s="15"/>
      <c r="AF69" s="15"/>
      <c r="AG69" s="30"/>
      <c r="AH69" s="15"/>
      <c r="AI69" s="15"/>
      <c r="AJ69" s="15"/>
      <c r="AK69" s="15"/>
      <c r="AL69" s="23" t="s">
        <v>1204</v>
      </c>
      <c r="AM69" s="23" t="s">
        <v>1246</v>
      </c>
      <c r="AN69" s="1"/>
      <c r="AO69" s="7" t="s">
        <v>1059</v>
      </c>
      <c r="AP69" s="7" t="s">
        <v>1059</v>
      </c>
      <c r="AQ69" s="95" t="b">
        <v>1</v>
      </c>
      <c r="AR69" s="95" t="b">
        <v>1</v>
      </c>
      <c r="AS69" s="95" t="b">
        <v>1</v>
      </c>
      <c r="AT69" s="95" t="b">
        <v>1</v>
      </c>
      <c r="AU69" s="95" t="b">
        <v>1</v>
      </c>
      <c r="AV69" s="95" t="b">
        <v>1</v>
      </c>
      <c r="AW69" s="95" t="b">
        <v>1</v>
      </c>
      <c r="AX69" s="95" t="b">
        <v>1</v>
      </c>
      <c r="AY69" s="95" t="b">
        <v>1</v>
      </c>
      <c r="AZ69" s="95" t="b">
        <v>0</v>
      </c>
      <c r="BA69" s="95" t="b">
        <v>1</v>
      </c>
      <c r="BB69" s="95" t="b">
        <v>1</v>
      </c>
      <c r="BC69" s="95" t="b">
        <v>1</v>
      </c>
      <c r="BD69" s="95" t="b">
        <v>1</v>
      </c>
      <c r="BE69" s="95" t="b">
        <v>1</v>
      </c>
      <c r="BF69" s="95" t="b">
        <v>1</v>
      </c>
      <c r="BG69" s="95" t="b">
        <v>1</v>
      </c>
      <c r="BH69" s="95" t="b">
        <v>1</v>
      </c>
      <c r="BI69" s="95" t="b">
        <v>1</v>
      </c>
      <c r="BJ69" s="95" t="b">
        <v>1</v>
      </c>
      <c r="BK69" s="95" t="b">
        <v>1</v>
      </c>
      <c r="BL69" s="95" t="b">
        <v>1</v>
      </c>
      <c r="BM69" s="95" t="b">
        <v>0</v>
      </c>
      <c r="BN69" s="95" t="b">
        <v>1</v>
      </c>
      <c r="BO69" s="95" t="b">
        <v>1</v>
      </c>
      <c r="BP69" s="95" t="b">
        <v>1</v>
      </c>
      <c r="BQ69" s="95" t="b">
        <v>1</v>
      </c>
      <c r="BR69" s="95" t="b">
        <v>1</v>
      </c>
      <c r="BS69" s="95" t="b">
        <v>1</v>
      </c>
      <c r="BT69" s="95" t="b">
        <v>1</v>
      </c>
      <c r="BU69" s="95" t="b">
        <v>1</v>
      </c>
      <c r="BV69" s="95" t="b">
        <v>1</v>
      </c>
      <c r="BW69" s="95" t="b">
        <v>1</v>
      </c>
      <c r="BX69" s="95" t="b">
        <v>1</v>
      </c>
      <c r="BY69" s="95" t="b">
        <v>1</v>
      </c>
      <c r="BZ69" s="95" t="b">
        <v>1</v>
      </c>
      <c r="CA69" s="95" t="b">
        <v>1</v>
      </c>
    </row>
    <row r="70" s="95" customFormat="1" ht="79" customHeight="1" spans="1:79">
      <c r="A70" s="14"/>
      <c r="B70" s="14" t="s">
        <v>922</v>
      </c>
      <c r="C70" s="15" t="s">
        <v>485</v>
      </c>
      <c r="D70" s="15" t="s">
        <v>923</v>
      </c>
      <c r="E70" s="16" t="s">
        <v>924</v>
      </c>
      <c r="F70" s="24"/>
      <c r="G70" s="15" t="s">
        <v>1247</v>
      </c>
      <c r="H70" s="16" t="s">
        <v>926</v>
      </c>
      <c r="I70" s="23" t="s">
        <v>1248</v>
      </c>
      <c r="J70" s="16" t="s">
        <v>1249</v>
      </c>
      <c r="K70" s="15"/>
      <c r="L70" s="15" t="s">
        <v>36</v>
      </c>
      <c r="M70" s="15"/>
      <c r="N70" s="15"/>
      <c r="O70" s="15"/>
      <c r="P70" s="15"/>
      <c r="Q70" s="15"/>
      <c r="R70" s="15"/>
      <c r="S70" s="15"/>
      <c r="T70" s="15" t="s">
        <v>492</v>
      </c>
      <c r="U70" s="15"/>
      <c r="V70" s="16" t="s">
        <v>929</v>
      </c>
      <c r="W70" s="35" t="s">
        <v>930</v>
      </c>
      <c r="X70" s="15" t="s">
        <v>474</v>
      </c>
      <c r="Y70" s="15" t="s">
        <v>473</v>
      </c>
      <c r="Z70" s="30"/>
      <c r="AA70" s="15" t="s">
        <v>474</v>
      </c>
      <c r="AB70" s="15" t="s">
        <v>473</v>
      </c>
      <c r="AC70" s="30"/>
      <c r="AD70" s="15"/>
      <c r="AE70" s="15"/>
      <c r="AF70" s="15"/>
      <c r="AG70" s="30"/>
      <c r="AH70" s="15" t="s">
        <v>476</v>
      </c>
      <c r="AI70" s="15" t="s">
        <v>476</v>
      </c>
      <c r="AJ70" s="15" t="s">
        <v>931</v>
      </c>
      <c r="AK70" s="15" t="s">
        <v>673</v>
      </c>
      <c r="AL70" s="1" t="s">
        <v>1064</v>
      </c>
      <c r="AM70" s="23" t="s">
        <v>1091</v>
      </c>
      <c r="AN70" s="1"/>
      <c r="AO70" s="7" t="s">
        <v>1250</v>
      </c>
      <c r="AP70" s="7" t="s">
        <v>1250</v>
      </c>
      <c r="AQ70" s="95" t="b">
        <v>1</v>
      </c>
      <c r="AR70" s="95" t="b">
        <v>1</v>
      </c>
      <c r="AS70" s="95" t="b">
        <v>1</v>
      </c>
      <c r="AT70" s="95" t="b">
        <v>1</v>
      </c>
      <c r="AU70" s="95" t="b">
        <v>1</v>
      </c>
      <c r="AV70" s="95" t="b">
        <v>1</v>
      </c>
      <c r="AW70" s="95" t="b">
        <v>1</v>
      </c>
      <c r="AX70" s="95" t="b">
        <v>0</v>
      </c>
      <c r="AY70" s="95" t="b">
        <v>1</v>
      </c>
      <c r="AZ70" s="95" t="b">
        <v>1</v>
      </c>
      <c r="BA70" s="95" t="b">
        <v>1</v>
      </c>
      <c r="BB70" s="95" t="b">
        <v>1</v>
      </c>
      <c r="BC70" s="95" t="b">
        <v>1</v>
      </c>
      <c r="BD70" s="95" t="b">
        <v>1</v>
      </c>
      <c r="BE70" s="95" t="b">
        <v>1</v>
      </c>
      <c r="BF70" s="95" t="b">
        <v>1</v>
      </c>
      <c r="BG70" s="95" t="b">
        <v>1</v>
      </c>
      <c r="BH70" s="95" t="b">
        <v>1</v>
      </c>
      <c r="BI70" s="95" t="b">
        <v>1</v>
      </c>
      <c r="BJ70" s="95" t="b">
        <v>1</v>
      </c>
      <c r="BK70" s="95" t="b">
        <v>1</v>
      </c>
      <c r="BL70" s="95" t="b">
        <v>1</v>
      </c>
      <c r="BM70" s="95" t="b">
        <v>0</v>
      </c>
      <c r="BN70" s="95" t="b">
        <v>1</v>
      </c>
      <c r="BO70" s="95" t="b">
        <v>1</v>
      </c>
      <c r="BP70" s="95" t="b">
        <v>1</v>
      </c>
      <c r="BQ70" s="95" t="b">
        <v>1</v>
      </c>
      <c r="BR70" s="95" t="b">
        <v>1</v>
      </c>
      <c r="BS70" s="95" t="b">
        <v>1</v>
      </c>
      <c r="BT70" s="95" t="b">
        <v>1</v>
      </c>
      <c r="BU70" s="95" t="b">
        <v>1</v>
      </c>
      <c r="BV70" s="95" t="b">
        <v>1</v>
      </c>
      <c r="BW70" s="95" t="b">
        <v>1</v>
      </c>
      <c r="BX70" s="95" t="b">
        <v>1</v>
      </c>
      <c r="BY70" s="95" t="b">
        <v>1</v>
      </c>
      <c r="BZ70" s="95" t="b">
        <v>0</v>
      </c>
      <c r="CA70" s="95" t="b">
        <v>1</v>
      </c>
    </row>
    <row r="71" s="95" customFormat="1" ht="59" customHeight="1" spans="1:79">
      <c r="A71" s="14"/>
      <c r="B71" s="14"/>
      <c r="C71" s="15"/>
      <c r="D71" s="15"/>
      <c r="E71" s="16"/>
      <c r="F71" s="24"/>
      <c r="G71" s="15"/>
      <c r="H71" s="16"/>
      <c r="I71" s="23" t="s">
        <v>1251</v>
      </c>
      <c r="J71" s="16" t="s">
        <v>1252</v>
      </c>
      <c r="K71" s="15"/>
      <c r="L71" s="15"/>
      <c r="M71" s="15"/>
      <c r="N71" s="15"/>
      <c r="O71" s="15"/>
      <c r="P71" s="15"/>
      <c r="Q71" s="15"/>
      <c r="R71" s="15"/>
      <c r="S71" s="15"/>
      <c r="T71" s="15" t="s">
        <v>492</v>
      </c>
      <c r="U71" s="15"/>
      <c r="V71" s="16" t="s">
        <v>934</v>
      </c>
      <c r="W71" s="35" t="s">
        <v>705</v>
      </c>
      <c r="X71" s="15" t="s">
        <v>474</v>
      </c>
      <c r="Y71" s="15" t="s">
        <v>473</v>
      </c>
      <c r="Z71" s="30"/>
      <c r="AA71" s="15" t="s">
        <v>474</v>
      </c>
      <c r="AB71" s="15" t="s">
        <v>473</v>
      </c>
      <c r="AC71" s="30"/>
      <c r="AD71" s="15"/>
      <c r="AE71" s="15"/>
      <c r="AF71" s="15"/>
      <c r="AG71" s="30"/>
      <c r="AH71" s="15" t="s">
        <v>476</v>
      </c>
      <c r="AI71" s="15" t="s">
        <v>476</v>
      </c>
      <c r="AJ71" s="15" t="s">
        <v>935</v>
      </c>
      <c r="AK71" s="15"/>
      <c r="AL71" s="1" t="s">
        <v>1064</v>
      </c>
      <c r="AM71" s="23" t="s">
        <v>1091</v>
      </c>
      <c r="AN71" s="1"/>
      <c r="AO71" s="7" t="s">
        <v>1045</v>
      </c>
      <c r="AP71" s="7" t="s">
        <v>1045</v>
      </c>
      <c r="AQ71" s="95" t="b">
        <v>1</v>
      </c>
      <c r="AR71" s="95" t="b">
        <v>1</v>
      </c>
      <c r="AS71" s="95" t="b">
        <v>1</v>
      </c>
      <c r="AT71" s="95" t="b">
        <v>1</v>
      </c>
      <c r="AU71" s="95" t="b">
        <v>1</v>
      </c>
      <c r="AV71" s="95" t="b">
        <v>1</v>
      </c>
      <c r="AW71" s="95" t="b">
        <v>1</v>
      </c>
      <c r="AX71" s="95" t="b">
        <v>1</v>
      </c>
      <c r="AY71" s="95" t="b">
        <v>1</v>
      </c>
      <c r="AZ71" s="95" t="b">
        <v>1</v>
      </c>
      <c r="BA71" s="95" t="b">
        <v>1</v>
      </c>
      <c r="BB71" s="95" t="b">
        <v>1</v>
      </c>
      <c r="BC71" s="95" t="b">
        <v>1</v>
      </c>
      <c r="BD71" s="95" t="b">
        <v>1</v>
      </c>
      <c r="BE71" s="95" t="b">
        <v>1</v>
      </c>
      <c r="BF71" s="95" t="b">
        <v>1</v>
      </c>
      <c r="BG71" s="95" t="b">
        <v>1</v>
      </c>
      <c r="BH71" s="95" t="b">
        <v>1</v>
      </c>
      <c r="BI71" s="95" t="b">
        <v>1</v>
      </c>
      <c r="BJ71" s="95" t="b">
        <v>1</v>
      </c>
      <c r="BK71" s="95" t="b">
        <v>1</v>
      </c>
      <c r="BL71" s="95" t="b">
        <v>1</v>
      </c>
      <c r="BM71" s="95" t="b">
        <v>0</v>
      </c>
      <c r="BN71" s="95" t="b">
        <v>1</v>
      </c>
      <c r="BO71" s="95" t="b">
        <v>1</v>
      </c>
      <c r="BP71" s="95" t="b">
        <v>1</v>
      </c>
      <c r="BQ71" s="95" t="b">
        <v>1</v>
      </c>
      <c r="BR71" s="95" t="b">
        <v>1</v>
      </c>
      <c r="BS71" s="95" t="b">
        <v>1</v>
      </c>
      <c r="BT71" s="95" t="b">
        <v>1</v>
      </c>
      <c r="BU71" s="95" t="b">
        <v>1</v>
      </c>
      <c r="BV71" s="95" t="b">
        <v>1</v>
      </c>
      <c r="BW71" s="95" t="b">
        <v>1</v>
      </c>
      <c r="BX71" s="95" t="b">
        <v>1</v>
      </c>
      <c r="BY71" s="95" t="b">
        <v>1</v>
      </c>
      <c r="BZ71" s="95" t="b">
        <v>1</v>
      </c>
      <c r="CA71" s="95" t="b">
        <v>1</v>
      </c>
    </row>
    <row r="72" s="95" customFormat="1" ht="104" customHeight="1" spans="1:79">
      <c r="A72" s="14"/>
      <c r="B72" s="14"/>
      <c r="C72" s="15"/>
      <c r="D72" s="15"/>
      <c r="E72" s="16"/>
      <c r="F72" s="24"/>
      <c r="G72" s="15"/>
      <c r="H72" s="16"/>
      <c r="I72" s="23" t="s">
        <v>1253</v>
      </c>
      <c r="J72" s="16" t="s">
        <v>1254</v>
      </c>
      <c r="K72" s="15"/>
      <c r="L72" s="15"/>
      <c r="M72" s="15"/>
      <c r="N72" s="15"/>
      <c r="O72" s="15"/>
      <c r="P72" s="15"/>
      <c r="Q72" s="15" t="s">
        <v>36</v>
      </c>
      <c r="R72" s="15"/>
      <c r="S72" s="15"/>
      <c r="T72" s="15" t="s">
        <v>492</v>
      </c>
      <c r="U72" s="15"/>
      <c r="V72" s="16" t="s">
        <v>938</v>
      </c>
      <c r="W72" s="35" t="s">
        <v>891</v>
      </c>
      <c r="X72" s="15" t="s">
        <v>474</v>
      </c>
      <c r="Y72" s="15" t="s">
        <v>473</v>
      </c>
      <c r="Z72" s="30"/>
      <c r="AA72" s="15" t="s">
        <v>474</v>
      </c>
      <c r="AB72" s="15" t="s">
        <v>473</v>
      </c>
      <c r="AC72" s="30"/>
      <c r="AD72" s="15"/>
      <c r="AE72" s="15"/>
      <c r="AF72" s="15"/>
      <c r="AG72" s="30"/>
      <c r="AH72" s="15" t="s">
        <v>476</v>
      </c>
      <c r="AI72" s="15" t="s">
        <v>476</v>
      </c>
      <c r="AJ72" s="15" t="s">
        <v>935</v>
      </c>
      <c r="AK72" s="15"/>
      <c r="AL72" s="1" t="s">
        <v>1064</v>
      </c>
      <c r="AM72" s="23" t="s">
        <v>1102</v>
      </c>
      <c r="AN72" s="1"/>
      <c r="AO72" s="7" t="s">
        <v>1045</v>
      </c>
      <c r="AP72" s="7" t="s">
        <v>1045</v>
      </c>
      <c r="AQ72" s="95" t="b">
        <v>1</v>
      </c>
      <c r="AR72" s="95" t="b">
        <v>1</v>
      </c>
      <c r="AS72" s="95" t="b">
        <v>1</v>
      </c>
      <c r="AT72" s="95" t="b">
        <v>1</v>
      </c>
      <c r="AU72" s="95" t="b">
        <v>1</v>
      </c>
      <c r="AV72" s="95" t="b">
        <v>1</v>
      </c>
      <c r="AW72" s="95" t="b">
        <v>1</v>
      </c>
      <c r="AX72" s="95" t="b">
        <v>1</v>
      </c>
      <c r="AY72" s="95" t="b">
        <v>1</v>
      </c>
      <c r="AZ72" s="95" t="b">
        <v>1</v>
      </c>
      <c r="BA72" s="95" t="b">
        <v>1</v>
      </c>
      <c r="BB72" s="95" t="b">
        <v>1</v>
      </c>
      <c r="BC72" s="95" t="b">
        <v>1</v>
      </c>
      <c r="BD72" s="95" t="b">
        <v>1</v>
      </c>
      <c r="BE72" s="95" t="b">
        <v>1</v>
      </c>
      <c r="BF72" s="95" t="b">
        <v>1</v>
      </c>
      <c r="BG72" s="95" t="b">
        <v>1</v>
      </c>
      <c r="BH72" s="95" t="b">
        <v>1</v>
      </c>
      <c r="BI72" s="95" t="b">
        <v>1</v>
      </c>
      <c r="BJ72" s="95" t="b">
        <v>1</v>
      </c>
      <c r="BK72" s="95" t="b">
        <v>1</v>
      </c>
      <c r="BL72" s="95" t="b">
        <v>1</v>
      </c>
      <c r="BM72" s="95" t="b">
        <v>0</v>
      </c>
      <c r="BN72" s="95" t="b">
        <v>1</v>
      </c>
      <c r="BO72" s="95" t="b">
        <v>1</v>
      </c>
      <c r="BP72" s="95" t="b">
        <v>1</v>
      </c>
      <c r="BQ72" s="95" t="b">
        <v>1</v>
      </c>
      <c r="BR72" s="95" t="b">
        <v>1</v>
      </c>
      <c r="BS72" s="95" t="b">
        <v>1</v>
      </c>
      <c r="BT72" s="95" t="b">
        <v>1</v>
      </c>
      <c r="BU72" s="95" t="b">
        <v>1</v>
      </c>
      <c r="BV72" s="95" t="b">
        <v>1</v>
      </c>
      <c r="BW72" s="95" t="b">
        <v>1</v>
      </c>
      <c r="BX72" s="95" t="b">
        <v>1</v>
      </c>
      <c r="BY72" s="95" t="b">
        <v>1</v>
      </c>
      <c r="BZ72" s="95" t="b">
        <v>1</v>
      </c>
      <c r="CA72" s="95" t="b">
        <v>1</v>
      </c>
    </row>
    <row r="73" s="95" customFormat="1" ht="73" customHeight="1" spans="1:79">
      <c r="A73" s="14" t="s">
        <v>483</v>
      </c>
      <c r="B73" s="14" t="s">
        <v>922</v>
      </c>
      <c r="C73" s="15" t="s">
        <v>485</v>
      </c>
      <c r="D73" s="23" t="s">
        <v>939</v>
      </c>
      <c r="E73" s="16" t="s">
        <v>940</v>
      </c>
      <c r="F73" s="24"/>
      <c r="G73" s="15" t="s">
        <v>1255</v>
      </c>
      <c r="H73" s="16" t="s">
        <v>942</v>
      </c>
      <c r="I73" s="23" t="s">
        <v>1256</v>
      </c>
      <c r="J73" s="16" t="s">
        <v>1257</v>
      </c>
      <c r="K73" s="15"/>
      <c r="L73" s="15"/>
      <c r="M73" s="15" t="s">
        <v>36</v>
      </c>
      <c r="N73" s="15"/>
      <c r="O73" s="15"/>
      <c r="P73" s="15"/>
      <c r="Q73" s="15"/>
      <c r="R73" s="15"/>
      <c r="S73" s="15"/>
      <c r="T73" s="15" t="s">
        <v>492</v>
      </c>
      <c r="U73" s="15"/>
      <c r="V73" s="16" t="s">
        <v>945</v>
      </c>
      <c r="W73" s="25" t="s">
        <v>946</v>
      </c>
      <c r="X73" s="15" t="s">
        <v>474</v>
      </c>
      <c r="Y73" s="15" t="s">
        <v>473</v>
      </c>
      <c r="Z73" s="30"/>
      <c r="AA73" s="15" t="s">
        <v>474</v>
      </c>
      <c r="AB73" s="15" t="s">
        <v>473</v>
      </c>
      <c r="AC73" s="30"/>
      <c r="AD73" s="15"/>
      <c r="AE73" s="30"/>
      <c r="AF73" s="30"/>
      <c r="AG73" s="30"/>
      <c r="AH73" s="15" t="s">
        <v>476</v>
      </c>
      <c r="AI73" s="15" t="s">
        <v>476</v>
      </c>
      <c r="AJ73" s="15" t="s">
        <v>935</v>
      </c>
      <c r="AK73" s="15" t="s">
        <v>599</v>
      </c>
      <c r="AL73" s="1" t="s">
        <v>1064</v>
      </c>
      <c r="AM73" s="23" t="s">
        <v>1075</v>
      </c>
      <c r="AN73" s="1"/>
      <c r="AO73" s="7" t="s">
        <v>1045</v>
      </c>
      <c r="AP73" s="7" t="s">
        <v>1045</v>
      </c>
      <c r="AQ73" s="95" t="b">
        <v>1</v>
      </c>
      <c r="AR73" s="95" t="b">
        <v>1</v>
      </c>
      <c r="AS73" s="95" t="b">
        <v>1</v>
      </c>
      <c r="AT73" s="95" t="b">
        <v>1</v>
      </c>
      <c r="AU73" s="95" t="b">
        <v>1</v>
      </c>
      <c r="AV73" s="95" t="b">
        <v>1</v>
      </c>
      <c r="AW73" s="95" t="b">
        <v>1</v>
      </c>
      <c r="AX73" s="95" t="b">
        <v>1</v>
      </c>
      <c r="AY73" s="95" t="b">
        <v>1</v>
      </c>
      <c r="AZ73" s="95" t="b">
        <v>1</v>
      </c>
      <c r="BA73" s="95" t="b">
        <v>1</v>
      </c>
      <c r="BB73" s="95" t="b">
        <v>1</v>
      </c>
      <c r="BC73" s="95" t="b">
        <v>1</v>
      </c>
      <c r="BD73" s="95" t="b">
        <v>1</v>
      </c>
      <c r="BE73" s="95" t="b">
        <v>1</v>
      </c>
      <c r="BF73" s="95" t="b">
        <v>1</v>
      </c>
      <c r="BG73" s="95" t="b">
        <v>1</v>
      </c>
      <c r="BH73" s="95" t="b">
        <v>1</v>
      </c>
      <c r="BI73" s="95" t="b">
        <v>1</v>
      </c>
      <c r="BJ73" s="95" t="b">
        <v>1</v>
      </c>
      <c r="BK73" s="95" t="b">
        <v>1</v>
      </c>
      <c r="BL73" s="95" t="b">
        <v>1</v>
      </c>
      <c r="BM73" s="95" t="b">
        <v>0</v>
      </c>
      <c r="BN73" s="95" t="b">
        <v>1</v>
      </c>
      <c r="BO73" s="95" t="b">
        <v>1</v>
      </c>
      <c r="BP73" s="95" t="b">
        <v>1</v>
      </c>
      <c r="BQ73" s="95" t="b">
        <v>1</v>
      </c>
      <c r="BR73" s="95" t="b">
        <v>1</v>
      </c>
      <c r="BS73" s="95" t="b">
        <v>1</v>
      </c>
      <c r="BT73" s="95" t="b">
        <v>1</v>
      </c>
      <c r="BU73" s="95" t="b">
        <v>1</v>
      </c>
      <c r="BV73" s="95" t="b">
        <v>1</v>
      </c>
      <c r="BW73" s="95" t="b">
        <v>1</v>
      </c>
      <c r="BX73" s="95" t="b">
        <v>1</v>
      </c>
      <c r="BY73" s="95" t="b">
        <v>1</v>
      </c>
      <c r="BZ73" s="95" t="b">
        <v>1</v>
      </c>
      <c r="CA73" s="95" t="b">
        <v>1</v>
      </c>
    </row>
    <row r="74" s="95" customFormat="1" ht="69" customHeight="1" spans="1:79">
      <c r="A74" s="14"/>
      <c r="B74" s="14"/>
      <c r="C74" s="15"/>
      <c r="D74" s="23"/>
      <c r="E74" s="16"/>
      <c r="F74" s="24"/>
      <c r="G74" s="15"/>
      <c r="H74" s="16"/>
      <c r="I74" s="23" t="s">
        <v>1258</v>
      </c>
      <c r="J74" s="16" t="s">
        <v>1259</v>
      </c>
      <c r="K74" s="15"/>
      <c r="L74" s="15"/>
      <c r="M74" s="15"/>
      <c r="N74" s="15"/>
      <c r="O74" s="15"/>
      <c r="P74" s="15"/>
      <c r="Q74" s="15"/>
      <c r="R74" s="15"/>
      <c r="S74" s="15" t="s">
        <v>36</v>
      </c>
      <c r="T74" s="15" t="s">
        <v>492</v>
      </c>
      <c r="U74" s="15"/>
      <c r="V74" s="16" t="s">
        <v>945</v>
      </c>
      <c r="W74" s="25" t="s">
        <v>949</v>
      </c>
      <c r="X74" s="15" t="s">
        <v>474</v>
      </c>
      <c r="Y74" s="15" t="s">
        <v>473</v>
      </c>
      <c r="Z74" s="30"/>
      <c r="AA74" s="15" t="s">
        <v>474</v>
      </c>
      <c r="AB74" s="15" t="s">
        <v>473</v>
      </c>
      <c r="AC74" s="30"/>
      <c r="AD74" s="15"/>
      <c r="AE74" s="30"/>
      <c r="AF74" s="30"/>
      <c r="AG74" s="30"/>
      <c r="AH74" s="15" t="s">
        <v>476</v>
      </c>
      <c r="AI74" s="15" t="s">
        <v>476</v>
      </c>
      <c r="AJ74" s="15" t="s">
        <v>935</v>
      </c>
      <c r="AK74" s="15"/>
      <c r="AL74" s="1" t="s">
        <v>1064</v>
      </c>
      <c r="AM74" s="23" t="s">
        <v>1075</v>
      </c>
      <c r="AN74" s="1"/>
      <c r="AO74" s="7" t="s">
        <v>1045</v>
      </c>
      <c r="AP74" s="7" t="s">
        <v>1045</v>
      </c>
      <c r="AQ74" s="95" t="b">
        <v>1</v>
      </c>
      <c r="AR74" s="95" t="b">
        <v>1</v>
      </c>
      <c r="AS74" s="95" t="b">
        <v>1</v>
      </c>
      <c r="AT74" s="95" t="b">
        <v>1</v>
      </c>
      <c r="AU74" s="95" t="b">
        <v>1</v>
      </c>
      <c r="AV74" s="95" t="b">
        <v>1</v>
      </c>
      <c r="AW74" s="95" t="b">
        <v>1</v>
      </c>
      <c r="AX74" s="95" t="b">
        <v>1</v>
      </c>
      <c r="AY74" s="95" t="b">
        <v>1</v>
      </c>
      <c r="AZ74" s="95" t="b">
        <v>1</v>
      </c>
      <c r="BA74" s="95" t="b">
        <v>1</v>
      </c>
      <c r="BB74" s="95" t="b">
        <v>1</v>
      </c>
      <c r="BC74" s="95" t="b">
        <v>1</v>
      </c>
      <c r="BD74" s="95" t="b">
        <v>1</v>
      </c>
      <c r="BE74" s="95" t="b">
        <v>1</v>
      </c>
      <c r="BF74" s="95" t="b">
        <v>1</v>
      </c>
      <c r="BG74" s="95" t="b">
        <v>1</v>
      </c>
      <c r="BH74" s="95" t="b">
        <v>1</v>
      </c>
      <c r="BI74" s="95" t="b">
        <v>1</v>
      </c>
      <c r="BJ74" s="95" t="b">
        <v>1</v>
      </c>
      <c r="BK74" s="95" t="b">
        <v>1</v>
      </c>
      <c r="BL74" s="95" t="b">
        <v>1</v>
      </c>
      <c r="BM74" s="95" t="b">
        <v>0</v>
      </c>
      <c r="BN74" s="95" t="b">
        <v>1</v>
      </c>
      <c r="BO74" s="95" t="b">
        <v>1</v>
      </c>
      <c r="BP74" s="95" t="b">
        <v>1</v>
      </c>
      <c r="BQ74" s="95" t="b">
        <v>1</v>
      </c>
      <c r="BR74" s="95" t="b">
        <v>1</v>
      </c>
      <c r="BS74" s="95" t="b">
        <v>1</v>
      </c>
      <c r="BT74" s="95" t="b">
        <v>1</v>
      </c>
      <c r="BU74" s="95" t="b">
        <v>1</v>
      </c>
      <c r="BV74" s="95" t="b">
        <v>1</v>
      </c>
      <c r="BW74" s="95" t="b">
        <v>1</v>
      </c>
      <c r="BX74" s="95" t="b">
        <v>1</v>
      </c>
      <c r="BY74" s="95" t="b">
        <v>1</v>
      </c>
      <c r="BZ74" s="95" t="b">
        <v>1</v>
      </c>
      <c r="CA74" s="95" t="b">
        <v>1</v>
      </c>
    </row>
    <row r="75" s="95" customFormat="1" ht="69" customHeight="1" spans="1:79">
      <c r="A75" s="14"/>
      <c r="B75" s="14"/>
      <c r="C75" s="15"/>
      <c r="D75" s="23"/>
      <c r="E75" s="16" t="s">
        <v>950</v>
      </c>
      <c r="F75" s="17" t="s">
        <v>951</v>
      </c>
      <c r="G75" s="15" t="s">
        <v>1260</v>
      </c>
      <c r="H75" s="16" t="s">
        <v>953</v>
      </c>
      <c r="I75" s="23" t="s">
        <v>1261</v>
      </c>
      <c r="J75" s="16" t="s">
        <v>1262</v>
      </c>
      <c r="K75" s="15"/>
      <c r="L75" s="15"/>
      <c r="M75" s="15" t="s">
        <v>36</v>
      </c>
      <c r="N75" s="15"/>
      <c r="O75" s="15" t="s">
        <v>36</v>
      </c>
      <c r="P75" s="15"/>
      <c r="Q75" s="15"/>
      <c r="R75" s="15" t="s">
        <v>36</v>
      </c>
      <c r="S75" s="15"/>
      <c r="T75" s="15" t="s">
        <v>492</v>
      </c>
      <c r="U75" s="15"/>
      <c r="V75" s="16" t="s">
        <v>945</v>
      </c>
      <c r="W75" s="25" t="s">
        <v>604</v>
      </c>
      <c r="X75" s="15" t="s">
        <v>474</v>
      </c>
      <c r="Y75" s="15" t="s">
        <v>473</v>
      </c>
      <c r="Z75" s="30"/>
      <c r="AA75" s="15" t="s">
        <v>474</v>
      </c>
      <c r="AB75" s="15" t="s">
        <v>473</v>
      </c>
      <c r="AC75" s="30"/>
      <c r="AD75" s="15"/>
      <c r="AE75" s="30"/>
      <c r="AF75" s="30"/>
      <c r="AG75" s="30"/>
      <c r="AH75" s="15" t="s">
        <v>476</v>
      </c>
      <c r="AI75" s="15" t="s">
        <v>476</v>
      </c>
      <c r="AJ75" s="15" t="s">
        <v>956</v>
      </c>
      <c r="AK75" s="15" t="s">
        <v>599</v>
      </c>
      <c r="AL75" s="1" t="s">
        <v>1064</v>
      </c>
      <c r="AM75" s="15" t="s">
        <v>1075</v>
      </c>
      <c r="AN75" s="1"/>
      <c r="AO75" s="7" t="s">
        <v>1045</v>
      </c>
      <c r="AP75" s="7" t="s">
        <v>1045</v>
      </c>
      <c r="AQ75" s="95" t="b">
        <v>1</v>
      </c>
      <c r="AR75" s="95" t="b">
        <v>1</v>
      </c>
      <c r="AS75" s="95" t="b">
        <v>1</v>
      </c>
      <c r="AT75" s="95" t="b">
        <v>1</v>
      </c>
      <c r="AU75" s="95" t="b">
        <v>1</v>
      </c>
      <c r="AV75" s="95" t="b">
        <v>1</v>
      </c>
      <c r="AW75" s="95" t="b">
        <v>1</v>
      </c>
      <c r="AX75" s="95" t="b">
        <v>1</v>
      </c>
      <c r="AY75" s="95" t="b">
        <v>1</v>
      </c>
      <c r="AZ75" s="95" t="b">
        <v>1</v>
      </c>
      <c r="BA75" s="95" t="b">
        <v>1</v>
      </c>
      <c r="BB75" s="95" t="b">
        <v>1</v>
      </c>
      <c r="BC75" s="95" t="b">
        <v>1</v>
      </c>
      <c r="BD75" s="95" t="b">
        <v>1</v>
      </c>
      <c r="BE75" s="95" t="b">
        <v>1</v>
      </c>
      <c r="BF75" s="95" t="b">
        <v>1</v>
      </c>
      <c r="BG75" s="95" t="b">
        <v>1</v>
      </c>
      <c r="BH75" s="95" t="b">
        <v>1</v>
      </c>
      <c r="BI75" s="95" t="b">
        <v>1</v>
      </c>
      <c r="BJ75" s="95" t="b">
        <v>1</v>
      </c>
      <c r="BK75" s="95" t="b">
        <v>1</v>
      </c>
      <c r="BL75" s="95" t="b">
        <v>1</v>
      </c>
      <c r="BM75" s="95" t="b">
        <v>0</v>
      </c>
      <c r="BN75" s="95" t="b">
        <v>1</v>
      </c>
      <c r="BO75" s="95" t="b">
        <v>1</v>
      </c>
      <c r="BP75" s="95" t="b">
        <v>1</v>
      </c>
      <c r="BQ75" s="95" t="b">
        <v>1</v>
      </c>
      <c r="BR75" s="95" t="b">
        <v>1</v>
      </c>
      <c r="BS75" s="95" t="b">
        <v>1</v>
      </c>
      <c r="BT75" s="95" t="b">
        <v>1</v>
      </c>
      <c r="BU75" s="95" t="b">
        <v>1</v>
      </c>
      <c r="BV75" s="95" t="b">
        <v>1</v>
      </c>
      <c r="BW75" s="95" t="b">
        <v>1</v>
      </c>
      <c r="BX75" s="95" t="b">
        <v>1</v>
      </c>
      <c r="BY75" s="95" t="b">
        <v>1</v>
      </c>
      <c r="BZ75" s="95" t="b">
        <v>1</v>
      </c>
      <c r="CA75" s="95" t="b">
        <v>1</v>
      </c>
    </row>
    <row r="76" s="95" customFormat="1" ht="70" customHeight="1" spans="1:79">
      <c r="A76" s="14"/>
      <c r="B76" s="14"/>
      <c r="C76" s="15"/>
      <c r="D76" s="23"/>
      <c r="E76" s="16"/>
      <c r="F76" s="17"/>
      <c r="G76" s="15"/>
      <c r="H76" s="16"/>
      <c r="I76" s="23" t="s">
        <v>1263</v>
      </c>
      <c r="J76" s="16" t="s">
        <v>1264</v>
      </c>
      <c r="K76" s="15"/>
      <c r="L76" s="15"/>
      <c r="M76" s="15" t="s">
        <v>36</v>
      </c>
      <c r="N76" s="15"/>
      <c r="O76" s="15" t="s">
        <v>36</v>
      </c>
      <c r="P76" s="15"/>
      <c r="Q76" s="15"/>
      <c r="R76" s="15" t="s">
        <v>36</v>
      </c>
      <c r="S76" s="15" t="s">
        <v>36</v>
      </c>
      <c r="T76" s="15" t="s">
        <v>492</v>
      </c>
      <c r="U76" s="15"/>
      <c r="V76" s="16" t="s">
        <v>945</v>
      </c>
      <c r="W76" s="25" t="s">
        <v>604</v>
      </c>
      <c r="X76" s="15" t="s">
        <v>474</v>
      </c>
      <c r="Y76" s="15" t="s">
        <v>473</v>
      </c>
      <c r="Z76" s="30"/>
      <c r="AA76" s="15" t="s">
        <v>474</v>
      </c>
      <c r="AB76" s="15" t="s">
        <v>473</v>
      </c>
      <c r="AC76" s="30"/>
      <c r="AD76" s="15"/>
      <c r="AE76" s="30"/>
      <c r="AF76" s="30"/>
      <c r="AG76" s="30"/>
      <c r="AH76" s="15" t="s">
        <v>476</v>
      </c>
      <c r="AI76" s="15" t="s">
        <v>476</v>
      </c>
      <c r="AJ76" s="15" t="s">
        <v>956</v>
      </c>
      <c r="AK76" s="15"/>
      <c r="AL76" s="1" t="s">
        <v>1064</v>
      </c>
      <c r="AM76" s="15" t="s">
        <v>1075</v>
      </c>
      <c r="AN76" s="1"/>
      <c r="AO76" s="7" t="s">
        <v>1045</v>
      </c>
      <c r="AP76" s="7" t="s">
        <v>1045</v>
      </c>
      <c r="AQ76" s="95" t="b">
        <v>1</v>
      </c>
      <c r="AR76" s="95" t="b">
        <v>1</v>
      </c>
      <c r="AS76" s="95" t="b">
        <v>1</v>
      </c>
      <c r="AT76" s="95" t="b">
        <v>1</v>
      </c>
      <c r="AU76" s="95" t="b">
        <v>1</v>
      </c>
      <c r="AV76" s="95" t="b">
        <v>1</v>
      </c>
      <c r="AW76" s="95" t="b">
        <v>1</v>
      </c>
      <c r="AX76" s="95" t="b">
        <v>1</v>
      </c>
      <c r="AY76" s="95" t="b">
        <v>1</v>
      </c>
      <c r="AZ76" s="95" t="b">
        <v>1</v>
      </c>
      <c r="BA76" s="95" t="b">
        <v>1</v>
      </c>
      <c r="BB76" s="95" t="b">
        <v>1</v>
      </c>
      <c r="BC76" s="95" t="b">
        <v>1</v>
      </c>
      <c r="BD76" s="95" t="b">
        <v>1</v>
      </c>
      <c r="BE76" s="95" t="b">
        <v>1</v>
      </c>
      <c r="BF76" s="95" t="b">
        <v>1</v>
      </c>
      <c r="BG76" s="95" t="b">
        <v>1</v>
      </c>
      <c r="BH76" s="95" t="b">
        <v>1</v>
      </c>
      <c r="BI76" s="95" t="b">
        <v>1</v>
      </c>
      <c r="BJ76" s="95" t="b">
        <v>1</v>
      </c>
      <c r="BK76" s="95" t="b">
        <v>1</v>
      </c>
      <c r="BL76" s="95" t="b">
        <v>1</v>
      </c>
      <c r="BM76" s="95" t="b">
        <v>0</v>
      </c>
      <c r="BN76" s="95" t="b">
        <v>1</v>
      </c>
      <c r="BO76" s="95" t="b">
        <v>1</v>
      </c>
      <c r="BP76" s="95" t="b">
        <v>1</v>
      </c>
      <c r="BQ76" s="95" t="b">
        <v>1</v>
      </c>
      <c r="BR76" s="95" t="b">
        <v>1</v>
      </c>
      <c r="BS76" s="95" t="b">
        <v>1</v>
      </c>
      <c r="BT76" s="95" t="b">
        <v>1</v>
      </c>
      <c r="BU76" s="95" t="b">
        <v>1</v>
      </c>
      <c r="BV76" s="95" t="b">
        <v>1</v>
      </c>
      <c r="BW76" s="95" t="b">
        <v>1</v>
      </c>
      <c r="BX76" s="95" t="b">
        <v>1</v>
      </c>
      <c r="BY76" s="95" t="b">
        <v>1</v>
      </c>
      <c r="BZ76" s="95" t="b">
        <v>1</v>
      </c>
      <c r="CA76" s="95" t="b">
        <v>1</v>
      </c>
    </row>
    <row r="77" s="96" customFormat="1" ht="70" customHeight="1" spans="1:79">
      <c r="A77" s="87"/>
      <c r="B77" s="87"/>
      <c r="C77" s="46"/>
      <c r="D77" s="54"/>
      <c r="E77" s="52" t="str">
        <f t="shared" ref="E77:H77" si="1">E75</f>
        <v>违反合同计价规则结算，导致工程结算金额有误，造成公司成本核算不实，产生资金支付风险。</v>
      </c>
      <c r="F77" s="52" t="str">
        <f t="shared" si="1"/>
        <v>26.违反合同原则，计价规则结算：存在用户工程全部外包，未按单项核算，合同收支管控台账不完整，项目总体盈利不明朗，存在资金少收多支风险；支付的劳务费与工程建设无关，不属于工程其他费用列支范围；安全文明施工费结算不合规；劳务考勤与实际不符、劳务分包项目考勤人员与分包人员花名册不一致；结算审核不严谨；未按照合同约定对服务进行考核等问题。</v>
      </c>
      <c r="G77" s="52" t="str">
        <f t="shared" si="1"/>
        <v>26.合同计价的合规性控制</v>
      </c>
      <c r="H77" s="52" t="str">
        <f t="shared" si="1"/>
        <v>严格遵循合同约定的计价规则、费率标准及工程量计算口径，严禁擅自调整计价依据。</v>
      </c>
      <c r="I77" s="54" t="s">
        <v>1376</v>
      </c>
      <c r="J77" s="52" t="s">
        <v>1377</v>
      </c>
      <c r="K77" s="74"/>
      <c r="L77" s="74"/>
      <c r="M77" s="74"/>
      <c r="N77" s="74"/>
      <c r="O77" s="74"/>
      <c r="P77" s="74"/>
      <c r="Q77" s="74"/>
      <c r="R77" s="74"/>
      <c r="S77" s="74"/>
      <c r="T77" s="46" t="s">
        <v>492</v>
      </c>
      <c r="U77" s="75"/>
      <c r="V77" s="52" t="s">
        <v>1363</v>
      </c>
      <c r="W77" s="46" t="s">
        <v>1364</v>
      </c>
      <c r="X77" s="46" t="s">
        <v>474</v>
      </c>
      <c r="Y77" s="46" t="s">
        <v>473</v>
      </c>
      <c r="Z77" s="70"/>
      <c r="AA77" s="46" t="s">
        <v>474</v>
      </c>
      <c r="AB77" s="46" t="s">
        <v>473</v>
      </c>
      <c r="AC77" s="70"/>
      <c r="AD77" s="46" t="s">
        <v>792</v>
      </c>
      <c r="AE77" s="46" t="s">
        <v>511</v>
      </c>
      <c r="AF77" s="46"/>
      <c r="AG77" s="70"/>
      <c r="AH77" s="46" t="s">
        <v>476</v>
      </c>
      <c r="AI77" s="46" t="s">
        <v>476</v>
      </c>
      <c r="AJ77" s="46" t="s">
        <v>1365</v>
      </c>
      <c r="AK77" s="46" t="s">
        <v>470</v>
      </c>
      <c r="AL77" s="46" t="s">
        <v>1366</v>
      </c>
      <c r="AM77" s="46" t="s">
        <v>1141</v>
      </c>
      <c r="AN77" s="54" t="s">
        <v>1367</v>
      </c>
      <c r="AO77" s="89"/>
      <c r="AP77" s="121" t="s">
        <v>1368</v>
      </c>
    </row>
    <row r="78" s="95" customFormat="1" ht="78" customHeight="1" spans="1:79">
      <c r="A78" s="14"/>
      <c r="B78" s="14"/>
      <c r="C78" s="15"/>
      <c r="D78" s="23"/>
      <c r="E78" s="16" t="s">
        <v>959</v>
      </c>
      <c r="F78" s="17" t="s">
        <v>960</v>
      </c>
      <c r="G78" s="15" t="s">
        <v>1265</v>
      </c>
      <c r="H78" s="16" t="s">
        <v>962</v>
      </c>
      <c r="I78" s="23" t="s">
        <v>1266</v>
      </c>
      <c r="J78" s="16" t="s">
        <v>1267</v>
      </c>
      <c r="K78" s="15"/>
      <c r="L78" s="15"/>
      <c r="M78" s="15"/>
      <c r="N78" s="15"/>
      <c r="O78" s="15" t="s">
        <v>36</v>
      </c>
      <c r="P78" s="15"/>
      <c r="Q78" s="15"/>
      <c r="R78" s="15"/>
      <c r="S78" s="15"/>
      <c r="T78" s="15" t="s">
        <v>492</v>
      </c>
      <c r="U78" s="15"/>
      <c r="V78" s="16" t="s">
        <v>945</v>
      </c>
      <c r="W78" s="25" t="s">
        <v>604</v>
      </c>
      <c r="X78" s="15" t="s">
        <v>565</v>
      </c>
      <c r="Y78" s="15" t="s">
        <v>473</v>
      </c>
      <c r="Z78" s="30"/>
      <c r="AA78" s="15" t="s">
        <v>474</v>
      </c>
      <c r="AB78" s="15" t="s">
        <v>473</v>
      </c>
      <c r="AC78" s="30"/>
      <c r="AD78" s="15"/>
      <c r="AE78" s="30"/>
      <c r="AF78" s="15"/>
      <c r="AG78" s="30"/>
      <c r="AH78" s="15" t="s">
        <v>476</v>
      </c>
      <c r="AI78" s="15" t="s">
        <v>476</v>
      </c>
      <c r="AJ78" s="15" t="s">
        <v>965</v>
      </c>
      <c r="AK78" s="15" t="s">
        <v>599</v>
      </c>
      <c r="AL78" s="1" t="s">
        <v>1064</v>
      </c>
      <c r="AM78" s="4" t="s">
        <v>1075</v>
      </c>
      <c r="AN78" s="1"/>
      <c r="AO78" s="7" t="s">
        <v>1045</v>
      </c>
      <c r="AP78" s="7" t="s">
        <v>1045</v>
      </c>
      <c r="AQ78" s="95" t="b">
        <v>1</v>
      </c>
      <c r="AR78" s="95" t="b">
        <v>1</v>
      </c>
      <c r="AS78" s="95" t="b">
        <v>1</v>
      </c>
      <c r="AT78" s="95" t="b">
        <v>1</v>
      </c>
      <c r="AU78" s="95" t="b">
        <v>1</v>
      </c>
      <c r="AV78" s="95" t="b">
        <v>1</v>
      </c>
      <c r="AW78" s="95" t="b">
        <v>1</v>
      </c>
      <c r="AX78" s="95" t="b">
        <v>1</v>
      </c>
      <c r="AY78" s="95" t="b">
        <v>1</v>
      </c>
      <c r="AZ78" s="95" t="b">
        <v>1</v>
      </c>
      <c r="BA78" s="95" t="b">
        <v>1</v>
      </c>
      <c r="BB78" s="95" t="b">
        <v>1</v>
      </c>
      <c r="BC78" s="95" t="b">
        <v>1</v>
      </c>
      <c r="BD78" s="95" t="b">
        <v>1</v>
      </c>
      <c r="BE78" s="95" t="b">
        <v>1</v>
      </c>
      <c r="BF78" s="95" t="b">
        <v>1</v>
      </c>
      <c r="BG78" s="95" t="b">
        <v>1</v>
      </c>
      <c r="BH78" s="95" t="b">
        <v>1</v>
      </c>
      <c r="BI78" s="95" t="b">
        <v>1</v>
      </c>
      <c r="BJ78" s="95" t="b">
        <v>1</v>
      </c>
      <c r="BK78" s="95" t="b">
        <v>1</v>
      </c>
      <c r="BL78" s="95" t="b">
        <v>1</v>
      </c>
      <c r="BM78" s="95" t="b">
        <v>0</v>
      </c>
      <c r="BN78" s="95" t="b">
        <v>1</v>
      </c>
      <c r="BO78" s="95" t="b">
        <v>1</v>
      </c>
      <c r="BP78" s="95" t="b">
        <v>1</v>
      </c>
      <c r="BQ78" s="95" t="b">
        <v>1</v>
      </c>
      <c r="BR78" s="95" t="b">
        <v>1</v>
      </c>
      <c r="BS78" s="95" t="b">
        <v>1</v>
      </c>
      <c r="BT78" s="95" t="b">
        <v>1</v>
      </c>
      <c r="BU78" s="95" t="b">
        <v>1</v>
      </c>
      <c r="BV78" s="95" t="b">
        <v>1</v>
      </c>
      <c r="BW78" s="95" t="b">
        <v>1</v>
      </c>
      <c r="BX78" s="95" t="b">
        <v>1</v>
      </c>
      <c r="BY78" s="95" t="b">
        <v>1</v>
      </c>
      <c r="BZ78" s="95" t="b">
        <v>1</v>
      </c>
      <c r="CA78" s="95" t="b">
        <v>1</v>
      </c>
    </row>
    <row r="79" s="95" customFormat="1" ht="88" customHeight="1" spans="1:79">
      <c r="A79" s="14"/>
      <c r="B79" s="14"/>
      <c r="C79" s="15"/>
      <c r="D79" s="23"/>
      <c r="E79" s="16"/>
      <c r="F79" s="17"/>
      <c r="G79" s="15"/>
      <c r="H79" s="16"/>
      <c r="I79" s="23" t="s">
        <v>1268</v>
      </c>
      <c r="J79" s="16" t="s">
        <v>1269</v>
      </c>
      <c r="K79" s="15"/>
      <c r="L79" s="15"/>
      <c r="M79" s="15"/>
      <c r="N79" s="15"/>
      <c r="O79" s="15" t="s">
        <v>36</v>
      </c>
      <c r="P79" s="15"/>
      <c r="Q79" s="15"/>
      <c r="R79" s="15"/>
      <c r="S79" s="15"/>
      <c r="T79" s="15" t="s">
        <v>492</v>
      </c>
      <c r="U79" s="15"/>
      <c r="V79" s="16" t="s">
        <v>945</v>
      </c>
      <c r="W79" s="25" t="s">
        <v>968</v>
      </c>
      <c r="X79" s="15" t="s">
        <v>565</v>
      </c>
      <c r="Y79" s="15" t="s">
        <v>473</v>
      </c>
      <c r="Z79" s="30"/>
      <c r="AA79" s="15" t="s">
        <v>474</v>
      </c>
      <c r="AB79" s="15" t="s">
        <v>473</v>
      </c>
      <c r="AC79" s="30"/>
      <c r="AD79" s="15"/>
      <c r="AE79" s="30"/>
      <c r="AF79" s="15"/>
      <c r="AG79" s="30"/>
      <c r="AH79" s="15" t="s">
        <v>476</v>
      </c>
      <c r="AI79" s="15" t="s">
        <v>476</v>
      </c>
      <c r="AJ79" s="15" t="s">
        <v>965</v>
      </c>
      <c r="AK79" s="15"/>
      <c r="AL79" s="1" t="s">
        <v>1064</v>
      </c>
      <c r="AM79" s="23" t="s">
        <v>1075</v>
      </c>
      <c r="AN79" s="1"/>
      <c r="AO79" s="7" t="s">
        <v>1045</v>
      </c>
      <c r="AP79" s="7" t="s">
        <v>1045</v>
      </c>
      <c r="AQ79" s="95" t="b">
        <v>1</v>
      </c>
      <c r="AR79" s="95" t="b">
        <v>1</v>
      </c>
      <c r="AS79" s="95" t="b">
        <v>1</v>
      </c>
      <c r="AT79" s="95" t="b">
        <v>1</v>
      </c>
      <c r="AU79" s="95" t="b">
        <v>1</v>
      </c>
      <c r="AV79" s="95" t="b">
        <v>1</v>
      </c>
      <c r="AW79" s="95" t="b">
        <v>1</v>
      </c>
      <c r="AX79" s="95" t="b">
        <v>1</v>
      </c>
      <c r="AY79" s="95" t="b">
        <v>1</v>
      </c>
      <c r="AZ79" s="95" t="b">
        <v>1</v>
      </c>
      <c r="BA79" s="95" t="b">
        <v>1</v>
      </c>
      <c r="BB79" s="95" t="b">
        <v>1</v>
      </c>
      <c r="BC79" s="95" t="b">
        <v>1</v>
      </c>
      <c r="BD79" s="95" t="b">
        <v>1</v>
      </c>
      <c r="BE79" s="95" t="b">
        <v>1</v>
      </c>
      <c r="BF79" s="95" t="b">
        <v>1</v>
      </c>
      <c r="BG79" s="95" t="b">
        <v>1</v>
      </c>
      <c r="BH79" s="95" t="b">
        <v>1</v>
      </c>
      <c r="BI79" s="95" t="b">
        <v>1</v>
      </c>
      <c r="BJ79" s="95" t="b">
        <v>1</v>
      </c>
      <c r="BK79" s="95" t="b">
        <v>1</v>
      </c>
      <c r="BL79" s="95" t="b">
        <v>1</v>
      </c>
      <c r="BM79" s="95" t="b">
        <v>0</v>
      </c>
      <c r="BN79" s="95" t="b">
        <v>1</v>
      </c>
      <c r="BO79" s="95" t="b">
        <v>1</v>
      </c>
      <c r="BP79" s="95" t="b">
        <v>1</v>
      </c>
      <c r="BQ79" s="95" t="b">
        <v>1</v>
      </c>
      <c r="BR79" s="95" t="b">
        <v>1</v>
      </c>
      <c r="BS79" s="95" t="b">
        <v>1</v>
      </c>
      <c r="BT79" s="95" t="b">
        <v>1</v>
      </c>
      <c r="BU79" s="95" t="b">
        <v>1</v>
      </c>
      <c r="BV79" s="95" t="b">
        <v>1</v>
      </c>
      <c r="BW79" s="95" t="b">
        <v>1</v>
      </c>
      <c r="BX79" s="95" t="b">
        <v>1</v>
      </c>
      <c r="BY79" s="95" t="b">
        <v>1</v>
      </c>
      <c r="BZ79" s="95" t="b">
        <v>1</v>
      </c>
      <c r="CA79" s="95" t="b">
        <v>1</v>
      </c>
    </row>
    <row r="80" s="95" customFormat="1" ht="81" customHeight="1" spans="1:79">
      <c r="A80" s="14"/>
      <c r="B80" s="14"/>
      <c r="C80" s="15"/>
      <c r="D80" s="23"/>
      <c r="E80" s="16"/>
      <c r="F80" s="17"/>
      <c r="G80" s="15"/>
      <c r="H80" s="16"/>
      <c r="I80" s="23" t="s">
        <v>1270</v>
      </c>
      <c r="J80" s="31" t="s">
        <v>1348</v>
      </c>
      <c r="K80" s="15"/>
      <c r="L80" s="15"/>
      <c r="M80" s="15"/>
      <c r="N80" s="15"/>
      <c r="O80" s="15" t="s">
        <v>36</v>
      </c>
      <c r="P80" s="15"/>
      <c r="Q80" s="15"/>
      <c r="R80" s="15"/>
      <c r="S80" s="15"/>
      <c r="T80" s="15" t="s">
        <v>492</v>
      </c>
      <c r="U80" s="15"/>
      <c r="V80" s="16" t="s">
        <v>945</v>
      </c>
      <c r="W80" s="25" t="s">
        <v>949</v>
      </c>
      <c r="X80" s="15" t="s">
        <v>565</v>
      </c>
      <c r="Y80" s="15" t="s">
        <v>473</v>
      </c>
      <c r="Z80" s="30"/>
      <c r="AA80" s="15" t="s">
        <v>474</v>
      </c>
      <c r="AB80" s="15" t="s">
        <v>473</v>
      </c>
      <c r="AC80" s="30"/>
      <c r="AD80" s="15"/>
      <c r="AE80" s="30"/>
      <c r="AF80" s="15"/>
      <c r="AG80" s="30"/>
      <c r="AH80" s="15" t="s">
        <v>476</v>
      </c>
      <c r="AI80" s="15" t="s">
        <v>476</v>
      </c>
      <c r="AJ80" s="15" t="s">
        <v>965</v>
      </c>
      <c r="AK80" s="15"/>
      <c r="AL80" s="1" t="s">
        <v>1064</v>
      </c>
      <c r="AM80" s="23" t="s">
        <v>1075</v>
      </c>
      <c r="AN80" s="1"/>
      <c r="AO80" s="7" t="s">
        <v>1045</v>
      </c>
      <c r="AP80" s="98" t="s">
        <v>1059</v>
      </c>
      <c r="AQ80" s="95" t="b">
        <v>1</v>
      </c>
      <c r="AR80" s="95" t="b">
        <v>1</v>
      </c>
      <c r="AS80" s="95" t="b">
        <v>1</v>
      </c>
      <c r="AT80" s="95" t="b">
        <v>1</v>
      </c>
      <c r="AU80" s="95" t="b">
        <v>1</v>
      </c>
      <c r="AV80" s="95" t="b">
        <v>1</v>
      </c>
      <c r="AW80" s="95" t="b">
        <v>1</v>
      </c>
      <c r="AX80" s="95" t="b">
        <v>1</v>
      </c>
      <c r="AY80" s="95" t="b">
        <v>1</v>
      </c>
      <c r="AZ80" s="95" t="b">
        <v>0</v>
      </c>
      <c r="BA80" s="95" t="b">
        <v>1</v>
      </c>
      <c r="BB80" s="95" t="b">
        <v>1</v>
      </c>
      <c r="BC80" s="95" t="b">
        <v>1</v>
      </c>
      <c r="BD80" s="95" t="b">
        <v>1</v>
      </c>
      <c r="BE80" s="95" t="b">
        <v>1</v>
      </c>
      <c r="BF80" s="95" t="b">
        <v>1</v>
      </c>
      <c r="BG80" s="95" t="b">
        <v>1</v>
      </c>
      <c r="BH80" s="95" t="b">
        <v>1</v>
      </c>
      <c r="BI80" s="95" t="b">
        <v>1</v>
      </c>
      <c r="BJ80" s="95" t="b">
        <v>1</v>
      </c>
      <c r="BK80" s="95" t="b">
        <v>1</v>
      </c>
      <c r="BL80" s="95" t="b">
        <v>1</v>
      </c>
      <c r="BM80" s="95" t="b">
        <v>0</v>
      </c>
      <c r="BN80" s="95" t="b">
        <v>1</v>
      </c>
      <c r="BO80" s="95" t="b">
        <v>1</v>
      </c>
      <c r="BP80" s="95" t="b">
        <v>1</v>
      </c>
      <c r="BQ80" s="95" t="b">
        <v>1</v>
      </c>
      <c r="BR80" s="95" t="b">
        <v>1</v>
      </c>
      <c r="BS80" s="95" t="b">
        <v>1</v>
      </c>
      <c r="BT80" s="95" t="b">
        <v>1</v>
      </c>
      <c r="BU80" s="95" t="b">
        <v>1</v>
      </c>
      <c r="BV80" s="95" t="b">
        <v>1</v>
      </c>
      <c r="BW80" s="95" t="b">
        <v>1</v>
      </c>
      <c r="BX80" s="95" t="b">
        <v>1</v>
      </c>
      <c r="BY80" s="95" t="b">
        <v>1</v>
      </c>
      <c r="BZ80" s="95" t="b">
        <v>1</v>
      </c>
      <c r="CA80" s="95" t="b">
        <v>1</v>
      </c>
    </row>
    <row r="81" s="95" customFormat="1" ht="72" customHeight="1" spans="1:79">
      <c r="A81" s="14"/>
      <c r="B81" s="14"/>
      <c r="C81" s="15"/>
      <c r="D81" s="23"/>
      <c r="E81" s="16"/>
      <c r="F81" s="17"/>
      <c r="G81" s="15"/>
      <c r="H81" s="16"/>
      <c r="I81" s="23" t="s">
        <v>1272</v>
      </c>
      <c r="J81" s="16" t="s">
        <v>1273</v>
      </c>
      <c r="K81" s="15"/>
      <c r="L81" s="15"/>
      <c r="M81" s="15"/>
      <c r="N81" s="15"/>
      <c r="O81" s="15"/>
      <c r="P81" s="15"/>
      <c r="Q81" s="15"/>
      <c r="R81" s="15"/>
      <c r="S81" s="15" t="s">
        <v>36</v>
      </c>
      <c r="T81" s="15" t="s">
        <v>465</v>
      </c>
      <c r="U81" s="15" t="s">
        <v>602</v>
      </c>
      <c r="V81" s="16" t="s">
        <v>945</v>
      </c>
      <c r="W81" s="25" t="s">
        <v>949</v>
      </c>
      <c r="X81" s="15" t="s">
        <v>565</v>
      </c>
      <c r="Y81" s="15" t="s">
        <v>473</v>
      </c>
      <c r="Z81" s="30"/>
      <c r="AA81" s="15" t="s">
        <v>474</v>
      </c>
      <c r="AB81" s="15" t="s">
        <v>473</v>
      </c>
      <c r="AC81" s="30"/>
      <c r="AD81" s="15" t="s">
        <v>973</v>
      </c>
      <c r="AE81" s="15" t="s">
        <v>511</v>
      </c>
      <c r="AF81" s="15"/>
      <c r="AG81" s="30"/>
      <c r="AH81" s="15" t="s">
        <v>476</v>
      </c>
      <c r="AI81" s="15" t="s">
        <v>476</v>
      </c>
      <c r="AJ81" s="15" t="s">
        <v>974</v>
      </c>
      <c r="AK81" s="15" t="s">
        <v>599</v>
      </c>
      <c r="AL81" s="1" t="s">
        <v>1064</v>
      </c>
      <c r="AM81" s="15" t="s">
        <v>1075</v>
      </c>
      <c r="AN81" s="1"/>
      <c r="AO81" s="7" t="s">
        <v>1045</v>
      </c>
      <c r="AP81" s="7" t="s">
        <v>1045</v>
      </c>
      <c r="AQ81" s="95" t="b">
        <v>1</v>
      </c>
      <c r="AR81" s="95" t="b">
        <v>1</v>
      </c>
      <c r="AS81" s="95" t="b">
        <v>1</v>
      </c>
      <c r="AT81" s="95" t="b">
        <v>1</v>
      </c>
      <c r="AU81" s="95" t="b">
        <v>1</v>
      </c>
      <c r="AV81" s="95" t="b">
        <v>1</v>
      </c>
      <c r="AW81" s="95" t="b">
        <v>1</v>
      </c>
      <c r="AX81" s="95" t="b">
        <v>1</v>
      </c>
      <c r="AY81" s="95" t="b">
        <v>1</v>
      </c>
      <c r="AZ81" s="95" t="b">
        <v>1</v>
      </c>
      <c r="BA81" s="95" t="b">
        <v>1</v>
      </c>
      <c r="BB81" s="95" t="b">
        <v>1</v>
      </c>
      <c r="BC81" s="95" t="b">
        <v>1</v>
      </c>
      <c r="BD81" s="95" t="b">
        <v>1</v>
      </c>
      <c r="BE81" s="95" t="b">
        <v>1</v>
      </c>
      <c r="BF81" s="95" t="b">
        <v>1</v>
      </c>
      <c r="BG81" s="95" t="b">
        <v>1</v>
      </c>
      <c r="BH81" s="95" t="b">
        <v>1</v>
      </c>
      <c r="BI81" s="95" t="b">
        <v>1</v>
      </c>
      <c r="BJ81" s="95" t="b">
        <v>1</v>
      </c>
      <c r="BK81" s="95" t="b">
        <v>1</v>
      </c>
      <c r="BL81" s="95" t="b">
        <v>1</v>
      </c>
      <c r="BM81" s="95" t="b">
        <v>0</v>
      </c>
      <c r="BN81" s="95" t="b">
        <v>1</v>
      </c>
      <c r="BO81" s="95" t="b">
        <v>1</v>
      </c>
      <c r="BP81" s="95" t="b">
        <v>1</v>
      </c>
      <c r="BQ81" s="95" t="b">
        <v>1</v>
      </c>
      <c r="BR81" s="95" t="b">
        <v>1</v>
      </c>
      <c r="BS81" s="95" t="b">
        <v>1</v>
      </c>
      <c r="BT81" s="95" t="b">
        <v>1</v>
      </c>
      <c r="BU81" s="95" t="b">
        <v>1</v>
      </c>
      <c r="BV81" s="95" t="b">
        <v>1</v>
      </c>
      <c r="BW81" s="95" t="b">
        <v>1</v>
      </c>
      <c r="BX81" s="95" t="b">
        <v>1</v>
      </c>
      <c r="BY81" s="95" t="b">
        <v>1</v>
      </c>
      <c r="BZ81" s="95" t="b">
        <v>1</v>
      </c>
      <c r="CA81" s="95" t="b">
        <v>1</v>
      </c>
    </row>
    <row r="82" s="95" customFormat="1" ht="74" customHeight="1" spans="1:79">
      <c r="A82" s="14" t="s">
        <v>483</v>
      </c>
      <c r="B82" s="14" t="s">
        <v>922</v>
      </c>
      <c r="C82" s="15" t="s">
        <v>485</v>
      </c>
      <c r="D82" s="15" t="s">
        <v>975</v>
      </c>
      <c r="E82" s="16" t="s">
        <v>976</v>
      </c>
      <c r="F82" s="24"/>
      <c r="G82" s="15" t="s">
        <v>1274</v>
      </c>
      <c r="H82" s="16" t="s">
        <v>978</v>
      </c>
      <c r="I82" s="23" t="s">
        <v>1275</v>
      </c>
      <c r="J82" s="16" t="s">
        <v>1276</v>
      </c>
      <c r="K82" s="15"/>
      <c r="L82" s="15"/>
      <c r="M82" s="15"/>
      <c r="N82" s="15"/>
      <c r="O82" s="15" t="s">
        <v>36</v>
      </c>
      <c r="P82" s="15"/>
      <c r="Q82" s="15"/>
      <c r="R82" s="15"/>
      <c r="S82" s="15"/>
      <c r="T82" s="15" t="s">
        <v>492</v>
      </c>
      <c r="U82" s="15"/>
      <c r="V82" s="16" t="s">
        <v>981</v>
      </c>
      <c r="W82" s="25" t="s">
        <v>982</v>
      </c>
      <c r="X82" s="15" t="s">
        <v>565</v>
      </c>
      <c r="Y82" s="15" t="s">
        <v>473</v>
      </c>
      <c r="Z82" s="30"/>
      <c r="AA82" s="15" t="s">
        <v>474</v>
      </c>
      <c r="AB82" s="15" t="s">
        <v>473</v>
      </c>
      <c r="AC82" s="30"/>
      <c r="AD82" s="15"/>
      <c r="AE82" s="30"/>
      <c r="AF82" s="15"/>
      <c r="AG82" s="30"/>
      <c r="AH82" s="15" t="s">
        <v>476</v>
      </c>
      <c r="AI82" s="30" t="s">
        <v>476</v>
      </c>
      <c r="AJ82" s="15" t="s">
        <v>558</v>
      </c>
      <c r="AK82" s="15" t="s">
        <v>673</v>
      </c>
      <c r="AL82" s="1" t="s">
        <v>1064</v>
      </c>
      <c r="AM82" s="23" t="s">
        <v>1091</v>
      </c>
      <c r="AN82" s="1"/>
      <c r="AO82" s="7" t="s">
        <v>1045</v>
      </c>
      <c r="AP82" s="7" t="s">
        <v>1045</v>
      </c>
      <c r="AQ82" s="95" t="b">
        <v>1</v>
      </c>
      <c r="AR82" s="95" t="b">
        <v>1</v>
      </c>
      <c r="AS82" s="95" t="b">
        <v>1</v>
      </c>
      <c r="AT82" s="95" t="b">
        <v>1</v>
      </c>
      <c r="AU82" s="95" t="b">
        <v>1</v>
      </c>
      <c r="AV82" s="95" t="b">
        <v>1</v>
      </c>
      <c r="AW82" s="95" t="b">
        <v>1</v>
      </c>
      <c r="AX82" s="95" t="b">
        <v>1</v>
      </c>
      <c r="AY82" s="95" t="b">
        <v>1</v>
      </c>
      <c r="AZ82" s="95" t="b">
        <v>1</v>
      </c>
      <c r="BA82" s="95" t="b">
        <v>1</v>
      </c>
      <c r="BB82" s="95" t="b">
        <v>1</v>
      </c>
      <c r="BC82" s="95" t="b">
        <v>1</v>
      </c>
      <c r="BD82" s="95" t="b">
        <v>1</v>
      </c>
      <c r="BE82" s="95" t="b">
        <v>1</v>
      </c>
      <c r="BF82" s="95" t="b">
        <v>1</v>
      </c>
      <c r="BG82" s="95" t="b">
        <v>1</v>
      </c>
      <c r="BH82" s="95" t="b">
        <v>1</v>
      </c>
      <c r="BI82" s="95" t="b">
        <v>1</v>
      </c>
      <c r="BJ82" s="95" t="b">
        <v>1</v>
      </c>
      <c r="BK82" s="95" t="b">
        <v>1</v>
      </c>
      <c r="BL82" s="95" t="b">
        <v>1</v>
      </c>
      <c r="BM82" s="95" t="b">
        <v>0</v>
      </c>
      <c r="BN82" s="95" t="b">
        <v>1</v>
      </c>
      <c r="BO82" s="95" t="b">
        <v>1</v>
      </c>
      <c r="BP82" s="95" t="b">
        <v>1</v>
      </c>
      <c r="BQ82" s="95" t="b">
        <v>1</v>
      </c>
      <c r="BR82" s="95" t="b">
        <v>1</v>
      </c>
      <c r="BS82" s="95" t="b">
        <v>1</v>
      </c>
      <c r="BT82" s="95" t="b">
        <v>1</v>
      </c>
      <c r="BU82" s="95" t="b">
        <v>1</v>
      </c>
      <c r="BV82" s="95" t="b">
        <v>1</v>
      </c>
      <c r="BW82" s="95" t="b">
        <v>1</v>
      </c>
      <c r="BX82" s="95" t="b">
        <v>1</v>
      </c>
      <c r="BY82" s="95" t="b">
        <v>1</v>
      </c>
      <c r="BZ82" s="95" t="b">
        <v>1</v>
      </c>
      <c r="CA82" s="95" t="b">
        <v>1</v>
      </c>
    </row>
    <row r="83" s="95" customFormat="1" ht="75" customHeight="1" spans="1:79">
      <c r="A83" s="14"/>
      <c r="B83" s="14"/>
      <c r="C83" s="15"/>
      <c r="D83" s="15"/>
      <c r="E83" s="16"/>
      <c r="F83" s="24"/>
      <c r="G83" s="15"/>
      <c r="H83" s="16"/>
      <c r="I83" s="23" t="s">
        <v>1277</v>
      </c>
      <c r="J83" s="16" t="s">
        <v>1278</v>
      </c>
      <c r="K83" s="15"/>
      <c r="L83" s="15"/>
      <c r="M83" s="15"/>
      <c r="N83" s="15"/>
      <c r="O83" s="15" t="s">
        <v>36</v>
      </c>
      <c r="P83" s="15" t="s">
        <v>36</v>
      </c>
      <c r="Q83" s="15" t="s">
        <v>36</v>
      </c>
      <c r="R83" s="15"/>
      <c r="S83" s="15"/>
      <c r="T83" s="15" t="s">
        <v>550</v>
      </c>
      <c r="U83" s="15" t="s">
        <v>985</v>
      </c>
      <c r="V83" s="16" t="s">
        <v>986</v>
      </c>
      <c r="W83" s="25" t="s">
        <v>713</v>
      </c>
      <c r="X83" s="15" t="s">
        <v>565</v>
      </c>
      <c r="Y83" s="15" t="s">
        <v>473</v>
      </c>
      <c r="Z83" s="30"/>
      <c r="AA83" s="15" t="s">
        <v>474</v>
      </c>
      <c r="AB83" s="15" t="s">
        <v>473</v>
      </c>
      <c r="AC83" s="30"/>
      <c r="AD83" s="15"/>
      <c r="AE83" s="30"/>
      <c r="AF83" s="15"/>
      <c r="AG83" s="30"/>
      <c r="AH83" s="15" t="s">
        <v>476</v>
      </c>
      <c r="AI83" s="30" t="s">
        <v>610</v>
      </c>
      <c r="AJ83" s="15" t="s">
        <v>558</v>
      </c>
      <c r="AK83" s="15"/>
      <c r="AL83" s="1" t="s">
        <v>1064</v>
      </c>
      <c r="AM83" s="23" t="s">
        <v>470</v>
      </c>
      <c r="AN83" s="1"/>
      <c r="AO83" s="7" t="s">
        <v>1045</v>
      </c>
      <c r="AP83" s="7" t="s">
        <v>1045</v>
      </c>
      <c r="AQ83" s="95" t="b">
        <v>1</v>
      </c>
      <c r="AR83" s="95" t="b">
        <v>1</v>
      </c>
      <c r="AS83" s="95" t="b">
        <v>1</v>
      </c>
      <c r="AT83" s="95" t="b">
        <v>1</v>
      </c>
      <c r="AU83" s="95" t="b">
        <v>1</v>
      </c>
      <c r="AV83" s="95" t="b">
        <v>1</v>
      </c>
      <c r="AW83" s="95" t="b">
        <v>1</v>
      </c>
      <c r="AX83" s="95" t="b">
        <v>1</v>
      </c>
      <c r="AY83" s="95" t="b">
        <v>1</v>
      </c>
      <c r="AZ83" s="95" t="b">
        <v>1</v>
      </c>
      <c r="BA83" s="95" t="b">
        <v>1</v>
      </c>
      <c r="BB83" s="95" t="b">
        <v>1</v>
      </c>
      <c r="BC83" s="95" t="b">
        <v>1</v>
      </c>
      <c r="BD83" s="95" t="b">
        <v>1</v>
      </c>
      <c r="BE83" s="95" t="b">
        <v>1</v>
      </c>
      <c r="BF83" s="95" t="b">
        <v>1</v>
      </c>
      <c r="BG83" s="95" t="b">
        <v>1</v>
      </c>
      <c r="BH83" s="95" t="b">
        <v>1</v>
      </c>
      <c r="BI83" s="95" t="b">
        <v>1</v>
      </c>
      <c r="BJ83" s="95" t="b">
        <v>1</v>
      </c>
      <c r="BK83" s="95" t="b">
        <v>1</v>
      </c>
      <c r="BL83" s="95" t="b">
        <v>1</v>
      </c>
      <c r="BM83" s="95" t="b">
        <v>0</v>
      </c>
      <c r="BN83" s="95" t="b">
        <v>1</v>
      </c>
      <c r="BO83" s="95" t="b">
        <v>1</v>
      </c>
      <c r="BP83" s="95" t="b">
        <v>1</v>
      </c>
      <c r="BQ83" s="95" t="b">
        <v>1</v>
      </c>
      <c r="BR83" s="95" t="b">
        <v>1</v>
      </c>
      <c r="BS83" s="95" t="b">
        <v>1</v>
      </c>
      <c r="BT83" s="95" t="b">
        <v>1</v>
      </c>
      <c r="BU83" s="95" t="b">
        <v>1</v>
      </c>
      <c r="BV83" s="95" t="b">
        <v>1</v>
      </c>
      <c r="BW83" s="95" t="b">
        <v>1</v>
      </c>
      <c r="BX83" s="95" t="b">
        <v>1</v>
      </c>
      <c r="BY83" s="95" t="b">
        <v>1</v>
      </c>
      <c r="BZ83" s="95" t="b">
        <v>1</v>
      </c>
      <c r="CA83" s="95" t="b">
        <v>1</v>
      </c>
    </row>
    <row r="84" s="95" customFormat="1" ht="80" customHeight="1" spans="1:79">
      <c r="A84" s="14"/>
      <c r="B84" s="14"/>
      <c r="C84" s="15"/>
      <c r="D84" s="15"/>
      <c r="E84" s="16"/>
      <c r="F84" s="24"/>
      <c r="G84" s="15"/>
      <c r="H84" s="16"/>
      <c r="I84" s="23" t="s">
        <v>1279</v>
      </c>
      <c r="J84" s="16" t="s">
        <v>1280</v>
      </c>
      <c r="K84" s="15"/>
      <c r="L84" s="15"/>
      <c r="M84" s="15"/>
      <c r="N84" s="15"/>
      <c r="O84" s="15" t="s">
        <v>36</v>
      </c>
      <c r="P84" s="15"/>
      <c r="Q84" s="15"/>
      <c r="R84" s="15"/>
      <c r="S84" s="15"/>
      <c r="T84" s="15" t="s">
        <v>492</v>
      </c>
      <c r="U84" s="15"/>
      <c r="V84" s="16" t="s">
        <v>989</v>
      </c>
      <c r="W84" s="25" t="s">
        <v>990</v>
      </c>
      <c r="X84" s="15" t="s">
        <v>565</v>
      </c>
      <c r="Y84" s="15" t="s">
        <v>473</v>
      </c>
      <c r="Z84" s="30"/>
      <c r="AA84" s="15" t="s">
        <v>474</v>
      </c>
      <c r="AB84" s="15" t="s">
        <v>473</v>
      </c>
      <c r="AC84" s="30"/>
      <c r="AD84" s="15"/>
      <c r="AE84" s="30"/>
      <c r="AF84" s="15"/>
      <c r="AG84" s="30"/>
      <c r="AH84" s="15" t="s">
        <v>476</v>
      </c>
      <c r="AI84" s="30" t="s">
        <v>610</v>
      </c>
      <c r="AJ84" s="15" t="s">
        <v>558</v>
      </c>
      <c r="AK84" s="15"/>
      <c r="AL84" s="1" t="s">
        <v>1064</v>
      </c>
      <c r="AM84" s="23" t="s">
        <v>1091</v>
      </c>
      <c r="AN84" s="1"/>
      <c r="AO84" s="7" t="s">
        <v>1045</v>
      </c>
      <c r="AP84" s="7" t="s">
        <v>1045</v>
      </c>
      <c r="AQ84" s="95" t="b">
        <v>1</v>
      </c>
      <c r="AR84" s="95" t="b">
        <v>1</v>
      </c>
      <c r="AS84" s="95" t="b">
        <v>1</v>
      </c>
      <c r="AT84" s="95" t="b">
        <v>1</v>
      </c>
      <c r="AU84" s="95" t="b">
        <v>1</v>
      </c>
      <c r="AV84" s="95" t="b">
        <v>1</v>
      </c>
      <c r="AW84" s="95" t="b">
        <v>1</v>
      </c>
      <c r="AX84" s="95" t="b">
        <v>1</v>
      </c>
      <c r="AY84" s="95" t="b">
        <v>1</v>
      </c>
      <c r="AZ84" s="95" t="b">
        <v>1</v>
      </c>
      <c r="BA84" s="95" t="b">
        <v>1</v>
      </c>
      <c r="BB84" s="95" t="b">
        <v>1</v>
      </c>
      <c r="BC84" s="95" t="b">
        <v>1</v>
      </c>
      <c r="BD84" s="95" t="b">
        <v>1</v>
      </c>
      <c r="BE84" s="95" t="b">
        <v>1</v>
      </c>
      <c r="BF84" s="95" t="b">
        <v>1</v>
      </c>
      <c r="BG84" s="95" t="b">
        <v>1</v>
      </c>
      <c r="BH84" s="95" t="b">
        <v>1</v>
      </c>
      <c r="BI84" s="95" t="b">
        <v>1</v>
      </c>
      <c r="BJ84" s="95" t="b">
        <v>1</v>
      </c>
      <c r="BK84" s="95" t="b">
        <v>1</v>
      </c>
      <c r="BL84" s="95" t="b">
        <v>1</v>
      </c>
      <c r="BM84" s="95" t="b">
        <v>0</v>
      </c>
      <c r="BN84" s="95" t="b">
        <v>1</v>
      </c>
      <c r="BO84" s="95" t="b">
        <v>1</v>
      </c>
      <c r="BP84" s="95" t="b">
        <v>1</v>
      </c>
      <c r="BQ84" s="95" t="b">
        <v>1</v>
      </c>
      <c r="BR84" s="95" t="b">
        <v>1</v>
      </c>
      <c r="BS84" s="95" t="b">
        <v>1</v>
      </c>
      <c r="BT84" s="95" t="b">
        <v>1</v>
      </c>
      <c r="BU84" s="95" t="b">
        <v>1</v>
      </c>
      <c r="BV84" s="95" t="b">
        <v>1</v>
      </c>
      <c r="BW84" s="95" t="b">
        <v>1</v>
      </c>
      <c r="BX84" s="95" t="b">
        <v>1</v>
      </c>
      <c r="BY84" s="95" t="b">
        <v>1</v>
      </c>
      <c r="BZ84" s="95" t="b">
        <v>1</v>
      </c>
      <c r="CA84" s="95" t="b">
        <v>1</v>
      </c>
    </row>
    <row r="85" s="95" customFormat="1" ht="69" customHeight="1" spans="1:79">
      <c r="A85" s="14"/>
      <c r="B85" s="14"/>
      <c r="C85" s="15"/>
      <c r="D85" s="15"/>
      <c r="E85" s="16"/>
      <c r="F85" s="24"/>
      <c r="G85" s="15"/>
      <c r="H85" s="16"/>
      <c r="I85" s="23" t="s">
        <v>1281</v>
      </c>
      <c r="J85" s="16" t="s">
        <v>1282</v>
      </c>
      <c r="K85" s="15"/>
      <c r="L85" s="15"/>
      <c r="M85" s="15"/>
      <c r="N85" s="15"/>
      <c r="O85" s="15" t="s">
        <v>36</v>
      </c>
      <c r="P85" s="15"/>
      <c r="Q85" s="15" t="s">
        <v>36</v>
      </c>
      <c r="R85" s="15"/>
      <c r="S85" s="15"/>
      <c r="T85" s="15" t="s">
        <v>492</v>
      </c>
      <c r="U85" s="15"/>
      <c r="V85" s="16" t="s">
        <v>981</v>
      </c>
      <c r="W85" s="25" t="s">
        <v>713</v>
      </c>
      <c r="X85" s="15" t="s">
        <v>565</v>
      </c>
      <c r="Y85" s="15" t="s">
        <v>473</v>
      </c>
      <c r="Z85" s="30"/>
      <c r="AA85" s="15" t="s">
        <v>474</v>
      </c>
      <c r="AB85" s="15" t="s">
        <v>473</v>
      </c>
      <c r="AC85" s="30"/>
      <c r="AD85" s="15"/>
      <c r="AE85" s="30"/>
      <c r="AF85" s="15"/>
      <c r="AG85" s="30"/>
      <c r="AH85" s="15" t="s">
        <v>476</v>
      </c>
      <c r="AI85" s="30" t="s">
        <v>610</v>
      </c>
      <c r="AJ85" s="15" t="s">
        <v>558</v>
      </c>
      <c r="AK85" s="15"/>
      <c r="AL85" s="1" t="s">
        <v>1064</v>
      </c>
      <c r="AM85" s="23" t="s">
        <v>470</v>
      </c>
      <c r="AN85" s="1"/>
      <c r="AO85" s="7" t="s">
        <v>1045</v>
      </c>
      <c r="AP85" s="7" t="s">
        <v>1045</v>
      </c>
      <c r="AQ85" s="95" t="b">
        <v>1</v>
      </c>
      <c r="AR85" s="95" t="b">
        <v>1</v>
      </c>
      <c r="AS85" s="95" t="b">
        <v>1</v>
      </c>
      <c r="AT85" s="95" t="b">
        <v>1</v>
      </c>
      <c r="AU85" s="95" t="b">
        <v>1</v>
      </c>
      <c r="AV85" s="95" t="b">
        <v>1</v>
      </c>
      <c r="AW85" s="95" t="b">
        <v>1</v>
      </c>
      <c r="AX85" s="95" t="b">
        <v>1</v>
      </c>
      <c r="AY85" s="95" t="b">
        <v>1</v>
      </c>
      <c r="AZ85" s="95" t="b">
        <v>1</v>
      </c>
      <c r="BA85" s="95" t="b">
        <v>1</v>
      </c>
      <c r="BB85" s="95" t="b">
        <v>1</v>
      </c>
      <c r="BC85" s="95" t="b">
        <v>1</v>
      </c>
      <c r="BD85" s="95" t="b">
        <v>1</v>
      </c>
      <c r="BE85" s="95" t="b">
        <v>1</v>
      </c>
      <c r="BF85" s="95" t="b">
        <v>1</v>
      </c>
      <c r="BG85" s="95" t="b">
        <v>1</v>
      </c>
      <c r="BH85" s="95" t="b">
        <v>1</v>
      </c>
      <c r="BI85" s="95" t="b">
        <v>1</v>
      </c>
      <c r="BJ85" s="95" t="b">
        <v>1</v>
      </c>
      <c r="BK85" s="95" t="b">
        <v>1</v>
      </c>
      <c r="BL85" s="95" t="b">
        <v>1</v>
      </c>
      <c r="BM85" s="95" t="b">
        <v>0</v>
      </c>
      <c r="BN85" s="95" t="b">
        <v>1</v>
      </c>
      <c r="BO85" s="95" t="b">
        <v>1</v>
      </c>
      <c r="BP85" s="95" t="b">
        <v>1</v>
      </c>
      <c r="BQ85" s="95" t="b">
        <v>1</v>
      </c>
      <c r="BR85" s="95" t="b">
        <v>1</v>
      </c>
      <c r="BS85" s="95" t="b">
        <v>1</v>
      </c>
      <c r="BT85" s="95" t="b">
        <v>1</v>
      </c>
      <c r="BU85" s="95" t="b">
        <v>1</v>
      </c>
      <c r="BV85" s="95" t="b">
        <v>1</v>
      </c>
      <c r="BW85" s="95" t="b">
        <v>1</v>
      </c>
      <c r="BX85" s="95" t="b">
        <v>1</v>
      </c>
      <c r="BY85" s="95" t="b">
        <v>1</v>
      </c>
      <c r="BZ85" s="95" t="b">
        <v>1</v>
      </c>
      <c r="CA85" s="95" t="b">
        <v>1</v>
      </c>
    </row>
    <row r="86" s="95" customFormat="1" ht="77" customHeight="1" spans="1:79">
      <c r="A86" s="14"/>
      <c r="B86" s="14"/>
      <c r="C86" s="15"/>
      <c r="D86" s="15"/>
      <c r="E86" s="16"/>
      <c r="F86" s="24"/>
      <c r="G86" s="15"/>
      <c r="H86" s="16"/>
      <c r="I86" s="23" t="s">
        <v>1283</v>
      </c>
      <c r="J86" s="16" t="s">
        <v>1284</v>
      </c>
      <c r="K86" s="15"/>
      <c r="L86" s="15"/>
      <c r="M86" s="15"/>
      <c r="N86" s="15"/>
      <c r="O86" s="15" t="s">
        <v>36</v>
      </c>
      <c r="P86" s="15" t="s">
        <v>36</v>
      </c>
      <c r="Q86" s="15" t="s">
        <v>36</v>
      </c>
      <c r="R86" s="15"/>
      <c r="S86" s="15"/>
      <c r="T86" s="15" t="s">
        <v>492</v>
      </c>
      <c r="U86" s="15"/>
      <c r="V86" s="16" t="s">
        <v>989</v>
      </c>
      <c r="W86" s="25" t="s">
        <v>713</v>
      </c>
      <c r="X86" s="15" t="s">
        <v>565</v>
      </c>
      <c r="Y86" s="15" t="s">
        <v>473</v>
      </c>
      <c r="Z86" s="30"/>
      <c r="AA86" s="15" t="s">
        <v>474</v>
      </c>
      <c r="AB86" s="15" t="s">
        <v>473</v>
      </c>
      <c r="AC86" s="30"/>
      <c r="AD86" s="15"/>
      <c r="AE86" s="30"/>
      <c r="AF86" s="15"/>
      <c r="AG86" s="30"/>
      <c r="AH86" s="15" t="s">
        <v>476</v>
      </c>
      <c r="AI86" s="30" t="s">
        <v>610</v>
      </c>
      <c r="AJ86" s="15" t="s">
        <v>558</v>
      </c>
      <c r="AK86" s="15"/>
      <c r="AL86" s="1" t="s">
        <v>1064</v>
      </c>
      <c r="AM86" s="23" t="s">
        <v>470</v>
      </c>
      <c r="AN86" s="1"/>
      <c r="AO86" s="7" t="s">
        <v>1045</v>
      </c>
      <c r="AP86" s="7" t="s">
        <v>1045</v>
      </c>
      <c r="AQ86" s="95" t="b">
        <v>1</v>
      </c>
      <c r="AR86" s="95" t="b">
        <v>1</v>
      </c>
      <c r="AS86" s="95" t="b">
        <v>1</v>
      </c>
      <c r="AT86" s="95" t="b">
        <v>1</v>
      </c>
      <c r="AU86" s="95" t="b">
        <v>1</v>
      </c>
      <c r="AV86" s="95" t="b">
        <v>1</v>
      </c>
      <c r="AW86" s="95" t="b">
        <v>1</v>
      </c>
      <c r="AX86" s="95" t="b">
        <v>1</v>
      </c>
      <c r="AY86" s="95" t="b">
        <v>1</v>
      </c>
      <c r="AZ86" s="95" t="b">
        <v>1</v>
      </c>
      <c r="BA86" s="95" t="b">
        <v>1</v>
      </c>
      <c r="BB86" s="95" t="b">
        <v>1</v>
      </c>
      <c r="BC86" s="95" t="b">
        <v>1</v>
      </c>
      <c r="BD86" s="95" t="b">
        <v>1</v>
      </c>
      <c r="BE86" s="95" t="b">
        <v>1</v>
      </c>
      <c r="BF86" s="95" t="b">
        <v>1</v>
      </c>
      <c r="BG86" s="95" t="b">
        <v>1</v>
      </c>
      <c r="BH86" s="95" t="b">
        <v>1</v>
      </c>
      <c r="BI86" s="95" t="b">
        <v>1</v>
      </c>
      <c r="BJ86" s="95" t="b">
        <v>1</v>
      </c>
      <c r="BK86" s="95" t="b">
        <v>1</v>
      </c>
      <c r="BL86" s="95" t="b">
        <v>1</v>
      </c>
      <c r="BM86" s="95" t="b">
        <v>0</v>
      </c>
      <c r="BN86" s="95" t="b">
        <v>1</v>
      </c>
      <c r="BO86" s="95" t="b">
        <v>1</v>
      </c>
      <c r="BP86" s="95" t="b">
        <v>1</v>
      </c>
      <c r="BQ86" s="95" t="b">
        <v>1</v>
      </c>
      <c r="BR86" s="95" t="b">
        <v>1</v>
      </c>
      <c r="BS86" s="95" t="b">
        <v>1</v>
      </c>
      <c r="BT86" s="95" t="b">
        <v>1</v>
      </c>
      <c r="BU86" s="95" t="b">
        <v>1</v>
      </c>
      <c r="BV86" s="95" t="b">
        <v>1</v>
      </c>
      <c r="BW86" s="95" t="b">
        <v>1</v>
      </c>
      <c r="BX86" s="95" t="b">
        <v>1</v>
      </c>
      <c r="BY86" s="95" t="b">
        <v>1</v>
      </c>
      <c r="BZ86" s="95" t="b">
        <v>1</v>
      </c>
      <c r="CA86" s="95" t="b">
        <v>1</v>
      </c>
    </row>
    <row r="87" s="95" customFormat="1" ht="94" customHeight="1" spans="1:79">
      <c r="A87" s="14"/>
      <c r="B87" s="14"/>
      <c r="C87" s="15" t="s">
        <v>536</v>
      </c>
      <c r="D87" s="23" t="s">
        <v>995</v>
      </c>
      <c r="E87" s="16" t="s">
        <v>996</v>
      </c>
      <c r="F87" s="24"/>
      <c r="G87" s="15" t="s">
        <v>1285</v>
      </c>
      <c r="H87" s="45" t="s">
        <v>998</v>
      </c>
      <c r="I87" s="23" t="s">
        <v>1286</v>
      </c>
      <c r="J87" s="16" t="s">
        <v>1287</v>
      </c>
      <c r="K87" s="15"/>
      <c r="L87" s="15"/>
      <c r="M87" s="15"/>
      <c r="N87" s="15"/>
      <c r="O87" s="15"/>
      <c r="P87" s="15"/>
      <c r="Q87" s="15" t="s">
        <v>36</v>
      </c>
      <c r="R87" s="15"/>
      <c r="S87" s="15"/>
      <c r="T87" s="15" t="s">
        <v>465</v>
      </c>
      <c r="U87" s="15" t="s">
        <v>790</v>
      </c>
      <c r="V87" s="16" t="s">
        <v>1001</v>
      </c>
      <c r="W87" s="25" t="s">
        <v>1002</v>
      </c>
      <c r="X87" s="15" t="s">
        <v>511</v>
      </c>
      <c r="Y87" s="15" t="s">
        <v>566</v>
      </c>
      <c r="Z87" s="30"/>
      <c r="AA87" s="15" t="s">
        <v>474</v>
      </c>
      <c r="AB87" s="15" t="s">
        <v>473</v>
      </c>
      <c r="AC87" s="30"/>
      <c r="AD87" s="15" t="s">
        <v>1003</v>
      </c>
      <c r="AE87" s="15" t="s">
        <v>511</v>
      </c>
      <c r="AF87" s="15"/>
      <c r="AG87" s="30"/>
      <c r="AH87" s="15" t="s">
        <v>476</v>
      </c>
      <c r="AI87" s="15" t="s">
        <v>476</v>
      </c>
      <c r="AJ87" s="15" t="s">
        <v>870</v>
      </c>
      <c r="AK87" s="15" t="s">
        <v>532</v>
      </c>
      <c r="AL87" s="1" t="s">
        <v>1064</v>
      </c>
      <c r="AM87" s="23" t="s">
        <v>470</v>
      </c>
      <c r="AN87" s="1"/>
      <c r="AO87" s="7" t="s">
        <v>1045</v>
      </c>
      <c r="AP87" s="7" t="s">
        <v>1045</v>
      </c>
      <c r="AQ87" s="95" t="b">
        <v>1</v>
      </c>
      <c r="AR87" s="95" t="b">
        <v>1</v>
      </c>
      <c r="AS87" s="95" t="b">
        <v>1</v>
      </c>
      <c r="AT87" s="95" t="b">
        <v>1</v>
      </c>
      <c r="AU87" s="95" t="b">
        <v>1</v>
      </c>
      <c r="AV87" s="95" t="b">
        <v>1</v>
      </c>
      <c r="AW87" s="95" t="b">
        <v>1</v>
      </c>
      <c r="AX87" s="95" t="b">
        <v>1</v>
      </c>
      <c r="AY87" s="95" t="b">
        <v>1</v>
      </c>
      <c r="AZ87" s="95" t="b">
        <v>1</v>
      </c>
      <c r="BA87" s="95" t="b">
        <v>1</v>
      </c>
      <c r="BB87" s="95" t="b">
        <v>1</v>
      </c>
      <c r="BC87" s="95" t="b">
        <v>1</v>
      </c>
      <c r="BD87" s="95" t="b">
        <v>1</v>
      </c>
      <c r="BE87" s="95" t="b">
        <v>1</v>
      </c>
      <c r="BF87" s="95" t="b">
        <v>1</v>
      </c>
      <c r="BG87" s="95" t="b">
        <v>1</v>
      </c>
      <c r="BH87" s="95" t="b">
        <v>1</v>
      </c>
      <c r="BI87" s="95" t="b">
        <v>1</v>
      </c>
      <c r="BJ87" s="95" t="b">
        <v>1</v>
      </c>
      <c r="BK87" s="95" t="b">
        <v>1</v>
      </c>
      <c r="BL87" s="95" t="b">
        <v>1</v>
      </c>
      <c r="BM87" s="95" t="b">
        <v>0</v>
      </c>
      <c r="BN87" s="95" t="b">
        <v>1</v>
      </c>
      <c r="BO87" s="95" t="b">
        <v>1</v>
      </c>
      <c r="BP87" s="95" t="b">
        <v>1</v>
      </c>
      <c r="BQ87" s="95" t="b">
        <v>1</v>
      </c>
      <c r="BR87" s="95" t="b">
        <v>1</v>
      </c>
      <c r="BS87" s="95" t="b">
        <v>1</v>
      </c>
      <c r="BT87" s="95" t="b">
        <v>1</v>
      </c>
      <c r="BU87" s="95" t="b">
        <v>1</v>
      </c>
      <c r="BV87" s="95" t="b">
        <v>1</v>
      </c>
      <c r="BW87" s="95" t="b">
        <v>1</v>
      </c>
      <c r="BX87" s="95" t="b">
        <v>1</v>
      </c>
      <c r="BY87" s="95" t="b">
        <v>1</v>
      </c>
      <c r="BZ87" s="95" t="b">
        <v>1</v>
      </c>
      <c r="CA87" s="95" t="b">
        <v>1</v>
      </c>
    </row>
    <row r="88" s="95" customFormat="1" ht="142" customHeight="1" spans="1:79">
      <c r="A88" s="14"/>
      <c r="B88" s="14"/>
      <c r="C88" s="15"/>
      <c r="D88" s="23"/>
      <c r="E88" s="16"/>
      <c r="F88" s="24"/>
      <c r="G88" s="15"/>
      <c r="H88" s="48"/>
      <c r="I88" s="23" t="s">
        <v>1288</v>
      </c>
      <c r="J88" s="16" t="s">
        <v>1289</v>
      </c>
      <c r="K88" s="15"/>
      <c r="L88" s="15"/>
      <c r="M88" s="15"/>
      <c r="N88" s="15"/>
      <c r="O88" s="15"/>
      <c r="P88" s="15"/>
      <c r="Q88" s="15" t="s">
        <v>36</v>
      </c>
      <c r="R88" s="15"/>
      <c r="S88" s="15"/>
      <c r="T88" s="15" t="s">
        <v>465</v>
      </c>
      <c r="U88" s="15" t="s">
        <v>1006</v>
      </c>
      <c r="V88" s="16" t="s">
        <v>1001</v>
      </c>
      <c r="W88" s="35" t="s">
        <v>1002</v>
      </c>
      <c r="X88" s="15" t="s">
        <v>511</v>
      </c>
      <c r="Y88" s="15" t="s">
        <v>566</v>
      </c>
      <c r="Z88" s="30"/>
      <c r="AA88" s="15" t="s">
        <v>474</v>
      </c>
      <c r="AB88" s="15" t="s">
        <v>473</v>
      </c>
      <c r="AC88" s="30"/>
      <c r="AD88" s="15" t="s">
        <v>1003</v>
      </c>
      <c r="AE88" s="15" t="s">
        <v>511</v>
      </c>
      <c r="AF88" s="15"/>
      <c r="AG88" s="30"/>
      <c r="AH88" s="15" t="s">
        <v>476</v>
      </c>
      <c r="AI88" s="15" t="s">
        <v>476</v>
      </c>
      <c r="AJ88" s="15" t="s">
        <v>870</v>
      </c>
      <c r="AK88" s="15"/>
      <c r="AL88" s="1" t="s">
        <v>1064</v>
      </c>
      <c r="AM88" s="23" t="s">
        <v>470</v>
      </c>
      <c r="AN88" s="1"/>
      <c r="AO88" s="7" t="s">
        <v>1045</v>
      </c>
      <c r="AP88" s="7" t="s">
        <v>1045</v>
      </c>
      <c r="AQ88" s="95" t="b">
        <v>1</v>
      </c>
      <c r="AR88" s="95" t="b">
        <v>1</v>
      </c>
      <c r="AS88" s="95" t="b">
        <v>1</v>
      </c>
      <c r="AT88" s="95" t="b">
        <v>1</v>
      </c>
      <c r="AU88" s="95" t="b">
        <v>1</v>
      </c>
      <c r="AV88" s="95" t="b">
        <v>1</v>
      </c>
      <c r="AW88" s="95" t="b">
        <v>1</v>
      </c>
      <c r="AX88" s="95" t="b">
        <v>1</v>
      </c>
      <c r="AY88" s="95" t="b">
        <v>1</v>
      </c>
      <c r="AZ88" s="95" t="b">
        <v>1</v>
      </c>
      <c r="BA88" s="95" t="b">
        <v>1</v>
      </c>
      <c r="BB88" s="95" t="b">
        <v>1</v>
      </c>
      <c r="BC88" s="95" t="b">
        <v>1</v>
      </c>
      <c r="BD88" s="95" t="b">
        <v>1</v>
      </c>
      <c r="BE88" s="95" t="b">
        <v>1</v>
      </c>
      <c r="BF88" s="95" t="b">
        <v>1</v>
      </c>
      <c r="BG88" s="95" t="b">
        <v>1</v>
      </c>
      <c r="BH88" s="95" t="b">
        <v>1</v>
      </c>
      <c r="BI88" s="95" t="b">
        <v>1</v>
      </c>
      <c r="BJ88" s="95" t="b">
        <v>1</v>
      </c>
      <c r="BK88" s="95" t="b">
        <v>1</v>
      </c>
      <c r="BL88" s="95" t="b">
        <v>1</v>
      </c>
      <c r="BM88" s="95" t="b">
        <v>0</v>
      </c>
      <c r="BN88" s="95" t="b">
        <v>1</v>
      </c>
      <c r="BO88" s="95" t="b">
        <v>1</v>
      </c>
      <c r="BP88" s="95" t="b">
        <v>1</v>
      </c>
      <c r="BQ88" s="95" t="b">
        <v>1</v>
      </c>
      <c r="BR88" s="95" t="b">
        <v>1</v>
      </c>
      <c r="BS88" s="95" t="b">
        <v>1</v>
      </c>
      <c r="BT88" s="95" t="b">
        <v>1</v>
      </c>
      <c r="BU88" s="95" t="b">
        <v>1</v>
      </c>
      <c r="BV88" s="95" t="b">
        <v>1</v>
      </c>
      <c r="BW88" s="95" t="b">
        <v>1</v>
      </c>
      <c r="BX88" s="95" t="b">
        <v>1</v>
      </c>
      <c r="BY88" s="95" t="b">
        <v>1</v>
      </c>
      <c r="BZ88" s="95" t="b">
        <v>1</v>
      </c>
      <c r="CA88" s="95" t="b">
        <v>1</v>
      </c>
    </row>
    <row r="89" s="95" customFormat="1" ht="73" customHeight="1" spans="1:79">
      <c r="A89" s="14" t="s">
        <v>483</v>
      </c>
      <c r="B89" s="14" t="s">
        <v>922</v>
      </c>
      <c r="C89" s="15" t="s">
        <v>536</v>
      </c>
      <c r="D89" s="23" t="s">
        <v>995</v>
      </c>
      <c r="E89" s="16" t="s">
        <v>1007</v>
      </c>
      <c r="F89" s="40"/>
      <c r="G89" s="15" t="s">
        <v>1290</v>
      </c>
      <c r="H89" s="16" t="s">
        <v>1009</v>
      </c>
      <c r="I89" s="23" t="s">
        <v>1291</v>
      </c>
      <c r="J89" s="16" t="s">
        <v>1292</v>
      </c>
      <c r="K89" s="15"/>
      <c r="L89" s="15" t="s">
        <v>36</v>
      </c>
      <c r="M89" s="15"/>
      <c r="N89" s="15"/>
      <c r="O89" s="15"/>
      <c r="P89" s="15"/>
      <c r="Q89" s="15" t="s">
        <v>36</v>
      </c>
      <c r="R89" s="15"/>
      <c r="S89" s="15"/>
      <c r="T89" s="15" t="s">
        <v>465</v>
      </c>
      <c r="U89" s="15" t="s">
        <v>467</v>
      </c>
      <c r="V89" s="16" t="s">
        <v>1012</v>
      </c>
      <c r="W89" s="35" t="s">
        <v>1013</v>
      </c>
      <c r="X89" s="15" t="s">
        <v>511</v>
      </c>
      <c r="Y89" s="15" t="s">
        <v>566</v>
      </c>
      <c r="Z89" s="30"/>
      <c r="AA89" s="15" t="s">
        <v>474</v>
      </c>
      <c r="AB89" s="15" t="s">
        <v>473</v>
      </c>
      <c r="AC89" s="30"/>
      <c r="AD89" s="15" t="s">
        <v>1014</v>
      </c>
      <c r="AE89" s="15" t="s">
        <v>511</v>
      </c>
      <c r="AF89" s="15"/>
      <c r="AG89" s="30"/>
      <c r="AH89" s="15" t="s">
        <v>476</v>
      </c>
      <c r="AI89" s="15" t="s">
        <v>476</v>
      </c>
      <c r="AJ89" s="15" t="s">
        <v>870</v>
      </c>
      <c r="AK89" s="15" t="s">
        <v>532</v>
      </c>
      <c r="AL89" s="1" t="s">
        <v>1064</v>
      </c>
      <c r="AM89" s="23" t="s">
        <v>470</v>
      </c>
      <c r="AN89" s="1"/>
      <c r="AO89" s="7" t="s">
        <v>1045</v>
      </c>
      <c r="AP89" s="7" t="s">
        <v>1045</v>
      </c>
      <c r="AQ89" s="95" t="b">
        <v>1</v>
      </c>
      <c r="AR89" s="95" t="b">
        <v>1</v>
      </c>
      <c r="AS89" s="95" t="b">
        <v>1</v>
      </c>
      <c r="AT89" s="95" t="b">
        <v>1</v>
      </c>
      <c r="AU89" s="95" t="b">
        <v>1</v>
      </c>
      <c r="AV89" s="95" t="b">
        <v>1</v>
      </c>
      <c r="AW89" s="95" t="b">
        <v>1</v>
      </c>
      <c r="AX89" s="95" t="b">
        <v>1</v>
      </c>
      <c r="AY89" s="95" t="b">
        <v>1</v>
      </c>
      <c r="AZ89" s="95" t="b">
        <v>1</v>
      </c>
      <c r="BA89" s="95" t="b">
        <v>1</v>
      </c>
      <c r="BB89" s="95" t="b">
        <v>1</v>
      </c>
      <c r="BC89" s="95" t="b">
        <v>1</v>
      </c>
      <c r="BD89" s="95" t="b">
        <v>1</v>
      </c>
      <c r="BE89" s="95" t="b">
        <v>1</v>
      </c>
      <c r="BF89" s="95" t="b">
        <v>1</v>
      </c>
      <c r="BG89" s="95" t="b">
        <v>1</v>
      </c>
      <c r="BH89" s="95" t="b">
        <v>1</v>
      </c>
      <c r="BI89" s="95" t="b">
        <v>1</v>
      </c>
      <c r="BJ89" s="95" t="b">
        <v>1</v>
      </c>
      <c r="BK89" s="95" t="b">
        <v>1</v>
      </c>
      <c r="BL89" s="95" t="b">
        <v>1</v>
      </c>
      <c r="BM89" s="95" t="b">
        <v>0</v>
      </c>
      <c r="BN89" s="95" t="b">
        <v>1</v>
      </c>
      <c r="BO89" s="95" t="b">
        <v>1</v>
      </c>
      <c r="BP89" s="95" t="b">
        <v>1</v>
      </c>
      <c r="BQ89" s="95" t="b">
        <v>1</v>
      </c>
      <c r="BR89" s="95" t="b">
        <v>1</v>
      </c>
      <c r="BS89" s="95" t="b">
        <v>1</v>
      </c>
      <c r="BT89" s="95" t="b">
        <v>1</v>
      </c>
      <c r="BU89" s="95" t="b">
        <v>1</v>
      </c>
      <c r="BV89" s="95" t="b">
        <v>1</v>
      </c>
      <c r="BW89" s="95" t="b">
        <v>1</v>
      </c>
      <c r="BX89" s="95" t="b">
        <v>1</v>
      </c>
      <c r="BY89" s="95" t="b">
        <v>1</v>
      </c>
      <c r="BZ89" s="95" t="b">
        <v>1</v>
      </c>
      <c r="CA89" s="95" t="b">
        <v>1</v>
      </c>
    </row>
    <row r="90" s="95" customFormat="1" ht="77" customHeight="1" spans="1:79">
      <c r="A90" s="14"/>
      <c r="B90" s="14"/>
      <c r="C90" s="15"/>
      <c r="D90" s="23"/>
      <c r="E90" s="16"/>
      <c r="F90" s="40"/>
      <c r="G90" s="15"/>
      <c r="H90" s="16"/>
      <c r="I90" s="23" t="s">
        <v>1293</v>
      </c>
      <c r="J90" s="16" t="s">
        <v>1294</v>
      </c>
      <c r="K90" s="15"/>
      <c r="L90" s="15" t="s">
        <v>36</v>
      </c>
      <c r="M90" s="15"/>
      <c r="N90" s="15"/>
      <c r="O90" s="15"/>
      <c r="P90" s="15"/>
      <c r="Q90" s="15" t="s">
        <v>36</v>
      </c>
      <c r="R90" s="15"/>
      <c r="S90" s="15"/>
      <c r="T90" s="15" t="s">
        <v>465</v>
      </c>
      <c r="U90" s="15" t="s">
        <v>467</v>
      </c>
      <c r="V90" s="16" t="s">
        <v>1017</v>
      </c>
      <c r="W90" s="35" t="s">
        <v>1013</v>
      </c>
      <c r="X90" s="15" t="s">
        <v>511</v>
      </c>
      <c r="Y90" s="15" t="s">
        <v>566</v>
      </c>
      <c r="Z90" s="30"/>
      <c r="AA90" s="15" t="s">
        <v>474</v>
      </c>
      <c r="AB90" s="15" t="s">
        <v>473</v>
      </c>
      <c r="AC90" s="30"/>
      <c r="AD90" s="15" t="s">
        <v>1014</v>
      </c>
      <c r="AE90" s="15" t="s">
        <v>511</v>
      </c>
      <c r="AF90" s="15"/>
      <c r="AG90" s="30"/>
      <c r="AH90" s="15" t="s">
        <v>476</v>
      </c>
      <c r="AI90" s="15" t="s">
        <v>476</v>
      </c>
      <c r="AJ90" s="15" t="s">
        <v>870</v>
      </c>
      <c r="AK90" s="15"/>
      <c r="AL90" s="1" t="s">
        <v>1064</v>
      </c>
      <c r="AM90" s="23" t="s">
        <v>470</v>
      </c>
      <c r="AN90" s="1"/>
      <c r="AO90" s="7" t="s">
        <v>1045</v>
      </c>
      <c r="AP90" s="7" t="s">
        <v>1045</v>
      </c>
      <c r="AQ90" s="95" t="b">
        <v>1</v>
      </c>
      <c r="AR90" s="95" t="b">
        <v>1</v>
      </c>
      <c r="AS90" s="95" t="b">
        <v>1</v>
      </c>
      <c r="AT90" s="95" t="b">
        <v>1</v>
      </c>
      <c r="AU90" s="95" t="b">
        <v>1</v>
      </c>
      <c r="AV90" s="95" t="b">
        <v>1</v>
      </c>
      <c r="AW90" s="95" t="b">
        <v>1</v>
      </c>
      <c r="AX90" s="95" t="b">
        <v>1</v>
      </c>
      <c r="AY90" s="95" t="b">
        <v>1</v>
      </c>
      <c r="AZ90" s="95" t="b">
        <v>1</v>
      </c>
      <c r="BA90" s="95" t="b">
        <v>1</v>
      </c>
      <c r="BB90" s="95" t="b">
        <v>1</v>
      </c>
      <c r="BC90" s="95" t="b">
        <v>1</v>
      </c>
      <c r="BD90" s="95" t="b">
        <v>1</v>
      </c>
      <c r="BE90" s="95" t="b">
        <v>1</v>
      </c>
      <c r="BF90" s="95" t="b">
        <v>1</v>
      </c>
      <c r="BG90" s="95" t="b">
        <v>1</v>
      </c>
      <c r="BH90" s="95" t="b">
        <v>1</v>
      </c>
      <c r="BI90" s="95" t="b">
        <v>1</v>
      </c>
      <c r="BJ90" s="95" t="b">
        <v>1</v>
      </c>
      <c r="BK90" s="95" t="b">
        <v>1</v>
      </c>
      <c r="BL90" s="95" t="b">
        <v>1</v>
      </c>
      <c r="BM90" s="95" t="b">
        <v>0</v>
      </c>
      <c r="BN90" s="95" t="b">
        <v>1</v>
      </c>
      <c r="BO90" s="95" t="b">
        <v>1</v>
      </c>
      <c r="BP90" s="95" t="b">
        <v>1</v>
      </c>
      <c r="BQ90" s="95" t="b">
        <v>1</v>
      </c>
      <c r="BR90" s="95" t="b">
        <v>1</v>
      </c>
      <c r="BS90" s="95" t="b">
        <v>1</v>
      </c>
      <c r="BT90" s="95" t="b">
        <v>1</v>
      </c>
      <c r="BU90" s="95" t="b">
        <v>1</v>
      </c>
      <c r="BV90" s="95" t="b">
        <v>1</v>
      </c>
      <c r="BW90" s="95" t="b">
        <v>1</v>
      </c>
      <c r="BX90" s="95" t="b">
        <v>1</v>
      </c>
      <c r="BY90" s="95" t="b">
        <v>1</v>
      </c>
      <c r="BZ90" s="95" t="b">
        <v>1</v>
      </c>
      <c r="CA90" s="95" t="b">
        <v>1</v>
      </c>
    </row>
    <row r="91" ht="74" customHeight="1" spans="1:79">
      <c r="A91" s="14"/>
      <c r="B91" s="14"/>
      <c r="C91" s="15"/>
      <c r="D91" s="23"/>
      <c r="E91" s="16"/>
      <c r="F91" s="40"/>
      <c r="G91" s="15"/>
      <c r="H91" s="16"/>
      <c r="I91" s="23" t="s">
        <v>1295</v>
      </c>
      <c r="J91" s="16" t="s">
        <v>1350</v>
      </c>
      <c r="K91" s="15"/>
      <c r="L91" s="15"/>
      <c r="M91" s="15"/>
      <c r="N91" s="15"/>
      <c r="O91" s="15"/>
      <c r="P91" s="15"/>
      <c r="Q91" s="15" t="s">
        <v>36</v>
      </c>
      <c r="R91" s="15"/>
      <c r="S91" s="15"/>
      <c r="T91" s="15" t="s">
        <v>550</v>
      </c>
      <c r="U91" s="15" t="s">
        <v>467</v>
      </c>
      <c r="V91" s="16" t="s">
        <v>1020</v>
      </c>
      <c r="W91" s="35" t="s">
        <v>1002</v>
      </c>
      <c r="X91" s="15" t="s">
        <v>511</v>
      </c>
      <c r="Y91" s="15" t="s">
        <v>566</v>
      </c>
      <c r="Z91" s="30"/>
      <c r="AA91" s="15" t="s">
        <v>474</v>
      </c>
      <c r="AB91" s="15" t="s">
        <v>473</v>
      </c>
      <c r="AC91" s="30"/>
      <c r="AD91" s="15"/>
      <c r="AE91" s="30"/>
      <c r="AF91" s="15"/>
      <c r="AG91" s="30"/>
      <c r="AH91" s="15" t="s">
        <v>476</v>
      </c>
      <c r="AI91" s="15" t="s">
        <v>476</v>
      </c>
      <c r="AJ91" s="15" t="s">
        <v>870</v>
      </c>
      <c r="AK91" s="15"/>
      <c r="AL91" s="1" t="s">
        <v>1064</v>
      </c>
      <c r="AM91" s="23" t="s">
        <v>470</v>
      </c>
      <c r="AN91" s="1"/>
      <c r="AO91" s="7" t="s">
        <v>1045</v>
      </c>
      <c r="AP91" s="98" t="s">
        <v>1059</v>
      </c>
      <c r="AQ91" s="95" t="b">
        <v>1</v>
      </c>
      <c r="AR91" s="95" t="b">
        <v>1</v>
      </c>
      <c r="AS91" s="95" t="b">
        <v>1</v>
      </c>
      <c r="AT91" s="95" t="b">
        <v>1</v>
      </c>
      <c r="AU91" s="95" t="b">
        <v>1</v>
      </c>
      <c r="AV91" s="95" t="b">
        <v>1</v>
      </c>
      <c r="AW91" s="95" t="b">
        <v>1</v>
      </c>
      <c r="AX91" s="95" t="b">
        <v>1</v>
      </c>
      <c r="AY91" s="95" t="b">
        <v>1</v>
      </c>
      <c r="AZ91" s="95" t="b">
        <v>0</v>
      </c>
      <c r="BA91" s="95" t="b">
        <v>1</v>
      </c>
      <c r="BB91" s="95" t="b">
        <v>1</v>
      </c>
      <c r="BC91" s="95" t="b">
        <v>1</v>
      </c>
      <c r="BD91" s="95" t="b">
        <v>1</v>
      </c>
      <c r="BE91" s="95" t="b">
        <v>1</v>
      </c>
      <c r="BF91" s="95" t="b">
        <v>1</v>
      </c>
      <c r="BG91" s="95" t="b">
        <v>1</v>
      </c>
      <c r="BH91" s="95" t="b">
        <v>1</v>
      </c>
      <c r="BI91" s="95" t="b">
        <v>1</v>
      </c>
      <c r="BJ91" s="95" t="b">
        <v>1</v>
      </c>
      <c r="BK91" s="95" t="b">
        <v>1</v>
      </c>
      <c r="BL91" s="95" t="b">
        <v>1</v>
      </c>
      <c r="BM91" s="95" t="b">
        <v>0</v>
      </c>
      <c r="BN91" s="95" t="b">
        <v>1</v>
      </c>
      <c r="BO91" s="95" t="b">
        <v>1</v>
      </c>
      <c r="BP91" s="95" t="b">
        <v>1</v>
      </c>
      <c r="BQ91" s="95" t="b">
        <v>1</v>
      </c>
      <c r="BR91" s="95" t="b">
        <v>1</v>
      </c>
      <c r="BS91" s="95" t="b">
        <v>1</v>
      </c>
      <c r="BT91" s="95" t="b">
        <v>1</v>
      </c>
      <c r="BU91" s="95" t="b">
        <v>1</v>
      </c>
      <c r="BV91" s="95" t="b">
        <v>1</v>
      </c>
      <c r="BW91" s="95" t="b">
        <v>1</v>
      </c>
      <c r="BX91" s="95" t="b">
        <v>1</v>
      </c>
      <c r="BY91" s="95" t="b">
        <v>1</v>
      </c>
      <c r="BZ91" s="95" t="b">
        <v>1</v>
      </c>
      <c r="CA91" s="95" t="b">
        <v>1</v>
      </c>
    </row>
    <row r="92" ht="69" customHeight="1" spans="1:79">
      <c r="A92" s="14"/>
      <c r="B92" s="14"/>
      <c r="C92" s="15" t="s">
        <v>536</v>
      </c>
      <c r="D92" s="15" t="s">
        <v>1021</v>
      </c>
      <c r="E92" s="16" t="s">
        <v>1022</v>
      </c>
      <c r="F92" s="16"/>
      <c r="G92" s="15" t="s">
        <v>1297</v>
      </c>
      <c r="H92" s="45" t="s">
        <v>1024</v>
      </c>
      <c r="I92" s="23" t="s">
        <v>1298</v>
      </c>
      <c r="J92" s="16" t="s">
        <v>1299</v>
      </c>
      <c r="K92" s="15"/>
      <c r="L92" s="15" t="s">
        <v>36</v>
      </c>
      <c r="M92" s="15"/>
      <c r="N92" s="15"/>
      <c r="O92" s="15"/>
      <c r="P92" s="15"/>
      <c r="Q92" s="15"/>
      <c r="R92" s="15"/>
      <c r="S92" s="15" t="s">
        <v>36</v>
      </c>
      <c r="T92" s="15" t="s">
        <v>492</v>
      </c>
      <c r="U92" s="15"/>
      <c r="V92" s="16" t="s">
        <v>1027</v>
      </c>
      <c r="W92" s="105" t="s">
        <v>1300</v>
      </c>
      <c r="X92" s="15" t="s">
        <v>474</v>
      </c>
      <c r="Y92" s="15" t="s">
        <v>473</v>
      </c>
      <c r="Z92" s="15"/>
      <c r="AA92" s="15" t="s">
        <v>474</v>
      </c>
      <c r="AB92" s="15" t="s">
        <v>473</v>
      </c>
      <c r="AC92" s="15"/>
      <c r="AD92" s="15"/>
      <c r="AE92" s="30"/>
      <c r="AF92" s="15"/>
      <c r="AG92" s="15"/>
      <c r="AH92" s="15" t="s">
        <v>476</v>
      </c>
      <c r="AI92" s="15" t="s">
        <v>476</v>
      </c>
      <c r="AJ92" s="15" t="s">
        <v>1028</v>
      </c>
      <c r="AK92" s="15" t="s">
        <v>497</v>
      </c>
      <c r="AL92" s="102" t="s">
        <v>1043</v>
      </c>
      <c r="AM92" s="23" t="s">
        <v>1044</v>
      </c>
      <c r="AN92" s="1"/>
      <c r="AO92" s="7" t="s">
        <v>1045</v>
      </c>
      <c r="AP92" s="7" t="s">
        <v>1045</v>
      </c>
      <c r="AQ92" s="95" t="b">
        <v>1</v>
      </c>
      <c r="AR92" s="95" t="b">
        <v>1</v>
      </c>
      <c r="AS92" s="95" t="b">
        <v>1</v>
      </c>
      <c r="AT92" s="95" t="b">
        <v>1</v>
      </c>
      <c r="AU92" s="95" t="b">
        <v>1</v>
      </c>
      <c r="AV92" s="95" t="b">
        <v>1</v>
      </c>
      <c r="AW92" s="95" t="b">
        <v>1</v>
      </c>
      <c r="AX92" s="95" t="b">
        <v>1</v>
      </c>
      <c r="AY92" s="95" t="b">
        <v>1</v>
      </c>
      <c r="AZ92" s="95" t="b">
        <v>1</v>
      </c>
      <c r="BA92" s="95" t="b">
        <v>1</v>
      </c>
      <c r="BB92" s="95" t="b">
        <v>1</v>
      </c>
      <c r="BC92" s="95" t="b">
        <v>1</v>
      </c>
      <c r="BD92" s="95" t="b">
        <v>1</v>
      </c>
      <c r="BE92" s="95" t="b">
        <v>1</v>
      </c>
      <c r="BF92" s="95" t="b">
        <v>1</v>
      </c>
      <c r="BG92" s="95" t="b">
        <v>1</v>
      </c>
      <c r="BH92" s="95" t="b">
        <v>1</v>
      </c>
      <c r="BI92" s="95" t="b">
        <v>1</v>
      </c>
      <c r="BJ92" s="95" t="b">
        <v>1</v>
      </c>
      <c r="BK92" s="95" t="b">
        <v>1</v>
      </c>
      <c r="BL92" s="95" t="b">
        <v>1</v>
      </c>
      <c r="BM92" s="95" t="b">
        <v>0</v>
      </c>
      <c r="BN92" s="95" t="b">
        <v>1</v>
      </c>
      <c r="BO92" s="95" t="b">
        <v>1</v>
      </c>
      <c r="BP92" s="95" t="b">
        <v>1</v>
      </c>
      <c r="BQ92" s="95" t="b">
        <v>1</v>
      </c>
      <c r="BR92" s="95" t="b">
        <v>1</v>
      </c>
      <c r="BS92" s="95" t="b">
        <v>1</v>
      </c>
      <c r="BT92" s="95" t="b">
        <v>1</v>
      </c>
      <c r="BU92" s="95" t="b">
        <v>1</v>
      </c>
      <c r="BV92" s="95" t="b">
        <v>1</v>
      </c>
      <c r="BW92" s="95" t="b">
        <v>1</v>
      </c>
      <c r="BX92" s="95" t="b">
        <v>1</v>
      </c>
      <c r="BY92" s="95" t="b">
        <v>1</v>
      </c>
      <c r="BZ92" s="95" t="b">
        <v>1</v>
      </c>
      <c r="CA92" s="95" t="b">
        <v>1</v>
      </c>
    </row>
    <row r="93" ht="73" customHeight="1" spans="1:79">
      <c r="A93" s="14"/>
      <c r="B93" s="14"/>
      <c r="C93" s="15"/>
      <c r="D93" s="15"/>
      <c r="E93" s="16"/>
      <c r="F93" s="16"/>
      <c r="G93" s="15"/>
      <c r="H93" s="47"/>
      <c r="I93" s="23" t="s">
        <v>1301</v>
      </c>
      <c r="J93" s="16" t="s">
        <v>1302</v>
      </c>
      <c r="K93" s="15"/>
      <c r="L93" s="15" t="s">
        <v>36</v>
      </c>
      <c r="M93" s="15"/>
      <c r="N93" s="15"/>
      <c r="O93" s="15"/>
      <c r="P93" s="15"/>
      <c r="Q93" s="15"/>
      <c r="R93" s="15"/>
      <c r="S93" s="15" t="s">
        <v>36</v>
      </c>
      <c r="T93" s="15" t="s">
        <v>492</v>
      </c>
      <c r="U93" s="15"/>
      <c r="V93" s="16" t="s">
        <v>1031</v>
      </c>
      <c r="W93" s="105" t="s">
        <v>1300</v>
      </c>
      <c r="X93" s="15" t="s">
        <v>474</v>
      </c>
      <c r="Y93" s="15" t="s">
        <v>473</v>
      </c>
      <c r="Z93" s="15"/>
      <c r="AA93" s="15" t="s">
        <v>474</v>
      </c>
      <c r="AB93" s="15" t="s">
        <v>473</v>
      </c>
      <c r="AC93" s="15"/>
      <c r="AD93" s="15"/>
      <c r="AE93" s="30"/>
      <c r="AF93" s="15"/>
      <c r="AG93" s="15"/>
      <c r="AH93" s="15" t="s">
        <v>476</v>
      </c>
      <c r="AI93" s="15" t="s">
        <v>476</v>
      </c>
      <c r="AJ93" s="15" t="s">
        <v>1028</v>
      </c>
      <c r="AK93" s="15"/>
      <c r="AL93" s="102" t="s">
        <v>1043</v>
      </c>
      <c r="AM93" s="23" t="s">
        <v>1044</v>
      </c>
      <c r="AN93" s="1"/>
      <c r="AO93" s="7" t="s">
        <v>1045</v>
      </c>
      <c r="AP93" s="7" t="s">
        <v>1045</v>
      </c>
      <c r="AQ93" s="95" t="b">
        <v>1</v>
      </c>
      <c r="AR93" s="95" t="b">
        <v>1</v>
      </c>
      <c r="AS93" s="95" t="b">
        <v>1</v>
      </c>
      <c r="AT93" s="95" t="b">
        <v>1</v>
      </c>
      <c r="AU93" s="95" t="b">
        <v>1</v>
      </c>
      <c r="AV93" s="95" t="b">
        <v>1</v>
      </c>
      <c r="AW93" s="95" t="b">
        <v>1</v>
      </c>
      <c r="AX93" s="95" t="b">
        <v>1</v>
      </c>
      <c r="AY93" s="95" t="b">
        <v>1</v>
      </c>
      <c r="AZ93" s="95" t="b">
        <v>1</v>
      </c>
      <c r="BA93" s="95" t="b">
        <v>1</v>
      </c>
      <c r="BB93" s="95" t="b">
        <v>1</v>
      </c>
      <c r="BC93" s="95" t="b">
        <v>1</v>
      </c>
      <c r="BD93" s="95" t="b">
        <v>1</v>
      </c>
      <c r="BE93" s="95" t="b">
        <v>1</v>
      </c>
      <c r="BF93" s="95" t="b">
        <v>1</v>
      </c>
      <c r="BG93" s="95" t="b">
        <v>1</v>
      </c>
      <c r="BH93" s="95" t="b">
        <v>1</v>
      </c>
      <c r="BI93" s="95" t="b">
        <v>1</v>
      </c>
      <c r="BJ93" s="95" t="b">
        <v>1</v>
      </c>
      <c r="BK93" s="95" t="b">
        <v>1</v>
      </c>
      <c r="BL93" s="95" t="b">
        <v>1</v>
      </c>
      <c r="BM93" s="95" t="b">
        <v>0</v>
      </c>
      <c r="BN93" s="95" t="b">
        <v>1</v>
      </c>
      <c r="BO93" s="95" t="b">
        <v>1</v>
      </c>
      <c r="BP93" s="95" t="b">
        <v>1</v>
      </c>
      <c r="BQ93" s="95" t="b">
        <v>1</v>
      </c>
      <c r="BR93" s="95" t="b">
        <v>1</v>
      </c>
      <c r="BS93" s="95" t="b">
        <v>1</v>
      </c>
      <c r="BT93" s="95" t="b">
        <v>1</v>
      </c>
      <c r="BU93" s="95" t="b">
        <v>1</v>
      </c>
      <c r="BV93" s="95" t="b">
        <v>1</v>
      </c>
      <c r="BW93" s="95" t="b">
        <v>1</v>
      </c>
      <c r="BX93" s="95" t="b">
        <v>1</v>
      </c>
      <c r="BY93" s="95" t="b">
        <v>1</v>
      </c>
      <c r="BZ93" s="95" t="b">
        <v>1</v>
      </c>
      <c r="CA93" s="95" t="b">
        <v>1</v>
      </c>
    </row>
    <row r="94" ht="67" customHeight="1" spans="1:79">
      <c r="A94" s="14"/>
      <c r="B94" s="14"/>
      <c r="C94" s="15"/>
      <c r="D94" s="15"/>
      <c r="E94" s="16"/>
      <c r="F94" s="16"/>
      <c r="G94" s="15"/>
      <c r="H94" s="47"/>
      <c r="I94" s="23" t="s">
        <v>1303</v>
      </c>
      <c r="J94" s="16" t="s">
        <v>1304</v>
      </c>
      <c r="K94" s="15"/>
      <c r="L94" s="15" t="s">
        <v>36</v>
      </c>
      <c r="M94" s="15"/>
      <c r="N94" s="15"/>
      <c r="O94" s="15"/>
      <c r="P94" s="15"/>
      <c r="Q94" s="15"/>
      <c r="R94" s="15"/>
      <c r="S94" s="15" t="s">
        <v>36</v>
      </c>
      <c r="T94" s="15" t="s">
        <v>492</v>
      </c>
      <c r="U94" s="15"/>
      <c r="V94" s="16" t="s">
        <v>1034</v>
      </c>
      <c r="W94" s="105" t="s">
        <v>1300</v>
      </c>
      <c r="X94" s="15" t="s">
        <v>474</v>
      </c>
      <c r="Y94" s="15" t="s">
        <v>473</v>
      </c>
      <c r="Z94" s="15"/>
      <c r="AA94" s="15" t="s">
        <v>474</v>
      </c>
      <c r="AB94" s="15" t="s">
        <v>473</v>
      </c>
      <c r="AC94" s="15"/>
      <c r="AD94" s="15"/>
      <c r="AE94" s="30"/>
      <c r="AF94" s="15"/>
      <c r="AG94" s="15"/>
      <c r="AH94" s="15" t="s">
        <v>476</v>
      </c>
      <c r="AI94" s="15" t="s">
        <v>476</v>
      </c>
      <c r="AJ94" s="15" t="s">
        <v>1028</v>
      </c>
      <c r="AK94" s="15"/>
      <c r="AL94" s="102" t="s">
        <v>1043</v>
      </c>
      <c r="AM94" s="23" t="s">
        <v>1044</v>
      </c>
      <c r="AN94" s="1"/>
      <c r="AO94" s="7" t="s">
        <v>1045</v>
      </c>
      <c r="AP94" s="7" t="s">
        <v>1045</v>
      </c>
      <c r="AQ94" s="95" t="b">
        <v>1</v>
      </c>
      <c r="AR94" s="95" t="b">
        <v>1</v>
      </c>
      <c r="AS94" s="95" t="b">
        <v>1</v>
      </c>
      <c r="AT94" s="95" t="b">
        <v>1</v>
      </c>
      <c r="AU94" s="95" t="b">
        <v>1</v>
      </c>
      <c r="AV94" s="95" t="b">
        <v>1</v>
      </c>
      <c r="AW94" s="95" t="b">
        <v>1</v>
      </c>
      <c r="AX94" s="95" t="b">
        <v>1</v>
      </c>
      <c r="AY94" s="95" t="b">
        <v>1</v>
      </c>
      <c r="AZ94" s="95" t="b">
        <v>1</v>
      </c>
      <c r="BA94" s="95" t="b">
        <v>1</v>
      </c>
      <c r="BB94" s="95" t="b">
        <v>1</v>
      </c>
      <c r="BC94" s="95" t="b">
        <v>1</v>
      </c>
      <c r="BD94" s="95" t="b">
        <v>1</v>
      </c>
      <c r="BE94" s="95" t="b">
        <v>1</v>
      </c>
      <c r="BF94" s="95" t="b">
        <v>1</v>
      </c>
      <c r="BG94" s="95" t="b">
        <v>1</v>
      </c>
      <c r="BH94" s="95" t="b">
        <v>1</v>
      </c>
      <c r="BI94" s="95" t="b">
        <v>1</v>
      </c>
      <c r="BJ94" s="95" t="b">
        <v>1</v>
      </c>
      <c r="BK94" s="95" t="b">
        <v>1</v>
      </c>
      <c r="BL94" s="95" t="b">
        <v>1</v>
      </c>
      <c r="BM94" s="95" t="b">
        <v>0</v>
      </c>
      <c r="BN94" s="95" t="b">
        <v>1</v>
      </c>
      <c r="BO94" s="95" t="b">
        <v>1</v>
      </c>
      <c r="BP94" s="95" t="b">
        <v>1</v>
      </c>
      <c r="BQ94" s="95" t="b">
        <v>1</v>
      </c>
      <c r="BR94" s="95" t="b">
        <v>1</v>
      </c>
      <c r="BS94" s="95" t="b">
        <v>1</v>
      </c>
      <c r="BT94" s="95" t="b">
        <v>1</v>
      </c>
      <c r="BU94" s="95" t="b">
        <v>1</v>
      </c>
      <c r="BV94" s="95" t="b">
        <v>1</v>
      </c>
      <c r="BW94" s="95" t="b">
        <v>1</v>
      </c>
      <c r="BX94" s="95" t="b">
        <v>1</v>
      </c>
      <c r="BY94" s="95" t="b">
        <v>1</v>
      </c>
      <c r="BZ94" s="95" t="b">
        <v>1</v>
      </c>
      <c r="CA94" s="95" t="b">
        <v>1</v>
      </c>
    </row>
    <row r="95" ht="76" customHeight="1" spans="1:79">
      <c r="A95" s="14"/>
      <c r="B95" s="14"/>
      <c r="C95" s="15"/>
      <c r="D95" s="15"/>
      <c r="E95" s="16"/>
      <c r="F95" s="16"/>
      <c r="G95" s="15"/>
      <c r="H95" s="48"/>
      <c r="I95" s="23" t="s">
        <v>1305</v>
      </c>
      <c r="J95" s="16" t="s">
        <v>1306</v>
      </c>
      <c r="K95" s="15"/>
      <c r="L95" s="15" t="s">
        <v>36</v>
      </c>
      <c r="M95" s="15"/>
      <c r="N95" s="15"/>
      <c r="O95" s="15"/>
      <c r="P95" s="15"/>
      <c r="Q95" s="15"/>
      <c r="R95" s="15"/>
      <c r="S95" s="15" t="s">
        <v>36</v>
      </c>
      <c r="T95" s="15" t="s">
        <v>492</v>
      </c>
      <c r="U95" s="15"/>
      <c r="V95" s="16" t="s">
        <v>1037</v>
      </c>
      <c r="W95" s="105" t="s">
        <v>1300</v>
      </c>
      <c r="X95" s="15" t="s">
        <v>474</v>
      </c>
      <c r="Y95" s="15" t="s">
        <v>473</v>
      </c>
      <c r="Z95" s="15"/>
      <c r="AA95" s="15" t="s">
        <v>474</v>
      </c>
      <c r="AB95" s="15" t="s">
        <v>473</v>
      </c>
      <c r="AC95" s="15"/>
      <c r="AD95" s="15"/>
      <c r="AE95" s="30"/>
      <c r="AF95" s="15"/>
      <c r="AG95" s="15"/>
      <c r="AH95" s="15" t="s">
        <v>476</v>
      </c>
      <c r="AI95" s="15" t="s">
        <v>476</v>
      </c>
      <c r="AJ95" s="15" t="s">
        <v>1028</v>
      </c>
      <c r="AK95" s="15"/>
      <c r="AL95" s="102" t="s">
        <v>1043</v>
      </c>
      <c r="AM95" s="23" t="s">
        <v>1044</v>
      </c>
      <c r="AN95" s="1"/>
      <c r="AO95" s="7" t="s">
        <v>1045</v>
      </c>
      <c r="AP95" s="7" t="s">
        <v>1045</v>
      </c>
      <c r="AQ95" s="95" t="b">
        <v>1</v>
      </c>
      <c r="AR95" s="95" t="b">
        <v>1</v>
      </c>
      <c r="AS95" s="95" t="b">
        <v>1</v>
      </c>
      <c r="AT95" s="95" t="b">
        <v>1</v>
      </c>
      <c r="AU95" s="95" t="b">
        <v>1</v>
      </c>
      <c r="AV95" s="95" t="b">
        <v>1</v>
      </c>
      <c r="AW95" s="95" t="b">
        <v>1</v>
      </c>
      <c r="AX95" s="95" t="b">
        <v>1</v>
      </c>
      <c r="AY95" s="95" t="b">
        <v>1</v>
      </c>
      <c r="AZ95" s="95" t="b">
        <v>1</v>
      </c>
      <c r="BA95" s="95" t="b">
        <v>1</v>
      </c>
      <c r="BB95" s="95" t="b">
        <v>1</v>
      </c>
      <c r="BC95" s="95" t="b">
        <v>1</v>
      </c>
      <c r="BD95" s="95" t="b">
        <v>1</v>
      </c>
      <c r="BE95" s="95" t="b">
        <v>1</v>
      </c>
      <c r="BF95" s="95" t="b">
        <v>1</v>
      </c>
      <c r="BG95" s="95" t="b">
        <v>1</v>
      </c>
      <c r="BH95" s="95" t="b">
        <v>1</v>
      </c>
      <c r="BI95" s="95" t="b">
        <v>1</v>
      </c>
      <c r="BJ95" s="95" t="b">
        <v>1</v>
      </c>
      <c r="BK95" s="95" t="b">
        <v>1</v>
      </c>
      <c r="BL95" s="95" t="b">
        <v>1</v>
      </c>
      <c r="BM95" s="95" t="b">
        <v>0</v>
      </c>
      <c r="BN95" s="95" t="b">
        <v>1</v>
      </c>
      <c r="BO95" s="95" t="b">
        <v>1</v>
      </c>
      <c r="BP95" s="95" t="b">
        <v>1</v>
      </c>
      <c r="BQ95" s="95" t="b">
        <v>1</v>
      </c>
      <c r="BR95" s="95" t="b">
        <v>1</v>
      </c>
      <c r="BS95" s="95" t="b">
        <v>1</v>
      </c>
      <c r="BT95" s="95" t="b">
        <v>1</v>
      </c>
      <c r="BU95" s="95" t="b">
        <v>1</v>
      </c>
      <c r="BV95" s="95" t="b">
        <v>1</v>
      </c>
      <c r="BW95" s="95" t="b">
        <v>1</v>
      </c>
      <c r="BX95" s="95" t="b">
        <v>1</v>
      </c>
      <c r="BY95" s="95" t="b">
        <v>1</v>
      </c>
      <c r="BZ95" s="95" t="b">
        <v>1</v>
      </c>
      <c r="CA95" s="95" t="b">
        <v>1</v>
      </c>
    </row>
    <row r="96" s="96" customFormat="1" ht="164" customHeight="1" spans="1:79">
      <c r="A96" s="75"/>
      <c r="B96" s="90" t="s">
        <v>662</v>
      </c>
      <c r="C96" s="46" t="s">
        <v>485</v>
      </c>
      <c r="D96" s="46" t="s">
        <v>625</v>
      </c>
      <c r="E96" s="52" t="s">
        <v>626</v>
      </c>
      <c r="F96" s="68"/>
      <c r="G96" s="46" t="s">
        <v>1307</v>
      </c>
      <c r="H96" s="52" t="s">
        <v>628</v>
      </c>
      <c r="I96" s="54" t="s">
        <v>1308</v>
      </c>
      <c r="J96" s="52" t="s">
        <v>1378</v>
      </c>
      <c r="K96" s="46"/>
      <c r="L96" s="46" t="s">
        <v>36</v>
      </c>
      <c r="M96" s="46"/>
      <c r="N96" s="46"/>
      <c r="O96" s="46" t="s">
        <v>36</v>
      </c>
      <c r="P96" s="46"/>
      <c r="Q96" s="46"/>
      <c r="R96" s="46" t="s">
        <v>36</v>
      </c>
      <c r="S96" s="46"/>
      <c r="T96" s="46" t="s">
        <v>492</v>
      </c>
      <c r="U96" s="46" t="s">
        <v>631</v>
      </c>
      <c r="V96" s="91" t="s">
        <v>632</v>
      </c>
      <c r="W96" s="52" t="s">
        <v>1309</v>
      </c>
      <c r="X96" s="46" t="s">
        <v>474</v>
      </c>
      <c r="Y96" s="46" t="s">
        <v>473</v>
      </c>
      <c r="Z96" s="70"/>
      <c r="AA96" s="46" t="s">
        <v>474</v>
      </c>
      <c r="AB96" s="46" t="s">
        <v>473</v>
      </c>
      <c r="AC96" s="70"/>
      <c r="AD96" s="46"/>
      <c r="AE96" s="46"/>
      <c r="AF96" s="46"/>
      <c r="AG96" s="46"/>
      <c r="AH96" s="46" t="s">
        <v>476</v>
      </c>
      <c r="AI96" s="46" t="s">
        <v>476</v>
      </c>
      <c r="AJ96" s="52" t="s">
        <v>634</v>
      </c>
      <c r="AK96" s="46" t="s">
        <v>635</v>
      </c>
      <c r="AL96" s="54" t="s">
        <v>1310</v>
      </c>
      <c r="AM96" s="46"/>
      <c r="AN96" s="54" t="s">
        <v>1311</v>
      </c>
      <c r="AO96" s="89" t="s">
        <v>1143</v>
      </c>
      <c r="AP96" s="89" t="s">
        <v>1312</v>
      </c>
      <c r="AQ96" s="95"/>
      <c r="AR96" s="95"/>
      <c r="AS96" s="95"/>
      <c r="AT96" s="95"/>
      <c r="AU96" s="95"/>
      <c r="AV96" s="95"/>
      <c r="AW96" s="95"/>
      <c r="AX96" s="95"/>
      <c r="AY96" s="95"/>
      <c r="AZ96" s="95"/>
      <c r="BA96" s="95"/>
      <c r="BB96" s="95"/>
      <c r="BC96" s="95"/>
      <c r="BD96" s="95"/>
      <c r="BE96" s="95"/>
      <c r="BF96" s="95"/>
      <c r="BG96" s="95"/>
      <c r="BH96" s="95"/>
      <c r="BI96" s="95"/>
      <c r="BJ96" s="95"/>
      <c r="BK96" s="95"/>
      <c r="BL96" s="95"/>
      <c r="BM96" s="95"/>
      <c r="BN96" s="95"/>
      <c r="BO96" s="95"/>
      <c r="BP96" s="95"/>
      <c r="BQ96" s="95"/>
      <c r="BR96" s="95"/>
      <c r="BS96" s="95"/>
      <c r="BT96" s="95"/>
      <c r="BU96" s="95"/>
      <c r="BV96" s="95"/>
      <c r="BW96" s="95"/>
      <c r="BX96" s="95"/>
      <c r="BY96" s="95"/>
      <c r="BZ96" s="95"/>
      <c r="CA96" s="95"/>
    </row>
    <row r="97" s="96" customFormat="1" ht="162" customHeight="1" spans="1:79">
      <c r="A97" s="75"/>
      <c r="B97" s="74"/>
      <c r="C97" s="46" t="s">
        <v>536</v>
      </c>
      <c r="D97" s="46" t="s">
        <v>779</v>
      </c>
      <c r="E97" s="52" t="s">
        <v>1313</v>
      </c>
      <c r="F97" s="68" t="s">
        <v>801</v>
      </c>
      <c r="G97" s="46" t="s">
        <v>802</v>
      </c>
      <c r="H97" s="52" t="s">
        <v>803</v>
      </c>
      <c r="I97" s="54" t="s">
        <v>802</v>
      </c>
      <c r="J97" s="52" t="s">
        <v>805</v>
      </c>
      <c r="K97" s="46"/>
      <c r="L97" s="46"/>
      <c r="M97" s="46" t="s">
        <v>36</v>
      </c>
      <c r="N97" s="46" t="s">
        <v>36</v>
      </c>
      <c r="O97" s="46" t="s">
        <v>36</v>
      </c>
      <c r="P97" s="46"/>
      <c r="Q97" s="46"/>
      <c r="R97" s="46"/>
      <c r="S97" s="46"/>
      <c r="T97" s="46" t="s">
        <v>465</v>
      </c>
      <c r="U97" s="46" t="s">
        <v>1314</v>
      </c>
      <c r="V97" s="91" t="s">
        <v>1315</v>
      </c>
      <c r="W97" s="52" t="s">
        <v>1379</v>
      </c>
      <c r="X97" s="46" t="s">
        <v>474</v>
      </c>
      <c r="Y97" s="46" t="s">
        <v>473</v>
      </c>
      <c r="Z97" s="46"/>
      <c r="AA97" s="46" t="s">
        <v>474</v>
      </c>
      <c r="AB97" s="46" t="s">
        <v>473</v>
      </c>
      <c r="AC97" s="46"/>
      <c r="AD97" s="46"/>
      <c r="AE97" s="46"/>
      <c r="AF97" s="46"/>
      <c r="AG97" s="46"/>
      <c r="AH97" s="46" t="s">
        <v>476</v>
      </c>
      <c r="AI97" s="46" t="s">
        <v>476</v>
      </c>
      <c r="AJ97" s="52" t="s">
        <v>808</v>
      </c>
      <c r="AK97" s="46" t="s">
        <v>470</v>
      </c>
      <c r="AL97" s="54" t="s">
        <v>1317</v>
      </c>
      <c r="AM97" s="46" t="s">
        <v>1318</v>
      </c>
      <c r="AN97" s="54"/>
      <c r="AO97" s="89" t="s">
        <v>1143</v>
      </c>
      <c r="AP97" s="89" t="s">
        <v>1319</v>
      </c>
      <c r="AQ97" s="95"/>
      <c r="AR97" s="95"/>
      <c r="AS97" s="95"/>
      <c r="AT97" s="95"/>
      <c r="AU97" s="95"/>
      <c r="AV97" s="95"/>
      <c r="AW97" s="95"/>
      <c r="AX97" s="95"/>
      <c r="AY97" s="95"/>
      <c r="AZ97" s="95"/>
      <c r="BA97" s="95"/>
      <c r="BB97" s="95"/>
      <c r="BC97" s="95"/>
      <c r="BD97" s="95"/>
      <c r="BE97" s="95"/>
      <c r="BF97" s="95"/>
      <c r="BG97" s="95"/>
      <c r="BH97" s="95"/>
      <c r="BI97" s="95"/>
      <c r="BJ97" s="95"/>
      <c r="BK97" s="95"/>
      <c r="BL97" s="95"/>
      <c r="BM97" s="95"/>
      <c r="BN97" s="95"/>
      <c r="BO97" s="95"/>
      <c r="BP97" s="95"/>
      <c r="BQ97" s="95"/>
      <c r="BR97" s="95"/>
      <c r="BS97" s="95"/>
      <c r="BT97" s="95"/>
      <c r="BU97" s="95"/>
      <c r="BV97" s="95"/>
      <c r="BW97" s="95"/>
      <c r="BX97" s="95"/>
      <c r="BY97" s="95"/>
      <c r="BZ97" s="95"/>
      <c r="CA97" s="95"/>
    </row>
    <row r="98" s="96" customFormat="1" ht="144" customHeight="1" spans="1:79">
      <c r="A98" s="87"/>
      <c r="B98" s="92" t="s">
        <v>1380</v>
      </c>
      <c r="C98" s="92" t="s">
        <v>485</v>
      </c>
      <c r="D98" s="46"/>
      <c r="E98" s="52" t="s">
        <v>1381</v>
      </c>
      <c r="F98" s="53"/>
      <c r="G98" s="46" t="s">
        <v>1382</v>
      </c>
      <c r="H98" s="52" t="s">
        <v>1383</v>
      </c>
      <c r="I98" s="54" t="s">
        <v>1384</v>
      </c>
      <c r="J98" s="52" t="s">
        <v>1385</v>
      </c>
      <c r="K98" s="46"/>
      <c r="L98" s="46"/>
      <c r="M98" s="46"/>
      <c r="N98" s="46"/>
      <c r="O98" s="46"/>
      <c r="P98" s="46"/>
      <c r="Q98" s="46"/>
      <c r="R98" s="46"/>
      <c r="S98" s="46"/>
      <c r="T98" s="46" t="s">
        <v>492</v>
      </c>
      <c r="U98" s="46"/>
      <c r="V98" s="52" t="s">
        <v>1386</v>
      </c>
      <c r="W98" s="55" t="s">
        <v>1387</v>
      </c>
      <c r="X98" s="54"/>
      <c r="Y98" s="54"/>
      <c r="Z98" s="55"/>
      <c r="AA98" s="55"/>
      <c r="AB98" s="55"/>
      <c r="AC98" s="93"/>
      <c r="AD98" s="55"/>
      <c r="AE98" s="55"/>
      <c r="AF98" s="55"/>
      <c r="AG98" s="93"/>
      <c r="AH98" s="46"/>
      <c r="AI98" s="46"/>
      <c r="AJ98" s="46" t="s">
        <v>1388</v>
      </c>
      <c r="AK98" s="54" t="s">
        <v>470</v>
      </c>
      <c r="AL98" s="1" t="s">
        <v>1064</v>
      </c>
      <c r="AM98" s="54" t="s">
        <v>1141</v>
      </c>
      <c r="AN98" s="3"/>
      <c r="AO98" s="89" t="s">
        <v>1143</v>
      </c>
      <c r="AP98" s="89" t="s">
        <v>1389</v>
      </c>
      <c r="AQ98" s="95"/>
      <c r="AR98" s="95"/>
      <c r="AS98" s="95"/>
      <c r="AT98" s="95"/>
      <c r="AU98" s="95"/>
      <c r="AV98" s="95"/>
      <c r="AW98" s="95"/>
      <c r="AX98" s="95"/>
      <c r="AY98" s="95"/>
      <c r="AZ98" s="95"/>
      <c r="BA98" s="95"/>
      <c r="BB98" s="95"/>
      <c r="BC98" s="95"/>
      <c r="BD98" s="95"/>
      <c r="BE98" s="95"/>
      <c r="BF98" s="95"/>
      <c r="BG98" s="95"/>
      <c r="BH98" s="95"/>
      <c r="BI98" s="95"/>
      <c r="BJ98" s="95"/>
      <c r="BK98" s="95"/>
      <c r="BL98" s="95"/>
      <c r="BM98" s="95"/>
      <c r="BN98" s="95"/>
      <c r="BO98" s="95"/>
      <c r="BP98" s="95"/>
      <c r="BQ98" s="95"/>
      <c r="BR98" s="95"/>
      <c r="BS98" s="95"/>
      <c r="BT98" s="95"/>
      <c r="BU98" s="95"/>
      <c r="BV98" s="95"/>
      <c r="BW98" s="95"/>
      <c r="BX98" s="95"/>
      <c r="BY98" s="95"/>
      <c r="BZ98" s="95"/>
      <c r="CA98" s="95"/>
    </row>
    <row r="99" s="96" customFormat="1" ht="131" customHeight="1" spans="1:79">
      <c r="A99" s="87"/>
      <c r="B99" s="94"/>
      <c r="C99" s="94"/>
      <c r="D99" s="46"/>
      <c r="E99" s="52" t="s">
        <v>1390</v>
      </c>
      <c r="F99" s="53"/>
      <c r="G99" s="46" t="s">
        <v>1391</v>
      </c>
      <c r="H99" s="52" t="s">
        <v>1392</v>
      </c>
      <c r="I99" s="54" t="s">
        <v>1393</v>
      </c>
      <c r="J99" s="52" t="s">
        <v>1394</v>
      </c>
      <c r="K99" s="46"/>
      <c r="L99" s="46"/>
      <c r="M99" s="46"/>
      <c r="N99" s="46"/>
      <c r="O99" s="46"/>
      <c r="P99" s="46"/>
      <c r="Q99" s="46"/>
      <c r="R99" s="46"/>
      <c r="S99" s="46"/>
      <c r="T99" s="46" t="s">
        <v>492</v>
      </c>
      <c r="U99" s="46"/>
      <c r="V99" s="52" t="s">
        <v>1395</v>
      </c>
      <c r="W99" s="55" t="s">
        <v>1387</v>
      </c>
      <c r="X99" s="54"/>
      <c r="Y99" s="54"/>
      <c r="Z99" s="55"/>
      <c r="AA99" s="55"/>
      <c r="AB99" s="55"/>
      <c r="AC99" s="93"/>
      <c r="AD99" s="55"/>
      <c r="AE99" s="55"/>
      <c r="AF99" s="55"/>
      <c r="AG99" s="93"/>
      <c r="AH99" s="46"/>
      <c r="AI99" s="46"/>
      <c r="AJ99" s="46" t="s">
        <v>1396</v>
      </c>
      <c r="AK99" s="54" t="s">
        <v>1397</v>
      </c>
      <c r="AL99" s="1" t="s">
        <v>1064</v>
      </c>
      <c r="AM99" s="54" t="s">
        <v>1141</v>
      </c>
      <c r="AN99" s="3"/>
      <c r="AO99" s="89"/>
      <c r="AP99" s="89" t="s">
        <v>1389</v>
      </c>
      <c r="AQ99" s="95"/>
      <c r="AR99" s="95"/>
      <c r="AS99" s="95"/>
      <c r="AT99" s="95"/>
      <c r="AU99" s="95"/>
      <c r="AV99" s="95"/>
      <c r="AW99" s="95"/>
      <c r="AX99" s="95"/>
      <c r="AY99" s="95"/>
      <c r="AZ99" s="95"/>
      <c r="BA99" s="95"/>
      <c r="BB99" s="95"/>
      <c r="BC99" s="95"/>
      <c r="BD99" s="95"/>
      <c r="BE99" s="95"/>
      <c r="BF99" s="95"/>
      <c r="BG99" s="95"/>
      <c r="BH99" s="95"/>
      <c r="BI99" s="95"/>
      <c r="BJ99" s="95"/>
      <c r="BK99" s="95"/>
      <c r="BL99" s="95"/>
      <c r="BM99" s="95"/>
      <c r="BN99" s="95"/>
      <c r="BO99" s="95"/>
      <c r="BP99" s="95"/>
      <c r="BQ99" s="95"/>
      <c r="BR99" s="95"/>
      <c r="BS99" s="95"/>
      <c r="BT99" s="95"/>
      <c r="BU99" s="95"/>
      <c r="BV99" s="95"/>
      <c r="BW99" s="95"/>
      <c r="BX99" s="95"/>
      <c r="BY99" s="95"/>
      <c r="BZ99" s="95"/>
      <c r="CA99" s="95"/>
    </row>
    <row r="100" s="95" customFormat="1" ht="288" customHeight="1" spans="1:79">
      <c r="A100" s="14"/>
      <c r="B100" s="73"/>
      <c r="C100" s="73"/>
      <c r="D100" s="46"/>
      <c r="E100" s="52" t="s">
        <v>1398</v>
      </c>
      <c r="F100" s="53"/>
      <c r="G100" s="46" t="s">
        <v>1399</v>
      </c>
      <c r="H100" s="52" t="s">
        <v>1400</v>
      </c>
      <c r="I100" s="54" t="s">
        <v>1401</v>
      </c>
      <c r="J100" s="52" t="s">
        <v>1402</v>
      </c>
      <c r="K100" s="46"/>
      <c r="L100" s="46"/>
      <c r="M100" s="46"/>
      <c r="N100" s="46"/>
      <c r="O100" s="46"/>
      <c r="P100" s="46"/>
      <c r="Q100" s="46"/>
      <c r="R100" s="46"/>
      <c r="S100" s="46"/>
      <c r="T100" s="46" t="s">
        <v>492</v>
      </c>
      <c r="U100" s="46"/>
      <c r="V100" s="52" t="s">
        <v>1403</v>
      </c>
      <c r="W100" s="55" t="s">
        <v>1387</v>
      </c>
      <c r="X100" s="54"/>
      <c r="Y100" s="54"/>
      <c r="Z100" s="55"/>
      <c r="AA100" s="55"/>
      <c r="AB100" s="55"/>
      <c r="AC100" s="93"/>
      <c r="AD100" s="55"/>
      <c r="AE100" s="55"/>
      <c r="AF100" s="55"/>
      <c r="AG100" s="93"/>
      <c r="AH100" s="46"/>
      <c r="AI100" s="46"/>
      <c r="AJ100" s="46" t="s">
        <v>1404</v>
      </c>
      <c r="AK100" s="54" t="s">
        <v>470</v>
      </c>
      <c r="AL100" s="1" t="s">
        <v>1064</v>
      </c>
      <c r="AM100" s="54" t="s">
        <v>1141</v>
      </c>
      <c r="AN100" s="1"/>
      <c r="AO100" s="7"/>
      <c r="AP100" s="89" t="s">
        <v>1389</v>
      </c>
    </row>
  </sheetData>
  <sheetProtection formatCells="0" formatColumns="0" formatRows="0" insertRows="0" insertColumns="0" insertHyperlinks="0" deleteColumns="0" deleteRows="0" sort="0" autoFilter="0" pivotTables="0"/>
  <mergeCells count="246">
    <mergeCell ref="A1:AK1"/>
    <mergeCell ref="K2:S2"/>
    <mergeCell ref="X2:Z2"/>
    <mergeCell ref="AA2:AC2"/>
    <mergeCell ref="AD2:AG2"/>
    <mergeCell ref="AH2:AJ2"/>
    <mergeCell ref="A2:A3"/>
    <mergeCell ref="A4:A11"/>
    <mergeCell ref="A12:A18"/>
    <mergeCell ref="A19:A27"/>
    <mergeCell ref="A28:A33"/>
    <mergeCell ref="A34:A39"/>
    <mergeCell ref="A41:A48"/>
    <mergeCell ref="A57:A64"/>
    <mergeCell ref="A65:A72"/>
    <mergeCell ref="A73:A81"/>
    <mergeCell ref="A82:A88"/>
    <mergeCell ref="A89:A95"/>
    <mergeCell ref="B2:B3"/>
    <mergeCell ref="B4:B11"/>
    <mergeCell ref="B12:B16"/>
    <mergeCell ref="B17:B18"/>
    <mergeCell ref="B19:B23"/>
    <mergeCell ref="B24:B27"/>
    <mergeCell ref="B28:B33"/>
    <mergeCell ref="B34:B39"/>
    <mergeCell ref="B41:B48"/>
    <mergeCell ref="B49:B56"/>
    <mergeCell ref="B57:B64"/>
    <mergeCell ref="B65:B69"/>
    <mergeCell ref="B70:B72"/>
    <mergeCell ref="B73:B81"/>
    <mergeCell ref="B82:B88"/>
    <mergeCell ref="B89:B95"/>
    <mergeCell ref="B98:B100"/>
    <mergeCell ref="C2:C3"/>
    <mergeCell ref="C4:C5"/>
    <mergeCell ref="C6:C11"/>
    <mergeCell ref="C12:C16"/>
    <mergeCell ref="C17:C18"/>
    <mergeCell ref="C19:C21"/>
    <mergeCell ref="C22:C23"/>
    <mergeCell ref="C24:C27"/>
    <mergeCell ref="C28:C32"/>
    <mergeCell ref="C34:C38"/>
    <mergeCell ref="C41:C44"/>
    <mergeCell ref="C46:C48"/>
    <mergeCell ref="C50:C51"/>
    <mergeCell ref="C52:C53"/>
    <mergeCell ref="C54:C56"/>
    <mergeCell ref="C58:C59"/>
    <mergeCell ref="C60:C61"/>
    <mergeCell ref="C62:C64"/>
    <mergeCell ref="C65:C67"/>
    <mergeCell ref="C68:C69"/>
    <mergeCell ref="C70:C72"/>
    <mergeCell ref="C73:C81"/>
    <mergeCell ref="C82:C86"/>
    <mergeCell ref="C87:C88"/>
    <mergeCell ref="C89:C91"/>
    <mergeCell ref="C92:C95"/>
    <mergeCell ref="C98:C100"/>
    <mergeCell ref="D2:D3"/>
    <mergeCell ref="D4:D5"/>
    <mergeCell ref="D6:D11"/>
    <mergeCell ref="D12:D16"/>
    <mergeCell ref="D17:D18"/>
    <mergeCell ref="D19:D21"/>
    <mergeCell ref="D22:D23"/>
    <mergeCell ref="D24:D27"/>
    <mergeCell ref="D28:D32"/>
    <mergeCell ref="D34:D38"/>
    <mergeCell ref="D41:D44"/>
    <mergeCell ref="D46:D48"/>
    <mergeCell ref="D50:D51"/>
    <mergeCell ref="D54:D56"/>
    <mergeCell ref="D58:D59"/>
    <mergeCell ref="D60:D61"/>
    <mergeCell ref="D62:D64"/>
    <mergeCell ref="D65:D67"/>
    <mergeCell ref="D68:D69"/>
    <mergeCell ref="D70:D72"/>
    <mergeCell ref="D73:D81"/>
    <mergeCell ref="D82:D86"/>
    <mergeCell ref="D87:D88"/>
    <mergeCell ref="D89:D91"/>
    <mergeCell ref="D92:D95"/>
    <mergeCell ref="E2:E3"/>
    <mergeCell ref="E4:E5"/>
    <mergeCell ref="E6:E8"/>
    <mergeCell ref="E9:E11"/>
    <mergeCell ref="E12:E14"/>
    <mergeCell ref="E15:E16"/>
    <mergeCell ref="E17:E18"/>
    <mergeCell ref="E19:E21"/>
    <mergeCell ref="E22:E23"/>
    <mergeCell ref="E24:E27"/>
    <mergeCell ref="E28:E32"/>
    <mergeCell ref="E34:E38"/>
    <mergeCell ref="E41:E44"/>
    <mergeCell ref="E46:E48"/>
    <mergeCell ref="E50:E51"/>
    <mergeCell ref="E54:E56"/>
    <mergeCell ref="E58:E59"/>
    <mergeCell ref="E60:E61"/>
    <mergeCell ref="E62:E64"/>
    <mergeCell ref="E65:E67"/>
    <mergeCell ref="E68:E69"/>
    <mergeCell ref="E70:E72"/>
    <mergeCell ref="E73:E74"/>
    <mergeCell ref="E75:E76"/>
    <mergeCell ref="E78:E81"/>
    <mergeCell ref="E82:E86"/>
    <mergeCell ref="E87:E88"/>
    <mergeCell ref="E89:E91"/>
    <mergeCell ref="E92:E95"/>
    <mergeCell ref="F2:F3"/>
    <mergeCell ref="F4:F5"/>
    <mergeCell ref="F6:F8"/>
    <mergeCell ref="F9:F11"/>
    <mergeCell ref="F12:F14"/>
    <mergeCell ref="F15:F16"/>
    <mergeCell ref="F17:F18"/>
    <mergeCell ref="F19:F21"/>
    <mergeCell ref="F22:F23"/>
    <mergeCell ref="F24:F27"/>
    <mergeCell ref="F28:F32"/>
    <mergeCell ref="F34:F38"/>
    <mergeCell ref="F41:F44"/>
    <mergeCell ref="F46:F48"/>
    <mergeCell ref="F50:F51"/>
    <mergeCell ref="F54:F56"/>
    <mergeCell ref="F58:F59"/>
    <mergeCell ref="F60:F61"/>
    <mergeCell ref="F62:F64"/>
    <mergeCell ref="F65:F67"/>
    <mergeCell ref="F68:F69"/>
    <mergeCell ref="F70:F72"/>
    <mergeCell ref="F73:F74"/>
    <mergeCell ref="F75:F76"/>
    <mergeCell ref="F78:F81"/>
    <mergeCell ref="F82:F86"/>
    <mergeCell ref="F87:F88"/>
    <mergeCell ref="F89:F91"/>
    <mergeCell ref="F92:F95"/>
    <mergeCell ref="G2:G3"/>
    <mergeCell ref="G4:G5"/>
    <mergeCell ref="G6:G8"/>
    <mergeCell ref="G9:G11"/>
    <mergeCell ref="G12:G14"/>
    <mergeCell ref="G15:G16"/>
    <mergeCell ref="G17:G18"/>
    <mergeCell ref="G19:G21"/>
    <mergeCell ref="G22:G23"/>
    <mergeCell ref="G24:G27"/>
    <mergeCell ref="G28:G32"/>
    <mergeCell ref="G34:G38"/>
    <mergeCell ref="G41:G44"/>
    <mergeCell ref="G46:G48"/>
    <mergeCell ref="G50:G51"/>
    <mergeCell ref="G54:G56"/>
    <mergeCell ref="G58:G59"/>
    <mergeCell ref="G60:G61"/>
    <mergeCell ref="G62:G64"/>
    <mergeCell ref="G65:G67"/>
    <mergeCell ref="G68:G69"/>
    <mergeCell ref="G70:G72"/>
    <mergeCell ref="G73:G74"/>
    <mergeCell ref="G75:G76"/>
    <mergeCell ref="G78:G81"/>
    <mergeCell ref="G82:G86"/>
    <mergeCell ref="G87:G88"/>
    <mergeCell ref="G89:G91"/>
    <mergeCell ref="G92:G95"/>
    <mergeCell ref="H2:H3"/>
    <mergeCell ref="H4:H5"/>
    <mergeCell ref="H6:H8"/>
    <mergeCell ref="H9:H11"/>
    <mergeCell ref="H12:H14"/>
    <mergeCell ref="H15:H16"/>
    <mergeCell ref="H17:H18"/>
    <mergeCell ref="H19:H21"/>
    <mergeCell ref="H22:H23"/>
    <mergeCell ref="H24:H27"/>
    <mergeCell ref="H28:H32"/>
    <mergeCell ref="H34:H38"/>
    <mergeCell ref="H41:H44"/>
    <mergeCell ref="H46:H48"/>
    <mergeCell ref="H50:H51"/>
    <mergeCell ref="H54:H56"/>
    <mergeCell ref="H58:H59"/>
    <mergeCell ref="H60:H61"/>
    <mergeCell ref="H62:H64"/>
    <mergeCell ref="H65:H67"/>
    <mergeCell ref="H68:H69"/>
    <mergeCell ref="H70:H72"/>
    <mergeCell ref="H73:H74"/>
    <mergeCell ref="H75:H76"/>
    <mergeCell ref="H78:H81"/>
    <mergeCell ref="H82:H86"/>
    <mergeCell ref="H87:H88"/>
    <mergeCell ref="H89:H91"/>
    <mergeCell ref="H92:H95"/>
    <mergeCell ref="I2:I3"/>
    <mergeCell ref="J2:J3"/>
    <mergeCell ref="T2:T3"/>
    <mergeCell ref="U2:U3"/>
    <mergeCell ref="V2:V3"/>
    <mergeCell ref="W2:W3"/>
    <mergeCell ref="X68:X69"/>
    <mergeCell ref="Y68:Y69"/>
    <mergeCell ref="Z68:Z69"/>
    <mergeCell ref="AA68:AA69"/>
    <mergeCell ref="AB68:AB69"/>
    <mergeCell ref="AC68:AC69"/>
    <mergeCell ref="AD68:AD69"/>
    <mergeCell ref="AE68:AE69"/>
    <mergeCell ref="AF68:AF69"/>
    <mergeCell ref="AG68:AG69"/>
    <mergeCell ref="AH68:AH69"/>
    <mergeCell ref="AI68:AI69"/>
    <mergeCell ref="AJ65:AJ66"/>
    <mergeCell ref="AJ68:AJ69"/>
    <mergeCell ref="AK2:AK3"/>
    <mergeCell ref="AK4:AK5"/>
    <mergeCell ref="AK13:AK14"/>
    <mergeCell ref="AK22:AK23"/>
    <mergeCell ref="AK25:AK27"/>
    <mergeCell ref="AK28:AK32"/>
    <mergeCell ref="AK34:AK38"/>
    <mergeCell ref="AK41:AK44"/>
    <mergeCell ref="AK47:AK48"/>
    <mergeCell ref="AK54:AK56"/>
    <mergeCell ref="AK65:AK67"/>
    <mergeCell ref="AK68:AK69"/>
    <mergeCell ref="AK70:AK72"/>
    <mergeCell ref="AK73:AK74"/>
    <mergeCell ref="AK75:AK76"/>
    <mergeCell ref="AK78:AK80"/>
    <mergeCell ref="AK82:AK86"/>
    <mergeCell ref="AK87:AK88"/>
    <mergeCell ref="AK89:AK91"/>
    <mergeCell ref="AK92:AK95"/>
    <mergeCell ref="AL2:AL3"/>
    <mergeCell ref="AL46:AL49"/>
    <mergeCell ref="AM2:AM3"/>
  </mergeCells>
  <dataValidations count="2">
    <dataValidation allowBlank="1" showInputMessage="1" showErrorMessage="1" sqref="V3 W27 U35 U43 U78 U81 U83 H4:H33 H35:H44 H46:H52 H54:H76 H78:H100 J94:J95 U25:U30 U38:U40 U46:U48 U50:U51 U54:U60 U63:U76 U87:U89 U96:U100"/>
    <dataValidation type="list" allowBlank="1" showInputMessage="1" showErrorMessage="1" sqref="T2:T35 T38:T52 T54:T95 T98:T100">
      <formula1>#REF!</formula1>
    </dataValidation>
  </dataValidations>
  <pageMargins left="0.444444444444444" right="0.236111111111111" top="0.590277777777778" bottom="0.393055555555556" header="0.298611111111111" footer="0.298611111111111"/>
  <pageSetup paperSize="8" scale="54" fitToHeight="0" orientation="landscape" horizontalDpi="600"/>
  <headerFooter>
    <oddFooter>&amp;C第 &amp;P 页，共 &amp;N 页</oddFooter>
  </headerFooter>
  <rowBreaks count="11" manualBreakCount="11">
    <brk id="11" max="36" man="1"/>
    <brk id="18" max="36" man="1"/>
    <brk id="27" max="36" man="1"/>
    <brk id="33" max="36" man="1"/>
    <brk id="39" max="36" man="1"/>
    <brk id="48" max="36" man="1"/>
    <brk id="56" max="36" man="1"/>
    <brk id="64" max="36" man="1"/>
    <brk id="72" max="36" man="1"/>
    <brk id="81" max="36" man="1"/>
    <brk id="88" max="36"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99"/>
  <sheetViews>
    <sheetView zoomScale="55" zoomScaleNormal="55" zoomScaleSheetLayoutView="70" workbookViewId="0">
      <pane xSplit="8" ySplit="3" topLeftCell="V91" activePane="bottomRight" state="frozen"/>
      <selection/>
      <selection pane="topRight"/>
      <selection pane="bottomLeft"/>
      <selection pane="bottomRight" activeCell="W94" sqref="W94"/>
    </sheetView>
  </sheetViews>
  <sheetFormatPr defaultColWidth="8.58333333333333" defaultRowHeight="21"/>
  <cols>
    <col min="1" max="1" width="4.62037037037037" style="4" customWidth="1"/>
    <col min="2" max="2" width="4.41666666666667" style="5" customWidth="1"/>
    <col min="3" max="3" width="4.18518518518519" style="1" customWidth="1"/>
    <col min="4" max="4" width="4.34259259259259" style="4" customWidth="1"/>
    <col min="5" max="5" width="9.62962962962963" style="1" customWidth="1"/>
    <col min="6" max="6" width="3.56481481481481" style="1" customWidth="1"/>
    <col min="7" max="7" width="7.49074074074074" style="5" customWidth="1"/>
    <col min="8" max="8" width="6.18518518518519" style="5" customWidth="1"/>
    <col min="9" max="9" width="19.7037037037037" style="5" customWidth="1"/>
    <col min="10" max="10" width="39.6574074074074" style="5" customWidth="1"/>
    <col min="11" max="17" width="3.62037037037037" style="5" customWidth="1"/>
    <col min="18" max="18" width="3.47222222222222" style="5" customWidth="1"/>
    <col min="19" max="19" width="3.52777777777778" style="5" customWidth="1"/>
    <col min="20" max="21" width="5.12037037037037" style="4" customWidth="1"/>
    <col min="22" max="22" width="17.5" style="4" customWidth="1"/>
    <col min="23" max="23" width="24.1574074074074" style="1" customWidth="1"/>
    <col min="24" max="24" width="4" style="4" customWidth="1"/>
    <col min="25" max="29" width="3.62037037037037" style="1" customWidth="1"/>
    <col min="30" max="30" width="6.62037037037037" style="1" customWidth="1"/>
    <col min="31" max="35" width="3.62037037037037" style="1" customWidth="1"/>
    <col min="36" max="36" width="19.1666666666667" style="1" customWidth="1"/>
    <col min="37" max="37" width="4.75925925925926" style="1" customWidth="1"/>
    <col min="38" max="38" width="6.89814814814815" style="1" customWidth="1"/>
    <col min="39" max="39" width="6.89814814814815" style="4" customWidth="1"/>
    <col min="40" max="40" width="6.50925925925926" style="6" customWidth="1"/>
    <col min="41" max="41" width="34.75" style="7" customWidth="1"/>
    <col min="42" max="63" width="8.58333333333333" style="1"/>
    <col min="64" max="64" width="8.58333333333333" style="8"/>
    <col min="65" max="16384" width="8.58333333333333" style="1"/>
  </cols>
  <sheetData>
    <row r="1" ht="48" customHeight="1" spans="1:78">
      <c r="A1" s="9" t="s">
        <v>478</v>
      </c>
      <c r="B1" s="9"/>
      <c r="C1" s="9"/>
      <c r="D1" s="9"/>
      <c r="E1" s="9"/>
      <c r="F1" s="9"/>
      <c r="G1" s="9"/>
      <c r="H1" s="9"/>
      <c r="I1" s="9"/>
      <c r="J1" s="9"/>
      <c r="K1" s="9"/>
      <c r="L1" s="9"/>
      <c r="M1" s="9"/>
      <c r="N1" s="9"/>
      <c r="O1" s="9"/>
      <c r="P1" s="9"/>
      <c r="Q1" s="9"/>
      <c r="R1" s="9"/>
      <c r="S1" s="9"/>
      <c r="T1" s="9"/>
      <c r="U1" s="9"/>
      <c r="V1" s="9"/>
      <c r="W1" s="9"/>
      <c r="X1" s="9"/>
      <c r="Y1" s="9"/>
      <c r="Z1" s="9"/>
      <c r="AA1" s="9"/>
      <c r="AB1" s="9"/>
      <c r="AC1" s="9"/>
      <c r="AD1" s="9"/>
      <c r="AE1" s="10"/>
      <c r="AF1" s="9"/>
      <c r="AG1" s="9"/>
      <c r="AH1" s="9"/>
      <c r="AI1" s="9"/>
      <c r="AJ1" s="9"/>
      <c r="AK1" s="9"/>
    </row>
    <row r="2" s="1" customFormat="1" ht="30" customHeight="1" spans="1:78">
      <c r="A2" s="11" t="s">
        <v>415</v>
      </c>
      <c r="B2" s="11" t="s">
        <v>416</v>
      </c>
      <c r="C2" s="11" t="s">
        <v>417</v>
      </c>
      <c r="D2" s="11" t="s">
        <v>418</v>
      </c>
      <c r="E2" s="11" t="s">
        <v>419</v>
      </c>
      <c r="F2" s="11" t="s">
        <v>479</v>
      </c>
      <c r="G2" s="11" t="s">
        <v>421</v>
      </c>
      <c r="H2" s="11" t="s">
        <v>422</v>
      </c>
      <c r="I2" s="11" t="s">
        <v>424</v>
      </c>
      <c r="J2" s="12" t="s">
        <v>423</v>
      </c>
      <c r="K2" s="11" t="s">
        <v>425</v>
      </c>
      <c r="L2" s="11"/>
      <c r="M2" s="11"/>
      <c r="N2" s="11"/>
      <c r="O2" s="11"/>
      <c r="P2" s="11"/>
      <c r="Q2" s="11"/>
      <c r="R2" s="11"/>
      <c r="S2" s="11"/>
      <c r="T2" s="11" t="s">
        <v>480</v>
      </c>
      <c r="U2" s="11" t="s">
        <v>428</v>
      </c>
      <c r="V2" s="11" t="s">
        <v>481</v>
      </c>
      <c r="W2" s="12" t="s">
        <v>430</v>
      </c>
      <c r="X2" s="11" t="s">
        <v>431</v>
      </c>
      <c r="Y2" s="11"/>
      <c r="Z2" s="11"/>
      <c r="AA2" s="11" t="s">
        <v>432</v>
      </c>
      <c r="AB2" s="11"/>
      <c r="AC2" s="11"/>
      <c r="AD2" s="11" t="s">
        <v>433</v>
      </c>
      <c r="AE2" s="11"/>
      <c r="AF2" s="11"/>
      <c r="AG2" s="11"/>
      <c r="AH2" s="11" t="s">
        <v>434</v>
      </c>
      <c r="AI2" s="11"/>
      <c r="AJ2" s="11"/>
      <c r="AK2" s="11" t="s">
        <v>435</v>
      </c>
      <c r="AL2" s="12" t="s">
        <v>1038</v>
      </c>
      <c r="AM2" s="12" t="s">
        <v>1039</v>
      </c>
      <c r="AN2" s="6" t="s">
        <v>1040</v>
      </c>
      <c r="AO2" s="7">
        <v>7.22</v>
      </c>
      <c r="BL2" s="8"/>
    </row>
    <row r="3" s="1" customFormat="1" ht="106" customHeight="1" spans="1:78">
      <c r="A3" s="11"/>
      <c r="B3" s="11"/>
      <c r="C3" s="11"/>
      <c r="D3" s="11"/>
      <c r="E3" s="11"/>
      <c r="F3" s="11"/>
      <c r="G3" s="11"/>
      <c r="H3" s="11"/>
      <c r="I3" s="11"/>
      <c r="J3" s="12"/>
      <c r="K3" s="11" t="s">
        <v>437</v>
      </c>
      <c r="L3" s="11" t="s">
        <v>438</v>
      </c>
      <c r="M3" s="13" t="s">
        <v>482</v>
      </c>
      <c r="N3" s="11" t="s">
        <v>440</v>
      </c>
      <c r="O3" s="11" t="s">
        <v>441</v>
      </c>
      <c r="P3" s="11" t="s">
        <v>442</v>
      </c>
      <c r="Q3" s="11" t="s">
        <v>443</v>
      </c>
      <c r="R3" s="11" t="s">
        <v>444</v>
      </c>
      <c r="S3" s="11" t="s">
        <v>445</v>
      </c>
      <c r="T3" s="11"/>
      <c r="U3" s="11"/>
      <c r="V3" s="11"/>
      <c r="W3" s="12"/>
      <c r="X3" s="11" t="s">
        <v>449</v>
      </c>
      <c r="Y3" s="11" t="s">
        <v>450</v>
      </c>
      <c r="Z3" s="11" t="s">
        <v>451</v>
      </c>
      <c r="AA3" s="11" t="s">
        <v>449</v>
      </c>
      <c r="AB3" s="11" t="s">
        <v>450</v>
      </c>
      <c r="AC3" s="11" t="s">
        <v>451</v>
      </c>
      <c r="AD3" s="11" t="s">
        <v>433</v>
      </c>
      <c r="AE3" s="11" t="s">
        <v>449</v>
      </c>
      <c r="AF3" s="11" t="s">
        <v>450</v>
      </c>
      <c r="AG3" s="11" t="s">
        <v>451</v>
      </c>
      <c r="AH3" s="11" t="s">
        <v>452</v>
      </c>
      <c r="AI3" s="11" t="s">
        <v>453</v>
      </c>
      <c r="AJ3" s="11" t="s">
        <v>454</v>
      </c>
      <c r="AK3" s="11"/>
      <c r="AL3" s="12"/>
      <c r="AM3" s="12"/>
      <c r="AO3" s="7"/>
      <c r="BL3" s="8"/>
    </row>
    <row r="4" s="1" customFormat="1" ht="67" customHeight="1" spans="1:78">
      <c r="A4" s="14" t="s">
        <v>483</v>
      </c>
      <c r="B4" s="14" t="s">
        <v>484</v>
      </c>
      <c r="C4" s="15" t="s">
        <v>485</v>
      </c>
      <c r="D4" s="15" t="s">
        <v>486</v>
      </c>
      <c r="E4" s="16" t="s">
        <v>487</v>
      </c>
      <c r="F4" s="17"/>
      <c r="G4" s="15" t="s">
        <v>488</v>
      </c>
      <c r="H4" s="16" t="s">
        <v>489</v>
      </c>
      <c r="I4" s="18" t="s">
        <v>490</v>
      </c>
      <c r="J4" s="19" t="s">
        <v>1041</v>
      </c>
      <c r="K4" s="20"/>
      <c r="L4" s="20"/>
      <c r="M4" s="20"/>
      <c r="N4" s="20"/>
      <c r="O4" s="20"/>
      <c r="P4" s="20"/>
      <c r="Q4" s="20"/>
      <c r="R4" s="20" t="s">
        <v>36</v>
      </c>
      <c r="S4" s="20"/>
      <c r="T4" s="20" t="s">
        <v>492</v>
      </c>
      <c r="U4" s="20"/>
      <c r="V4" s="19" t="s">
        <v>493</v>
      </c>
      <c r="W4" s="21" t="s">
        <v>1042</v>
      </c>
      <c r="X4" s="15" t="s">
        <v>474</v>
      </c>
      <c r="Y4" s="15" t="s">
        <v>473</v>
      </c>
      <c r="Z4" s="15"/>
      <c r="AA4" s="15" t="s">
        <v>474</v>
      </c>
      <c r="AB4" s="15" t="s">
        <v>473</v>
      </c>
      <c r="AC4" s="15"/>
      <c r="AD4" s="15" t="s">
        <v>495</v>
      </c>
      <c r="AE4" s="15" t="s">
        <v>474</v>
      </c>
      <c r="AF4" s="15"/>
      <c r="AG4" s="15"/>
      <c r="AH4" s="15" t="s">
        <v>476</v>
      </c>
      <c r="AI4" s="15" t="s">
        <v>476</v>
      </c>
      <c r="AJ4" s="15" t="s">
        <v>496</v>
      </c>
      <c r="AK4" s="15" t="s">
        <v>497</v>
      </c>
      <c r="AL4" s="22" t="s">
        <v>1043</v>
      </c>
      <c r="AM4" s="23" t="s">
        <v>1046</v>
      </c>
      <c r="AO4" s="7" t="s">
        <v>1045</v>
      </c>
      <c r="AP4" s="1" t="b">
        <f>A4='[1]35千伏-750千伏电网基建'!A4</f>
        <v>1</v>
      </c>
      <c r="AQ4" s="1" t="b">
        <f>B4='[1]35千伏-750千伏电网基建'!B4</f>
        <v>1</v>
      </c>
      <c r="AR4" s="1" t="b">
        <f>C4='[1]35千伏-750千伏电网基建'!C4</f>
        <v>1</v>
      </c>
      <c r="AS4" s="1" t="b">
        <f>D4='[1]35千伏-750千伏电网基建'!D4</f>
        <v>1</v>
      </c>
      <c r="AT4" s="1" t="b">
        <f>E4='[1]35千伏-750千伏电网基建'!E4</f>
        <v>1</v>
      </c>
      <c r="AU4" s="1" t="b">
        <f>F4='[1]35千伏-750千伏电网基建'!F4</f>
        <v>1</v>
      </c>
      <c r="AV4" s="1" t="b">
        <f>G4='[1]35千伏-750千伏电网基建'!G4</f>
        <v>1</v>
      </c>
      <c r="AW4" s="1" t="b">
        <f>H4='[1]35千伏-750千伏电网基建'!H4</f>
        <v>1</v>
      </c>
      <c r="AX4" s="1" t="b">
        <f>I4='[1]35千伏-750千伏电网基建'!I4</f>
        <v>1</v>
      </c>
      <c r="AY4" s="1" t="b">
        <f>J4='[1]35千伏-750千伏电网基建'!J4</f>
        <v>1</v>
      </c>
      <c r="AZ4" s="1" t="b">
        <f>K4='[1]35千伏-750千伏电网基建'!K4</f>
        <v>1</v>
      </c>
      <c r="BA4" s="1" t="b">
        <f>L4='[1]35千伏-750千伏电网基建'!L4</f>
        <v>1</v>
      </c>
      <c r="BB4" s="1" t="b">
        <f>M4='[1]35千伏-750千伏电网基建'!M4</f>
        <v>1</v>
      </c>
      <c r="BC4" s="1" t="b">
        <f>N4='[1]35千伏-750千伏电网基建'!N4</f>
        <v>1</v>
      </c>
      <c r="BD4" s="1" t="b">
        <f>O4='[1]35千伏-750千伏电网基建'!O4</f>
        <v>1</v>
      </c>
      <c r="BE4" s="1" t="b">
        <f>P4='[1]35千伏-750千伏电网基建'!P4</f>
        <v>1</v>
      </c>
      <c r="BF4" s="1" t="b">
        <f>Q4='[1]35千伏-750千伏电网基建'!Q4</f>
        <v>1</v>
      </c>
      <c r="BG4" s="1" t="b">
        <f>R4='[1]35千伏-750千伏电网基建'!R4</f>
        <v>1</v>
      </c>
      <c r="BH4" s="1" t="b">
        <f>S4='[1]35千伏-750千伏电网基建'!S4</f>
        <v>1</v>
      </c>
      <c r="BI4" s="1" t="b">
        <f>T4='[1]35千伏-750千伏电网基建'!T4</f>
        <v>1</v>
      </c>
      <c r="BJ4" s="1" t="b">
        <f>U4='[1]35千伏-750千伏电网基建'!U4</f>
        <v>1</v>
      </c>
      <c r="BK4" s="1" t="b">
        <f>V4='[1]35千伏-750千伏电网基建'!V4</f>
        <v>1</v>
      </c>
      <c r="BL4" s="8" t="b">
        <f>W4='[1]35千伏-750千伏电网基建'!W4</f>
        <v>0</v>
      </c>
      <c r="BM4" s="1" t="b">
        <f>X4='[1]35千伏-750千伏电网基建'!X4</f>
        <v>1</v>
      </c>
      <c r="BN4" s="1" t="b">
        <f>Y4='[1]35千伏-750千伏电网基建'!Y4</f>
        <v>1</v>
      </c>
      <c r="BO4" s="1" t="b">
        <f>Z4='[1]35千伏-750千伏电网基建'!Z4</f>
        <v>1</v>
      </c>
      <c r="BP4" s="1" t="b">
        <f>AA4='[1]35千伏-750千伏电网基建'!AA4</f>
        <v>1</v>
      </c>
      <c r="BQ4" s="1" t="b">
        <f>AB4='[1]35千伏-750千伏电网基建'!AB4</f>
        <v>1</v>
      </c>
      <c r="BR4" s="1" t="b">
        <f>AC4='[1]35千伏-750千伏电网基建'!AC4</f>
        <v>1</v>
      </c>
      <c r="BS4" s="1" t="b">
        <f>AD4='[1]35千伏-750千伏电网基建'!AD4</f>
        <v>1</v>
      </c>
      <c r="BT4" s="1" t="b">
        <f>AE4='[1]35千伏-750千伏电网基建'!AE4</f>
        <v>1</v>
      </c>
      <c r="BU4" s="1" t="b">
        <f>AF4='[1]35千伏-750千伏电网基建'!AF4</f>
        <v>1</v>
      </c>
      <c r="BV4" s="1" t="b">
        <f>AG4='[1]35千伏-750千伏电网基建'!AG4</f>
        <v>1</v>
      </c>
      <c r="BW4" s="1" t="b">
        <f>AH4='[1]35千伏-750千伏电网基建'!AH4</f>
        <v>1</v>
      </c>
      <c r="BX4" s="1" t="b">
        <f>AI4='[1]35千伏-750千伏电网基建'!AI4</f>
        <v>1</v>
      </c>
      <c r="BY4" s="1" t="b">
        <f>AJ4='[1]35千伏-750千伏电网基建'!AJ4</f>
        <v>1</v>
      </c>
      <c r="BZ4" s="1" t="b">
        <f>AK4='[1]35千伏-750千伏电网基建'!AK4</f>
        <v>1</v>
      </c>
    </row>
    <row r="5" s="1" customFormat="1" ht="64" customHeight="1" spans="1:78">
      <c r="A5" s="14"/>
      <c r="B5" s="14"/>
      <c r="C5" s="15"/>
      <c r="D5" s="15"/>
      <c r="E5" s="16"/>
      <c r="F5" s="17"/>
      <c r="G5" s="15"/>
      <c r="H5" s="16"/>
      <c r="I5" s="18" t="s">
        <v>498</v>
      </c>
      <c r="J5" s="19" t="s">
        <v>499</v>
      </c>
      <c r="K5" s="20"/>
      <c r="L5" s="20" t="s">
        <v>36</v>
      </c>
      <c r="M5" s="20"/>
      <c r="N5" s="20"/>
      <c r="O5" s="20"/>
      <c r="P5" s="20"/>
      <c r="Q5" s="20"/>
      <c r="R5" s="20"/>
      <c r="S5" s="20"/>
      <c r="T5" s="20" t="s">
        <v>465</v>
      </c>
      <c r="U5" s="20" t="s">
        <v>500</v>
      </c>
      <c r="V5" s="19" t="s">
        <v>493</v>
      </c>
      <c r="W5" s="21" t="s">
        <v>1405</v>
      </c>
      <c r="X5" s="15" t="s">
        <v>474</v>
      </c>
      <c r="Y5" s="15" t="s">
        <v>473</v>
      </c>
      <c r="Z5" s="15"/>
      <c r="AA5" s="15" t="s">
        <v>474</v>
      </c>
      <c r="AB5" s="15" t="s">
        <v>473</v>
      </c>
      <c r="AC5" s="15"/>
      <c r="AD5" s="15" t="s">
        <v>495</v>
      </c>
      <c r="AE5" s="15" t="s">
        <v>474</v>
      </c>
      <c r="AF5" s="15"/>
      <c r="AG5" s="15"/>
      <c r="AH5" s="15" t="s">
        <v>476</v>
      </c>
      <c r="AI5" s="15" t="s">
        <v>476</v>
      </c>
      <c r="AJ5" s="15" t="s">
        <v>496</v>
      </c>
      <c r="AK5" s="15"/>
      <c r="AL5" s="22" t="s">
        <v>1043</v>
      </c>
      <c r="AM5" s="23" t="s">
        <v>1046</v>
      </c>
      <c r="AO5" s="7" t="s">
        <v>1045</v>
      </c>
      <c r="AP5" s="1" t="b">
        <f>A5='[1]35千伏-750千伏电网基建'!A5</f>
        <v>1</v>
      </c>
      <c r="AQ5" s="1" t="b">
        <f>B5='[1]35千伏-750千伏电网基建'!B5</f>
        <v>1</v>
      </c>
      <c r="AR5" s="1" t="b">
        <f>C5='[1]35千伏-750千伏电网基建'!C5</f>
        <v>1</v>
      </c>
      <c r="AS5" s="1" t="b">
        <f>D5='[1]35千伏-750千伏电网基建'!D5</f>
        <v>1</v>
      </c>
      <c r="AT5" s="1" t="b">
        <f>E5='[1]35千伏-750千伏电网基建'!E5</f>
        <v>1</v>
      </c>
      <c r="AU5" s="1" t="b">
        <f>F5='[1]35千伏-750千伏电网基建'!F5</f>
        <v>1</v>
      </c>
      <c r="AV5" s="1" t="b">
        <f>G5='[1]35千伏-750千伏电网基建'!G5</f>
        <v>1</v>
      </c>
      <c r="AW5" s="1" t="b">
        <f>H5='[1]35千伏-750千伏电网基建'!H5</f>
        <v>1</v>
      </c>
      <c r="AX5" s="1" t="b">
        <f>I5='[1]35千伏-750千伏电网基建'!I5</f>
        <v>1</v>
      </c>
      <c r="AY5" s="1" t="b">
        <f>J5='[1]35千伏-750千伏电网基建'!J5</f>
        <v>1</v>
      </c>
      <c r="AZ5" s="1" t="b">
        <f>K5='[1]35千伏-750千伏电网基建'!K5</f>
        <v>1</v>
      </c>
      <c r="BA5" s="1" t="b">
        <f>L5='[1]35千伏-750千伏电网基建'!L5</f>
        <v>1</v>
      </c>
      <c r="BB5" s="1" t="b">
        <f>M5='[1]35千伏-750千伏电网基建'!M5</f>
        <v>1</v>
      </c>
      <c r="BC5" s="1" t="b">
        <f>N5='[1]35千伏-750千伏电网基建'!N5</f>
        <v>1</v>
      </c>
      <c r="BD5" s="1" t="b">
        <f>O5='[1]35千伏-750千伏电网基建'!O5</f>
        <v>1</v>
      </c>
      <c r="BE5" s="1" t="b">
        <f>P5='[1]35千伏-750千伏电网基建'!P5</f>
        <v>1</v>
      </c>
      <c r="BF5" s="1" t="b">
        <f>Q5='[1]35千伏-750千伏电网基建'!Q5</f>
        <v>1</v>
      </c>
      <c r="BG5" s="1" t="b">
        <f>R5='[1]35千伏-750千伏电网基建'!R5</f>
        <v>1</v>
      </c>
      <c r="BH5" s="1" t="b">
        <f>S5='[1]35千伏-750千伏电网基建'!S5</f>
        <v>1</v>
      </c>
      <c r="BI5" s="1" t="b">
        <f>T5='[1]35千伏-750千伏电网基建'!T5</f>
        <v>1</v>
      </c>
      <c r="BJ5" s="1" t="b">
        <f>U5='[1]35千伏-750千伏电网基建'!U5</f>
        <v>1</v>
      </c>
      <c r="BK5" s="1" t="b">
        <f>V5='[1]35千伏-750千伏电网基建'!V5</f>
        <v>1</v>
      </c>
      <c r="BL5" s="8" t="b">
        <f>W5='[1]35千伏-750千伏电网基建'!W5</f>
        <v>0</v>
      </c>
      <c r="BM5" s="1" t="b">
        <f>X5='[1]35千伏-750千伏电网基建'!X5</f>
        <v>1</v>
      </c>
      <c r="BN5" s="1" t="b">
        <f>Y5='[1]35千伏-750千伏电网基建'!Y5</f>
        <v>1</v>
      </c>
      <c r="BO5" s="1" t="b">
        <f>Z5='[1]35千伏-750千伏电网基建'!Z5</f>
        <v>1</v>
      </c>
      <c r="BP5" s="1" t="b">
        <f>AA5='[1]35千伏-750千伏电网基建'!AA5</f>
        <v>1</v>
      </c>
      <c r="BQ5" s="1" t="b">
        <f>AB5='[1]35千伏-750千伏电网基建'!AB5</f>
        <v>1</v>
      </c>
      <c r="BR5" s="1" t="b">
        <f>AC5='[1]35千伏-750千伏电网基建'!AC5</f>
        <v>1</v>
      </c>
      <c r="BS5" s="1" t="b">
        <f>AD5='[1]35千伏-750千伏电网基建'!AD5</f>
        <v>1</v>
      </c>
      <c r="BT5" s="1" t="b">
        <f>AE5='[1]35千伏-750千伏电网基建'!AE5</f>
        <v>1</v>
      </c>
      <c r="BU5" s="1" t="b">
        <f>AF5='[1]35千伏-750千伏电网基建'!AF5</f>
        <v>1</v>
      </c>
      <c r="BV5" s="1" t="b">
        <f>AG5='[1]35千伏-750千伏电网基建'!AG5</f>
        <v>1</v>
      </c>
      <c r="BW5" s="1" t="b">
        <f>AH5='[1]35千伏-750千伏电网基建'!AH5</f>
        <v>1</v>
      </c>
      <c r="BX5" s="1" t="b">
        <f>AI5='[1]35千伏-750千伏电网基建'!AI5</f>
        <v>1</v>
      </c>
      <c r="BY5" s="1" t="b">
        <f>AJ5='[1]35千伏-750千伏电网基建'!AJ5</f>
        <v>1</v>
      </c>
      <c r="BZ5" s="1" t="b">
        <f>AK5='[1]35千伏-750千伏电网基建'!AK5</f>
        <v>1</v>
      </c>
    </row>
    <row r="6" s="1" customFormat="1" ht="76" customHeight="1" spans="1:78">
      <c r="A6" s="14"/>
      <c r="B6" s="14"/>
      <c r="C6" s="15" t="s">
        <v>485</v>
      </c>
      <c r="D6" s="15" t="s">
        <v>502</v>
      </c>
      <c r="E6" s="16" t="s">
        <v>503</v>
      </c>
      <c r="F6" s="24"/>
      <c r="G6" s="15" t="s">
        <v>504</v>
      </c>
      <c r="H6" s="16" t="s">
        <v>505</v>
      </c>
      <c r="I6" s="18" t="s">
        <v>506</v>
      </c>
      <c r="J6" s="19" t="s">
        <v>1047</v>
      </c>
      <c r="K6" s="20"/>
      <c r="L6" s="20"/>
      <c r="M6" s="20"/>
      <c r="N6" s="20" t="s">
        <v>36</v>
      </c>
      <c r="O6" s="20"/>
      <c r="P6" s="20"/>
      <c r="Q6" s="20"/>
      <c r="R6" s="20"/>
      <c r="S6" s="20"/>
      <c r="T6" s="20" t="s">
        <v>492</v>
      </c>
      <c r="U6" s="20"/>
      <c r="V6" s="19" t="s">
        <v>508</v>
      </c>
      <c r="W6" s="21" t="s">
        <v>1048</v>
      </c>
      <c r="X6" s="15" t="s">
        <v>474</v>
      </c>
      <c r="Y6" s="15" t="s">
        <v>473</v>
      </c>
      <c r="Z6" s="15"/>
      <c r="AA6" s="15" t="s">
        <v>474</v>
      </c>
      <c r="AB6" s="15" t="s">
        <v>473</v>
      </c>
      <c r="AC6" s="15"/>
      <c r="AD6" s="15" t="s">
        <v>510</v>
      </c>
      <c r="AE6" s="15" t="s">
        <v>511</v>
      </c>
      <c r="AF6" s="15"/>
      <c r="AG6" s="14"/>
      <c r="AH6" s="15" t="s">
        <v>476</v>
      </c>
      <c r="AI6" s="15" t="s">
        <v>476</v>
      </c>
      <c r="AJ6" s="15" t="s">
        <v>512</v>
      </c>
      <c r="AK6" s="15" t="s">
        <v>497</v>
      </c>
      <c r="AL6" s="22" t="s">
        <v>1043</v>
      </c>
      <c r="AM6" s="23" t="s">
        <v>1046</v>
      </c>
      <c r="AO6" s="7" t="s">
        <v>1045</v>
      </c>
      <c r="AP6" s="1" t="b">
        <f>A6='[1]35千伏-750千伏电网基建'!A6</f>
        <v>1</v>
      </c>
      <c r="AQ6" s="1" t="b">
        <f>B6='[1]35千伏-750千伏电网基建'!B6</f>
        <v>1</v>
      </c>
      <c r="AR6" s="1" t="b">
        <f>C6='[1]35千伏-750千伏电网基建'!C6</f>
        <v>1</v>
      </c>
      <c r="AS6" s="1" t="b">
        <f>D6='[1]35千伏-750千伏电网基建'!D6</f>
        <v>1</v>
      </c>
      <c r="AT6" s="1" t="b">
        <f>E6='[1]35千伏-750千伏电网基建'!E6</f>
        <v>1</v>
      </c>
      <c r="AU6" s="1" t="b">
        <f>F6='[1]35千伏-750千伏电网基建'!F6</f>
        <v>1</v>
      </c>
      <c r="AV6" s="1" t="b">
        <f>G6='[1]35千伏-750千伏电网基建'!G6</f>
        <v>1</v>
      </c>
      <c r="AW6" s="1" t="b">
        <f>H6='[1]35千伏-750千伏电网基建'!H6</f>
        <v>1</v>
      </c>
      <c r="AX6" s="1" t="b">
        <f>I6='[1]35千伏-750千伏电网基建'!I6</f>
        <v>1</v>
      </c>
      <c r="AY6" s="1" t="b">
        <f>J6='[1]35千伏-750千伏电网基建'!J6</f>
        <v>1</v>
      </c>
      <c r="AZ6" s="1" t="b">
        <f>K6='[1]35千伏-750千伏电网基建'!K6</f>
        <v>1</v>
      </c>
      <c r="BA6" s="1" t="b">
        <f>L6='[1]35千伏-750千伏电网基建'!L6</f>
        <v>1</v>
      </c>
      <c r="BB6" s="1" t="b">
        <f>M6='[1]35千伏-750千伏电网基建'!M6</f>
        <v>1</v>
      </c>
      <c r="BC6" s="1" t="b">
        <f>N6='[1]35千伏-750千伏电网基建'!N6</f>
        <v>1</v>
      </c>
      <c r="BD6" s="1" t="b">
        <f>O6='[1]35千伏-750千伏电网基建'!O6</f>
        <v>1</v>
      </c>
      <c r="BE6" s="1" t="b">
        <f>P6='[1]35千伏-750千伏电网基建'!P6</f>
        <v>1</v>
      </c>
      <c r="BF6" s="1" t="b">
        <f>Q6='[1]35千伏-750千伏电网基建'!Q6</f>
        <v>1</v>
      </c>
      <c r="BG6" s="1" t="b">
        <f>R6='[1]35千伏-750千伏电网基建'!R6</f>
        <v>1</v>
      </c>
      <c r="BH6" s="1" t="b">
        <f>S6='[1]35千伏-750千伏电网基建'!S6</f>
        <v>1</v>
      </c>
      <c r="BI6" s="1" t="b">
        <f>T6='[1]35千伏-750千伏电网基建'!T6</f>
        <v>1</v>
      </c>
      <c r="BJ6" s="1" t="b">
        <f>U6='[1]35千伏-750千伏电网基建'!U6</f>
        <v>1</v>
      </c>
      <c r="BK6" s="1" t="b">
        <f>V6='[1]35千伏-750千伏电网基建'!V6</f>
        <v>1</v>
      </c>
      <c r="BL6" s="8" t="b">
        <f>W6='[1]35千伏-750千伏电网基建'!W6</f>
        <v>0</v>
      </c>
      <c r="BM6" s="1" t="b">
        <f>X6='[1]35千伏-750千伏电网基建'!X6</f>
        <v>1</v>
      </c>
      <c r="BN6" s="1" t="b">
        <f>Y6='[1]35千伏-750千伏电网基建'!Y6</f>
        <v>1</v>
      </c>
      <c r="BO6" s="1" t="b">
        <f>Z6='[1]35千伏-750千伏电网基建'!Z6</f>
        <v>1</v>
      </c>
      <c r="BP6" s="1" t="b">
        <f>AA6='[1]35千伏-750千伏电网基建'!AA6</f>
        <v>1</v>
      </c>
      <c r="BQ6" s="1" t="b">
        <f>AB6='[1]35千伏-750千伏电网基建'!AB6</f>
        <v>1</v>
      </c>
      <c r="BR6" s="1" t="b">
        <f>AC6='[1]35千伏-750千伏电网基建'!AC6</f>
        <v>1</v>
      </c>
      <c r="BS6" s="1" t="b">
        <f>AD6='[1]35千伏-750千伏电网基建'!AD6</f>
        <v>1</v>
      </c>
      <c r="BT6" s="1" t="b">
        <f>AE6='[1]35千伏-750千伏电网基建'!AE6</f>
        <v>1</v>
      </c>
      <c r="BU6" s="1" t="b">
        <f>AF6='[1]35千伏-750千伏电网基建'!AF6</f>
        <v>1</v>
      </c>
      <c r="BV6" s="1" t="b">
        <f>AG6='[1]35千伏-750千伏电网基建'!AG6</f>
        <v>1</v>
      </c>
      <c r="BW6" s="1" t="b">
        <f>AH6='[1]35千伏-750千伏电网基建'!AH6</f>
        <v>1</v>
      </c>
      <c r="BX6" s="1" t="b">
        <f>AI6='[1]35千伏-750千伏电网基建'!AI6</f>
        <v>1</v>
      </c>
      <c r="BY6" s="1" t="b">
        <f>AJ6='[1]35千伏-750千伏电网基建'!AJ6</f>
        <v>1</v>
      </c>
      <c r="BZ6" s="1" t="b">
        <f>AK6='[1]35千伏-750千伏电网基建'!AK6</f>
        <v>1</v>
      </c>
    </row>
    <row r="7" s="1" customFormat="1" ht="82" customHeight="1" spans="1:78">
      <c r="A7" s="14"/>
      <c r="B7" s="14"/>
      <c r="C7" s="15"/>
      <c r="D7" s="15"/>
      <c r="E7" s="16"/>
      <c r="F7" s="24"/>
      <c r="G7" s="15"/>
      <c r="H7" s="16"/>
      <c r="I7" s="18" t="s">
        <v>513</v>
      </c>
      <c r="J7" s="19" t="s">
        <v>1049</v>
      </c>
      <c r="K7" s="20"/>
      <c r="L7" s="20"/>
      <c r="M7" s="20"/>
      <c r="N7" s="20" t="s">
        <v>36</v>
      </c>
      <c r="O7" s="20"/>
      <c r="P7" s="20"/>
      <c r="Q7" s="20"/>
      <c r="R7" s="20"/>
      <c r="S7" s="20"/>
      <c r="T7" s="20" t="s">
        <v>492</v>
      </c>
      <c r="U7" s="20"/>
      <c r="V7" s="19" t="s">
        <v>508</v>
      </c>
      <c r="W7" s="21" t="s">
        <v>1050</v>
      </c>
      <c r="X7" s="15" t="s">
        <v>474</v>
      </c>
      <c r="Y7" s="15" t="s">
        <v>473</v>
      </c>
      <c r="Z7" s="15"/>
      <c r="AA7" s="15" t="s">
        <v>474</v>
      </c>
      <c r="AB7" s="15" t="s">
        <v>473</v>
      </c>
      <c r="AC7" s="15"/>
      <c r="AD7" s="15" t="s">
        <v>510</v>
      </c>
      <c r="AE7" s="15" t="s">
        <v>511</v>
      </c>
      <c r="AF7" s="15"/>
      <c r="AG7" s="14"/>
      <c r="AH7" s="15" t="s">
        <v>476</v>
      </c>
      <c r="AI7" s="15" t="s">
        <v>476</v>
      </c>
      <c r="AJ7" s="15" t="s">
        <v>512</v>
      </c>
      <c r="AK7" s="15" t="s">
        <v>497</v>
      </c>
      <c r="AL7" s="22" t="s">
        <v>1043</v>
      </c>
      <c r="AM7" s="23" t="s">
        <v>1046</v>
      </c>
      <c r="AO7" s="7" t="s">
        <v>1045</v>
      </c>
      <c r="AP7" s="1" t="b">
        <f>A7='[1]35千伏-750千伏电网基建'!A7</f>
        <v>1</v>
      </c>
      <c r="AQ7" s="1" t="b">
        <f>B7='[1]35千伏-750千伏电网基建'!B7</f>
        <v>1</v>
      </c>
      <c r="AR7" s="1" t="b">
        <f>C7='[1]35千伏-750千伏电网基建'!C7</f>
        <v>1</v>
      </c>
      <c r="AS7" s="1" t="b">
        <f>D7='[1]35千伏-750千伏电网基建'!D7</f>
        <v>1</v>
      </c>
      <c r="AT7" s="1" t="b">
        <f>E7='[1]35千伏-750千伏电网基建'!E7</f>
        <v>1</v>
      </c>
      <c r="AU7" s="1" t="b">
        <f>F7='[1]35千伏-750千伏电网基建'!F7</f>
        <v>1</v>
      </c>
      <c r="AV7" s="1" t="b">
        <f>G7='[1]35千伏-750千伏电网基建'!G7</f>
        <v>1</v>
      </c>
      <c r="AW7" s="1" t="b">
        <f>H7='[1]35千伏-750千伏电网基建'!H7</f>
        <v>1</v>
      </c>
      <c r="AX7" s="1" t="b">
        <f>I7='[1]35千伏-750千伏电网基建'!I7</f>
        <v>1</v>
      </c>
      <c r="AY7" s="1" t="b">
        <f>J7='[1]35千伏-750千伏电网基建'!J7</f>
        <v>1</v>
      </c>
      <c r="AZ7" s="1" t="b">
        <f>K7='[1]35千伏-750千伏电网基建'!K7</f>
        <v>1</v>
      </c>
      <c r="BA7" s="1" t="b">
        <f>L7='[1]35千伏-750千伏电网基建'!L7</f>
        <v>1</v>
      </c>
      <c r="BB7" s="1" t="b">
        <f>M7='[1]35千伏-750千伏电网基建'!M7</f>
        <v>1</v>
      </c>
      <c r="BC7" s="1" t="b">
        <f>N7='[1]35千伏-750千伏电网基建'!N7</f>
        <v>1</v>
      </c>
      <c r="BD7" s="1" t="b">
        <f>O7='[1]35千伏-750千伏电网基建'!O7</f>
        <v>1</v>
      </c>
      <c r="BE7" s="1" t="b">
        <f>P7='[1]35千伏-750千伏电网基建'!P7</f>
        <v>1</v>
      </c>
      <c r="BF7" s="1" t="b">
        <f>Q7='[1]35千伏-750千伏电网基建'!Q7</f>
        <v>1</v>
      </c>
      <c r="BG7" s="1" t="b">
        <f>R7='[1]35千伏-750千伏电网基建'!R7</f>
        <v>1</v>
      </c>
      <c r="BH7" s="1" t="b">
        <f>S7='[1]35千伏-750千伏电网基建'!S7</f>
        <v>1</v>
      </c>
      <c r="BI7" s="1" t="b">
        <f>T7='[1]35千伏-750千伏电网基建'!T7</f>
        <v>1</v>
      </c>
      <c r="BJ7" s="1" t="b">
        <f>U7='[1]35千伏-750千伏电网基建'!U7</f>
        <v>1</v>
      </c>
      <c r="BK7" s="1" t="b">
        <f>V7='[1]35千伏-750千伏电网基建'!V7</f>
        <v>1</v>
      </c>
      <c r="BL7" s="8" t="b">
        <f>W7='[1]35千伏-750千伏电网基建'!W7</f>
        <v>0</v>
      </c>
      <c r="BM7" s="1" t="b">
        <f>X7='[1]35千伏-750千伏电网基建'!X7</f>
        <v>1</v>
      </c>
      <c r="BN7" s="1" t="b">
        <f>Y7='[1]35千伏-750千伏电网基建'!Y7</f>
        <v>1</v>
      </c>
      <c r="BO7" s="1" t="b">
        <f>Z7='[1]35千伏-750千伏电网基建'!Z7</f>
        <v>1</v>
      </c>
      <c r="BP7" s="1" t="b">
        <f>AA7='[1]35千伏-750千伏电网基建'!AA7</f>
        <v>1</v>
      </c>
      <c r="BQ7" s="1" t="b">
        <f>AB7='[1]35千伏-750千伏电网基建'!AB7</f>
        <v>1</v>
      </c>
      <c r="BR7" s="1" t="b">
        <f>AC7='[1]35千伏-750千伏电网基建'!AC7</f>
        <v>1</v>
      </c>
      <c r="BS7" s="1" t="b">
        <f>AD7='[1]35千伏-750千伏电网基建'!AD7</f>
        <v>1</v>
      </c>
      <c r="BT7" s="1" t="b">
        <f>AE7='[1]35千伏-750千伏电网基建'!AE7</f>
        <v>1</v>
      </c>
      <c r="BU7" s="1" t="b">
        <f>AF7='[1]35千伏-750千伏电网基建'!AF7</f>
        <v>1</v>
      </c>
      <c r="BV7" s="1" t="b">
        <f>AG7='[1]35千伏-750千伏电网基建'!AG7</f>
        <v>1</v>
      </c>
      <c r="BW7" s="1" t="b">
        <f>AH7='[1]35千伏-750千伏电网基建'!AH7</f>
        <v>1</v>
      </c>
      <c r="BX7" s="1" t="b">
        <f>AI7='[1]35千伏-750千伏电网基建'!AI7</f>
        <v>1</v>
      </c>
      <c r="BY7" s="1" t="b">
        <f>AJ7='[1]35千伏-750千伏电网基建'!AJ7</f>
        <v>1</v>
      </c>
      <c r="BZ7" s="1" t="b">
        <f>AK7='[1]35千伏-750千伏电网基建'!AK7</f>
        <v>1</v>
      </c>
    </row>
    <row r="8" s="1" customFormat="1" ht="106" customHeight="1" spans="1:78">
      <c r="A8" s="14"/>
      <c r="B8" s="14"/>
      <c r="C8" s="15"/>
      <c r="D8" s="15"/>
      <c r="E8" s="16"/>
      <c r="F8" s="24"/>
      <c r="G8" s="15"/>
      <c r="H8" s="16"/>
      <c r="I8" s="23" t="s">
        <v>516</v>
      </c>
      <c r="J8" s="16" t="s">
        <v>517</v>
      </c>
      <c r="K8" s="15"/>
      <c r="L8" s="15"/>
      <c r="M8" s="15"/>
      <c r="N8" s="15"/>
      <c r="O8" s="15"/>
      <c r="P8" s="15"/>
      <c r="Q8" s="15"/>
      <c r="R8" s="15"/>
      <c r="S8" s="15" t="s">
        <v>36</v>
      </c>
      <c r="T8" s="15" t="s">
        <v>492</v>
      </c>
      <c r="U8" s="15"/>
      <c r="V8" s="16" t="s">
        <v>508</v>
      </c>
      <c r="W8" s="25" t="s">
        <v>1406</v>
      </c>
      <c r="X8" s="15" t="s">
        <v>474</v>
      </c>
      <c r="Y8" s="15" t="s">
        <v>473</v>
      </c>
      <c r="Z8" s="15"/>
      <c r="AA8" s="15" t="s">
        <v>474</v>
      </c>
      <c r="AB8" s="15" t="s">
        <v>473</v>
      </c>
      <c r="AC8" s="15"/>
      <c r="AD8" s="15" t="s">
        <v>510</v>
      </c>
      <c r="AE8" s="15" t="s">
        <v>472</v>
      </c>
      <c r="AF8" s="15"/>
      <c r="AG8" s="14"/>
      <c r="AH8" s="15" t="s">
        <v>476</v>
      </c>
      <c r="AI8" s="15" t="s">
        <v>476</v>
      </c>
      <c r="AJ8" s="15" t="s">
        <v>512</v>
      </c>
      <c r="AK8" s="15" t="s">
        <v>519</v>
      </c>
      <c r="AL8" s="26" t="s">
        <v>1052</v>
      </c>
      <c r="AM8" s="15" t="s">
        <v>1053</v>
      </c>
      <c r="AN8" s="6" t="s">
        <v>1054</v>
      </c>
      <c r="AO8" s="7" t="s">
        <v>1045</v>
      </c>
      <c r="AP8" s="1" t="b">
        <f>A8='[1]35千伏-750千伏电网基建'!A8</f>
        <v>1</v>
      </c>
      <c r="AQ8" s="1" t="b">
        <f>B8='[1]35千伏-750千伏电网基建'!B8</f>
        <v>1</v>
      </c>
      <c r="AR8" s="1" t="b">
        <f>C8='[1]35千伏-750千伏电网基建'!C8</f>
        <v>1</v>
      </c>
      <c r="AS8" s="1" t="b">
        <f>D8='[1]35千伏-750千伏电网基建'!D8</f>
        <v>1</v>
      </c>
      <c r="AT8" s="1" t="b">
        <f>E8='[1]35千伏-750千伏电网基建'!E8</f>
        <v>1</v>
      </c>
      <c r="AU8" s="1" t="b">
        <f>F8='[1]35千伏-750千伏电网基建'!F8</f>
        <v>1</v>
      </c>
      <c r="AV8" s="1" t="b">
        <f>G8='[1]35千伏-750千伏电网基建'!G8</f>
        <v>1</v>
      </c>
      <c r="AW8" s="1" t="b">
        <f>H8='[1]35千伏-750千伏电网基建'!H8</f>
        <v>1</v>
      </c>
      <c r="AX8" s="1" t="b">
        <f>I8='[1]35千伏-750千伏电网基建'!I8</f>
        <v>1</v>
      </c>
      <c r="AY8" s="1" t="b">
        <f>J8='[1]35千伏-750千伏电网基建'!J8</f>
        <v>1</v>
      </c>
      <c r="AZ8" s="1" t="b">
        <f>K8='[1]35千伏-750千伏电网基建'!K8</f>
        <v>1</v>
      </c>
      <c r="BA8" s="1" t="b">
        <f>L8='[1]35千伏-750千伏电网基建'!L8</f>
        <v>1</v>
      </c>
      <c r="BB8" s="1" t="b">
        <f>M8='[1]35千伏-750千伏电网基建'!M8</f>
        <v>1</v>
      </c>
      <c r="BC8" s="1" t="b">
        <f>N8='[1]35千伏-750千伏电网基建'!N8</f>
        <v>1</v>
      </c>
      <c r="BD8" s="1" t="b">
        <f>O8='[1]35千伏-750千伏电网基建'!O8</f>
        <v>1</v>
      </c>
      <c r="BE8" s="1" t="b">
        <f>P8='[1]35千伏-750千伏电网基建'!P8</f>
        <v>1</v>
      </c>
      <c r="BF8" s="1" t="b">
        <f>Q8='[1]35千伏-750千伏电网基建'!Q8</f>
        <v>1</v>
      </c>
      <c r="BG8" s="1" t="b">
        <f>R8='[1]35千伏-750千伏电网基建'!R8</f>
        <v>1</v>
      </c>
      <c r="BH8" s="1" t="b">
        <f>S8='[1]35千伏-750千伏电网基建'!S8</f>
        <v>1</v>
      </c>
      <c r="BI8" s="1" t="b">
        <f>T8='[1]35千伏-750千伏电网基建'!T8</f>
        <v>1</v>
      </c>
      <c r="BJ8" s="1" t="b">
        <f>U8='[1]35千伏-750千伏电网基建'!U8</f>
        <v>1</v>
      </c>
      <c r="BK8" s="1" t="b">
        <f>V8='[1]35千伏-750千伏电网基建'!V8</f>
        <v>1</v>
      </c>
      <c r="BL8" s="8" t="b">
        <f>W8='[1]35千伏-750千伏电网基建'!W8</f>
        <v>0</v>
      </c>
      <c r="BM8" s="1" t="b">
        <f>X8='[1]35千伏-750千伏电网基建'!X8</f>
        <v>1</v>
      </c>
      <c r="BN8" s="1" t="b">
        <f>Y8='[1]35千伏-750千伏电网基建'!Y8</f>
        <v>1</v>
      </c>
      <c r="BO8" s="1" t="b">
        <f>Z8='[1]35千伏-750千伏电网基建'!Z8</f>
        <v>1</v>
      </c>
      <c r="BP8" s="1" t="b">
        <f>AA8='[1]35千伏-750千伏电网基建'!AA8</f>
        <v>1</v>
      </c>
      <c r="BQ8" s="1" t="b">
        <f>AB8='[1]35千伏-750千伏电网基建'!AB8</f>
        <v>1</v>
      </c>
      <c r="BR8" s="1" t="b">
        <f>AC8='[1]35千伏-750千伏电网基建'!AC8</f>
        <v>1</v>
      </c>
      <c r="BS8" s="1" t="b">
        <f>AD8='[1]35千伏-750千伏电网基建'!AD8</f>
        <v>1</v>
      </c>
      <c r="BT8" s="1" t="b">
        <f>AE8='[1]35千伏-750千伏电网基建'!AE8</f>
        <v>1</v>
      </c>
      <c r="BU8" s="1" t="b">
        <f>AF8='[1]35千伏-750千伏电网基建'!AF8</f>
        <v>1</v>
      </c>
      <c r="BV8" s="1" t="b">
        <f>AG8='[1]35千伏-750千伏电网基建'!AG8</f>
        <v>1</v>
      </c>
      <c r="BW8" s="1" t="b">
        <f>AH8='[1]35千伏-750千伏电网基建'!AH8</f>
        <v>1</v>
      </c>
      <c r="BX8" s="1" t="b">
        <f>AI8='[1]35千伏-750千伏电网基建'!AI8</f>
        <v>1</v>
      </c>
      <c r="BY8" s="1" t="b">
        <f>AJ8='[1]35千伏-750千伏电网基建'!AJ8</f>
        <v>1</v>
      </c>
      <c r="BZ8" s="1" t="b">
        <f>AK8='[1]35千伏-750千伏电网基建'!AK8</f>
        <v>1</v>
      </c>
    </row>
    <row r="9" s="1" customFormat="1" ht="81" customHeight="1" spans="1:78">
      <c r="A9" s="14"/>
      <c r="B9" s="14"/>
      <c r="C9" s="15"/>
      <c r="D9" s="15"/>
      <c r="E9" s="16" t="s">
        <v>520</v>
      </c>
      <c r="F9" s="16"/>
      <c r="G9" s="15" t="s">
        <v>521</v>
      </c>
      <c r="H9" s="16" t="s">
        <v>522</v>
      </c>
      <c r="I9" s="23" t="s">
        <v>523</v>
      </c>
      <c r="J9" s="16" t="s">
        <v>1055</v>
      </c>
      <c r="K9" s="15"/>
      <c r="L9" s="15"/>
      <c r="M9" s="15"/>
      <c r="N9" s="15" t="s">
        <v>36</v>
      </c>
      <c r="O9" s="15"/>
      <c r="P9" s="15"/>
      <c r="Q9" s="15"/>
      <c r="R9" s="15"/>
      <c r="S9" s="15" t="s">
        <v>36</v>
      </c>
      <c r="T9" s="15" t="s">
        <v>492</v>
      </c>
      <c r="U9" s="15"/>
      <c r="V9" s="16" t="s">
        <v>525</v>
      </c>
      <c r="W9" s="21" t="s">
        <v>1056</v>
      </c>
      <c r="X9" s="15" t="s">
        <v>474</v>
      </c>
      <c r="Y9" s="15" t="s">
        <v>473</v>
      </c>
      <c r="Z9" s="15"/>
      <c r="AA9" s="15" t="s">
        <v>474</v>
      </c>
      <c r="AB9" s="15" t="s">
        <v>473</v>
      </c>
      <c r="AC9" s="15"/>
      <c r="AD9" s="15" t="s">
        <v>527</v>
      </c>
      <c r="AE9" s="15" t="s">
        <v>511</v>
      </c>
      <c r="AF9" s="15"/>
      <c r="AG9" s="14"/>
      <c r="AH9" s="15" t="s">
        <v>476</v>
      </c>
      <c r="AI9" s="15" t="s">
        <v>476</v>
      </c>
      <c r="AJ9" s="15" t="s">
        <v>512</v>
      </c>
      <c r="AK9" s="15" t="s">
        <v>497</v>
      </c>
      <c r="AL9" s="22" t="s">
        <v>1043</v>
      </c>
      <c r="AM9" s="4" t="s">
        <v>1407</v>
      </c>
      <c r="AO9" s="7" t="s">
        <v>1045</v>
      </c>
      <c r="AP9" s="1" t="b">
        <f>A9='[1]35千伏-750千伏电网基建'!A9</f>
        <v>1</v>
      </c>
      <c r="AQ9" s="1" t="b">
        <f>B9='[1]35千伏-750千伏电网基建'!B9</f>
        <v>1</v>
      </c>
      <c r="AR9" s="1" t="b">
        <f>C9='[1]35千伏-750千伏电网基建'!C9</f>
        <v>1</v>
      </c>
      <c r="AS9" s="1" t="b">
        <f>D9='[1]35千伏-750千伏电网基建'!D9</f>
        <v>1</v>
      </c>
      <c r="AT9" s="1" t="b">
        <f>E9='[1]35千伏-750千伏电网基建'!E9</f>
        <v>1</v>
      </c>
      <c r="AU9" s="1" t="b">
        <f>F9='[1]35千伏-750千伏电网基建'!F9</f>
        <v>1</v>
      </c>
      <c r="AV9" s="1" t="b">
        <f>G9='[1]35千伏-750千伏电网基建'!G9</f>
        <v>1</v>
      </c>
      <c r="AW9" s="1" t="b">
        <f>H9='[1]35千伏-750千伏电网基建'!H9</f>
        <v>1</v>
      </c>
      <c r="AX9" s="1" t="b">
        <f>I9='[1]35千伏-750千伏电网基建'!I9</f>
        <v>1</v>
      </c>
      <c r="AY9" s="1" t="b">
        <f>J9='[1]35千伏-750千伏电网基建'!J9</f>
        <v>1</v>
      </c>
      <c r="AZ9" s="1" t="b">
        <f>K9='[1]35千伏-750千伏电网基建'!K9</f>
        <v>1</v>
      </c>
      <c r="BA9" s="1" t="b">
        <f>L9='[1]35千伏-750千伏电网基建'!L9</f>
        <v>1</v>
      </c>
      <c r="BB9" s="1" t="b">
        <f>M9='[1]35千伏-750千伏电网基建'!M9</f>
        <v>1</v>
      </c>
      <c r="BC9" s="1" t="b">
        <f>N9='[1]35千伏-750千伏电网基建'!N9</f>
        <v>1</v>
      </c>
      <c r="BD9" s="1" t="b">
        <f>O9='[1]35千伏-750千伏电网基建'!O9</f>
        <v>1</v>
      </c>
      <c r="BE9" s="1" t="b">
        <f>P9='[1]35千伏-750千伏电网基建'!P9</f>
        <v>1</v>
      </c>
      <c r="BF9" s="1" t="b">
        <f>Q9='[1]35千伏-750千伏电网基建'!Q9</f>
        <v>1</v>
      </c>
      <c r="BG9" s="1" t="b">
        <f>R9='[1]35千伏-750千伏电网基建'!R9</f>
        <v>1</v>
      </c>
      <c r="BH9" s="1" t="b">
        <f>S9='[1]35千伏-750千伏电网基建'!S9</f>
        <v>1</v>
      </c>
      <c r="BI9" s="1" t="b">
        <f>T9='[1]35千伏-750千伏电网基建'!T9</f>
        <v>1</v>
      </c>
      <c r="BJ9" s="1" t="b">
        <f>U9='[1]35千伏-750千伏电网基建'!U9</f>
        <v>1</v>
      </c>
      <c r="BK9" s="1" t="b">
        <f>V9='[1]35千伏-750千伏电网基建'!V9</f>
        <v>1</v>
      </c>
      <c r="BL9" s="8" t="b">
        <f>W9='[1]35千伏-750千伏电网基建'!W9</f>
        <v>0</v>
      </c>
      <c r="BM9" s="1" t="b">
        <f>X9='[1]35千伏-750千伏电网基建'!X9</f>
        <v>1</v>
      </c>
      <c r="BN9" s="1" t="b">
        <f>Y9='[1]35千伏-750千伏电网基建'!Y9</f>
        <v>1</v>
      </c>
      <c r="BO9" s="1" t="b">
        <f>Z9='[1]35千伏-750千伏电网基建'!Z9</f>
        <v>1</v>
      </c>
      <c r="BP9" s="1" t="b">
        <f>AA9='[1]35千伏-750千伏电网基建'!AA9</f>
        <v>1</v>
      </c>
      <c r="BQ9" s="1" t="b">
        <f>AB9='[1]35千伏-750千伏电网基建'!AB9</f>
        <v>1</v>
      </c>
      <c r="BR9" s="1" t="b">
        <f>AC9='[1]35千伏-750千伏电网基建'!AC9</f>
        <v>1</v>
      </c>
      <c r="BS9" s="1" t="b">
        <f>AD9='[1]35千伏-750千伏电网基建'!AD9</f>
        <v>1</v>
      </c>
      <c r="BT9" s="1" t="b">
        <f>AE9='[1]35千伏-750千伏电网基建'!AE9</f>
        <v>1</v>
      </c>
      <c r="BU9" s="1" t="b">
        <f>AF9='[1]35千伏-750千伏电网基建'!AF9</f>
        <v>1</v>
      </c>
      <c r="BV9" s="1" t="b">
        <f>AG9='[1]35千伏-750千伏电网基建'!AG9</f>
        <v>1</v>
      </c>
      <c r="BW9" s="1" t="b">
        <f>AH9='[1]35千伏-750千伏电网基建'!AH9</f>
        <v>1</v>
      </c>
      <c r="BX9" s="1" t="b">
        <f>AI9='[1]35千伏-750千伏电网基建'!AI9</f>
        <v>1</v>
      </c>
      <c r="BY9" s="1" t="b">
        <f>AJ9='[1]35千伏-750千伏电网基建'!AJ9</f>
        <v>1</v>
      </c>
      <c r="BZ9" s="1" t="b">
        <f>AK9='[1]35千伏-750千伏电网基建'!AK9</f>
        <v>1</v>
      </c>
    </row>
    <row r="10" s="1" customFormat="1" ht="76" customHeight="1" spans="1:78">
      <c r="A10" s="14"/>
      <c r="B10" s="14"/>
      <c r="C10" s="15"/>
      <c r="D10" s="15"/>
      <c r="E10" s="16"/>
      <c r="F10" s="16"/>
      <c r="G10" s="15"/>
      <c r="H10" s="16"/>
      <c r="I10" s="23" t="s">
        <v>528</v>
      </c>
      <c r="J10" s="16" t="s">
        <v>1408</v>
      </c>
      <c r="K10" s="15"/>
      <c r="L10" s="15"/>
      <c r="M10" s="15"/>
      <c r="N10" s="15" t="s">
        <v>36</v>
      </c>
      <c r="O10" s="15"/>
      <c r="P10" s="15"/>
      <c r="Q10" s="15" t="s">
        <v>36</v>
      </c>
      <c r="R10" s="15"/>
      <c r="S10" s="15" t="s">
        <v>36</v>
      </c>
      <c r="T10" s="15" t="s">
        <v>465</v>
      </c>
      <c r="U10" s="15" t="s">
        <v>530</v>
      </c>
      <c r="V10" s="16" t="s">
        <v>525</v>
      </c>
      <c r="W10" s="27" t="s">
        <v>1409</v>
      </c>
      <c r="X10" s="15" t="s">
        <v>474</v>
      </c>
      <c r="Y10" s="15" t="s">
        <v>473</v>
      </c>
      <c r="Z10" s="15"/>
      <c r="AA10" s="15" t="s">
        <v>474</v>
      </c>
      <c r="AB10" s="15" t="s">
        <v>473</v>
      </c>
      <c r="AC10" s="15"/>
      <c r="AD10" s="15" t="s">
        <v>527</v>
      </c>
      <c r="AE10" s="15" t="s">
        <v>511</v>
      </c>
      <c r="AF10" s="15"/>
      <c r="AG10" s="14"/>
      <c r="AH10" s="15" t="s">
        <v>476</v>
      </c>
      <c r="AI10" s="15" t="s">
        <v>476</v>
      </c>
      <c r="AJ10" s="15" t="s">
        <v>512</v>
      </c>
      <c r="AK10" s="15" t="s">
        <v>532</v>
      </c>
      <c r="AL10" s="28" t="s">
        <v>1057</v>
      </c>
      <c r="AM10" s="4" t="s">
        <v>1407</v>
      </c>
      <c r="AN10" s="6" t="s">
        <v>1058</v>
      </c>
      <c r="AO10" s="7" t="s">
        <v>1059</v>
      </c>
      <c r="AP10" s="1" t="b">
        <f>A10='[1]35千伏-750千伏电网基建'!A10</f>
        <v>1</v>
      </c>
      <c r="AQ10" s="1" t="b">
        <f>B10='[1]35千伏-750千伏电网基建'!B10</f>
        <v>1</v>
      </c>
      <c r="AR10" s="1" t="b">
        <f>C10='[1]35千伏-750千伏电网基建'!C10</f>
        <v>1</v>
      </c>
      <c r="AS10" s="1" t="b">
        <f>D10='[1]35千伏-750千伏电网基建'!D10</f>
        <v>1</v>
      </c>
      <c r="AT10" s="1" t="b">
        <f>E10='[1]35千伏-750千伏电网基建'!E10</f>
        <v>1</v>
      </c>
      <c r="AU10" s="1" t="b">
        <f>F10='[1]35千伏-750千伏电网基建'!F10</f>
        <v>1</v>
      </c>
      <c r="AV10" s="1" t="b">
        <f>G10='[1]35千伏-750千伏电网基建'!G10</f>
        <v>1</v>
      </c>
      <c r="AW10" s="1" t="b">
        <f>H10='[1]35千伏-750千伏电网基建'!H10</f>
        <v>1</v>
      </c>
      <c r="AX10" s="1" t="b">
        <f>I10='[1]35千伏-750千伏电网基建'!I10</f>
        <v>1</v>
      </c>
      <c r="AY10" s="3" t="b">
        <f>J10='[1]35千伏-750千伏电网基建'!J10</f>
        <v>0</v>
      </c>
      <c r="AZ10" s="1" t="b">
        <f>K10='[1]35千伏-750千伏电网基建'!K10</f>
        <v>1</v>
      </c>
      <c r="BA10" s="1" t="b">
        <f>L10='[1]35千伏-750千伏电网基建'!L10</f>
        <v>1</v>
      </c>
      <c r="BB10" s="1" t="b">
        <f>M10='[1]35千伏-750千伏电网基建'!M10</f>
        <v>1</v>
      </c>
      <c r="BC10" s="1" t="b">
        <f>N10='[1]35千伏-750千伏电网基建'!N10</f>
        <v>1</v>
      </c>
      <c r="BD10" s="1" t="b">
        <f>O10='[1]35千伏-750千伏电网基建'!O10</f>
        <v>1</v>
      </c>
      <c r="BE10" s="1" t="b">
        <f>P10='[1]35千伏-750千伏电网基建'!P10</f>
        <v>1</v>
      </c>
      <c r="BF10" s="1" t="b">
        <f>Q10='[1]35千伏-750千伏电网基建'!Q10</f>
        <v>1</v>
      </c>
      <c r="BG10" s="1" t="b">
        <f>R10='[1]35千伏-750千伏电网基建'!R10</f>
        <v>1</v>
      </c>
      <c r="BH10" s="1" t="b">
        <f>S10='[1]35千伏-750千伏电网基建'!S10</f>
        <v>1</v>
      </c>
      <c r="BI10" s="1" t="b">
        <f>T10='[1]35千伏-750千伏电网基建'!T10</f>
        <v>1</v>
      </c>
      <c r="BJ10" s="1" t="b">
        <f>U10='[1]35千伏-750千伏电网基建'!U10</f>
        <v>1</v>
      </c>
      <c r="BK10" s="1" t="b">
        <f>V10='[1]35千伏-750千伏电网基建'!V10</f>
        <v>1</v>
      </c>
      <c r="BL10" s="8" t="b">
        <f>W10='[1]35千伏-750千伏电网基建'!W10</f>
        <v>0</v>
      </c>
      <c r="BM10" s="1" t="b">
        <f>X10='[1]35千伏-750千伏电网基建'!X10</f>
        <v>1</v>
      </c>
      <c r="BN10" s="1" t="b">
        <f>Y10='[1]35千伏-750千伏电网基建'!Y10</f>
        <v>1</v>
      </c>
      <c r="BO10" s="1" t="b">
        <f>Z10='[1]35千伏-750千伏电网基建'!Z10</f>
        <v>1</v>
      </c>
      <c r="BP10" s="1" t="b">
        <f>AA10='[1]35千伏-750千伏电网基建'!AA10</f>
        <v>1</v>
      </c>
      <c r="BQ10" s="1" t="b">
        <f>AB10='[1]35千伏-750千伏电网基建'!AB10</f>
        <v>1</v>
      </c>
      <c r="BR10" s="1" t="b">
        <f>AC10='[1]35千伏-750千伏电网基建'!AC10</f>
        <v>1</v>
      </c>
      <c r="BS10" s="1" t="b">
        <f>AD10='[1]35千伏-750千伏电网基建'!AD10</f>
        <v>1</v>
      </c>
      <c r="BT10" s="1" t="b">
        <f>AE10='[1]35千伏-750千伏电网基建'!AE10</f>
        <v>1</v>
      </c>
      <c r="BU10" s="1" t="b">
        <f>AF10='[1]35千伏-750千伏电网基建'!AF10</f>
        <v>1</v>
      </c>
      <c r="BV10" s="1" t="b">
        <f>AG10='[1]35千伏-750千伏电网基建'!AG10</f>
        <v>1</v>
      </c>
      <c r="BW10" s="1" t="b">
        <f>AH10='[1]35千伏-750千伏电网基建'!AH10</f>
        <v>1</v>
      </c>
      <c r="BX10" s="1" t="b">
        <f>AI10='[1]35千伏-750千伏电网基建'!AI10</f>
        <v>1</v>
      </c>
      <c r="BY10" s="1" t="b">
        <f>AJ10='[1]35千伏-750千伏电网基建'!AJ10</f>
        <v>1</v>
      </c>
      <c r="BZ10" s="1" t="b">
        <f>AK10='[1]35千伏-750千伏电网基建'!AK10</f>
        <v>1</v>
      </c>
    </row>
    <row r="11" s="1" customFormat="1" ht="85" customHeight="1" spans="1:78">
      <c r="A11" s="14"/>
      <c r="B11" s="14"/>
      <c r="C11" s="15"/>
      <c r="D11" s="15"/>
      <c r="E11" s="16"/>
      <c r="F11" s="16"/>
      <c r="G11" s="15"/>
      <c r="H11" s="16"/>
      <c r="I11" s="23" t="s">
        <v>533</v>
      </c>
      <c r="J11" s="16" t="s">
        <v>1060</v>
      </c>
      <c r="K11" s="15"/>
      <c r="L11" s="15"/>
      <c r="M11" s="15"/>
      <c r="N11" s="15" t="s">
        <v>36</v>
      </c>
      <c r="O11" s="15"/>
      <c r="P11" s="15"/>
      <c r="Q11" s="15"/>
      <c r="R11" s="15"/>
      <c r="S11" s="15"/>
      <c r="T11" s="15" t="s">
        <v>492</v>
      </c>
      <c r="U11" s="15"/>
      <c r="V11" s="16" t="s">
        <v>525</v>
      </c>
      <c r="W11" s="29" t="s">
        <v>535</v>
      </c>
      <c r="X11" s="15" t="s">
        <v>474</v>
      </c>
      <c r="Y11" s="15" t="s">
        <v>473</v>
      </c>
      <c r="Z11" s="15"/>
      <c r="AA11" s="15" t="s">
        <v>474</v>
      </c>
      <c r="AB11" s="15" t="s">
        <v>473</v>
      </c>
      <c r="AC11" s="15"/>
      <c r="AD11" s="15" t="s">
        <v>527</v>
      </c>
      <c r="AE11" s="15" t="s">
        <v>511</v>
      </c>
      <c r="AF11" s="15"/>
      <c r="AG11" s="14"/>
      <c r="AH11" s="15" t="s">
        <v>476</v>
      </c>
      <c r="AI11" s="15" t="s">
        <v>476</v>
      </c>
      <c r="AJ11" s="15" t="s">
        <v>512</v>
      </c>
      <c r="AK11" s="15" t="s">
        <v>497</v>
      </c>
      <c r="AL11" s="22" t="s">
        <v>1043</v>
      </c>
      <c r="AM11" s="4" t="s">
        <v>1407</v>
      </c>
      <c r="AO11" s="7" t="s">
        <v>1045</v>
      </c>
      <c r="AP11" s="1" t="b">
        <f>A11='[1]35千伏-750千伏电网基建'!A11</f>
        <v>1</v>
      </c>
      <c r="AQ11" s="1" t="b">
        <f>B11='[1]35千伏-750千伏电网基建'!B11</f>
        <v>1</v>
      </c>
      <c r="AR11" s="1" t="b">
        <f>C11='[1]35千伏-750千伏电网基建'!C11</f>
        <v>1</v>
      </c>
      <c r="AS11" s="1" t="b">
        <f>D11='[1]35千伏-750千伏电网基建'!D11</f>
        <v>1</v>
      </c>
      <c r="AT11" s="1" t="b">
        <f>E11='[1]35千伏-750千伏电网基建'!E11</f>
        <v>1</v>
      </c>
      <c r="AU11" s="1" t="b">
        <f>F11='[1]35千伏-750千伏电网基建'!F11</f>
        <v>1</v>
      </c>
      <c r="AV11" s="1" t="b">
        <f>G11='[1]35千伏-750千伏电网基建'!G11</f>
        <v>1</v>
      </c>
      <c r="AW11" s="1" t="b">
        <f>H11='[1]35千伏-750千伏电网基建'!H11</f>
        <v>1</v>
      </c>
      <c r="AX11" s="1" t="b">
        <f>I11='[1]35千伏-750千伏电网基建'!I11</f>
        <v>1</v>
      </c>
      <c r="AY11" s="1" t="b">
        <f>J11='[1]35千伏-750千伏电网基建'!J11</f>
        <v>1</v>
      </c>
      <c r="AZ11" s="1" t="b">
        <f>K11='[1]35千伏-750千伏电网基建'!K11</f>
        <v>1</v>
      </c>
      <c r="BA11" s="1" t="b">
        <f>L11='[1]35千伏-750千伏电网基建'!L11</f>
        <v>1</v>
      </c>
      <c r="BB11" s="1" t="b">
        <f>M11='[1]35千伏-750千伏电网基建'!M11</f>
        <v>1</v>
      </c>
      <c r="BC11" s="1" t="b">
        <f>N11='[1]35千伏-750千伏电网基建'!N11</f>
        <v>1</v>
      </c>
      <c r="BD11" s="1" t="b">
        <f>O11='[1]35千伏-750千伏电网基建'!O11</f>
        <v>1</v>
      </c>
      <c r="BE11" s="1" t="b">
        <f>P11='[1]35千伏-750千伏电网基建'!P11</f>
        <v>1</v>
      </c>
      <c r="BF11" s="1" t="b">
        <f>Q11='[1]35千伏-750千伏电网基建'!Q11</f>
        <v>1</v>
      </c>
      <c r="BG11" s="1" t="b">
        <f>R11='[1]35千伏-750千伏电网基建'!R11</f>
        <v>1</v>
      </c>
      <c r="BH11" s="1" t="b">
        <f>S11='[1]35千伏-750千伏电网基建'!S11</f>
        <v>1</v>
      </c>
      <c r="BI11" s="1" t="b">
        <f>T11='[1]35千伏-750千伏电网基建'!T11</f>
        <v>1</v>
      </c>
      <c r="BJ11" s="1" t="b">
        <f>U11='[1]35千伏-750千伏电网基建'!U11</f>
        <v>1</v>
      </c>
      <c r="BK11" s="1" t="b">
        <f>V11='[1]35千伏-750千伏电网基建'!V11</f>
        <v>1</v>
      </c>
      <c r="BL11" s="8" t="b">
        <f>W11='[1]35千伏-750千伏电网基建'!W11</f>
        <v>0</v>
      </c>
      <c r="BM11" s="1" t="b">
        <f>X11='[1]35千伏-750千伏电网基建'!X11</f>
        <v>1</v>
      </c>
      <c r="BN11" s="1" t="b">
        <f>Y11='[1]35千伏-750千伏电网基建'!Y11</f>
        <v>1</v>
      </c>
      <c r="BO11" s="1" t="b">
        <f>Z11='[1]35千伏-750千伏电网基建'!Z11</f>
        <v>1</v>
      </c>
      <c r="BP11" s="1" t="b">
        <f>AA11='[1]35千伏-750千伏电网基建'!AA11</f>
        <v>1</v>
      </c>
      <c r="BQ11" s="1" t="b">
        <f>AB11='[1]35千伏-750千伏电网基建'!AB11</f>
        <v>1</v>
      </c>
      <c r="BR11" s="1" t="b">
        <f>AC11='[1]35千伏-750千伏电网基建'!AC11</f>
        <v>1</v>
      </c>
      <c r="BS11" s="1" t="b">
        <f>AD11='[1]35千伏-750千伏电网基建'!AD11</f>
        <v>1</v>
      </c>
      <c r="BT11" s="1" t="b">
        <f>AE11='[1]35千伏-750千伏电网基建'!AE11</f>
        <v>1</v>
      </c>
      <c r="BU11" s="1" t="b">
        <f>AF11='[1]35千伏-750千伏电网基建'!AF11</f>
        <v>1</v>
      </c>
      <c r="BV11" s="1" t="b">
        <f>AG11='[1]35千伏-750千伏电网基建'!AG11</f>
        <v>1</v>
      </c>
      <c r="BW11" s="1" t="b">
        <f>AH11='[1]35千伏-750千伏电网基建'!AH11</f>
        <v>1</v>
      </c>
      <c r="BX11" s="1" t="b">
        <f>AI11='[1]35千伏-750千伏电网基建'!AI11</f>
        <v>1</v>
      </c>
      <c r="BY11" s="1" t="b">
        <f>AJ11='[1]35千伏-750千伏电网基建'!AJ11</f>
        <v>1</v>
      </c>
      <c r="BZ11" s="1" t="b">
        <f>AK11='[1]35千伏-750千伏电网基建'!AK11</f>
        <v>1</v>
      </c>
    </row>
    <row r="12" s="1" customFormat="1" ht="79" customHeight="1" spans="1:78">
      <c r="A12" s="14" t="s">
        <v>483</v>
      </c>
      <c r="B12" s="14" t="s">
        <v>484</v>
      </c>
      <c r="C12" s="15" t="s">
        <v>536</v>
      </c>
      <c r="D12" s="15" t="s">
        <v>537</v>
      </c>
      <c r="E12" s="16" t="s">
        <v>538</v>
      </c>
      <c r="F12" s="24"/>
      <c r="G12" s="15" t="s">
        <v>539</v>
      </c>
      <c r="H12" s="16" t="s">
        <v>540</v>
      </c>
      <c r="I12" s="23" t="s">
        <v>541</v>
      </c>
      <c r="J12" s="16" t="s">
        <v>542</v>
      </c>
      <c r="K12" s="15"/>
      <c r="L12" s="15" t="s">
        <v>36</v>
      </c>
      <c r="M12" s="15"/>
      <c r="N12" s="15"/>
      <c r="O12" s="15"/>
      <c r="P12" s="15"/>
      <c r="Q12" s="15"/>
      <c r="R12" s="15"/>
      <c r="S12" s="15"/>
      <c r="T12" s="15" t="s">
        <v>465</v>
      </c>
      <c r="U12" s="15" t="s">
        <v>543</v>
      </c>
      <c r="V12" s="16" t="s">
        <v>544</v>
      </c>
      <c r="W12" s="29" t="s">
        <v>1410</v>
      </c>
      <c r="X12" s="15" t="s">
        <v>474</v>
      </c>
      <c r="Y12" s="15" t="s">
        <v>473</v>
      </c>
      <c r="Z12" s="15"/>
      <c r="AA12" s="15" t="s">
        <v>474</v>
      </c>
      <c r="AB12" s="15" t="s">
        <v>473</v>
      </c>
      <c r="AC12" s="15"/>
      <c r="AD12" s="15" t="s">
        <v>546</v>
      </c>
      <c r="AE12" s="15" t="s">
        <v>511</v>
      </c>
      <c r="AF12" s="30"/>
      <c r="AG12" s="14"/>
      <c r="AH12" s="15" t="s">
        <v>476</v>
      </c>
      <c r="AI12" s="30" t="s">
        <v>476</v>
      </c>
      <c r="AJ12" s="15" t="s">
        <v>547</v>
      </c>
      <c r="AK12" s="15" t="s">
        <v>497</v>
      </c>
      <c r="AL12" s="22" t="s">
        <v>1043</v>
      </c>
      <c r="AM12" s="15" t="s">
        <v>1407</v>
      </c>
      <c r="AO12" s="7" t="s">
        <v>1045</v>
      </c>
      <c r="AP12" s="1" t="b">
        <f>A12='[1]35千伏-750千伏电网基建'!A12</f>
        <v>1</v>
      </c>
      <c r="AQ12" s="1" t="b">
        <f>B12='[1]35千伏-750千伏电网基建'!B12</f>
        <v>1</v>
      </c>
      <c r="AR12" s="1" t="b">
        <f>C12='[1]35千伏-750千伏电网基建'!C12</f>
        <v>1</v>
      </c>
      <c r="AS12" s="1" t="b">
        <f>D12='[1]35千伏-750千伏电网基建'!D12</f>
        <v>1</v>
      </c>
      <c r="AT12" s="1" t="b">
        <f>E12='[1]35千伏-750千伏电网基建'!E12</f>
        <v>1</v>
      </c>
      <c r="AU12" s="1" t="b">
        <f>F12='[1]35千伏-750千伏电网基建'!F12</f>
        <v>1</v>
      </c>
      <c r="AV12" s="1" t="b">
        <f>G12='[1]35千伏-750千伏电网基建'!G12</f>
        <v>1</v>
      </c>
      <c r="AW12" s="1" t="b">
        <f>H12='[1]35千伏-750千伏电网基建'!H12</f>
        <v>1</v>
      </c>
      <c r="AX12" s="1" t="b">
        <f>I12='[1]35千伏-750千伏电网基建'!I12</f>
        <v>1</v>
      </c>
      <c r="AY12" s="1" t="b">
        <f>J12='[1]35千伏-750千伏电网基建'!J12</f>
        <v>1</v>
      </c>
      <c r="AZ12" s="1" t="b">
        <f>K12='[1]35千伏-750千伏电网基建'!K12</f>
        <v>1</v>
      </c>
      <c r="BA12" s="1" t="b">
        <f>L12='[1]35千伏-750千伏电网基建'!L12</f>
        <v>1</v>
      </c>
      <c r="BB12" s="1" t="b">
        <f>M12='[1]35千伏-750千伏电网基建'!M12</f>
        <v>1</v>
      </c>
      <c r="BC12" s="1" t="b">
        <f>N12='[1]35千伏-750千伏电网基建'!N12</f>
        <v>1</v>
      </c>
      <c r="BD12" s="1" t="b">
        <f>O12='[1]35千伏-750千伏电网基建'!O12</f>
        <v>1</v>
      </c>
      <c r="BE12" s="1" t="b">
        <f>P12='[1]35千伏-750千伏电网基建'!P12</f>
        <v>1</v>
      </c>
      <c r="BF12" s="1" t="b">
        <f>Q12='[1]35千伏-750千伏电网基建'!Q12</f>
        <v>1</v>
      </c>
      <c r="BG12" s="1" t="b">
        <f>R12='[1]35千伏-750千伏电网基建'!R12</f>
        <v>1</v>
      </c>
      <c r="BH12" s="1" t="b">
        <f>S12='[1]35千伏-750千伏电网基建'!S12</f>
        <v>1</v>
      </c>
      <c r="BI12" s="1" t="b">
        <f>T12='[1]35千伏-750千伏电网基建'!T12</f>
        <v>1</v>
      </c>
      <c r="BJ12" s="1" t="b">
        <f>U12='[1]35千伏-750千伏电网基建'!U12</f>
        <v>1</v>
      </c>
      <c r="BK12" s="1" t="b">
        <f>V12='[1]35千伏-750千伏电网基建'!V12</f>
        <v>1</v>
      </c>
      <c r="BL12" s="8" t="b">
        <f>W12='[1]35千伏-750千伏电网基建'!W12</f>
        <v>0</v>
      </c>
      <c r="BM12" s="1" t="b">
        <f>X12='[1]35千伏-750千伏电网基建'!X12</f>
        <v>1</v>
      </c>
      <c r="BN12" s="1" t="b">
        <f>Y12='[1]35千伏-750千伏电网基建'!Y12</f>
        <v>1</v>
      </c>
      <c r="BO12" s="1" t="b">
        <f>Z12='[1]35千伏-750千伏电网基建'!Z12</f>
        <v>1</v>
      </c>
      <c r="BP12" s="1" t="b">
        <f>AA12='[1]35千伏-750千伏电网基建'!AA12</f>
        <v>1</v>
      </c>
      <c r="BQ12" s="1" t="b">
        <f>AB12='[1]35千伏-750千伏电网基建'!AB12</f>
        <v>1</v>
      </c>
      <c r="BR12" s="1" t="b">
        <f>AC12='[1]35千伏-750千伏电网基建'!AC12</f>
        <v>1</v>
      </c>
      <c r="BS12" s="1" t="b">
        <f>AD12='[1]35千伏-750千伏电网基建'!AD12</f>
        <v>1</v>
      </c>
      <c r="BT12" s="1" t="b">
        <f>AE12='[1]35千伏-750千伏电网基建'!AE12</f>
        <v>1</v>
      </c>
      <c r="BU12" s="1" t="b">
        <f>AF12='[1]35千伏-750千伏电网基建'!AF12</f>
        <v>1</v>
      </c>
      <c r="BV12" s="1" t="b">
        <f>AG12='[1]35千伏-750千伏电网基建'!AG12</f>
        <v>1</v>
      </c>
      <c r="BW12" s="1" t="b">
        <f>AH12='[1]35千伏-750千伏电网基建'!AH12</f>
        <v>1</v>
      </c>
      <c r="BX12" s="1" t="b">
        <f>AI12='[1]35千伏-750千伏电网基建'!AI12</f>
        <v>1</v>
      </c>
      <c r="BY12" s="1" t="b">
        <f>AJ12='[1]35千伏-750千伏电网基建'!AJ12</f>
        <v>1</v>
      </c>
      <c r="BZ12" s="1" t="b">
        <f>AK12='[1]35千伏-750千伏电网基建'!AK12</f>
        <v>1</v>
      </c>
    </row>
    <row r="13" s="1" customFormat="1" ht="66" customHeight="1" spans="1:78">
      <c r="A13" s="14"/>
      <c r="B13" s="14"/>
      <c r="C13" s="15"/>
      <c r="D13" s="15"/>
      <c r="E13" s="16"/>
      <c r="F13" s="24"/>
      <c r="G13" s="15"/>
      <c r="H13" s="16"/>
      <c r="I13" s="23" t="s">
        <v>548</v>
      </c>
      <c r="J13" s="16" t="s">
        <v>1061</v>
      </c>
      <c r="K13" s="15"/>
      <c r="L13" s="15" t="s">
        <v>36</v>
      </c>
      <c r="M13" s="15"/>
      <c r="N13" s="15"/>
      <c r="O13" s="15"/>
      <c r="P13" s="15"/>
      <c r="Q13" s="15" t="s">
        <v>36</v>
      </c>
      <c r="R13" s="15"/>
      <c r="S13" s="15"/>
      <c r="T13" s="15" t="s">
        <v>550</v>
      </c>
      <c r="U13" s="15" t="s">
        <v>551</v>
      </c>
      <c r="V13" s="16" t="s">
        <v>552</v>
      </c>
      <c r="W13" s="27" t="s">
        <v>1411</v>
      </c>
      <c r="X13" s="15" t="s">
        <v>474</v>
      </c>
      <c r="Y13" s="15" t="s">
        <v>473</v>
      </c>
      <c r="Z13" s="15"/>
      <c r="AA13" s="15" t="s">
        <v>474</v>
      </c>
      <c r="AB13" s="15" t="s">
        <v>473</v>
      </c>
      <c r="AC13" s="15"/>
      <c r="AD13" s="15"/>
      <c r="AE13" s="30"/>
      <c r="AF13" s="30"/>
      <c r="AG13" s="14"/>
      <c r="AH13" s="15" t="s">
        <v>476</v>
      </c>
      <c r="AI13" s="30" t="s">
        <v>476</v>
      </c>
      <c r="AJ13" s="15" t="s">
        <v>554</v>
      </c>
      <c r="AK13" s="15" t="s">
        <v>532</v>
      </c>
      <c r="AL13" s="28" t="s">
        <v>1057</v>
      </c>
      <c r="AM13" s="15" t="s">
        <v>470</v>
      </c>
      <c r="AN13" s="6"/>
      <c r="AO13" s="7" t="s">
        <v>1045</v>
      </c>
      <c r="AP13" s="1" t="b">
        <f>A13='[1]35千伏-750千伏电网基建'!A13</f>
        <v>1</v>
      </c>
      <c r="AQ13" s="1" t="b">
        <f>B13='[1]35千伏-750千伏电网基建'!B13</f>
        <v>1</v>
      </c>
      <c r="AR13" s="1" t="b">
        <f>C13='[1]35千伏-750千伏电网基建'!C13</f>
        <v>1</v>
      </c>
      <c r="AS13" s="1" t="b">
        <f>D13='[1]35千伏-750千伏电网基建'!D13</f>
        <v>1</v>
      </c>
      <c r="AT13" s="1" t="b">
        <f>E13='[1]35千伏-750千伏电网基建'!E13</f>
        <v>1</v>
      </c>
      <c r="AU13" s="1" t="b">
        <f>F13='[1]35千伏-750千伏电网基建'!F13</f>
        <v>1</v>
      </c>
      <c r="AV13" s="1" t="b">
        <f>G13='[1]35千伏-750千伏电网基建'!G13</f>
        <v>1</v>
      </c>
      <c r="AW13" s="1" t="b">
        <f>H13='[1]35千伏-750千伏电网基建'!H13</f>
        <v>1</v>
      </c>
      <c r="AX13" s="1" t="b">
        <f>I13='[1]35千伏-750千伏电网基建'!I13</f>
        <v>1</v>
      </c>
      <c r="AY13" s="1" t="b">
        <f>J13='[1]35千伏-750千伏电网基建'!J13</f>
        <v>1</v>
      </c>
      <c r="AZ13" s="1" t="b">
        <f>K13='[1]35千伏-750千伏电网基建'!K13</f>
        <v>1</v>
      </c>
      <c r="BA13" s="1" t="b">
        <f>L13='[1]35千伏-750千伏电网基建'!L13</f>
        <v>1</v>
      </c>
      <c r="BB13" s="1" t="b">
        <f>M13='[1]35千伏-750千伏电网基建'!M13</f>
        <v>1</v>
      </c>
      <c r="BC13" s="1" t="b">
        <f>N13='[1]35千伏-750千伏电网基建'!N13</f>
        <v>1</v>
      </c>
      <c r="BD13" s="1" t="b">
        <f>O13='[1]35千伏-750千伏电网基建'!O13</f>
        <v>1</v>
      </c>
      <c r="BE13" s="1" t="b">
        <f>P13='[1]35千伏-750千伏电网基建'!P13</f>
        <v>1</v>
      </c>
      <c r="BF13" s="1" t="b">
        <f>Q13='[1]35千伏-750千伏电网基建'!Q13</f>
        <v>1</v>
      </c>
      <c r="BG13" s="1" t="b">
        <f>R13='[1]35千伏-750千伏电网基建'!R13</f>
        <v>1</v>
      </c>
      <c r="BH13" s="1" t="b">
        <f>S13='[1]35千伏-750千伏电网基建'!S13</f>
        <v>1</v>
      </c>
      <c r="BI13" s="1" t="b">
        <f>T13='[1]35千伏-750千伏电网基建'!T13</f>
        <v>1</v>
      </c>
      <c r="BJ13" s="1" t="b">
        <f>U13='[1]35千伏-750千伏电网基建'!U13</f>
        <v>1</v>
      </c>
      <c r="BK13" s="1" t="b">
        <f>V13='[1]35千伏-750千伏电网基建'!V13</f>
        <v>1</v>
      </c>
      <c r="BL13" s="8" t="b">
        <f>W13='[1]35千伏-750千伏电网基建'!W13</f>
        <v>0</v>
      </c>
      <c r="BM13" s="1" t="b">
        <f>X13='[1]35千伏-750千伏电网基建'!X13</f>
        <v>1</v>
      </c>
      <c r="BN13" s="1" t="b">
        <f>Y13='[1]35千伏-750千伏电网基建'!Y13</f>
        <v>1</v>
      </c>
      <c r="BO13" s="1" t="b">
        <f>Z13='[1]35千伏-750千伏电网基建'!Z13</f>
        <v>1</v>
      </c>
      <c r="BP13" s="1" t="b">
        <f>AA13='[1]35千伏-750千伏电网基建'!AA13</f>
        <v>1</v>
      </c>
      <c r="BQ13" s="1" t="b">
        <f>AB13='[1]35千伏-750千伏电网基建'!AB13</f>
        <v>1</v>
      </c>
      <c r="BR13" s="1" t="b">
        <f>AC13='[1]35千伏-750千伏电网基建'!AC13</f>
        <v>1</v>
      </c>
      <c r="BS13" s="1" t="b">
        <f>AD13='[1]35千伏-750千伏电网基建'!AD13</f>
        <v>1</v>
      </c>
      <c r="BT13" s="1" t="b">
        <f>AE13='[1]35千伏-750千伏电网基建'!AE13</f>
        <v>1</v>
      </c>
      <c r="BU13" s="1" t="b">
        <f>AF13='[1]35千伏-750千伏电网基建'!AF13</f>
        <v>1</v>
      </c>
      <c r="BV13" s="1" t="b">
        <f>AG13='[1]35千伏-750千伏电网基建'!AG13</f>
        <v>1</v>
      </c>
      <c r="BW13" s="1" t="b">
        <f>AH13='[1]35千伏-750千伏电网基建'!AH13</f>
        <v>1</v>
      </c>
      <c r="BX13" s="1" t="b">
        <f>AI13='[1]35千伏-750千伏电网基建'!AI13</f>
        <v>1</v>
      </c>
      <c r="BY13" s="1" t="b">
        <f>AJ13='[1]35千伏-750千伏电网基建'!AJ13</f>
        <v>1</v>
      </c>
      <c r="BZ13" s="1" t="b">
        <f>AK13='[1]35千伏-750千伏电网基建'!AK13</f>
        <v>1</v>
      </c>
    </row>
    <row r="14" s="1" customFormat="1" ht="78" customHeight="1" spans="1:78">
      <c r="A14" s="14"/>
      <c r="B14" s="14"/>
      <c r="C14" s="15"/>
      <c r="D14" s="15"/>
      <c r="E14" s="16"/>
      <c r="F14" s="24"/>
      <c r="G14" s="15"/>
      <c r="H14" s="16"/>
      <c r="I14" s="23" t="s">
        <v>555</v>
      </c>
      <c r="J14" s="16" t="s">
        <v>1063</v>
      </c>
      <c r="K14" s="15"/>
      <c r="L14" s="15"/>
      <c r="M14" s="15"/>
      <c r="N14" s="15"/>
      <c r="O14" s="15" t="s">
        <v>36</v>
      </c>
      <c r="P14" s="15" t="s">
        <v>36</v>
      </c>
      <c r="Q14" s="15" t="s">
        <v>36</v>
      </c>
      <c r="R14" s="15"/>
      <c r="S14" s="15"/>
      <c r="T14" s="15" t="s">
        <v>550</v>
      </c>
      <c r="U14" s="15" t="s">
        <v>467</v>
      </c>
      <c r="V14" s="16" t="s">
        <v>557</v>
      </c>
      <c r="W14" s="31" t="s">
        <v>1412</v>
      </c>
      <c r="X14" s="15" t="s">
        <v>474</v>
      </c>
      <c r="Y14" s="15" t="s">
        <v>473</v>
      </c>
      <c r="Z14" s="15"/>
      <c r="AA14" s="15" t="s">
        <v>474</v>
      </c>
      <c r="AB14" s="15" t="s">
        <v>473</v>
      </c>
      <c r="AC14" s="15"/>
      <c r="AD14" s="15"/>
      <c r="AE14" s="30"/>
      <c r="AF14" s="30"/>
      <c r="AG14" s="14"/>
      <c r="AH14" s="15" t="s">
        <v>476</v>
      </c>
      <c r="AI14" s="30" t="s">
        <v>476</v>
      </c>
      <c r="AJ14" s="15" t="s">
        <v>558</v>
      </c>
      <c r="AK14" s="15"/>
      <c r="AL14" s="15" t="s">
        <v>1064</v>
      </c>
      <c r="AM14" s="15" t="s">
        <v>470</v>
      </c>
      <c r="AO14" s="7" t="s">
        <v>1045</v>
      </c>
      <c r="AP14" s="1" t="b">
        <f>A14='[1]35千伏-750千伏电网基建'!A14</f>
        <v>1</v>
      </c>
      <c r="AQ14" s="1" t="b">
        <f>B14='[1]35千伏-750千伏电网基建'!B14</f>
        <v>1</v>
      </c>
      <c r="AR14" s="1" t="b">
        <f>C14='[1]35千伏-750千伏电网基建'!C14</f>
        <v>1</v>
      </c>
      <c r="AS14" s="1" t="b">
        <f>D14='[1]35千伏-750千伏电网基建'!D14</f>
        <v>1</v>
      </c>
      <c r="AT14" s="1" t="b">
        <f>E14='[1]35千伏-750千伏电网基建'!E14</f>
        <v>1</v>
      </c>
      <c r="AU14" s="1" t="b">
        <f>F14='[1]35千伏-750千伏电网基建'!F14</f>
        <v>1</v>
      </c>
      <c r="AV14" s="1" t="b">
        <f>G14='[1]35千伏-750千伏电网基建'!G14</f>
        <v>1</v>
      </c>
      <c r="AW14" s="1" t="b">
        <f>H14='[1]35千伏-750千伏电网基建'!H14</f>
        <v>1</v>
      </c>
      <c r="AX14" s="1" t="b">
        <f>I14='[1]35千伏-750千伏电网基建'!I14</f>
        <v>1</v>
      </c>
      <c r="AY14" s="1" t="b">
        <f>J14='[1]35千伏-750千伏电网基建'!J14</f>
        <v>1</v>
      </c>
      <c r="AZ14" s="1" t="b">
        <f>K14='[1]35千伏-750千伏电网基建'!K14</f>
        <v>1</v>
      </c>
      <c r="BA14" s="1" t="b">
        <f>L14='[1]35千伏-750千伏电网基建'!L14</f>
        <v>1</v>
      </c>
      <c r="BB14" s="1" t="b">
        <f>M14='[1]35千伏-750千伏电网基建'!M14</f>
        <v>1</v>
      </c>
      <c r="BC14" s="1" t="b">
        <f>N14='[1]35千伏-750千伏电网基建'!N14</f>
        <v>1</v>
      </c>
      <c r="BD14" s="1" t="b">
        <f>O14='[1]35千伏-750千伏电网基建'!O14</f>
        <v>1</v>
      </c>
      <c r="BE14" s="1" t="b">
        <f>P14='[1]35千伏-750千伏电网基建'!P14</f>
        <v>1</v>
      </c>
      <c r="BF14" s="1" t="b">
        <f>Q14='[1]35千伏-750千伏电网基建'!Q14</f>
        <v>1</v>
      </c>
      <c r="BG14" s="1" t="b">
        <f>R14='[1]35千伏-750千伏电网基建'!R14</f>
        <v>1</v>
      </c>
      <c r="BH14" s="1" t="b">
        <f>S14='[1]35千伏-750千伏电网基建'!S14</f>
        <v>1</v>
      </c>
      <c r="BI14" s="1" t="b">
        <f>T14='[1]35千伏-750千伏电网基建'!T14</f>
        <v>1</v>
      </c>
      <c r="BJ14" s="1" t="b">
        <f>U14='[1]35千伏-750千伏电网基建'!U14</f>
        <v>1</v>
      </c>
      <c r="BK14" s="1" t="b">
        <f>V14='[1]35千伏-750千伏电网基建'!V14</f>
        <v>1</v>
      </c>
      <c r="BL14" s="8" t="b">
        <f>W14='[1]35千伏-750千伏电网基建'!W14</f>
        <v>0</v>
      </c>
      <c r="BM14" s="1" t="b">
        <f>X14='[1]35千伏-750千伏电网基建'!X14</f>
        <v>1</v>
      </c>
      <c r="BN14" s="1" t="b">
        <f>Y14='[1]35千伏-750千伏电网基建'!Y14</f>
        <v>1</v>
      </c>
      <c r="BO14" s="1" t="b">
        <f>Z14='[1]35千伏-750千伏电网基建'!Z14</f>
        <v>1</v>
      </c>
      <c r="BP14" s="1" t="b">
        <f>AA14='[1]35千伏-750千伏电网基建'!AA14</f>
        <v>1</v>
      </c>
      <c r="BQ14" s="1" t="b">
        <f>AB14='[1]35千伏-750千伏电网基建'!AB14</f>
        <v>1</v>
      </c>
      <c r="BR14" s="1" t="b">
        <f>AC14='[1]35千伏-750千伏电网基建'!AC14</f>
        <v>1</v>
      </c>
      <c r="BS14" s="1" t="b">
        <f>AD14='[1]35千伏-750千伏电网基建'!AD14</f>
        <v>1</v>
      </c>
      <c r="BT14" s="1" t="b">
        <f>AE14='[1]35千伏-750千伏电网基建'!AE14</f>
        <v>1</v>
      </c>
      <c r="BU14" s="1" t="b">
        <f>AF14='[1]35千伏-750千伏电网基建'!AF14</f>
        <v>1</v>
      </c>
      <c r="BV14" s="1" t="b">
        <f>AG14='[1]35千伏-750千伏电网基建'!AG14</f>
        <v>1</v>
      </c>
      <c r="BW14" s="1" t="b">
        <f>AH14='[1]35千伏-750千伏电网基建'!AH14</f>
        <v>1</v>
      </c>
      <c r="BX14" s="1" t="b">
        <f>AI14='[1]35千伏-750千伏电网基建'!AI14</f>
        <v>1</v>
      </c>
      <c r="BY14" s="1" t="b">
        <f>AJ14='[1]35千伏-750千伏电网基建'!AJ14</f>
        <v>1</v>
      </c>
      <c r="BZ14" s="1" t="b">
        <f>AK14='[1]35千伏-750千伏电网基建'!AK14</f>
        <v>1</v>
      </c>
    </row>
    <row r="15" s="1" customFormat="1" ht="76" customHeight="1" spans="1:78">
      <c r="A15" s="14"/>
      <c r="B15" s="14"/>
      <c r="C15" s="15"/>
      <c r="D15" s="15"/>
      <c r="E15" s="16" t="s">
        <v>559</v>
      </c>
      <c r="F15" s="16"/>
      <c r="G15" s="15" t="s">
        <v>560</v>
      </c>
      <c r="H15" s="16" t="s">
        <v>561</v>
      </c>
      <c r="I15" s="23" t="s">
        <v>562</v>
      </c>
      <c r="J15" s="16" t="s">
        <v>1065</v>
      </c>
      <c r="K15" s="15"/>
      <c r="L15" s="15"/>
      <c r="M15" s="15"/>
      <c r="N15" s="15"/>
      <c r="O15" s="15"/>
      <c r="P15" s="15"/>
      <c r="Q15" s="15" t="s">
        <v>36</v>
      </c>
      <c r="R15" s="15"/>
      <c r="S15" s="15"/>
      <c r="T15" s="15" t="s">
        <v>465</v>
      </c>
      <c r="U15" s="15" t="s">
        <v>467</v>
      </c>
      <c r="V15" s="16" t="s">
        <v>564</v>
      </c>
      <c r="W15" s="31" t="s">
        <v>1413</v>
      </c>
      <c r="X15" s="15" t="s">
        <v>565</v>
      </c>
      <c r="Y15" s="15" t="s">
        <v>566</v>
      </c>
      <c r="Z15" s="15"/>
      <c r="AA15" s="15" t="s">
        <v>474</v>
      </c>
      <c r="AB15" s="15" t="s">
        <v>473</v>
      </c>
      <c r="AC15" s="15"/>
      <c r="AD15" s="15" t="s">
        <v>567</v>
      </c>
      <c r="AE15" s="15" t="s">
        <v>511</v>
      </c>
      <c r="AF15" s="15"/>
      <c r="AG15" s="14"/>
      <c r="AH15" s="15" t="s">
        <v>476</v>
      </c>
      <c r="AI15" s="30" t="s">
        <v>476</v>
      </c>
      <c r="AJ15" s="15" t="s">
        <v>558</v>
      </c>
      <c r="AK15" s="15" t="s">
        <v>532</v>
      </c>
      <c r="AL15" s="15" t="s">
        <v>1064</v>
      </c>
      <c r="AM15" s="15" t="s">
        <v>470</v>
      </c>
      <c r="AO15" s="7" t="s">
        <v>1045</v>
      </c>
      <c r="AP15" s="1" t="b">
        <f>A15='[1]35千伏-750千伏电网基建'!A15</f>
        <v>1</v>
      </c>
      <c r="AQ15" s="1" t="b">
        <f>B15='[1]35千伏-750千伏电网基建'!B15</f>
        <v>1</v>
      </c>
      <c r="AR15" s="1" t="b">
        <f>C15='[1]35千伏-750千伏电网基建'!C15</f>
        <v>1</v>
      </c>
      <c r="AS15" s="1" t="b">
        <f>D15='[1]35千伏-750千伏电网基建'!D15</f>
        <v>1</v>
      </c>
      <c r="AT15" s="1" t="b">
        <f>E15='[1]35千伏-750千伏电网基建'!E15</f>
        <v>1</v>
      </c>
      <c r="AU15" s="1" t="b">
        <f>F15='[1]35千伏-750千伏电网基建'!F15</f>
        <v>1</v>
      </c>
      <c r="AV15" s="1" t="b">
        <f>G15='[1]35千伏-750千伏电网基建'!G15</f>
        <v>1</v>
      </c>
      <c r="AW15" s="1" t="b">
        <f>H15='[1]35千伏-750千伏电网基建'!H15</f>
        <v>1</v>
      </c>
      <c r="AX15" s="1" t="b">
        <f>I15='[1]35千伏-750千伏电网基建'!I15</f>
        <v>1</v>
      </c>
      <c r="AY15" s="1" t="b">
        <f>J15='[1]35千伏-750千伏电网基建'!J15</f>
        <v>1</v>
      </c>
      <c r="AZ15" s="1" t="b">
        <f>K15='[1]35千伏-750千伏电网基建'!K15</f>
        <v>1</v>
      </c>
      <c r="BA15" s="1" t="b">
        <f>L15='[1]35千伏-750千伏电网基建'!L15</f>
        <v>1</v>
      </c>
      <c r="BB15" s="1" t="b">
        <f>M15='[1]35千伏-750千伏电网基建'!M15</f>
        <v>1</v>
      </c>
      <c r="BC15" s="1" t="b">
        <f>N15='[1]35千伏-750千伏电网基建'!N15</f>
        <v>1</v>
      </c>
      <c r="BD15" s="1" t="b">
        <f>O15='[1]35千伏-750千伏电网基建'!O15</f>
        <v>1</v>
      </c>
      <c r="BE15" s="1" t="b">
        <f>P15='[1]35千伏-750千伏电网基建'!P15</f>
        <v>1</v>
      </c>
      <c r="BF15" s="1" t="b">
        <f>Q15='[1]35千伏-750千伏电网基建'!Q15</f>
        <v>1</v>
      </c>
      <c r="BG15" s="1" t="b">
        <f>R15='[1]35千伏-750千伏电网基建'!R15</f>
        <v>1</v>
      </c>
      <c r="BH15" s="1" t="b">
        <f>S15='[1]35千伏-750千伏电网基建'!S15</f>
        <v>1</v>
      </c>
      <c r="BI15" s="1" t="b">
        <f>T15='[1]35千伏-750千伏电网基建'!T15</f>
        <v>1</v>
      </c>
      <c r="BJ15" s="1" t="b">
        <f>U15='[1]35千伏-750千伏电网基建'!U15</f>
        <v>1</v>
      </c>
      <c r="BK15" s="1" t="b">
        <f>V15='[1]35千伏-750千伏电网基建'!V15</f>
        <v>1</v>
      </c>
      <c r="BL15" s="8" t="b">
        <f>W15='[1]35千伏-750千伏电网基建'!W15</f>
        <v>0</v>
      </c>
      <c r="BM15" s="1" t="b">
        <f>X15='[1]35千伏-750千伏电网基建'!X15</f>
        <v>1</v>
      </c>
      <c r="BN15" s="1" t="b">
        <f>Y15='[1]35千伏-750千伏电网基建'!Y15</f>
        <v>1</v>
      </c>
      <c r="BO15" s="1" t="b">
        <f>Z15='[1]35千伏-750千伏电网基建'!Z15</f>
        <v>1</v>
      </c>
      <c r="BP15" s="1" t="b">
        <f>AA15='[1]35千伏-750千伏电网基建'!AA15</f>
        <v>1</v>
      </c>
      <c r="BQ15" s="1" t="b">
        <f>AB15='[1]35千伏-750千伏电网基建'!AB15</f>
        <v>1</v>
      </c>
      <c r="BR15" s="1" t="b">
        <f>AC15='[1]35千伏-750千伏电网基建'!AC15</f>
        <v>1</v>
      </c>
      <c r="BS15" s="1" t="b">
        <f>AD15='[1]35千伏-750千伏电网基建'!AD15</f>
        <v>1</v>
      </c>
      <c r="BT15" s="1" t="b">
        <f>AE15='[1]35千伏-750千伏电网基建'!AE15</f>
        <v>1</v>
      </c>
      <c r="BU15" s="1" t="b">
        <f>AF15='[1]35千伏-750千伏电网基建'!AF15</f>
        <v>1</v>
      </c>
      <c r="BV15" s="1" t="b">
        <f>AG15='[1]35千伏-750千伏电网基建'!AG15</f>
        <v>1</v>
      </c>
      <c r="BW15" s="1" t="b">
        <f>AH15='[1]35千伏-750千伏电网基建'!AH15</f>
        <v>1</v>
      </c>
      <c r="BX15" s="1" t="b">
        <f>AI15='[1]35千伏-750千伏电网基建'!AI15</f>
        <v>1</v>
      </c>
      <c r="BY15" s="1" t="b">
        <f>AJ15='[1]35千伏-750千伏电网基建'!AJ15</f>
        <v>1</v>
      </c>
      <c r="BZ15" s="1" t="b">
        <f>AK15='[1]35千伏-750千伏电网基建'!AK15</f>
        <v>1</v>
      </c>
    </row>
    <row r="16" s="1" customFormat="1" ht="95" customHeight="1" spans="1:78">
      <c r="A16" s="14"/>
      <c r="B16" s="14"/>
      <c r="C16" s="15"/>
      <c r="D16" s="15"/>
      <c r="E16" s="16"/>
      <c r="F16" s="16"/>
      <c r="G16" s="15"/>
      <c r="H16" s="16"/>
      <c r="I16" s="23" t="s">
        <v>568</v>
      </c>
      <c r="J16" s="16" t="s">
        <v>569</v>
      </c>
      <c r="K16" s="15"/>
      <c r="L16" s="15" t="s">
        <v>36</v>
      </c>
      <c r="M16" s="15"/>
      <c r="N16" s="15"/>
      <c r="O16" s="15"/>
      <c r="P16" s="15"/>
      <c r="Q16" s="15"/>
      <c r="R16" s="15"/>
      <c r="S16" s="15"/>
      <c r="T16" s="15" t="s">
        <v>492</v>
      </c>
      <c r="U16" s="15"/>
      <c r="V16" s="16" t="s">
        <v>570</v>
      </c>
      <c r="W16" s="32" t="s">
        <v>1414</v>
      </c>
      <c r="X16" s="15" t="s">
        <v>565</v>
      </c>
      <c r="Y16" s="15" t="s">
        <v>566</v>
      </c>
      <c r="Z16" s="15"/>
      <c r="AA16" s="15" t="s">
        <v>474</v>
      </c>
      <c r="AB16" s="15" t="s">
        <v>473</v>
      </c>
      <c r="AC16" s="15"/>
      <c r="AD16" s="15"/>
      <c r="AE16" s="15"/>
      <c r="AF16" s="15"/>
      <c r="AG16" s="14"/>
      <c r="AH16" s="15" t="s">
        <v>476</v>
      </c>
      <c r="AI16" s="30" t="s">
        <v>476</v>
      </c>
      <c r="AJ16" s="15" t="s">
        <v>572</v>
      </c>
      <c r="AK16" s="15" t="s">
        <v>497</v>
      </c>
      <c r="AL16" s="33" t="s">
        <v>1067</v>
      </c>
      <c r="AM16" s="15" t="s">
        <v>1053</v>
      </c>
      <c r="AN16" s="6"/>
      <c r="AO16" s="7" t="s">
        <v>1045</v>
      </c>
      <c r="AP16" s="1" t="b">
        <f>A16='[1]35千伏-750千伏电网基建'!A16</f>
        <v>1</v>
      </c>
      <c r="AQ16" s="1" t="b">
        <f>B16='[1]35千伏-750千伏电网基建'!B16</f>
        <v>1</v>
      </c>
      <c r="AR16" s="1" t="b">
        <f>C16='[1]35千伏-750千伏电网基建'!C16</f>
        <v>1</v>
      </c>
      <c r="AS16" s="1" t="b">
        <f>D16='[1]35千伏-750千伏电网基建'!D16</f>
        <v>1</v>
      </c>
      <c r="AT16" s="1" t="b">
        <f>E16='[1]35千伏-750千伏电网基建'!E16</f>
        <v>1</v>
      </c>
      <c r="AU16" s="1" t="b">
        <f>F16='[1]35千伏-750千伏电网基建'!F16</f>
        <v>1</v>
      </c>
      <c r="AV16" s="1" t="b">
        <f>G16='[1]35千伏-750千伏电网基建'!G16</f>
        <v>1</v>
      </c>
      <c r="AW16" s="1" t="b">
        <f>H16='[1]35千伏-750千伏电网基建'!H16</f>
        <v>1</v>
      </c>
      <c r="AX16" s="1" t="b">
        <f>I16='[1]35千伏-750千伏电网基建'!I16</f>
        <v>1</v>
      </c>
      <c r="AY16" s="1" t="b">
        <f>J16='[1]35千伏-750千伏电网基建'!J16</f>
        <v>1</v>
      </c>
      <c r="AZ16" s="1" t="b">
        <f>K16='[1]35千伏-750千伏电网基建'!K16</f>
        <v>1</v>
      </c>
      <c r="BA16" s="1" t="b">
        <f>L16='[1]35千伏-750千伏电网基建'!L16</f>
        <v>1</v>
      </c>
      <c r="BB16" s="1" t="b">
        <f>M16='[1]35千伏-750千伏电网基建'!M16</f>
        <v>1</v>
      </c>
      <c r="BC16" s="1" t="b">
        <f>N16='[1]35千伏-750千伏电网基建'!N16</f>
        <v>1</v>
      </c>
      <c r="BD16" s="1" t="b">
        <f>O16='[1]35千伏-750千伏电网基建'!O16</f>
        <v>1</v>
      </c>
      <c r="BE16" s="1" t="b">
        <f>P16='[1]35千伏-750千伏电网基建'!P16</f>
        <v>1</v>
      </c>
      <c r="BF16" s="1" t="b">
        <f>Q16='[1]35千伏-750千伏电网基建'!Q16</f>
        <v>1</v>
      </c>
      <c r="BG16" s="1" t="b">
        <f>R16='[1]35千伏-750千伏电网基建'!R16</f>
        <v>1</v>
      </c>
      <c r="BH16" s="1" t="b">
        <f>S16='[1]35千伏-750千伏电网基建'!S16</f>
        <v>1</v>
      </c>
      <c r="BI16" s="1" t="b">
        <f>T16='[1]35千伏-750千伏电网基建'!T16</f>
        <v>1</v>
      </c>
      <c r="BJ16" s="1" t="b">
        <f>U16='[1]35千伏-750千伏电网基建'!U16</f>
        <v>1</v>
      </c>
      <c r="BK16" s="1" t="b">
        <f>V16='[1]35千伏-750千伏电网基建'!V16</f>
        <v>1</v>
      </c>
      <c r="BL16" s="8" t="b">
        <f>W16='[1]35千伏-750千伏电网基建'!W16</f>
        <v>0</v>
      </c>
      <c r="BM16" s="1" t="b">
        <f>X16='[1]35千伏-750千伏电网基建'!X16</f>
        <v>1</v>
      </c>
      <c r="BN16" s="1" t="b">
        <f>Y16='[1]35千伏-750千伏电网基建'!Y16</f>
        <v>1</v>
      </c>
      <c r="BO16" s="1" t="b">
        <f>Z16='[1]35千伏-750千伏电网基建'!Z16</f>
        <v>1</v>
      </c>
      <c r="BP16" s="1" t="b">
        <f>AA16='[1]35千伏-750千伏电网基建'!AA16</f>
        <v>1</v>
      </c>
      <c r="BQ16" s="1" t="b">
        <f>AB16='[1]35千伏-750千伏电网基建'!AB16</f>
        <v>1</v>
      </c>
      <c r="BR16" s="1" t="b">
        <f>AC16='[1]35千伏-750千伏电网基建'!AC16</f>
        <v>1</v>
      </c>
      <c r="BS16" s="1" t="b">
        <f>AD16='[1]35千伏-750千伏电网基建'!AD16</f>
        <v>1</v>
      </c>
      <c r="BT16" s="1" t="b">
        <f>AE16='[1]35千伏-750千伏电网基建'!AE16</f>
        <v>1</v>
      </c>
      <c r="BU16" s="1" t="b">
        <f>AF16='[1]35千伏-750千伏电网基建'!AF16</f>
        <v>1</v>
      </c>
      <c r="BV16" s="1" t="b">
        <f>AG16='[1]35千伏-750千伏电网基建'!AG16</f>
        <v>1</v>
      </c>
      <c r="BW16" s="1" t="b">
        <f>AH16='[1]35千伏-750千伏电网基建'!AH16</f>
        <v>1</v>
      </c>
      <c r="BX16" s="1" t="b">
        <f>AI16='[1]35千伏-750千伏电网基建'!AI16</f>
        <v>1</v>
      </c>
      <c r="BY16" s="1" t="b">
        <f>AJ16='[1]35千伏-750千伏电网基建'!AJ16</f>
        <v>1</v>
      </c>
      <c r="BZ16" s="1" t="b">
        <f>AK16='[1]35千伏-750千伏电网基建'!AK16</f>
        <v>1</v>
      </c>
    </row>
    <row r="17" s="1" customFormat="1" ht="85" customHeight="1" spans="1:78">
      <c r="A17" s="14"/>
      <c r="B17" s="14" t="s">
        <v>573</v>
      </c>
      <c r="C17" s="15" t="s">
        <v>485</v>
      </c>
      <c r="D17" s="15" t="s">
        <v>574</v>
      </c>
      <c r="E17" s="16" t="s">
        <v>575</v>
      </c>
      <c r="F17" s="17" t="s">
        <v>576</v>
      </c>
      <c r="G17" s="15" t="s">
        <v>577</v>
      </c>
      <c r="H17" s="16" t="s">
        <v>578</v>
      </c>
      <c r="I17" s="23" t="s">
        <v>579</v>
      </c>
      <c r="J17" s="16" t="s">
        <v>1068</v>
      </c>
      <c r="K17" s="15"/>
      <c r="L17" s="15" t="s">
        <v>36</v>
      </c>
      <c r="M17" s="15"/>
      <c r="N17" s="15"/>
      <c r="O17" s="15"/>
      <c r="P17" s="15"/>
      <c r="Q17" s="15"/>
      <c r="R17" s="15"/>
      <c r="S17" s="15"/>
      <c r="T17" s="15" t="s">
        <v>465</v>
      </c>
      <c r="U17" s="15" t="s">
        <v>500</v>
      </c>
      <c r="V17" s="16" t="s">
        <v>581</v>
      </c>
      <c r="W17" s="34" t="s">
        <v>1069</v>
      </c>
      <c r="X17" s="15" t="s">
        <v>474</v>
      </c>
      <c r="Y17" s="15" t="s">
        <v>473</v>
      </c>
      <c r="Z17" s="15"/>
      <c r="AA17" s="15" t="s">
        <v>474</v>
      </c>
      <c r="AB17" s="15" t="s">
        <v>473</v>
      </c>
      <c r="AC17" s="15"/>
      <c r="AD17" s="15" t="s">
        <v>583</v>
      </c>
      <c r="AE17" s="15" t="s">
        <v>511</v>
      </c>
      <c r="AF17" s="15"/>
      <c r="AG17" s="14"/>
      <c r="AH17" s="15" t="s">
        <v>476</v>
      </c>
      <c r="AI17" s="15" t="s">
        <v>476</v>
      </c>
      <c r="AJ17" s="15" t="s">
        <v>584</v>
      </c>
      <c r="AK17" s="15" t="s">
        <v>497</v>
      </c>
      <c r="AL17" s="22" t="s">
        <v>1043</v>
      </c>
      <c r="AM17" s="15" t="s">
        <v>1053</v>
      </c>
      <c r="AO17" s="7" t="s">
        <v>1045</v>
      </c>
      <c r="AP17" s="1" t="b">
        <f>A17='[1]35千伏-750千伏电网基建'!A17</f>
        <v>1</v>
      </c>
      <c r="AQ17" s="1" t="b">
        <f>B17='[1]35千伏-750千伏电网基建'!B17</f>
        <v>1</v>
      </c>
      <c r="AR17" s="1" t="b">
        <f>C17='[1]35千伏-750千伏电网基建'!C17</f>
        <v>1</v>
      </c>
      <c r="AS17" s="1" t="b">
        <f>D17='[1]35千伏-750千伏电网基建'!D17</f>
        <v>1</v>
      </c>
      <c r="AT17" s="1" t="b">
        <f>E17='[1]35千伏-750千伏电网基建'!E17</f>
        <v>1</v>
      </c>
      <c r="AU17" s="1" t="b">
        <f>F17='[1]35千伏-750千伏电网基建'!F17</f>
        <v>1</v>
      </c>
      <c r="AV17" s="1" t="b">
        <f>G17='[1]35千伏-750千伏电网基建'!G17</f>
        <v>1</v>
      </c>
      <c r="AW17" s="1" t="b">
        <f>H17='[1]35千伏-750千伏电网基建'!H17</f>
        <v>1</v>
      </c>
      <c r="AX17" s="1" t="b">
        <f>I17='[1]35千伏-750千伏电网基建'!I17</f>
        <v>1</v>
      </c>
      <c r="AY17" s="1" t="b">
        <f>J17='[1]35千伏-750千伏电网基建'!J17</f>
        <v>1</v>
      </c>
      <c r="AZ17" s="1" t="b">
        <f>K17='[1]35千伏-750千伏电网基建'!K17</f>
        <v>1</v>
      </c>
      <c r="BA17" s="1" t="b">
        <f>L17='[1]35千伏-750千伏电网基建'!L17</f>
        <v>1</v>
      </c>
      <c r="BB17" s="1" t="b">
        <f>M17='[1]35千伏-750千伏电网基建'!M17</f>
        <v>1</v>
      </c>
      <c r="BC17" s="1" t="b">
        <f>N17='[1]35千伏-750千伏电网基建'!N17</f>
        <v>1</v>
      </c>
      <c r="BD17" s="1" t="b">
        <f>O17='[1]35千伏-750千伏电网基建'!O17</f>
        <v>1</v>
      </c>
      <c r="BE17" s="1" t="b">
        <f>P17='[1]35千伏-750千伏电网基建'!P17</f>
        <v>1</v>
      </c>
      <c r="BF17" s="1" t="b">
        <f>Q17='[1]35千伏-750千伏电网基建'!Q17</f>
        <v>1</v>
      </c>
      <c r="BG17" s="1" t="b">
        <f>R17='[1]35千伏-750千伏电网基建'!R17</f>
        <v>1</v>
      </c>
      <c r="BH17" s="1" t="b">
        <f>S17='[1]35千伏-750千伏电网基建'!S17</f>
        <v>1</v>
      </c>
      <c r="BI17" s="1" t="b">
        <f>T17='[1]35千伏-750千伏电网基建'!T17</f>
        <v>1</v>
      </c>
      <c r="BJ17" s="1" t="b">
        <f>U17='[1]35千伏-750千伏电网基建'!U17</f>
        <v>1</v>
      </c>
      <c r="BK17" s="1" t="b">
        <f>V17='[1]35千伏-750千伏电网基建'!V17</f>
        <v>1</v>
      </c>
      <c r="BL17" s="8" t="b">
        <f>W17='[1]35千伏-750千伏电网基建'!W17</f>
        <v>0</v>
      </c>
      <c r="BM17" s="1" t="b">
        <f>X17='[1]35千伏-750千伏电网基建'!X17</f>
        <v>1</v>
      </c>
      <c r="BN17" s="1" t="b">
        <f>Y17='[1]35千伏-750千伏电网基建'!Y17</f>
        <v>1</v>
      </c>
      <c r="BO17" s="1" t="b">
        <f>Z17='[1]35千伏-750千伏电网基建'!Z17</f>
        <v>1</v>
      </c>
      <c r="BP17" s="1" t="b">
        <f>AA17='[1]35千伏-750千伏电网基建'!AA17</f>
        <v>1</v>
      </c>
      <c r="BQ17" s="1" t="b">
        <f>AB17='[1]35千伏-750千伏电网基建'!AB17</f>
        <v>1</v>
      </c>
      <c r="BR17" s="1" t="b">
        <f>AC17='[1]35千伏-750千伏电网基建'!AC17</f>
        <v>1</v>
      </c>
      <c r="BS17" s="1" t="b">
        <f>AD17='[1]35千伏-750千伏电网基建'!AD17</f>
        <v>1</v>
      </c>
      <c r="BT17" s="1" t="b">
        <f>AE17='[1]35千伏-750千伏电网基建'!AE17</f>
        <v>1</v>
      </c>
      <c r="BU17" s="1" t="b">
        <f>AF17='[1]35千伏-750千伏电网基建'!AF17</f>
        <v>1</v>
      </c>
      <c r="BV17" s="1" t="b">
        <f>AG17='[1]35千伏-750千伏电网基建'!AG17</f>
        <v>1</v>
      </c>
      <c r="BW17" s="1" t="b">
        <f>AH17='[1]35千伏-750千伏电网基建'!AH17</f>
        <v>1</v>
      </c>
      <c r="BX17" s="1" t="b">
        <f>AI17='[1]35千伏-750千伏电网基建'!AI17</f>
        <v>1</v>
      </c>
      <c r="BY17" s="1" t="b">
        <f>AJ17='[1]35千伏-750千伏电网基建'!AJ17</f>
        <v>1</v>
      </c>
      <c r="BZ17" s="1" t="b">
        <f>AK17='[1]35千伏-750千伏电网基建'!AK17</f>
        <v>1</v>
      </c>
    </row>
    <row r="18" s="1" customFormat="1" ht="98" customHeight="1" spans="1:78">
      <c r="A18" s="14"/>
      <c r="B18" s="14"/>
      <c r="C18" s="15"/>
      <c r="D18" s="15"/>
      <c r="E18" s="16"/>
      <c r="F18" s="17"/>
      <c r="G18" s="15"/>
      <c r="H18" s="16"/>
      <c r="I18" s="23" t="s">
        <v>585</v>
      </c>
      <c r="J18" s="16" t="s">
        <v>1415</v>
      </c>
      <c r="K18" s="15"/>
      <c r="L18" s="15"/>
      <c r="M18" s="15"/>
      <c r="N18" s="15" t="s">
        <v>36</v>
      </c>
      <c r="O18" s="15"/>
      <c r="P18" s="15"/>
      <c r="Q18" s="15" t="s">
        <v>36</v>
      </c>
      <c r="R18" s="15"/>
      <c r="S18" s="15"/>
      <c r="T18" s="15" t="s">
        <v>465</v>
      </c>
      <c r="U18" s="15" t="s">
        <v>587</v>
      </c>
      <c r="V18" s="16" t="s">
        <v>588</v>
      </c>
      <c r="W18" s="27" t="s">
        <v>1416</v>
      </c>
      <c r="X18" s="15" t="s">
        <v>474</v>
      </c>
      <c r="Y18" s="15" t="s">
        <v>473</v>
      </c>
      <c r="Z18" s="15"/>
      <c r="AA18" s="15" t="s">
        <v>474</v>
      </c>
      <c r="AB18" s="15" t="s">
        <v>473</v>
      </c>
      <c r="AC18" s="15"/>
      <c r="AD18" s="15"/>
      <c r="AE18" s="15"/>
      <c r="AF18" s="15"/>
      <c r="AG18" s="14"/>
      <c r="AH18" s="15" t="s">
        <v>476</v>
      </c>
      <c r="AI18" s="15" t="s">
        <v>476</v>
      </c>
      <c r="AJ18" s="15" t="s">
        <v>584</v>
      </c>
      <c r="AK18" s="15" t="s">
        <v>532</v>
      </c>
      <c r="AL18" s="28" t="s">
        <v>1057</v>
      </c>
      <c r="AM18" s="15" t="s">
        <v>470</v>
      </c>
      <c r="AN18" s="6" t="s">
        <v>1071</v>
      </c>
      <c r="AO18" s="7" t="s">
        <v>1045</v>
      </c>
      <c r="AP18" s="1" t="b">
        <f>A18='[1]35千伏-750千伏电网基建'!A18</f>
        <v>1</v>
      </c>
      <c r="AQ18" s="1" t="b">
        <f>B18='[1]35千伏-750千伏电网基建'!B18</f>
        <v>1</v>
      </c>
      <c r="AR18" s="1" t="b">
        <f>C18='[1]35千伏-750千伏电网基建'!C18</f>
        <v>1</v>
      </c>
      <c r="AS18" s="1" t="b">
        <f>D18='[1]35千伏-750千伏电网基建'!D18</f>
        <v>1</v>
      </c>
      <c r="AT18" s="1" t="b">
        <f>E18='[1]35千伏-750千伏电网基建'!E18</f>
        <v>1</v>
      </c>
      <c r="AU18" s="1" t="b">
        <f>F18='[1]35千伏-750千伏电网基建'!F18</f>
        <v>1</v>
      </c>
      <c r="AV18" s="1" t="b">
        <f>G18='[1]35千伏-750千伏电网基建'!G18</f>
        <v>1</v>
      </c>
      <c r="AW18" s="1" t="b">
        <f>H18='[1]35千伏-750千伏电网基建'!H18</f>
        <v>1</v>
      </c>
      <c r="AX18" s="1" t="b">
        <f>I18='[1]35千伏-750千伏电网基建'!I18</f>
        <v>1</v>
      </c>
      <c r="AY18" s="1" t="b">
        <f>J18='[1]35千伏-750千伏电网基建'!J18</f>
        <v>1</v>
      </c>
      <c r="AZ18" s="1" t="b">
        <f>K18='[1]35千伏-750千伏电网基建'!K18</f>
        <v>1</v>
      </c>
      <c r="BA18" s="1" t="b">
        <f>L18='[1]35千伏-750千伏电网基建'!L18</f>
        <v>1</v>
      </c>
      <c r="BB18" s="1" t="b">
        <f>M18='[1]35千伏-750千伏电网基建'!M18</f>
        <v>1</v>
      </c>
      <c r="BC18" s="1" t="b">
        <f>N18='[1]35千伏-750千伏电网基建'!N18</f>
        <v>1</v>
      </c>
      <c r="BD18" s="1" t="b">
        <f>O18='[1]35千伏-750千伏电网基建'!O18</f>
        <v>1</v>
      </c>
      <c r="BE18" s="1" t="b">
        <f>P18='[1]35千伏-750千伏电网基建'!P18</f>
        <v>1</v>
      </c>
      <c r="BF18" s="1" t="b">
        <f>Q18='[1]35千伏-750千伏电网基建'!Q18</f>
        <v>1</v>
      </c>
      <c r="BG18" s="1" t="b">
        <f>R18='[1]35千伏-750千伏电网基建'!R18</f>
        <v>1</v>
      </c>
      <c r="BH18" s="1" t="b">
        <f>S18='[1]35千伏-750千伏电网基建'!S18</f>
        <v>1</v>
      </c>
      <c r="BI18" s="1" t="b">
        <f>T18='[1]35千伏-750千伏电网基建'!T18</f>
        <v>1</v>
      </c>
      <c r="BJ18" s="1" t="b">
        <f>U18='[1]35千伏-750千伏电网基建'!U18</f>
        <v>1</v>
      </c>
      <c r="BK18" s="1" t="b">
        <f>V18='[1]35千伏-750千伏电网基建'!V18</f>
        <v>1</v>
      </c>
      <c r="BL18" s="8" t="b">
        <f>W18='[1]35千伏-750千伏电网基建'!W18</f>
        <v>0</v>
      </c>
      <c r="BM18" s="1" t="b">
        <f>X18='[1]35千伏-750千伏电网基建'!X18</f>
        <v>1</v>
      </c>
      <c r="BN18" s="1" t="b">
        <f>Y18='[1]35千伏-750千伏电网基建'!Y18</f>
        <v>1</v>
      </c>
      <c r="BO18" s="1" t="b">
        <f>Z18='[1]35千伏-750千伏电网基建'!Z18</f>
        <v>1</v>
      </c>
      <c r="BP18" s="1" t="b">
        <f>AA18='[1]35千伏-750千伏电网基建'!AA18</f>
        <v>1</v>
      </c>
      <c r="BQ18" s="1" t="b">
        <f>AB18='[1]35千伏-750千伏电网基建'!AB18</f>
        <v>1</v>
      </c>
      <c r="BR18" s="1" t="b">
        <f>AC18='[1]35千伏-750千伏电网基建'!AC18</f>
        <v>1</v>
      </c>
      <c r="BS18" s="1" t="b">
        <f>AD18='[1]35千伏-750千伏电网基建'!AD18</f>
        <v>1</v>
      </c>
      <c r="BT18" s="1" t="b">
        <f>AE18='[1]35千伏-750千伏电网基建'!AE18</f>
        <v>1</v>
      </c>
      <c r="BU18" s="1" t="b">
        <f>AF18='[1]35千伏-750千伏电网基建'!AF18</f>
        <v>1</v>
      </c>
      <c r="BV18" s="1" t="b">
        <f>AG18='[1]35千伏-750千伏电网基建'!AG18</f>
        <v>1</v>
      </c>
      <c r="BW18" s="1" t="b">
        <f>AH18='[1]35千伏-750千伏电网基建'!AH18</f>
        <v>1</v>
      </c>
      <c r="BX18" s="1" t="b">
        <f>AI18='[1]35千伏-750千伏电网基建'!AI18</f>
        <v>1</v>
      </c>
      <c r="BY18" s="1" t="b">
        <f>AJ18='[1]35千伏-750千伏电网基建'!AJ18</f>
        <v>1</v>
      </c>
      <c r="BZ18" s="1" t="b">
        <f>AK18='[1]35千伏-750千伏电网基建'!AK18</f>
        <v>1</v>
      </c>
    </row>
    <row r="19" s="1" customFormat="1" ht="77" customHeight="1" spans="1:78">
      <c r="A19" s="14" t="s">
        <v>483</v>
      </c>
      <c r="B19" s="14" t="s">
        <v>573</v>
      </c>
      <c r="C19" s="15" t="s">
        <v>485</v>
      </c>
      <c r="D19" s="15" t="s">
        <v>590</v>
      </c>
      <c r="E19" s="16" t="s">
        <v>591</v>
      </c>
      <c r="F19" s="17" t="s">
        <v>592</v>
      </c>
      <c r="G19" s="15" t="s">
        <v>593</v>
      </c>
      <c r="H19" s="16" t="s">
        <v>594</v>
      </c>
      <c r="I19" s="23" t="s">
        <v>595</v>
      </c>
      <c r="J19" s="16" t="s">
        <v>1072</v>
      </c>
      <c r="K19" s="15"/>
      <c r="L19" s="15" t="s">
        <v>36</v>
      </c>
      <c r="M19" s="15"/>
      <c r="N19" s="15"/>
      <c r="O19" s="15"/>
      <c r="P19" s="15"/>
      <c r="Q19" s="15"/>
      <c r="R19" s="15"/>
      <c r="S19" s="15" t="s">
        <v>36</v>
      </c>
      <c r="T19" s="15" t="s">
        <v>492</v>
      </c>
      <c r="U19" s="35"/>
      <c r="V19" s="16" t="s">
        <v>597</v>
      </c>
      <c r="W19" s="36" t="s">
        <v>1352</v>
      </c>
      <c r="X19" s="15" t="s">
        <v>474</v>
      </c>
      <c r="Y19" s="15" t="s">
        <v>473</v>
      </c>
      <c r="Z19" s="15"/>
      <c r="AA19" s="15" t="s">
        <v>474</v>
      </c>
      <c r="AB19" s="15" t="s">
        <v>473</v>
      </c>
      <c r="AC19" s="15"/>
      <c r="AD19" s="15"/>
      <c r="AE19" s="15"/>
      <c r="AF19" s="15"/>
      <c r="AG19" s="30"/>
      <c r="AH19" s="15" t="s">
        <v>476</v>
      </c>
      <c r="AI19" s="15" t="s">
        <v>476</v>
      </c>
      <c r="AJ19" s="15" t="s">
        <v>598</v>
      </c>
      <c r="AK19" s="15" t="s">
        <v>599</v>
      </c>
      <c r="AL19" s="37" t="s">
        <v>1073</v>
      </c>
      <c r="AM19" s="15" t="s">
        <v>1075</v>
      </c>
      <c r="AO19" s="7" t="s">
        <v>1045</v>
      </c>
      <c r="AP19" s="1" t="b">
        <f>A19='[1]35千伏-750千伏电网基建'!A19</f>
        <v>1</v>
      </c>
      <c r="AQ19" s="1" t="b">
        <f>B19='[1]35千伏-750千伏电网基建'!B19</f>
        <v>1</v>
      </c>
      <c r="AR19" s="1" t="b">
        <f>C19='[1]35千伏-750千伏电网基建'!C19</f>
        <v>1</v>
      </c>
      <c r="AS19" s="1" t="b">
        <f>D19='[1]35千伏-750千伏电网基建'!D19</f>
        <v>1</v>
      </c>
      <c r="AT19" s="1" t="b">
        <f>E19='[1]35千伏-750千伏电网基建'!E19</f>
        <v>1</v>
      </c>
      <c r="AU19" s="1" t="b">
        <f>F19='[1]35千伏-750千伏电网基建'!F19</f>
        <v>1</v>
      </c>
      <c r="AV19" s="1" t="b">
        <f>G19='[1]35千伏-750千伏电网基建'!G19</f>
        <v>1</v>
      </c>
      <c r="AW19" s="1" t="b">
        <f>H19='[1]35千伏-750千伏电网基建'!H19</f>
        <v>1</v>
      </c>
      <c r="AX19" s="1" t="b">
        <f>I19='[1]35千伏-750千伏电网基建'!I19</f>
        <v>1</v>
      </c>
      <c r="AY19" s="1" t="b">
        <f>J19='[1]35千伏-750千伏电网基建'!J19</f>
        <v>1</v>
      </c>
      <c r="AZ19" s="1" t="b">
        <f>K19='[1]35千伏-750千伏电网基建'!K19</f>
        <v>1</v>
      </c>
      <c r="BA19" s="1" t="b">
        <f>L19='[1]35千伏-750千伏电网基建'!L19</f>
        <v>1</v>
      </c>
      <c r="BB19" s="1" t="b">
        <f>M19='[1]35千伏-750千伏电网基建'!M19</f>
        <v>1</v>
      </c>
      <c r="BC19" s="1" t="b">
        <f>N19='[1]35千伏-750千伏电网基建'!N19</f>
        <v>1</v>
      </c>
      <c r="BD19" s="1" t="b">
        <f>O19='[1]35千伏-750千伏电网基建'!O19</f>
        <v>1</v>
      </c>
      <c r="BE19" s="1" t="b">
        <f>P19='[1]35千伏-750千伏电网基建'!P19</f>
        <v>1</v>
      </c>
      <c r="BF19" s="1" t="b">
        <f>Q19='[1]35千伏-750千伏电网基建'!Q19</f>
        <v>1</v>
      </c>
      <c r="BG19" s="1" t="b">
        <f>R19='[1]35千伏-750千伏电网基建'!R19</f>
        <v>1</v>
      </c>
      <c r="BH19" s="1" t="b">
        <f>S19='[1]35千伏-750千伏电网基建'!S19</f>
        <v>1</v>
      </c>
      <c r="BI19" s="1" t="b">
        <f>T19='[1]35千伏-750千伏电网基建'!T19</f>
        <v>1</v>
      </c>
      <c r="BJ19" s="1" t="b">
        <f>U19='[1]35千伏-750千伏电网基建'!U19</f>
        <v>1</v>
      </c>
      <c r="BK19" s="1" t="b">
        <f>V19='[1]35千伏-750千伏电网基建'!V19</f>
        <v>1</v>
      </c>
      <c r="BL19" s="8" t="b">
        <f>W19='[1]35千伏-750千伏电网基建'!W19</f>
        <v>0</v>
      </c>
      <c r="BM19" s="1" t="b">
        <f>X19='[1]35千伏-750千伏电网基建'!X19</f>
        <v>1</v>
      </c>
      <c r="BN19" s="1" t="b">
        <f>Y19='[1]35千伏-750千伏电网基建'!Y19</f>
        <v>1</v>
      </c>
      <c r="BO19" s="1" t="b">
        <f>Z19='[1]35千伏-750千伏电网基建'!Z19</f>
        <v>1</v>
      </c>
      <c r="BP19" s="1" t="b">
        <f>AA19='[1]35千伏-750千伏电网基建'!AA19</f>
        <v>1</v>
      </c>
      <c r="BQ19" s="1" t="b">
        <f>AB19='[1]35千伏-750千伏电网基建'!AB19</f>
        <v>1</v>
      </c>
      <c r="BR19" s="1" t="b">
        <f>AC19='[1]35千伏-750千伏电网基建'!AC19</f>
        <v>1</v>
      </c>
      <c r="BS19" s="1" t="b">
        <f>AD19='[1]35千伏-750千伏电网基建'!AD19</f>
        <v>1</v>
      </c>
      <c r="BT19" s="1" t="b">
        <f>AE19='[1]35千伏-750千伏电网基建'!AE19</f>
        <v>1</v>
      </c>
      <c r="BU19" s="1" t="b">
        <f>AF19='[1]35千伏-750千伏电网基建'!AF19</f>
        <v>1</v>
      </c>
      <c r="BV19" s="1" t="b">
        <f>AG19='[1]35千伏-750千伏电网基建'!AG19</f>
        <v>1</v>
      </c>
      <c r="BW19" s="1" t="b">
        <f>AH19='[1]35千伏-750千伏电网基建'!AH19</f>
        <v>1</v>
      </c>
      <c r="BX19" s="1" t="b">
        <f>AI19='[1]35千伏-750千伏电网基建'!AI19</f>
        <v>1</v>
      </c>
      <c r="BY19" s="1" t="b">
        <f>AJ19='[1]35千伏-750千伏电网基建'!AJ19</f>
        <v>1</v>
      </c>
      <c r="BZ19" s="1" t="b">
        <f>AK19='[1]35千伏-750千伏电网基建'!AK19</f>
        <v>1</v>
      </c>
    </row>
    <row r="20" s="1" customFormat="1" ht="70" customHeight="1" spans="1:78">
      <c r="A20" s="14"/>
      <c r="B20" s="14"/>
      <c r="C20" s="15"/>
      <c r="D20" s="15"/>
      <c r="E20" s="16"/>
      <c r="F20" s="17"/>
      <c r="G20" s="15"/>
      <c r="H20" s="16"/>
      <c r="I20" s="23" t="s">
        <v>600</v>
      </c>
      <c r="J20" s="16" t="s">
        <v>1074</v>
      </c>
      <c r="K20" s="15"/>
      <c r="L20" s="15" t="s">
        <v>36</v>
      </c>
      <c r="M20" s="15"/>
      <c r="N20" s="15" t="s">
        <v>36</v>
      </c>
      <c r="O20" s="15"/>
      <c r="P20" s="15"/>
      <c r="Q20" s="15" t="s">
        <v>36</v>
      </c>
      <c r="R20" s="15"/>
      <c r="S20" s="15"/>
      <c r="T20" s="15" t="s">
        <v>550</v>
      </c>
      <c r="U20" s="15" t="s">
        <v>602</v>
      </c>
      <c r="V20" s="16" t="s">
        <v>603</v>
      </c>
      <c r="W20" s="38" t="s">
        <v>1417</v>
      </c>
      <c r="X20" s="15" t="s">
        <v>474</v>
      </c>
      <c r="Y20" s="15" t="s">
        <v>473</v>
      </c>
      <c r="Z20" s="15"/>
      <c r="AA20" s="15" t="s">
        <v>474</v>
      </c>
      <c r="AB20" s="15" t="s">
        <v>473</v>
      </c>
      <c r="AC20" s="15"/>
      <c r="AD20" s="15"/>
      <c r="AE20" s="15"/>
      <c r="AF20" s="15"/>
      <c r="AG20" s="30"/>
      <c r="AH20" s="15" t="s">
        <v>476</v>
      </c>
      <c r="AI20" s="30" t="s">
        <v>476</v>
      </c>
      <c r="AJ20" s="15" t="s">
        <v>605</v>
      </c>
      <c r="AK20" s="15" t="s">
        <v>599</v>
      </c>
      <c r="AL20" s="39" t="s">
        <v>1064</v>
      </c>
      <c r="AM20" s="16" t="s">
        <v>1075</v>
      </c>
      <c r="AO20" s="7" t="s">
        <v>1045</v>
      </c>
      <c r="AP20" s="1" t="b">
        <f>A20='[1]35千伏-750千伏电网基建'!A20</f>
        <v>1</v>
      </c>
      <c r="AQ20" s="1" t="b">
        <f>B20='[1]35千伏-750千伏电网基建'!B20</f>
        <v>1</v>
      </c>
      <c r="AR20" s="1" t="b">
        <f>C20='[1]35千伏-750千伏电网基建'!C20</f>
        <v>1</v>
      </c>
      <c r="AS20" s="1" t="b">
        <f>D20='[1]35千伏-750千伏电网基建'!D20</f>
        <v>1</v>
      </c>
      <c r="AT20" s="1" t="b">
        <f>E20='[1]35千伏-750千伏电网基建'!E20</f>
        <v>1</v>
      </c>
      <c r="AU20" s="1" t="b">
        <f>F20='[1]35千伏-750千伏电网基建'!F20</f>
        <v>1</v>
      </c>
      <c r="AV20" s="1" t="b">
        <f>G20='[1]35千伏-750千伏电网基建'!G20</f>
        <v>1</v>
      </c>
      <c r="AW20" s="1" t="b">
        <f>H20='[1]35千伏-750千伏电网基建'!H20</f>
        <v>1</v>
      </c>
      <c r="AX20" s="1" t="b">
        <f>I20='[1]35千伏-750千伏电网基建'!I20</f>
        <v>1</v>
      </c>
      <c r="AY20" s="1" t="b">
        <f>J20='[1]35千伏-750千伏电网基建'!J20</f>
        <v>1</v>
      </c>
      <c r="AZ20" s="1" t="b">
        <f>K20='[1]35千伏-750千伏电网基建'!K20</f>
        <v>1</v>
      </c>
      <c r="BA20" s="1" t="b">
        <f>L20='[1]35千伏-750千伏电网基建'!L20</f>
        <v>1</v>
      </c>
      <c r="BB20" s="1" t="b">
        <f>M20='[1]35千伏-750千伏电网基建'!M20</f>
        <v>1</v>
      </c>
      <c r="BC20" s="1" t="b">
        <f>N20='[1]35千伏-750千伏电网基建'!N20</f>
        <v>1</v>
      </c>
      <c r="BD20" s="1" t="b">
        <f>O20='[1]35千伏-750千伏电网基建'!O20</f>
        <v>1</v>
      </c>
      <c r="BE20" s="1" t="b">
        <f>P20='[1]35千伏-750千伏电网基建'!P20</f>
        <v>1</v>
      </c>
      <c r="BF20" s="1" t="b">
        <f>Q20='[1]35千伏-750千伏电网基建'!Q20</f>
        <v>1</v>
      </c>
      <c r="BG20" s="1" t="b">
        <f>R20='[1]35千伏-750千伏电网基建'!R20</f>
        <v>1</v>
      </c>
      <c r="BH20" s="1" t="b">
        <f>S20='[1]35千伏-750千伏电网基建'!S20</f>
        <v>1</v>
      </c>
      <c r="BI20" s="1" t="b">
        <f>T20='[1]35千伏-750千伏电网基建'!T20</f>
        <v>1</v>
      </c>
      <c r="BJ20" s="1" t="b">
        <f>U20='[1]35千伏-750千伏电网基建'!U20</f>
        <v>1</v>
      </c>
      <c r="BK20" s="1" t="b">
        <f>V20='[1]35千伏-750千伏电网基建'!V20</f>
        <v>1</v>
      </c>
      <c r="BL20" s="8" t="b">
        <f>W20='[1]35千伏-750千伏电网基建'!W20</f>
        <v>0</v>
      </c>
      <c r="BM20" s="1" t="b">
        <f>X20='[1]35千伏-750千伏电网基建'!X20</f>
        <v>1</v>
      </c>
      <c r="BN20" s="1" t="b">
        <f>Y20='[1]35千伏-750千伏电网基建'!Y20</f>
        <v>1</v>
      </c>
      <c r="BO20" s="1" t="b">
        <f>Z20='[1]35千伏-750千伏电网基建'!Z20</f>
        <v>1</v>
      </c>
      <c r="BP20" s="1" t="b">
        <f>AA20='[1]35千伏-750千伏电网基建'!AA20</f>
        <v>1</v>
      </c>
      <c r="BQ20" s="1" t="b">
        <f>AB20='[1]35千伏-750千伏电网基建'!AB20</f>
        <v>1</v>
      </c>
      <c r="BR20" s="1" t="b">
        <f>AC20='[1]35千伏-750千伏电网基建'!AC20</f>
        <v>1</v>
      </c>
      <c r="BS20" s="1" t="b">
        <f>AD20='[1]35千伏-750千伏电网基建'!AD20</f>
        <v>1</v>
      </c>
      <c r="BT20" s="1" t="b">
        <f>AE20='[1]35千伏-750千伏电网基建'!AE20</f>
        <v>1</v>
      </c>
      <c r="BU20" s="1" t="b">
        <f>AF20='[1]35千伏-750千伏电网基建'!AF20</f>
        <v>1</v>
      </c>
      <c r="BV20" s="1" t="b">
        <f>AG20='[1]35千伏-750千伏电网基建'!AG20</f>
        <v>1</v>
      </c>
      <c r="BW20" s="1" t="b">
        <f>AH20='[1]35千伏-750千伏电网基建'!AH20</f>
        <v>1</v>
      </c>
      <c r="BX20" s="1" t="b">
        <f>AI20='[1]35千伏-750千伏电网基建'!AI20</f>
        <v>1</v>
      </c>
      <c r="BY20" s="1" t="b">
        <f>AJ20='[1]35千伏-750千伏电网基建'!AJ20</f>
        <v>1</v>
      </c>
      <c r="BZ20" s="1" t="b">
        <f>AK20='[1]35千伏-750千伏电网基建'!AK20</f>
        <v>1</v>
      </c>
    </row>
    <row r="21" s="1" customFormat="1" ht="90" customHeight="1" spans="1:78">
      <c r="A21" s="14"/>
      <c r="B21" s="14"/>
      <c r="C21" s="15"/>
      <c r="D21" s="15"/>
      <c r="E21" s="16"/>
      <c r="F21" s="17"/>
      <c r="G21" s="15"/>
      <c r="H21" s="16"/>
      <c r="I21" s="23" t="s">
        <v>606</v>
      </c>
      <c r="J21" s="16" t="s">
        <v>1418</v>
      </c>
      <c r="K21" s="15"/>
      <c r="L21" s="15" t="s">
        <v>36</v>
      </c>
      <c r="M21" s="15"/>
      <c r="N21" s="15" t="s">
        <v>36</v>
      </c>
      <c r="O21" s="15"/>
      <c r="P21" s="15"/>
      <c r="Q21" s="15"/>
      <c r="R21" s="15"/>
      <c r="S21" s="15"/>
      <c r="T21" s="15" t="s">
        <v>465</v>
      </c>
      <c r="U21" s="15" t="s">
        <v>602</v>
      </c>
      <c r="V21" s="16" t="s">
        <v>603</v>
      </c>
      <c r="W21" s="40" t="s">
        <v>1419</v>
      </c>
      <c r="X21" s="15" t="s">
        <v>474</v>
      </c>
      <c r="Y21" s="15" t="s">
        <v>473</v>
      </c>
      <c r="Z21" s="15"/>
      <c r="AA21" s="15" t="s">
        <v>474</v>
      </c>
      <c r="AB21" s="15" t="s">
        <v>473</v>
      </c>
      <c r="AC21" s="15"/>
      <c r="AD21" s="15" t="s">
        <v>609</v>
      </c>
      <c r="AE21" s="15" t="s">
        <v>511</v>
      </c>
      <c r="AF21" s="15"/>
      <c r="AG21" s="30"/>
      <c r="AH21" s="15" t="s">
        <v>476</v>
      </c>
      <c r="AI21" s="30" t="s">
        <v>610</v>
      </c>
      <c r="AJ21" s="15" t="s">
        <v>611</v>
      </c>
      <c r="AK21" s="15" t="s">
        <v>599</v>
      </c>
      <c r="AL21" s="39" t="s">
        <v>1064</v>
      </c>
      <c r="AM21" s="16" t="s">
        <v>1075</v>
      </c>
      <c r="AO21" s="7"/>
      <c r="AP21" s="1" t="b">
        <f>A21='[1]35千伏-750千伏电网基建'!A21</f>
        <v>1</v>
      </c>
      <c r="AQ21" s="1" t="b">
        <f>B21='[1]35千伏-750千伏电网基建'!B21</f>
        <v>1</v>
      </c>
      <c r="AR21" s="1" t="b">
        <f>C21='[1]35千伏-750千伏电网基建'!C21</f>
        <v>1</v>
      </c>
      <c r="AS21" s="1" t="b">
        <f>D21='[1]35千伏-750千伏电网基建'!D21</f>
        <v>1</v>
      </c>
      <c r="AT21" s="1" t="b">
        <f>E21='[1]35千伏-750千伏电网基建'!E21</f>
        <v>1</v>
      </c>
      <c r="AU21" s="1" t="b">
        <f>F21='[1]35千伏-750千伏电网基建'!F21</f>
        <v>1</v>
      </c>
      <c r="AV21" s="1" t="b">
        <f>G21='[1]35千伏-750千伏电网基建'!G21</f>
        <v>1</v>
      </c>
      <c r="AW21" s="1" t="b">
        <f>H21='[1]35千伏-750千伏电网基建'!H21</f>
        <v>1</v>
      </c>
      <c r="AX21" s="1" t="b">
        <f>I21='[1]35千伏-750千伏电网基建'!I21</f>
        <v>1</v>
      </c>
      <c r="AY21" s="1" t="b">
        <f>J21='[1]35千伏-750千伏电网基建'!J21</f>
        <v>1</v>
      </c>
      <c r="AZ21" s="1" t="b">
        <f>K21='[1]35千伏-750千伏电网基建'!K21</f>
        <v>1</v>
      </c>
      <c r="BA21" s="1" t="b">
        <f>L21='[1]35千伏-750千伏电网基建'!L21</f>
        <v>1</v>
      </c>
      <c r="BB21" s="1" t="b">
        <f>M21='[1]35千伏-750千伏电网基建'!M21</f>
        <v>1</v>
      </c>
      <c r="BC21" s="1" t="b">
        <f>N21='[1]35千伏-750千伏电网基建'!N21</f>
        <v>1</v>
      </c>
      <c r="BD21" s="1" t="b">
        <f>O21='[1]35千伏-750千伏电网基建'!O21</f>
        <v>1</v>
      </c>
      <c r="BE21" s="1" t="b">
        <f>P21='[1]35千伏-750千伏电网基建'!P21</f>
        <v>1</v>
      </c>
      <c r="BF21" s="1" t="b">
        <f>Q21='[1]35千伏-750千伏电网基建'!Q21</f>
        <v>1</v>
      </c>
      <c r="BG21" s="1" t="b">
        <f>R21='[1]35千伏-750千伏电网基建'!R21</f>
        <v>1</v>
      </c>
      <c r="BH21" s="1" t="b">
        <f>S21='[1]35千伏-750千伏电网基建'!S21</f>
        <v>1</v>
      </c>
      <c r="BI21" s="1" t="b">
        <f>T21='[1]35千伏-750千伏电网基建'!T21</f>
        <v>1</v>
      </c>
      <c r="BJ21" s="1" t="b">
        <f>U21='[1]35千伏-750千伏电网基建'!U21</f>
        <v>1</v>
      </c>
      <c r="BK21" s="1" t="b">
        <f>V21='[1]35千伏-750千伏电网基建'!V21</f>
        <v>1</v>
      </c>
      <c r="BL21" s="8" t="b">
        <f>W21='[1]35千伏-750千伏电网基建'!W21</f>
        <v>1</v>
      </c>
      <c r="BM21" s="1" t="b">
        <f>X21='[1]35千伏-750千伏电网基建'!X21</f>
        <v>1</v>
      </c>
      <c r="BN21" s="1" t="b">
        <f>Y21='[1]35千伏-750千伏电网基建'!Y21</f>
        <v>1</v>
      </c>
      <c r="BO21" s="1" t="b">
        <f>Z21='[1]35千伏-750千伏电网基建'!Z21</f>
        <v>1</v>
      </c>
      <c r="BP21" s="1" t="b">
        <f>AA21='[1]35千伏-750千伏电网基建'!AA21</f>
        <v>1</v>
      </c>
      <c r="BQ21" s="1" t="b">
        <f>AB21='[1]35千伏-750千伏电网基建'!AB21</f>
        <v>1</v>
      </c>
      <c r="BR21" s="1" t="b">
        <f>AC21='[1]35千伏-750千伏电网基建'!AC21</f>
        <v>1</v>
      </c>
      <c r="BS21" s="1" t="b">
        <f>AD21='[1]35千伏-750千伏电网基建'!AD21</f>
        <v>1</v>
      </c>
      <c r="BT21" s="1" t="b">
        <f>AE21='[1]35千伏-750千伏电网基建'!AE21</f>
        <v>1</v>
      </c>
      <c r="BU21" s="1" t="b">
        <f>AF21='[1]35千伏-750千伏电网基建'!AF21</f>
        <v>1</v>
      </c>
      <c r="BV21" s="1" t="b">
        <f>AG21='[1]35千伏-750千伏电网基建'!AG21</f>
        <v>1</v>
      </c>
      <c r="BW21" s="1" t="b">
        <f>AH21='[1]35千伏-750千伏电网基建'!AH21</f>
        <v>1</v>
      </c>
      <c r="BX21" s="1" t="b">
        <f>AI21='[1]35千伏-750千伏电网基建'!AI21</f>
        <v>1</v>
      </c>
      <c r="BY21" s="1" t="b">
        <f>AJ21='[1]35千伏-750千伏电网基建'!AJ21</f>
        <v>1</v>
      </c>
      <c r="BZ21" s="1" t="b">
        <f>AK21='[1]35千伏-750千伏电网基建'!AK21</f>
        <v>1</v>
      </c>
    </row>
    <row r="22" s="1" customFormat="1" ht="86" customHeight="1" spans="1:78">
      <c r="A22" s="14"/>
      <c r="B22" s="14"/>
      <c r="C22" s="15" t="s">
        <v>536</v>
      </c>
      <c r="D22" s="15" t="s">
        <v>612</v>
      </c>
      <c r="E22" s="16" t="s">
        <v>613</v>
      </c>
      <c r="F22" s="24"/>
      <c r="G22" s="15" t="s">
        <v>614</v>
      </c>
      <c r="H22" s="16" t="s">
        <v>615</v>
      </c>
      <c r="I22" s="23" t="s">
        <v>616</v>
      </c>
      <c r="J22" s="16" t="s">
        <v>617</v>
      </c>
      <c r="K22" s="15"/>
      <c r="L22" s="15"/>
      <c r="M22" s="15"/>
      <c r="N22" s="15" t="s">
        <v>36</v>
      </c>
      <c r="O22" s="15"/>
      <c r="P22" s="15"/>
      <c r="Q22" s="15" t="s">
        <v>36</v>
      </c>
      <c r="R22" s="15"/>
      <c r="S22" s="15"/>
      <c r="T22" s="15" t="s">
        <v>465</v>
      </c>
      <c r="U22" s="15" t="s">
        <v>467</v>
      </c>
      <c r="V22" s="16" t="s">
        <v>618</v>
      </c>
      <c r="W22" s="27" t="s">
        <v>1420</v>
      </c>
      <c r="X22" s="15" t="s">
        <v>565</v>
      </c>
      <c r="Y22" s="15" t="s">
        <v>473</v>
      </c>
      <c r="Z22" s="15"/>
      <c r="AA22" s="15" t="s">
        <v>474</v>
      </c>
      <c r="AB22" s="15" t="s">
        <v>473</v>
      </c>
      <c r="AC22" s="15"/>
      <c r="AD22" s="15" t="s">
        <v>620</v>
      </c>
      <c r="AE22" s="15" t="s">
        <v>511</v>
      </c>
      <c r="AF22" s="15"/>
      <c r="AG22" s="30"/>
      <c r="AH22" s="15" t="s">
        <v>476</v>
      </c>
      <c r="AI22" s="30" t="s">
        <v>476</v>
      </c>
      <c r="AJ22" s="15" t="s">
        <v>621</v>
      </c>
      <c r="AK22" s="15" t="s">
        <v>532</v>
      </c>
      <c r="AL22" s="28" t="s">
        <v>1057</v>
      </c>
      <c r="AM22" s="15" t="s">
        <v>1407</v>
      </c>
      <c r="AN22" s="6" t="s">
        <v>1078</v>
      </c>
      <c r="AO22" s="7" t="s">
        <v>1045</v>
      </c>
      <c r="AP22" s="1" t="b">
        <f>A22='[1]35千伏-750千伏电网基建'!A22</f>
        <v>1</v>
      </c>
      <c r="AQ22" s="1" t="b">
        <f>B22='[1]35千伏-750千伏电网基建'!B22</f>
        <v>1</v>
      </c>
      <c r="AR22" s="1" t="b">
        <f>C22='[1]35千伏-750千伏电网基建'!C22</f>
        <v>1</v>
      </c>
      <c r="AS22" s="1" t="b">
        <f>D22='[1]35千伏-750千伏电网基建'!D22</f>
        <v>1</v>
      </c>
      <c r="AT22" s="1" t="b">
        <f>E22='[1]35千伏-750千伏电网基建'!E22</f>
        <v>1</v>
      </c>
      <c r="AU22" s="1" t="b">
        <f>F22='[1]35千伏-750千伏电网基建'!F22</f>
        <v>1</v>
      </c>
      <c r="AV22" s="1" t="b">
        <f>G22='[1]35千伏-750千伏电网基建'!G22</f>
        <v>1</v>
      </c>
      <c r="AW22" s="1" t="b">
        <f>H22='[1]35千伏-750千伏电网基建'!H22</f>
        <v>1</v>
      </c>
      <c r="AX22" s="1" t="b">
        <f>I22='[1]35千伏-750千伏电网基建'!I22</f>
        <v>1</v>
      </c>
      <c r="AY22" s="1" t="b">
        <f>J22='[1]35千伏-750千伏电网基建'!J22</f>
        <v>1</v>
      </c>
      <c r="AZ22" s="1" t="b">
        <f>K22='[1]35千伏-750千伏电网基建'!K22</f>
        <v>1</v>
      </c>
      <c r="BA22" s="1" t="b">
        <f>L22='[1]35千伏-750千伏电网基建'!L22</f>
        <v>1</v>
      </c>
      <c r="BB22" s="1" t="b">
        <f>M22='[1]35千伏-750千伏电网基建'!M22</f>
        <v>1</v>
      </c>
      <c r="BC22" s="1" t="b">
        <f>N22='[1]35千伏-750千伏电网基建'!N22</f>
        <v>1</v>
      </c>
      <c r="BD22" s="1" t="b">
        <f>O22='[1]35千伏-750千伏电网基建'!O22</f>
        <v>1</v>
      </c>
      <c r="BE22" s="1" t="b">
        <f>P22='[1]35千伏-750千伏电网基建'!P22</f>
        <v>1</v>
      </c>
      <c r="BF22" s="1" t="b">
        <f>Q22='[1]35千伏-750千伏电网基建'!Q22</f>
        <v>1</v>
      </c>
      <c r="BG22" s="1" t="b">
        <f>R22='[1]35千伏-750千伏电网基建'!R22</f>
        <v>1</v>
      </c>
      <c r="BH22" s="1" t="b">
        <f>S22='[1]35千伏-750千伏电网基建'!S22</f>
        <v>1</v>
      </c>
      <c r="BI22" s="1" t="b">
        <f>T22='[1]35千伏-750千伏电网基建'!T22</f>
        <v>1</v>
      </c>
      <c r="BJ22" s="1" t="b">
        <f>U22='[1]35千伏-750千伏电网基建'!U22</f>
        <v>1</v>
      </c>
      <c r="BK22" s="1" t="b">
        <f>V22='[1]35千伏-750千伏电网基建'!V22</f>
        <v>1</v>
      </c>
      <c r="BL22" s="8" t="b">
        <f>W22='[1]35千伏-750千伏电网基建'!W22</f>
        <v>0</v>
      </c>
      <c r="BM22" s="1" t="b">
        <f>X22='[1]35千伏-750千伏电网基建'!X22</f>
        <v>1</v>
      </c>
      <c r="BN22" s="1" t="b">
        <f>Y22='[1]35千伏-750千伏电网基建'!Y22</f>
        <v>1</v>
      </c>
      <c r="BO22" s="1" t="b">
        <f>Z22='[1]35千伏-750千伏电网基建'!Z22</f>
        <v>1</v>
      </c>
      <c r="BP22" s="1" t="b">
        <f>AA22='[1]35千伏-750千伏电网基建'!AA22</f>
        <v>1</v>
      </c>
      <c r="BQ22" s="1" t="b">
        <f>AB22='[1]35千伏-750千伏电网基建'!AB22</f>
        <v>1</v>
      </c>
      <c r="BR22" s="1" t="b">
        <f>AC22='[1]35千伏-750千伏电网基建'!AC22</f>
        <v>1</v>
      </c>
      <c r="BS22" s="1" t="b">
        <f>AD22='[1]35千伏-750千伏电网基建'!AD22</f>
        <v>1</v>
      </c>
      <c r="BT22" s="1" t="b">
        <f>AE22='[1]35千伏-750千伏电网基建'!AE22</f>
        <v>1</v>
      </c>
      <c r="BU22" s="1" t="b">
        <f>AF22='[1]35千伏-750千伏电网基建'!AF22</f>
        <v>1</v>
      </c>
      <c r="BV22" s="1" t="b">
        <f>AG22='[1]35千伏-750千伏电网基建'!AG22</f>
        <v>1</v>
      </c>
      <c r="BW22" s="1" t="b">
        <f>AH22='[1]35千伏-750千伏电网基建'!AH22</f>
        <v>1</v>
      </c>
      <c r="BX22" s="1" t="b">
        <f>AI22='[1]35千伏-750千伏电网基建'!AI22</f>
        <v>1</v>
      </c>
      <c r="BY22" s="1" t="b">
        <f>AJ22='[1]35千伏-750千伏电网基建'!AJ22</f>
        <v>1</v>
      </c>
      <c r="BZ22" s="1" t="b">
        <f>AK22='[1]35千伏-750千伏电网基建'!AK22</f>
        <v>1</v>
      </c>
    </row>
    <row r="23" s="1" customFormat="1" ht="96" customHeight="1" spans="1:78">
      <c r="A23" s="14"/>
      <c r="B23" s="14"/>
      <c r="C23" s="15"/>
      <c r="D23" s="15"/>
      <c r="E23" s="16"/>
      <c r="F23" s="24"/>
      <c r="G23" s="15"/>
      <c r="H23" s="16"/>
      <c r="I23" s="23" t="s">
        <v>622</v>
      </c>
      <c r="J23" s="16" t="s">
        <v>1079</v>
      </c>
      <c r="K23" s="15"/>
      <c r="L23" s="15"/>
      <c r="M23" s="15"/>
      <c r="N23" s="15" t="s">
        <v>36</v>
      </c>
      <c r="O23" s="15"/>
      <c r="P23" s="15"/>
      <c r="Q23" s="15" t="s">
        <v>36</v>
      </c>
      <c r="R23" s="15"/>
      <c r="S23" s="15"/>
      <c r="T23" s="15" t="s">
        <v>465</v>
      </c>
      <c r="U23" s="15" t="s">
        <v>467</v>
      </c>
      <c r="V23" s="16" t="s">
        <v>618</v>
      </c>
      <c r="W23" s="27" t="s">
        <v>1411</v>
      </c>
      <c r="X23" s="15" t="s">
        <v>565</v>
      </c>
      <c r="Y23" s="15" t="s">
        <v>473</v>
      </c>
      <c r="Z23" s="15"/>
      <c r="AA23" s="15" t="s">
        <v>474</v>
      </c>
      <c r="AB23" s="15" t="s">
        <v>473</v>
      </c>
      <c r="AC23" s="15"/>
      <c r="AD23" s="15" t="s">
        <v>620</v>
      </c>
      <c r="AE23" s="15" t="s">
        <v>511</v>
      </c>
      <c r="AF23" s="15"/>
      <c r="AG23" s="30"/>
      <c r="AH23" s="15" t="s">
        <v>476</v>
      </c>
      <c r="AI23" s="30" t="s">
        <v>476</v>
      </c>
      <c r="AJ23" s="15" t="s">
        <v>621</v>
      </c>
      <c r="AK23" s="15"/>
      <c r="AL23" s="28" t="s">
        <v>1057</v>
      </c>
      <c r="AM23" s="15" t="s">
        <v>470</v>
      </c>
      <c r="AN23" s="6"/>
      <c r="AO23" s="7" t="s">
        <v>1045</v>
      </c>
      <c r="AP23" s="1" t="b">
        <f>A23='[1]35千伏-750千伏电网基建'!A23</f>
        <v>1</v>
      </c>
      <c r="AQ23" s="1" t="b">
        <f>B23='[1]35千伏-750千伏电网基建'!B23</f>
        <v>1</v>
      </c>
      <c r="AR23" s="1" t="b">
        <f>C23='[1]35千伏-750千伏电网基建'!C23</f>
        <v>1</v>
      </c>
      <c r="AS23" s="1" t="b">
        <f>D23='[1]35千伏-750千伏电网基建'!D23</f>
        <v>1</v>
      </c>
      <c r="AT23" s="1" t="b">
        <f>E23='[1]35千伏-750千伏电网基建'!E23</f>
        <v>1</v>
      </c>
      <c r="AU23" s="1" t="b">
        <f>F23='[1]35千伏-750千伏电网基建'!F23</f>
        <v>1</v>
      </c>
      <c r="AV23" s="1" t="b">
        <f>G23='[1]35千伏-750千伏电网基建'!G23</f>
        <v>1</v>
      </c>
      <c r="AW23" s="1" t="b">
        <f>H23='[1]35千伏-750千伏电网基建'!H23</f>
        <v>1</v>
      </c>
      <c r="AX23" s="1" t="b">
        <f>I23='[1]35千伏-750千伏电网基建'!I23</f>
        <v>1</v>
      </c>
      <c r="AY23" s="1" t="b">
        <f>J23='[1]35千伏-750千伏电网基建'!J23</f>
        <v>1</v>
      </c>
      <c r="AZ23" s="1" t="b">
        <f>K23='[1]35千伏-750千伏电网基建'!K23</f>
        <v>1</v>
      </c>
      <c r="BA23" s="1" t="b">
        <f>L23='[1]35千伏-750千伏电网基建'!L23</f>
        <v>1</v>
      </c>
      <c r="BB23" s="1" t="b">
        <f>M23='[1]35千伏-750千伏电网基建'!M23</f>
        <v>1</v>
      </c>
      <c r="BC23" s="1" t="b">
        <f>N23='[1]35千伏-750千伏电网基建'!N23</f>
        <v>1</v>
      </c>
      <c r="BD23" s="1" t="b">
        <f>O23='[1]35千伏-750千伏电网基建'!O23</f>
        <v>1</v>
      </c>
      <c r="BE23" s="1" t="b">
        <f>P23='[1]35千伏-750千伏电网基建'!P23</f>
        <v>1</v>
      </c>
      <c r="BF23" s="1" t="b">
        <f>Q23='[1]35千伏-750千伏电网基建'!Q23</f>
        <v>1</v>
      </c>
      <c r="BG23" s="1" t="b">
        <f>R23='[1]35千伏-750千伏电网基建'!R23</f>
        <v>1</v>
      </c>
      <c r="BH23" s="1" t="b">
        <f>S23='[1]35千伏-750千伏电网基建'!S23</f>
        <v>1</v>
      </c>
      <c r="BI23" s="1" t="b">
        <f>T23='[1]35千伏-750千伏电网基建'!T23</f>
        <v>1</v>
      </c>
      <c r="BJ23" s="1" t="b">
        <f>U23='[1]35千伏-750千伏电网基建'!U23</f>
        <v>1</v>
      </c>
      <c r="BK23" s="1" t="b">
        <f>V23='[1]35千伏-750千伏电网基建'!V23</f>
        <v>1</v>
      </c>
      <c r="BL23" s="8" t="b">
        <f>W23='[1]35千伏-750千伏电网基建'!W23</f>
        <v>0</v>
      </c>
      <c r="BM23" s="1" t="b">
        <f>X23='[1]35千伏-750千伏电网基建'!X23</f>
        <v>1</v>
      </c>
      <c r="BN23" s="1" t="b">
        <f>Y23='[1]35千伏-750千伏电网基建'!Y23</f>
        <v>1</v>
      </c>
      <c r="BO23" s="1" t="b">
        <f>Z23='[1]35千伏-750千伏电网基建'!Z23</f>
        <v>1</v>
      </c>
      <c r="BP23" s="1" t="b">
        <f>AA23='[1]35千伏-750千伏电网基建'!AA23</f>
        <v>1</v>
      </c>
      <c r="BQ23" s="1" t="b">
        <f>AB23='[1]35千伏-750千伏电网基建'!AB23</f>
        <v>1</v>
      </c>
      <c r="BR23" s="1" t="b">
        <f>AC23='[1]35千伏-750千伏电网基建'!AC23</f>
        <v>1</v>
      </c>
      <c r="BS23" s="1" t="b">
        <f>AD23='[1]35千伏-750千伏电网基建'!AD23</f>
        <v>1</v>
      </c>
      <c r="BT23" s="1" t="b">
        <f>AE23='[1]35千伏-750千伏电网基建'!AE23</f>
        <v>1</v>
      </c>
      <c r="BU23" s="1" t="b">
        <f>AF23='[1]35千伏-750千伏电网基建'!AF23</f>
        <v>1</v>
      </c>
      <c r="BV23" s="1" t="b">
        <f>AG23='[1]35千伏-750千伏电网基建'!AG23</f>
        <v>1</v>
      </c>
      <c r="BW23" s="1" t="b">
        <f>AH23='[1]35千伏-750千伏电网基建'!AH23</f>
        <v>1</v>
      </c>
      <c r="BX23" s="1" t="b">
        <f>AI23='[1]35千伏-750千伏电网基建'!AI23</f>
        <v>1</v>
      </c>
      <c r="BY23" s="1" t="b">
        <f>AJ23='[1]35千伏-750千伏电网基建'!AJ23</f>
        <v>1</v>
      </c>
      <c r="BZ23" s="1" t="b">
        <f>AK23='[1]35千伏-750千伏电网基建'!AK23</f>
        <v>1</v>
      </c>
    </row>
    <row r="24" s="1" customFormat="1" ht="105" customHeight="1" spans="1:78">
      <c r="A24" s="14"/>
      <c r="B24" s="14" t="s">
        <v>662</v>
      </c>
      <c r="C24" s="15" t="s">
        <v>485</v>
      </c>
      <c r="D24" s="15" t="s">
        <v>636</v>
      </c>
      <c r="E24" s="16" t="s">
        <v>637</v>
      </c>
      <c r="F24" s="24"/>
      <c r="G24" s="15" t="s">
        <v>1081</v>
      </c>
      <c r="H24" s="16" t="s">
        <v>639</v>
      </c>
      <c r="I24" s="23" t="s">
        <v>1082</v>
      </c>
      <c r="J24" s="16" t="s">
        <v>1083</v>
      </c>
      <c r="K24" s="15"/>
      <c r="L24" s="15" t="s">
        <v>36</v>
      </c>
      <c r="M24" s="15"/>
      <c r="N24" s="15"/>
      <c r="O24" s="15" t="s">
        <v>36</v>
      </c>
      <c r="P24" s="15"/>
      <c r="Q24" s="15"/>
      <c r="R24" s="15"/>
      <c r="S24" s="15"/>
      <c r="T24" s="15" t="s">
        <v>465</v>
      </c>
      <c r="U24" s="15" t="s">
        <v>642</v>
      </c>
      <c r="V24" s="16" t="s">
        <v>643</v>
      </c>
      <c r="W24" s="35" t="s">
        <v>1421</v>
      </c>
      <c r="X24" s="15" t="s">
        <v>474</v>
      </c>
      <c r="Y24" s="15" t="s">
        <v>473</v>
      </c>
      <c r="Z24" s="30"/>
      <c r="AA24" s="15" t="s">
        <v>474</v>
      </c>
      <c r="AB24" s="15" t="s">
        <v>473</v>
      </c>
      <c r="AC24" s="30"/>
      <c r="AD24" s="15" t="s">
        <v>645</v>
      </c>
      <c r="AE24" s="15" t="s">
        <v>511</v>
      </c>
      <c r="AF24" s="15"/>
      <c r="AG24" s="30"/>
      <c r="AH24" s="15" t="s">
        <v>476</v>
      </c>
      <c r="AI24" s="15" t="s">
        <v>476</v>
      </c>
      <c r="AJ24" s="15" t="s">
        <v>646</v>
      </c>
      <c r="AK24" s="15" t="s">
        <v>647</v>
      </c>
      <c r="AL24" s="1" t="s">
        <v>1064</v>
      </c>
      <c r="AM24" s="15" t="s">
        <v>1407</v>
      </c>
      <c r="AO24" s="7" t="s">
        <v>1045</v>
      </c>
      <c r="AP24" s="1" t="b">
        <f>A24='[1]35千伏-750千伏电网基建'!A24</f>
        <v>1</v>
      </c>
      <c r="AQ24" s="1" t="b">
        <f>B24='[1]35千伏-750千伏电网基建'!B24</f>
        <v>1</v>
      </c>
      <c r="AR24" s="1" t="b">
        <f>C24='[1]35千伏-750千伏电网基建'!C24</f>
        <v>1</v>
      </c>
      <c r="AS24" s="1" t="b">
        <f>D24='[1]35千伏-750千伏电网基建'!D24</f>
        <v>1</v>
      </c>
      <c r="AT24" s="1" t="b">
        <f>E24='[1]35千伏-750千伏电网基建'!E24</f>
        <v>1</v>
      </c>
      <c r="AU24" s="1" t="b">
        <f>F24='[1]35千伏-750千伏电网基建'!F24</f>
        <v>1</v>
      </c>
      <c r="AV24" s="1" t="b">
        <f>G24='[1]35千伏-750千伏电网基建'!G24</f>
        <v>1</v>
      </c>
      <c r="AW24" s="1" t="b">
        <f>H24='[1]35千伏-750千伏电网基建'!H24</f>
        <v>1</v>
      </c>
      <c r="AX24" s="1" t="b">
        <f>I24='[1]35千伏-750千伏电网基建'!I24</f>
        <v>1</v>
      </c>
      <c r="AY24" s="1" t="b">
        <f>J24='[1]35千伏-750千伏电网基建'!J24</f>
        <v>1</v>
      </c>
      <c r="AZ24" s="1" t="b">
        <f>K24='[1]35千伏-750千伏电网基建'!K24</f>
        <v>1</v>
      </c>
      <c r="BA24" s="1" t="b">
        <f>L24='[1]35千伏-750千伏电网基建'!L24</f>
        <v>1</v>
      </c>
      <c r="BB24" s="1" t="b">
        <f>M24='[1]35千伏-750千伏电网基建'!M24</f>
        <v>1</v>
      </c>
      <c r="BC24" s="1" t="b">
        <f>N24='[1]35千伏-750千伏电网基建'!N24</f>
        <v>1</v>
      </c>
      <c r="BD24" s="1" t="b">
        <f>O24='[1]35千伏-750千伏电网基建'!O24</f>
        <v>1</v>
      </c>
      <c r="BE24" s="1" t="b">
        <f>P24='[1]35千伏-750千伏电网基建'!P24</f>
        <v>1</v>
      </c>
      <c r="BF24" s="1" t="b">
        <f>Q24='[1]35千伏-750千伏电网基建'!Q24</f>
        <v>1</v>
      </c>
      <c r="BG24" s="1" t="b">
        <f>R24='[1]35千伏-750千伏电网基建'!R24</f>
        <v>1</v>
      </c>
      <c r="BH24" s="1" t="b">
        <f>S24='[1]35千伏-750千伏电网基建'!S24</f>
        <v>1</v>
      </c>
      <c r="BI24" s="1" t="b">
        <f>T24='[1]35千伏-750千伏电网基建'!T24</f>
        <v>1</v>
      </c>
      <c r="BJ24" s="1" t="b">
        <f>U24='[1]35千伏-750千伏电网基建'!U24</f>
        <v>1</v>
      </c>
      <c r="BK24" s="1" t="b">
        <f>V24='[1]35千伏-750千伏电网基建'!V24</f>
        <v>1</v>
      </c>
      <c r="BL24" s="8" t="b">
        <f>W24='[1]35千伏-750千伏电网基建'!W24</f>
        <v>0</v>
      </c>
      <c r="BM24" s="1" t="b">
        <f>X24='[1]35千伏-750千伏电网基建'!X24</f>
        <v>1</v>
      </c>
      <c r="BN24" s="1" t="b">
        <f>Y24='[1]35千伏-750千伏电网基建'!Y24</f>
        <v>1</v>
      </c>
      <c r="BO24" s="1" t="b">
        <f>Z24='[1]35千伏-750千伏电网基建'!Z24</f>
        <v>1</v>
      </c>
      <c r="BP24" s="1" t="b">
        <f>AA24='[1]35千伏-750千伏电网基建'!AA24</f>
        <v>1</v>
      </c>
      <c r="BQ24" s="1" t="b">
        <f>AB24='[1]35千伏-750千伏电网基建'!AB24</f>
        <v>1</v>
      </c>
      <c r="BR24" s="1" t="b">
        <f>AC24='[1]35千伏-750千伏电网基建'!AC24</f>
        <v>1</v>
      </c>
      <c r="BS24" s="1" t="b">
        <f>AD24='[1]35千伏-750千伏电网基建'!AD24</f>
        <v>1</v>
      </c>
      <c r="BT24" s="1" t="b">
        <f>AE24='[1]35千伏-750千伏电网基建'!AE24</f>
        <v>1</v>
      </c>
      <c r="BU24" s="1" t="b">
        <f>AF24='[1]35千伏-750千伏电网基建'!AF24</f>
        <v>1</v>
      </c>
      <c r="BV24" s="1" t="b">
        <f>AG24='[1]35千伏-750千伏电网基建'!AG24</f>
        <v>1</v>
      </c>
      <c r="BW24" s="1" t="b">
        <f>AH24='[1]35千伏-750千伏电网基建'!AH24</f>
        <v>1</v>
      </c>
      <c r="BX24" s="1" t="b">
        <f>AI24='[1]35千伏-750千伏电网基建'!AI24</f>
        <v>1</v>
      </c>
      <c r="BY24" s="1" t="b">
        <f>AJ24='[1]35千伏-750千伏电网基建'!AJ24</f>
        <v>1</v>
      </c>
      <c r="BZ24" s="1" t="b">
        <f>AK24='[1]35千伏-750千伏电网基建'!AK24</f>
        <v>1</v>
      </c>
    </row>
    <row r="25" s="1" customFormat="1" ht="81" customHeight="1" spans="1:78">
      <c r="A25" s="14"/>
      <c r="B25" s="14"/>
      <c r="C25" s="15"/>
      <c r="D25" s="15"/>
      <c r="E25" s="16"/>
      <c r="F25" s="24"/>
      <c r="G25" s="15"/>
      <c r="H25" s="16"/>
      <c r="I25" s="23" t="s">
        <v>1084</v>
      </c>
      <c r="J25" s="16" t="s">
        <v>1085</v>
      </c>
      <c r="K25" s="15"/>
      <c r="L25" s="15" t="s">
        <v>36</v>
      </c>
      <c r="M25" s="15"/>
      <c r="N25" s="15"/>
      <c r="O25" s="15" t="s">
        <v>36</v>
      </c>
      <c r="P25" s="15"/>
      <c r="Q25" s="15"/>
      <c r="R25" s="15"/>
      <c r="S25" s="15"/>
      <c r="T25" s="15" t="s">
        <v>492</v>
      </c>
      <c r="U25" s="15"/>
      <c r="V25" s="16" t="s">
        <v>643</v>
      </c>
      <c r="W25" s="35" t="s">
        <v>1422</v>
      </c>
      <c r="X25" s="15" t="s">
        <v>474</v>
      </c>
      <c r="Y25" s="15" t="s">
        <v>473</v>
      </c>
      <c r="Z25" s="30"/>
      <c r="AA25" s="15" t="s">
        <v>474</v>
      </c>
      <c r="AB25" s="15" t="s">
        <v>473</v>
      </c>
      <c r="AC25" s="30"/>
      <c r="AD25" s="15"/>
      <c r="AE25" s="30"/>
      <c r="AF25" s="30"/>
      <c r="AG25" s="30"/>
      <c r="AH25" s="15" t="s">
        <v>476</v>
      </c>
      <c r="AI25" s="15" t="s">
        <v>476</v>
      </c>
      <c r="AJ25" s="15" t="s">
        <v>652</v>
      </c>
      <c r="AK25" s="15" t="s">
        <v>653</v>
      </c>
      <c r="AL25" s="1" t="s">
        <v>1064</v>
      </c>
      <c r="AM25" s="15" t="s">
        <v>1086</v>
      </c>
      <c r="AO25" s="7" t="s">
        <v>1045</v>
      </c>
      <c r="AP25" s="1" t="b">
        <f>A25='[1]35千伏-750千伏电网基建'!A25</f>
        <v>1</v>
      </c>
      <c r="AQ25" s="1" t="b">
        <f>B25='[1]35千伏-750千伏电网基建'!B25</f>
        <v>1</v>
      </c>
      <c r="AR25" s="1" t="b">
        <f>C25='[1]35千伏-750千伏电网基建'!C25</f>
        <v>1</v>
      </c>
      <c r="AS25" s="1" t="b">
        <f>D25='[1]35千伏-750千伏电网基建'!D25</f>
        <v>1</v>
      </c>
      <c r="AT25" s="1" t="b">
        <f>E25='[1]35千伏-750千伏电网基建'!E25</f>
        <v>1</v>
      </c>
      <c r="AU25" s="1" t="b">
        <f>F25='[1]35千伏-750千伏电网基建'!F25</f>
        <v>1</v>
      </c>
      <c r="AV25" s="1" t="b">
        <f>G25='[1]35千伏-750千伏电网基建'!G25</f>
        <v>1</v>
      </c>
      <c r="AW25" s="1" t="b">
        <f>H25='[1]35千伏-750千伏电网基建'!H25</f>
        <v>1</v>
      </c>
      <c r="AX25" s="1" t="b">
        <f>I25='[1]35千伏-750千伏电网基建'!I25</f>
        <v>1</v>
      </c>
      <c r="AY25" s="1" t="b">
        <f>J25='[1]35千伏-750千伏电网基建'!J25</f>
        <v>1</v>
      </c>
      <c r="AZ25" s="1" t="b">
        <f>K25='[1]35千伏-750千伏电网基建'!K25</f>
        <v>1</v>
      </c>
      <c r="BA25" s="1" t="b">
        <f>L25='[1]35千伏-750千伏电网基建'!L25</f>
        <v>1</v>
      </c>
      <c r="BB25" s="1" t="b">
        <f>M25='[1]35千伏-750千伏电网基建'!M25</f>
        <v>1</v>
      </c>
      <c r="BC25" s="1" t="b">
        <f>N25='[1]35千伏-750千伏电网基建'!N25</f>
        <v>1</v>
      </c>
      <c r="BD25" s="1" t="b">
        <f>O25='[1]35千伏-750千伏电网基建'!O25</f>
        <v>1</v>
      </c>
      <c r="BE25" s="1" t="b">
        <f>P25='[1]35千伏-750千伏电网基建'!P25</f>
        <v>1</v>
      </c>
      <c r="BF25" s="1" t="b">
        <f>Q25='[1]35千伏-750千伏电网基建'!Q25</f>
        <v>1</v>
      </c>
      <c r="BG25" s="1" t="b">
        <f>R25='[1]35千伏-750千伏电网基建'!R25</f>
        <v>1</v>
      </c>
      <c r="BH25" s="1" t="b">
        <f>S25='[1]35千伏-750千伏电网基建'!S25</f>
        <v>1</v>
      </c>
      <c r="BI25" s="1" t="b">
        <f>T25='[1]35千伏-750千伏电网基建'!T25</f>
        <v>1</v>
      </c>
      <c r="BJ25" s="1" t="b">
        <f>U25='[1]35千伏-750千伏电网基建'!U25</f>
        <v>1</v>
      </c>
      <c r="BK25" s="1" t="b">
        <f>V25='[1]35千伏-750千伏电网基建'!V25</f>
        <v>1</v>
      </c>
      <c r="BL25" s="8" t="b">
        <f>W25='[1]35千伏-750千伏电网基建'!W25</f>
        <v>0</v>
      </c>
      <c r="BM25" s="1" t="b">
        <f>X25='[1]35千伏-750千伏电网基建'!X25</f>
        <v>1</v>
      </c>
      <c r="BN25" s="1" t="b">
        <f>Y25='[1]35千伏-750千伏电网基建'!Y25</f>
        <v>1</v>
      </c>
      <c r="BO25" s="1" t="b">
        <f>Z25='[1]35千伏-750千伏电网基建'!Z25</f>
        <v>1</v>
      </c>
      <c r="BP25" s="1" t="b">
        <f>AA25='[1]35千伏-750千伏电网基建'!AA25</f>
        <v>1</v>
      </c>
      <c r="BQ25" s="1" t="b">
        <f>AB25='[1]35千伏-750千伏电网基建'!AB25</f>
        <v>1</v>
      </c>
      <c r="BR25" s="1" t="b">
        <f>AC25='[1]35千伏-750千伏电网基建'!AC25</f>
        <v>1</v>
      </c>
      <c r="BS25" s="1" t="b">
        <f>AD25='[1]35千伏-750千伏电网基建'!AD25</f>
        <v>1</v>
      </c>
      <c r="BT25" s="1" t="b">
        <f>AE25='[1]35千伏-750千伏电网基建'!AE25</f>
        <v>1</v>
      </c>
      <c r="BU25" s="1" t="b">
        <f>AF25='[1]35千伏-750千伏电网基建'!AF25</f>
        <v>1</v>
      </c>
      <c r="BV25" s="1" t="b">
        <f>AG25='[1]35千伏-750千伏电网基建'!AG25</f>
        <v>1</v>
      </c>
      <c r="BW25" s="1" t="b">
        <f>AH25='[1]35千伏-750千伏电网基建'!AH25</f>
        <v>1</v>
      </c>
      <c r="BX25" s="1" t="b">
        <f>AI25='[1]35千伏-750千伏电网基建'!AI25</f>
        <v>1</v>
      </c>
      <c r="BY25" s="1" t="b">
        <f>AJ25='[1]35千伏-750千伏电网基建'!AJ25</f>
        <v>1</v>
      </c>
      <c r="BZ25" s="1" t="b">
        <f>AK25='[1]35千伏-750千伏电网基建'!AK25</f>
        <v>1</v>
      </c>
    </row>
    <row r="26" s="1" customFormat="1" ht="78" customHeight="1" spans="1:78">
      <c r="A26" s="14"/>
      <c r="B26" s="14"/>
      <c r="C26" s="15"/>
      <c r="D26" s="15"/>
      <c r="E26" s="16"/>
      <c r="F26" s="24"/>
      <c r="G26" s="15"/>
      <c r="H26" s="16"/>
      <c r="I26" s="23" t="s">
        <v>1087</v>
      </c>
      <c r="J26" s="16" t="s">
        <v>1088</v>
      </c>
      <c r="K26" s="15"/>
      <c r="L26" s="15" t="s">
        <v>36</v>
      </c>
      <c r="M26" s="15"/>
      <c r="N26" s="15"/>
      <c r="O26" s="15" t="s">
        <v>36</v>
      </c>
      <c r="P26" s="15"/>
      <c r="Q26" s="15"/>
      <c r="R26" s="15"/>
      <c r="S26" s="15"/>
      <c r="T26" s="15" t="s">
        <v>492</v>
      </c>
      <c r="U26" s="15"/>
      <c r="V26" s="16" t="s">
        <v>643</v>
      </c>
      <c r="W26" s="35" t="s">
        <v>1423</v>
      </c>
      <c r="X26" s="15" t="s">
        <v>474</v>
      </c>
      <c r="Y26" s="15" t="s">
        <v>473</v>
      </c>
      <c r="Z26" s="30"/>
      <c r="AA26" s="15" t="s">
        <v>474</v>
      </c>
      <c r="AB26" s="15" t="s">
        <v>473</v>
      </c>
      <c r="AC26" s="30"/>
      <c r="AD26" s="15"/>
      <c r="AE26" s="30"/>
      <c r="AF26" s="30"/>
      <c r="AG26" s="30"/>
      <c r="AH26" s="15" t="s">
        <v>476</v>
      </c>
      <c r="AI26" s="15" t="s">
        <v>476</v>
      </c>
      <c r="AJ26" s="15" t="s">
        <v>657</v>
      </c>
      <c r="AK26" s="15"/>
      <c r="AL26" s="1" t="s">
        <v>1064</v>
      </c>
      <c r="AM26" s="15" t="s">
        <v>470</v>
      </c>
      <c r="AO26" s="7" t="s">
        <v>1045</v>
      </c>
      <c r="AP26" s="1" t="b">
        <f>A26='[1]35千伏-750千伏电网基建'!A26</f>
        <v>1</v>
      </c>
      <c r="AQ26" s="1" t="b">
        <f>B26='[1]35千伏-750千伏电网基建'!B26</f>
        <v>1</v>
      </c>
      <c r="AR26" s="1" t="b">
        <f>C26='[1]35千伏-750千伏电网基建'!C26</f>
        <v>1</v>
      </c>
      <c r="AS26" s="1" t="b">
        <f>D26='[1]35千伏-750千伏电网基建'!D26</f>
        <v>1</v>
      </c>
      <c r="AT26" s="1" t="b">
        <f>E26='[1]35千伏-750千伏电网基建'!E26</f>
        <v>1</v>
      </c>
      <c r="AU26" s="1" t="b">
        <f>F26='[1]35千伏-750千伏电网基建'!F26</f>
        <v>1</v>
      </c>
      <c r="AV26" s="1" t="b">
        <f>G26='[1]35千伏-750千伏电网基建'!G26</f>
        <v>1</v>
      </c>
      <c r="AW26" s="1" t="b">
        <f>H26='[1]35千伏-750千伏电网基建'!H26</f>
        <v>1</v>
      </c>
      <c r="AX26" s="1" t="b">
        <f>I26='[1]35千伏-750千伏电网基建'!I26</f>
        <v>1</v>
      </c>
      <c r="AY26" s="1" t="b">
        <f>J26='[1]35千伏-750千伏电网基建'!J26</f>
        <v>1</v>
      </c>
      <c r="AZ26" s="1" t="b">
        <f>K26='[1]35千伏-750千伏电网基建'!K26</f>
        <v>1</v>
      </c>
      <c r="BA26" s="1" t="b">
        <f>L26='[1]35千伏-750千伏电网基建'!L26</f>
        <v>1</v>
      </c>
      <c r="BB26" s="1" t="b">
        <f>M26='[1]35千伏-750千伏电网基建'!M26</f>
        <v>1</v>
      </c>
      <c r="BC26" s="1" t="b">
        <f>N26='[1]35千伏-750千伏电网基建'!N26</f>
        <v>1</v>
      </c>
      <c r="BD26" s="1" t="b">
        <f>O26='[1]35千伏-750千伏电网基建'!O26</f>
        <v>1</v>
      </c>
      <c r="BE26" s="1" t="b">
        <f>P26='[1]35千伏-750千伏电网基建'!P26</f>
        <v>1</v>
      </c>
      <c r="BF26" s="1" t="b">
        <f>Q26='[1]35千伏-750千伏电网基建'!Q26</f>
        <v>1</v>
      </c>
      <c r="BG26" s="1" t="b">
        <f>R26='[1]35千伏-750千伏电网基建'!R26</f>
        <v>1</v>
      </c>
      <c r="BH26" s="1" t="b">
        <f>S26='[1]35千伏-750千伏电网基建'!S26</f>
        <v>1</v>
      </c>
      <c r="BI26" s="1" t="b">
        <f>T26='[1]35千伏-750千伏电网基建'!T26</f>
        <v>1</v>
      </c>
      <c r="BJ26" s="1" t="b">
        <f>U26='[1]35千伏-750千伏电网基建'!U26</f>
        <v>1</v>
      </c>
      <c r="BK26" s="1" t="b">
        <f>V26='[1]35千伏-750千伏电网基建'!V26</f>
        <v>1</v>
      </c>
      <c r="BL26" s="8" t="b">
        <f>W26='[1]35千伏-750千伏电网基建'!W26</f>
        <v>0</v>
      </c>
      <c r="BM26" s="1" t="b">
        <f>X26='[1]35千伏-750千伏电网基建'!X26</f>
        <v>1</v>
      </c>
      <c r="BN26" s="1" t="b">
        <f>Y26='[1]35千伏-750千伏电网基建'!Y26</f>
        <v>1</v>
      </c>
      <c r="BO26" s="1" t="b">
        <f>Z26='[1]35千伏-750千伏电网基建'!Z26</f>
        <v>1</v>
      </c>
      <c r="BP26" s="1" t="b">
        <f>AA26='[1]35千伏-750千伏电网基建'!AA26</f>
        <v>1</v>
      </c>
      <c r="BQ26" s="1" t="b">
        <f>AB26='[1]35千伏-750千伏电网基建'!AB26</f>
        <v>1</v>
      </c>
      <c r="BR26" s="1" t="b">
        <f>AC26='[1]35千伏-750千伏电网基建'!AC26</f>
        <v>1</v>
      </c>
      <c r="BS26" s="1" t="b">
        <f>AD26='[1]35千伏-750千伏电网基建'!AD26</f>
        <v>1</v>
      </c>
      <c r="BT26" s="1" t="b">
        <f>AE26='[1]35千伏-750千伏电网基建'!AE26</f>
        <v>1</v>
      </c>
      <c r="BU26" s="1" t="b">
        <f>AF26='[1]35千伏-750千伏电网基建'!AF26</f>
        <v>1</v>
      </c>
      <c r="BV26" s="1" t="b">
        <f>AG26='[1]35千伏-750千伏电网基建'!AG26</f>
        <v>1</v>
      </c>
      <c r="BW26" s="1" t="b">
        <f>AH26='[1]35千伏-750千伏电网基建'!AH26</f>
        <v>1</v>
      </c>
      <c r="BX26" s="1" t="b">
        <f>AI26='[1]35千伏-750千伏电网基建'!AI26</f>
        <v>1</v>
      </c>
      <c r="BY26" s="1" t="b">
        <f>AJ26='[1]35千伏-750千伏电网基建'!AJ26</f>
        <v>1</v>
      </c>
      <c r="BZ26" s="1" t="b">
        <f>AK26='[1]35千伏-750千伏电网基建'!AK26</f>
        <v>1</v>
      </c>
    </row>
    <row r="27" s="1" customFormat="1" ht="85" customHeight="1" spans="1:78">
      <c r="A27" s="14"/>
      <c r="B27" s="14"/>
      <c r="C27" s="15"/>
      <c r="D27" s="15"/>
      <c r="E27" s="16"/>
      <c r="F27" s="24"/>
      <c r="G27" s="15"/>
      <c r="H27" s="16"/>
      <c r="I27" s="23" t="s">
        <v>1089</v>
      </c>
      <c r="J27" s="16" t="s">
        <v>1424</v>
      </c>
      <c r="K27" s="15"/>
      <c r="L27" s="15" t="s">
        <v>36</v>
      </c>
      <c r="M27" s="15"/>
      <c r="N27" s="15"/>
      <c r="O27" s="15" t="s">
        <v>36</v>
      </c>
      <c r="P27" s="15"/>
      <c r="Q27" s="15"/>
      <c r="R27" s="15"/>
      <c r="S27" s="15"/>
      <c r="T27" s="15" t="s">
        <v>492</v>
      </c>
      <c r="U27" s="15"/>
      <c r="V27" s="16" t="s">
        <v>643</v>
      </c>
      <c r="W27" s="35" t="s">
        <v>1425</v>
      </c>
      <c r="X27" s="15" t="s">
        <v>474</v>
      </c>
      <c r="Y27" s="15" t="s">
        <v>473</v>
      </c>
      <c r="Z27" s="30"/>
      <c r="AA27" s="15" t="s">
        <v>474</v>
      </c>
      <c r="AB27" s="15" t="s">
        <v>473</v>
      </c>
      <c r="AC27" s="30"/>
      <c r="AD27" s="15"/>
      <c r="AE27" s="30"/>
      <c r="AF27" s="30"/>
      <c r="AG27" s="30"/>
      <c r="AH27" s="15" t="s">
        <v>476</v>
      </c>
      <c r="AI27" s="15" t="s">
        <v>476</v>
      </c>
      <c r="AJ27" s="15" t="s">
        <v>661</v>
      </c>
      <c r="AK27" s="15"/>
      <c r="AL27" s="1" t="s">
        <v>1064</v>
      </c>
      <c r="AM27" s="15" t="s">
        <v>1091</v>
      </c>
      <c r="AO27" s="7" t="s">
        <v>1045</v>
      </c>
      <c r="AP27" s="1" t="b">
        <f>A27='[1]35千伏-750千伏电网基建'!A27</f>
        <v>1</v>
      </c>
      <c r="AQ27" s="1" t="b">
        <f>B27='[1]35千伏-750千伏电网基建'!B27</f>
        <v>1</v>
      </c>
      <c r="AR27" s="1" t="b">
        <f>C27='[1]35千伏-750千伏电网基建'!C27</f>
        <v>1</v>
      </c>
      <c r="AS27" s="1" t="b">
        <f>D27='[1]35千伏-750千伏电网基建'!D27</f>
        <v>1</v>
      </c>
      <c r="AT27" s="1" t="b">
        <f>E27='[1]35千伏-750千伏电网基建'!E27</f>
        <v>1</v>
      </c>
      <c r="AU27" s="1" t="b">
        <f>F27='[1]35千伏-750千伏电网基建'!F27</f>
        <v>1</v>
      </c>
      <c r="AV27" s="1" t="b">
        <f>G27='[1]35千伏-750千伏电网基建'!G27</f>
        <v>1</v>
      </c>
      <c r="AW27" s="1" t="b">
        <f>H27='[1]35千伏-750千伏电网基建'!H27</f>
        <v>1</v>
      </c>
      <c r="AX27" s="1" t="b">
        <f>I27='[1]35千伏-750千伏电网基建'!I27</f>
        <v>1</v>
      </c>
      <c r="AY27" s="1" t="b">
        <f>J27='[1]35千伏-750千伏电网基建'!J27</f>
        <v>0</v>
      </c>
      <c r="AZ27" s="1" t="b">
        <f>K27='[1]35千伏-750千伏电网基建'!K27</f>
        <v>1</v>
      </c>
      <c r="BA27" s="1" t="b">
        <f>L27='[1]35千伏-750千伏电网基建'!L27</f>
        <v>1</v>
      </c>
      <c r="BB27" s="1" t="b">
        <f>M27='[1]35千伏-750千伏电网基建'!M27</f>
        <v>1</v>
      </c>
      <c r="BC27" s="1" t="b">
        <f>N27='[1]35千伏-750千伏电网基建'!N27</f>
        <v>1</v>
      </c>
      <c r="BD27" s="1" t="b">
        <f>O27='[1]35千伏-750千伏电网基建'!O27</f>
        <v>1</v>
      </c>
      <c r="BE27" s="1" t="b">
        <f>P27='[1]35千伏-750千伏电网基建'!P27</f>
        <v>1</v>
      </c>
      <c r="BF27" s="1" t="b">
        <f>Q27='[1]35千伏-750千伏电网基建'!Q27</f>
        <v>1</v>
      </c>
      <c r="BG27" s="1" t="b">
        <f>R27='[1]35千伏-750千伏电网基建'!R27</f>
        <v>1</v>
      </c>
      <c r="BH27" s="1" t="b">
        <f>S27='[1]35千伏-750千伏电网基建'!S27</f>
        <v>1</v>
      </c>
      <c r="BI27" s="1" t="b">
        <f>T27='[1]35千伏-750千伏电网基建'!T27</f>
        <v>1</v>
      </c>
      <c r="BJ27" s="1" t="b">
        <f>U27='[1]35千伏-750千伏电网基建'!U27</f>
        <v>1</v>
      </c>
      <c r="BK27" s="1" t="b">
        <f>V27='[1]35千伏-750千伏电网基建'!V27</f>
        <v>1</v>
      </c>
      <c r="BL27" s="8" t="b">
        <f>W27='[1]35千伏-750千伏电网基建'!W27</f>
        <v>0</v>
      </c>
      <c r="BM27" s="1" t="b">
        <f>X27='[1]35千伏-750千伏电网基建'!X27</f>
        <v>1</v>
      </c>
      <c r="BN27" s="1" t="b">
        <f>Y27='[1]35千伏-750千伏电网基建'!Y27</f>
        <v>1</v>
      </c>
      <c r="BO27" s="1" t="b">
        <f>Z27='[1]35千伏-750千伏电网基建'!Z27</f>
        <v>1</v>
      </c>
      <c r="BP27" s="1" t="b">
        <f>AA27='[1]35千伏-750千伏电网基建'!AA27</f>
        <v>1</v>
      </c>
      <c r="BQ27" s="1" t="b">
        <f>AB27='[1]35千伏-750千伏电网基建'!AB27</f>
        <v>1</v>
      </c>
      <c r="BR27" s="1" t="b">
        <f>AC27='[1]35千伏-750千伏电网基建'!AC27</f>
        <v>1</v>
      </c>
      <c r="BS27" s="1" t="b">
        <f>AD27='[1]35千伏-750千伏电网基建'!AD27</f>
        <v>1</v>
      </c>
      <c r="BT27" s="1" t="b">
        <f>AE27='[1]35千伏-750千伏电网基建'!AE27</f>
        <v>1</v>
      </c>
      <c r="BU27" s="1" t="b">
        <f>AF27='[1]35千伏-750千伏电网基建'!AF27</f>
        <v>1</v>
      </c>
      <c r="BV27" s="1" t="b">
        <f>AG27='[1]35千伏-750千伏电网基建'!AG27</f>
        <v>1</v>
      </c>
      <c r="BW27" s="1" t="b">
        <f>AH27='[1]35千伏-750千伏电网基建'!AH27</f>
        <v>1</v>
      </c>
      <c r="BX27" s="1" t="b">
        <f>AI27='[1]35千伏-750千伏电网基建'!AI27</f>
        <v>1</v>
      </c>
      <c r="BY27" s="1" t="b">
        <f>AJ27='[1]35千伏-750千伏电网基建'!AJ27</f>
        <v>1</v>
      </c>
      <c r="BZ27" s="1" t="b">
        <f>AK27='[1]35千伏-750千伏电网基建'!AK27</f>
        <v>1</v>
      </c>
    </row>
    <row r="28" s="1" customFormat="1" ht="119" customHeight="1" spans="1:78">
      <c r="A28" s="14" t="s">
        <v>483</v>
      </c>
      <c r="B28" s="14" t="s">
        <v>662</v>
      </c>
      <c r="C28" s="15" t="s">
        <v>485</v>
      </c>
      <c r="D28" s="41" t="s">
        <v>636</v>
      </c>
      <c r="E28" s="24" t="s">
        <v>663</v>
      </c>
      <c r="F28" s="17" t="s">
        <v>664</v>
      </c>
      <c r="G28" s="15" t="s">
        <v>1092</v>
      </c>
      <c r="H28" s="16" t="s">
        <v>666</v>
      </c>
      <c r="I28" s="23" t="s">
        <v>1093</v>
      </c>
      <c r="J28" s="16" t="s">
        <v>1094</v>
      </c>
      <c r="K28" s="15"/>
      <c r="L28" s="15"/>
      <c r="M28" s="15"/>
      <c r="N28" s="15"/>
      <c r="O28" s="15" t="s">
        <v>36</v>
      </c>
      <c r="P28" s="15"/>
      <c r="Q28" s="15"/>
      <c r="R28" s="15"/>
      <c r="S28" s="15"/>
      <c r="T28" s="15" t="s">
        <v>550</v>
      </c>
      <c r="U28" s="15" t="s">
        <v>669</v>
      </c>
      <c r="V28" s="16" t="s">
        <v>670</v>
      </c>
      <c r="W28" s="42" t="s">
        <v>888</v>
      </c>
      <c r="X28" s="41" t="s">
        <v>474</v>
      </c>
      <c r="Y28" s="41" t="s">
        <v>473</v>
      </c>
      <c r="Z28" s="41"/>
      <c r="AA28" s="41" t="s">
        <v>474</v>
      </c>
      <c r="AB28" s="41" t="s">
        <v>473</v>
      </c>
      <c r="AC28" s="41"/>
      <c r="AD28" s="41"/>
      <c r="AE28" s="41"/>
      <c r="AF28" s="41"/>
      <c r="AG28" s="43"/>
      <c r="AH28" s="41" t="s">
        <v>476</v>
      </c>
      <c r="AI28" s="43" t="s">
        <v>476</v>
      </c>
      <c r="AJ28" s="41" t="s">
        <v>672</v>
      </c>
      <c r="AK28" s="41" t="s">
        <v>673</v>
      </c>
      <c r="AL28" s="1" t="s">
        <v>1064</v>
      </c>
      <c r="AM28" s="15" t="s">
        <v>1091</v>
      </c>
      <c r="AO28" s="7" t="s">
        <v>1045</v>
      </c>
      <c r="AP28" s="1" t="b">
        <f>A28='[1]35千伏-750千伏电网基建'!A28</f>
        <v>1</v>
      </c>
      <c r="AQ28" s="1" t="b">
        <f>B28='[1]35千伏-750千伏电网基建'!B28</f>
        <v>1</v>
      </c>
      <c r="AR28" s="1" t="b">
        <f>C28='[1]35千伏-750千伏电网基建'!C28</f>
        <v>1</v>
      </c>
      <c r="AS28" s="1" t="b">
        <f>D28='[1]35千伏-750千伏电网基建'!D28</f>
        <v>1</v>
      </c>
      <c r="AT28" s="1" t="b">
        <f>E28='[1]35千伏-750千伏电网基建'!E28</f>
        <v>1</v>
      </c>
      <c r="AU28" s="1" t="b">
        <f>F28='[1]35千伏-750千伏电网基建'!F28</f>
        <v>1</v>
      </c>
      <c r="AV28" s="1" t="b">
        <f>G28='[1]35千伏-750千伏电网基建'!G28</f>
        <v>1</v>
      </c>
      <c r="AW28" s="1" t="b">
        <f>H28='[1]35千伏-750千伏电网基建'!H28</f>
        <v>1</v>
      </c>
      <c r="AX28" s="1" t="b">
        <f>I28='[1]35千伏-750千伏电网基建'!I28</f>
        <v>1</v>
      </c>
      <c r="AY28" s="1" t="b">
        <f>J28='[1]35千伏-750千伏电网基建'!J28</f>
        <v>1</v>
      </c>
      <c r="AZ28" s="1" t="b">
        <f>K28='[1]35千伏-750千伏电网基建'!K28</f>
        <v>1</v>
      </c>
      <c r="BA28" s="1" t="b">
        <f>L28='[1]35千伏-750千伏电网基建'!L28</f>
        <v>1</v>
      </c>
      <c r="BB28" s="1" t="b">
        <f>M28='[1]35千伏-750千伏电网基建'!M28</f>
        <v>1</v>
      </c>
      <c r="BC28" s="1" t="b">
        <f>N28='[1]35千伏-750千伏电网基建'!N28</f>
        <v>1</v>
      </c>
      <c r="BD28" s="1" t="b">
        <f>O28='[1]35千伏-750千伏电网基建'!O28</f>
        <v>1</v>
      </c>
      <c r="BE28" s="1" t="b">
        <f>P28='[1]35千伏-750千伏电网基建'!P28</f>
        <v>1</v>
      </c>
      <c r="BF28" s="1" t="b">
        <f>Q28='[1]35千伏-750千伏电网基建'!Q28</f>
        <v>1</v>
      </c>
      <c r="BG28" s="1" t="b">
        <f>R28='[1]35千伏-750千伏电网基建'!R28</f>
        <v>1</v>
      </c>
      <c r="BH28" s="1" t="b">
        <f>S28='[1]35千伏-750千伏电网基建'!S28</f>
        <v>1</v>
      </c>
      <c r="BI28" s="1" t="b">
        <f>T28='[1]35千伏-750千伏电网基建'!T28</f>
        <v>1</v>
      </c>
      <c r="BJ28" s="1" t="b">
        <f>U28='[1]35千伏-750千伏电网基建'!U28</f>
        <v>1</v>
      </c>
      <c r="BK28" s="1" t="b">
        <f>V28='[1]35千伏-750千伏电网基建'!V28</f>
        <v>1</v>
      </c>
      <c r="BL28" s="8" t="b">
        <f>W28='[1]35千伏-750千伏电网基建'!W28</f>
        <v>0</v>
      </c>
      <c r="BM28" s="1" t="b">
        <f>X28='[1]35千伏-750千伏电网基建'!X28</f>
        <v>1</v>
      </c>
      <c r="BN28" s="1" t="b">
        <f>Y28='[1]35千伏-750千伏电网基建'!Y28</f>
        <v>1</v>
      </c>
      <c r="BO28" s="1" t="b">
        <f>Z28='[1]35千伏-750千伏电网基建'!Z28</f>
        <v>1</v>
      </c>
      <c r="BP28" s="1" t="b">
        <f>AA28='[1]35千伏-750千伏电网基建'!AA28</f>
        <v>1</v>
      </c>
      <c r="BQ28" s="1" t="b">
        <f>AB28='[1]35千伏-750千伏电网基建'!AB28</f>
        <v>1</v>
      </c>
      <c r="BR28" s="1" t="b">
        <f>AC28='[1]35千伏-750千伏电网基建'!AC28</f>
        <v>1</v>
      </c>
      <c r="BS28" s="1" t="b">
        <f>AD28='[1]35千伏-750千伏电网基建'!AD28</f>
        <v>1</v>
      </c>
      <c r="BT28" s="1" t="b">
        <f>AE28='[1]35千伏-750千伏电网基建'!AE28</f>
        <v>1</v>
      </c>
      <c r="BU28" s="1" t="b">
        <f>AF28='[1]35千伏-750千伏电网基建'!AF28</f>
        <v>1</v>
      </c>
      <c r="BV28" s="1" t="b">
        <f>AG28='[1]35千伏-750千伏电网基建'!AG28</f>
        <v>1</v>
      </c>
      <c r="BW28" s="1" t="b">
        <f>AH28='[1]35千伏-750千伏电网基建'!AH28</f>
        <v>1</v>
      </c>
      <c r="BX28" s="1" t="b">
        <f>AI28='[1]35千伏-750千伏电网基建'!AI28</f>
        <v>1</v>
      </c>
      <c r="BY28" s="1" t="b">
        <f>AJ28='[1]35千伏-750千伏电网基建'!AJ28</f>
        <v>1</v>
      </c>
      <c r="BZ28" s="1" t="b">
        <f>AK28='[1]35千伏-750千伏电网基建'!AK28</f>
        <v>1</v>
      </c>
    </row>
    <row r="29" s="1" customFormat="1" ht="149" customHeight="1" spans="1:78">
      <c r="A29" s="14"/>
      <c r="B29" s="14"/>
      <c r="C29" s="15"/>
      <c r="D29" s="41"/>
      <c r="E29" s="24"/>
      <c r="F29" s="17"/>
      <c r="G29" s="15"/>
      <c r="H29" s="16"/>
      <c r="I29" s="23" t="s">
        <v>1095</v>
      </c>
      <c r="J29" s="16" t="s">
        <v>1096</v>
      </c>
      <c r="K29" s="15"/>
      <c r="L29" s="15"/>
      <c r="M29" s="15"/>
      <c r="N29" s="15"/>
      <c r="O29" s="15" t="s">
        <v>36</v>
      </c>
      <c r="P29" s="15"/>
      <c r="Q29" s="15"/>
      <c r="R29" s="15"/>
      <c r="S29" s="15" t="s">
        <v>36</v>
      </c>
      <c r="T29" s="15" t="s">
        <v>550</v>
      </c>
      <c r="U29" s="15" t="s">
        <v>669</v>
      </c>
      <c r="V29" s="16" t="s">
        <v>670</v>
      </c>
      <c r="W29" s="42" t="s">
        <v>888</v>
      </c>
      <c r="X29" s="41" t="s">
        <v>474</v>
      </c>
      <c r="Y29" s="41" t="s">
        <v>473</v>
      </c>
      <c r="Z29" s="41"/>
      <c r="AA29" s="41" t="s">
        <v>474</v>
      </c>
      <c r="AB29" s="41" t="s">
        <v>473</v>
      </c>
      <c r="AC29" s="41"/>
      <c r="AD29" s="41"/>
      <c r="AE29" s="41"/>
      <c r="AF29" s="41"/>
      <c r="AG29" s="43"/>
      <c r="AH29" s="41" t="s">
        <v>476</v>
      </c>
      <c r="AI29" s="43" t="s">
        <v>476</v>
      </c>
      <c r="AJ29" s="41" t="s">
        <v>672</v>
      </c>
      <c r="AK29" s="41"/>
      <c r="AL29" s="1" t="s">
        <v>1064</v>
      </c>
      <c r="AM29" s="15" t="s">
        <v>1091</v>
      </c>
      <c r="AO29" s="7" t="s">
        <v>1059</v>
      </c>
      <c r="AP29" s="1" t="b">
        <f>A29='[1]35千伏-750千伏电网基建'!A29</f>
        <v>1</v>
      </c>
      <c r="AQ29" s="1" t="b">
        <f>B29='[1]35千伏-750千伏电网基建'!B29</f>
        <v>1</v>
      </c>
      <c r="AR29" s="1" t="b">
        <f>C29='[1]35千伏-750千伏电网基建'!C29</f>
        <v>1</v>
      </c>
      <c r="AS29" s="1" t="b">
        <f>D29='[1]35千伏-750千伏电网基建'!D29</f>
        <v>1</v>
      </c>
      <c r="AT29" s="1" t="b">
        <f>E29='[1]35千伏-750千伏电网基建'!E29</f>
        <v>1</v>
      </c>
      <c r="AU29" s="1" t="b">
        <f>F29='[1]35千伏-750千伏电网基建'!F29</f>
        <v>1</v>
      </c>
      <c r="AV29" s="1" t="b">
        <f>G29='[1]35千伏-750千伏电网基建'!G29</f>
        <v>1</v>
      </c>
      <c r="AW29" s="1" t="b">
        <f>H29='[1]35千伏-750千伏电网基建'!H29</f>
        <v>1</v>
      </c>
      <c r="AX29" s="1" t="b">
        <f>I29='[1]35千伏-750千伏电网基建'!I29</f>
        <v>1</v>
      </c>
      <c r="AY29" s="1" t="b">
        <f>J29='[1]35千伏-750千伏电网基建'!J29</f>
        <v>1</v>
      </c>
      <c r="AZ29" s="1" t="b">
        <f>K29='[1]35千伏-750千伏电网基建'!K29</f>
        <v>1</v>
      </c>
      <c r="BA29" s="1" t="b">
        <f>L29='[1]35千伏-750千伏电网基建'!L29</f>
        <v>1</v>
      </c>
      <c r="BB29" s="1" t="b">
        <f>M29='[1]35千伏-750千伏电网基建'!M29</f>
        <v>1</v>
      </c>
      <c r="BC29" s="1" t="b">
        <f>N29='[1]35千伏-750千伏电网基建'!N29</f>
        <v>1</v>
      </c>
      <c r="BD29" s="1" t="b">
        <f>O29='[1]35千伏-750千伏电网基建'!O29</f>
        <v>1</v>
      </c>
      <c r="BE29" s="1" t="b">
        <f>P29='[1]35千伏-750千伏电网基建'!P29</f>
        <v>1</v>
      </c>
      <c r="BF29" s="1" t="b">
        <f>Q29='[1]35千伏-750千伏电网基建'!Q29</f>
        <v>1</v>
      </c>
      <c r="BG29" s="1" t="b">
        <f>R29='[1]35千伏-750千伏电网基建'!R29</f>
        <v>1</v>
      </c>
      <c r="BH29" s="1" t="b">
        <f>S29='[1]35千伏-750千伏电网基建'!S29</f>
        <v>1</v>
      </c>
      <c r="BI29" s="1" t="b">
        <f>T29='[1]35千伏-750千伏电网基建'!T29</f>
        <v>1</v>
      </c>
      <c r="BJ29" s="1" t="b">
        <f>U29='[1]35千伏-750千伏电网基建'!U29</f>
        <v>1</v>
      </c>
      <c r="BK29" s="1" t="b">
        <f>V29='[1]35千伏-750千伏电网基建'!V29</f>
        <v>1</v>
      </c>
      <c r="BL29" s="8" t="b">
        <f>W29='[1]35千伏-750千伏电网基建'!W29</f>
        <v>0</v>
      </c>
      <c r="BM29" s="1" t="b">
        <f>X29='[1]35千伏-750千伏电网基建'!X29</f>
        <v>1</v>
      </c>
      <c r="BN29" s="1" t="b">
        <f>Y29='[1]35千伏-750千伏电网基建'!Y29</f>
        <v>1</v>
      </c>
      <c r="BO29" s="1" t="b">
        <f>Z29='[1]35千伏-750千伏电网基建'!Z29</f>
        <v>1</v>
      </c>
      <c r="BP29" s="1" t="b">
        <f>AA29='[1]35千伏-750千伏电网基建'!AA29</f>
        <v>1</v>
      </c>
      <c r="BQ29" s="1" t="b">
        <f>AB29='[1]35千伏-750千伏电网基建'!AB29</f>
        <v>1</v>
      </c>
      <c r="BR29" s="1" t="b">
        <f>AC29='[1]35千伏-750千伏电网基建'!AC29</f>
        <v>1</v>
      </c>
      <c r="BS29" s="1" t="b">
        <f>AD29='[1]35千伏-750千伏电网基建'!AD29</f>
        <v>1</v>
      </c>
      <c r="BT29" s="1" t="b">
        <f>AE29='[1]35千伏-750千伏电网基建'!AE29</f>
        <v>1</v>
      </c>
      <c r="BU29" s="1" t="b">
        <f>AF29='[1]35千伏-750千伏电网基建'!AF29</f>
        <v>1</v>
      </c>
      <c r="BV29" s="1" t="b">
        <f>AG29='[1]35千伏-750千伏电网基建'!AG29</f>
        <v>1</v>
      </c>
      <c r="BW29" s="1" t="b">
        <f>AH29='[1]35千伏-750千伏电网基建'!AH29</f>
        <v>1</v>
      </c>
      <c r="BX29" s="1" t="b">
        <f>AI29='[1]35千伏-750千伏电网基建'!AI29</f>
        <v>1</v>
      </c>
      <c r="BY29" s="1" t="b">
        <f>AJ29='[1]35千伏-750千伏电网基建'!AJ29</f>
        <v>1</v>
      </c>
      <c r="BZ29" s="1" t="b">
        <f>AK29='[1]35千伏-750千伏电网基建'!AK29</f>
        <v>1</v>
      </c>
    </row>
    <row r="30" s="1" customFormat="1" ht="131" customHeight="1" spans="1:78">
      <c r="A30" s="14"/>
      <c r="B30" s="14"/>
      <c r="C30" s="15"/>
      <c r="D30" s="41"/>
      <c r="E30" s="24"/>
      <c r="F30" s="17"/>
      <c r="G30" s="15"/>
      <c r="H30" s="16"/>
      <c r="I30" s="23" t="s">
        <v>1098</v>
      </c>
      <c r="J30" s="16" t="s">
        <v>1099</v>
      </c>
      <c r="K30" s="15"/>
      <c r="L30" s="15"/>
      <c r="M30" s="15"/>
      <c r="N30" s="15"/>
      <c r="O30" s="15" t="s">
        <v>36</v>
      </c>
      <c r="P30" s="15"/>
      <c r="Q30" s="15"/>
      <c r="R30" s="15"/>
      <c r="S30" s="15" t="s">
        <v>36</v>
      </c>
      <c r="T30" s="15" t="s">
        <v>492</v>
      </c>
      <c r="U30" s="15"/>
      <c r="V30" s="16" t="s">
        <v>679</v>
      </c>
      <c r="W30" s="42" t="s">
        <v>888</v>
      </c>
      <c r="X30" s="41" t="s">
        <v>474</v>
      </c>
      <c r="Y30" s="41" t="s">
        <v>473</v>
      </c>
      <c r="Z30" s="41"/>
      <c r="AA30" s="41" t="s">
        <v>474</v>
      </c>
      <c r="AB30" s="41" t="s">
        <v>473</v>
      </c>
      <c r="AC30" s="41"/>
      <c r="AD30" s="41"/>
      <c r="AE30" s="41"/>
      <c r="AF30" s="41"/>
      <c r="AG30" s="43"/>
      <c r="AH30" s="41" t="s">
        <v>476</v>
      </c>
      <c r="AI30" s="43" t="s">
        <v>476</v>
      </c>
      <c r="AJ30" s="41" t="s">
        <v>672</v>
      </c>
      <c r="AK30" s="41"/>
      <c r="AL30" s="1" t="s">
        <v>1064</v>
      </c>
      <c r="AM30" s="15" t="s">
        <v>1091</v>
      </c>
      <c r="AO30" s="7" t="s">
        <v>1045</v>
      </c>
      <c r="AP30" s="1" t="b">
        <f>A30='[1]35千伏-750千伏电网基建'!A30</f>
        <v>1</v>
      </c>
      <c r="AQ30" s="1" t="b">
        <f>B30='[1]35千伏-750千伏电网基建'!B30</f>
        <v>1</v>
      </c>
      <c r="AR30" s="1" t="b">
        <f>C30='[1]35千伏-750千伏电网基建'!C30</f>
        <v>1</v>
      </c>
      <c r="AS30" s="1" t="b">
        <f>D30='[1]35千伏-750千伏电网基建'!D30</f>
        <v>1</v>
      </c>
      <c r="AT30" s="1" t="b">
        <f>E30='[1]35千伏-750千伏电网基建'!E30</f>
        <v>1</v>
      </c>
      <c r="AU30" s="1" t="b">
        <f>F30='[1]35千伏-750千伏电网基建'!F30</f>
        <v>1</v>
      </c>
      <c r="AV30" s="1" t="b">
        <f>G30='[1]35千伏-750千伏电网基建'!G30</f>
        <v>1</v>
      </c>
      <c r="AW30" s="1" t="b">
        <f>H30='[1]35千伏-750千伏电网基建'!H30</f>
        <v>1</v>
      </c>
      <c r="AX30" s="1" t="b">
        <f>I30='[1]35千伏-750千伏电网基建'!I30</f>
        <v>1</v>
      </c>
      <c r="AY30" s="1" t="b">
        <f>J30='[1]35千伏-750千伏电网基建'!J30</f>
        <v>1</v>
      </c>
      <c r="AZ30" s="1" t="b">
        <f>K30='[1]35千伏-750千伏电网基建'!K30</f>
        <v>1</v>
      </c>
      <c r="BA30" s="1" t="b">
        <f>L30='[1]35千伏-750千伏电网基建'!L30</f>
        <v>1</v>
      </c>
      <c r="BB30" s="1" t="b">
        <f>M30='[1]35千伏-750千伏电网基建'!M30</f>
        <v>1</v>
      </c>
      <c r="BC30" s="1" t="b">
        <f>N30='[1]35千伏-750千伏电网基建'!N30</f>
        <v>1</v>
      </c>
      <c r="BD30" s="1" t="b">
        <f>O30='[1]35千伏-750千伏电网基建'!O30</f>
        <v>1</v>
      </c>
      <c r="BE30" s="1" t="b">
        <f>P30='[1]35千伏-750千伏电网基建'!P30</f>
        <v>1</v>
      </c>
      <c r="BF30" s="1" t="b">
        <f>Q30='[1]35千伏-750千伏电网基建'!Q30</f>
        <v>1</v>
      </c>
      <c r="BG30" s="1" t="b">
        <f>R30='[1]35千伏-750千伏电网基建'!R30</f>
        <v>1</v>
      </c>
      <c r="BH30" s="1" t="b">
        <f>S30='[1]35千伏-750千伏电网基建'!S30</f>
        <v>1</v>
      </c>
      <c r="BI30" s="1" t="b">
        <f>T30='[1]35千伏-750千伏电网基建'!T30</f>
        <v>1</v>
      </c>
      <c r="BJ30" s="1" t="b">
        <f>U30='[1]35千伏-750千伏电网基建'!U30</f>
        <v>1</v>
      </c>
      <c r="BK30" s="1" t="b">
        <f>V30='[1]35千伏-750千伏电网基建'!V30</f>
        <v>1</v>
      </c>
      <c r="BL30" s="8" t="b">
        <f>W30='[1]35千伏-750千伏电网基建'!W30</f>
        <v>0</v>
      </c>
      <c r="BM30" s="1" t="b">
        <f>X30='[1]35千伏-750千伏电网基建'!X30</f>
        <v>1</v>
      </c>
      <c r="BN30" s="1" t="b">
        <f>Y30='[1]35千伏-750千伏电网基建'!Y30</f>
        <v>1</v>
      </c>
      <c r="BO30" s="1" t="b">
        <f>Z30='[1]35千伏-750千伏电网基建'!Z30</f>
        <v>1</v>
      </c>
      <c r="BP30" s="1" t="b">
        <f>AA30='[1]35千伏-750千伏电网基建'!AA30</f>
        <v>1</v>
      </c>
      <c r="BQ30" s="1" t="b">
        <f>AB30='[1]35千伏-750千伏电网基建'!AB30</f>
        <v>1</v>
      </c>
      <c r="BR30" s="1" t="b">
        <f>AC30='[1]35千伏-750千伏电网基建'!AC30</f>
        <v>1</v>
      </c>
      <c r="BS30" s="1" t="b">
        <f>AD30='[1]35千伏-750千伏电网基建'!AD30</f>
        <v>1</v>
      </c>
      <c r="BT30" s="1" t="b">
        <f>AE30='[1]35千伏-750千伏电网基建'!AE30</f>
        <v>1</v>
      </c>
      <c r="BU30" s="1" t="b">
        <f>AF30='[1]35千伏-750千伏电网基建'!AF30</f>
        <v>1</v>
      </c>
      <c r="BV30" s="1" t="b">
        <f>AG30='[1]35千伏-750千伏电网基建'!AG30</f>
        <v>1</v>
      </c>
      <c r="BW30" s="1" t="b">
        <f>AH30='[1]35千伏-750千伏电网基建'!AH30</f>
        <v>1</v>
      </c>
      <c r="BX30" s="1" t="b">
        <f>AI30='[1]35千伏-750千伏电网基建'!AI30</f>
        <v>1</v>
      </c>
      <c r="BY30" s="1" t="b">
        <f>AJ30='[1]35千伏-750千伏电网基建'!AJ30</f>
        <v>1</v>
      </c>
      <c r="BZ30" s="1" t="b">
        <f>AK30='[1]35千伏-750千伏电网基建'!AK30</f>
        <v>1</v>
      </c>
    </row>
    <row r="31" s="1" customFormat="1" ht="133" customHeight="1" spans="1:78">
      <c r="A31" s="14"/>
      <c r="B31" s="14"/>
      <c r="C31" s="15"/>
      <c r="D31" s="41"/>
      <c r="E31" s="24"/>
      <c r="F31" s="17"/>
      <c r="G31" s="15"/>
      <c r="H31" s="16"/>
      <c r="I31" s="23" t="s">
        <v>1100</v>
      </c>
      <c r="J31" s="16" t="s">
        <v>1101</v>
      </c>
      <c r="K31" s="15"/>
      <c r="L31" s="15" t="s">
        <v>36</v>
      </c>
      <c r="M31" s="15" t="s">
        <v>36</v>
      </c>
      <c r="N31" s="15"/>
      <c r="O31" s="15" t="s">
        <v>36</v>
      </c>
      <c r="P31" s="15" t="s">
        <v>36</v>
      </c>
      <c r="Q31" s="15" t="s">
        <v>36</v>
      </c>
      <c r="R31" s="15"/>
      <c r="S31" s="15"/>
      <c r="T31" s="15" t="s">
        <v>550</v>
      </c>
      <c r="U31" s="15" t="s">
        <v>682</v>
      </c>
      <c r="V31" s="16" t="s">
        <v>683</v>
      </c>
      <c r="W31" s="35" t="s">
        <v>1412</v>
      </c>
      <c r="X31" s="41" t="s">
        <v>474</v>
      </c>
      <c r="Y31" s="41" t="s">
        <v>473</v>
      </c>
      <c r="Z31" s="41"/>
      <c r="AA31" s="41" t="s">
        <v>474</v>
      </c>
      <c r="AB31" s="41" t="s">
        <v>473</v>
      </c>
      <c r="AC31" s="41"/>
      <c r="AD31" s="41"/>
      <c r="AE31" s="41"/>
      <c r="AF31" s="41"/>
      <c r="AG31" s="43"/>
      <c r="AH31" s="41" t="s">
        <v>476</v>
      </c>
      <c r="AI31" s="43" t="s">
        <v>476</v>
      </c>
      <c r="AJ31" s="41" t="s">
        <v>672</v>
      </c>
      <c r="AK31" s="41"/>
      <c r="AL31" s="1" t="s">
        <v>1064</v>
      </c>
      <c r="AM31" s="23" t="s">
        <v>1102</v>
      </c>
      <c r="AO31" s="7" t="s">
        <v>1045</v>
      </c>
      <c r="AP31" s="1" t="b">
        <f>A31='[1]35千伏-750千伏电网基建'!A31</f>
        <v>1</v>
      </c>
      <c r="AQ31" s="1" t="b">
        <f>B31='[1]35千伏-750千伏电网基建'!B31</f>
        <v>1</v>
      </c>
      <c r="AR31" s="1" t="b">
        <f>C31='[1]35千伏-750千伏电网基建'!C31</f>
        <v>1</v>
      </c>
      <c r="AS31" s="1" t="b">
        <f>D31='[1]35千伏-750千伏电网基建'!D31</f>
        <v>1</v>
      </c>
      <c r="AT31" s="1" t="b">
        <f>E31='[1]35千伏-750千伏电网基建'!E31</f>
        <v>1</v>
      </c>
      <c r="AU31" s="1" t="b">
        <f>F31='[1]35千伏-750千伏电网基建'!F31</f>
        <v>1</v>
      </c>
      <c r="AV31" s="1" t="b">
        <f>G31='[1]35千伏-750千伏电网基建'!G31</f>
        <v>1</v>
      </c>
      <c r="AW31" s="1" t="b">
        <f>H31='[1]35千伏-750千伏电网基建'!H31</f>
        <v>1</v>
      </c>
      <c r="AX31" s="1" t="b">
        <f>I31='[1]35千伏-750千伏电网基建'!I31</f>
        <v>1</v>
      </c>
      <c r="AY31" s="1" t="b">
        <f>J31='[1]35千伏-750千伏电网基建'!J31</f>
        <v>1</v>
      </c>
      <c r="AZ31" s="1" t="b">
        <f>K31='[1]35千伏-750千伏电网基建'!K31</f>
        <v>1</v>
      </c>
      <c r="BA31" s="1" t="b">
        <f>L31='[1]35千伏-750千伏电网基建'!L31</f>
        <v>1</v>
      </c>
      <c r="BB31" s="1" t="b">
        <f>M31='[1]35千伏-750千伏电网基建'!M31</f>
        <v>1</v>
      </c>
      <c r="BC31" s="1" t="b">
        <f>N31='[1]35千伏-750千伏电网基建'!N31</f>
        <v>1</v>
      </c>
      <c r="BD31" s="1" t="b">
        <f>O31='[1]35千伏-750千伏电网基建'!O31</f>
        <v>1</v>
      </c>
      <c r="BE31" s="1" t="b">
        <f>P31='[1]35千伏-750千伏电网基建'!P31</f>
        <v>1</v>
      </c>
      <c r="BF31" s="1" t="b">
        <f>Q31='[1]35千伏-750千伏电网基建'!Q31</f>
        <v>1</v>
      </c>
      <c r="BG31" s="1" t="b">
        <f>R31='[1]35千伏-750千伏电网基建'!R31</f>
        <v>1</v>
      </c>
      <c r="BH31" s="1" t="b">
        <f>S31='[1]35千伏-750千伏电网基建'!S31</f>
        <v>1</v>
      </c>
      <c r="BI31" s="1" t="b">
        <f>T31='[1]35千伏-750千伏电网基建'!T31</f>
        <v>1</v>
      </c>
      <c r="BJ31" s="1" t="b">
        <f>U31='[1]35千伏-750千伏电网基建'!U31</f>
        <v>1</v>
      </c>
      <c r="BK31" s="1" t="b">
        <f>V31='[1]35千伏-750千伏电网基建'!V31</f>
        <v>1</v>
      </c>
      <c r="BL31" s="8" t="b">
        <f>W31='[1]35千伏-750千伏电网基建'!W31</f>
        <v>0</v>
      </c>
      <c r="BM31" s="1" t="b">
        <f>X31='[1]35千伏-750千伏电网基建'!X31</f>
        <v>1</v>
      </c>
      <c r="BN31" s="1" t="b">
        <f>Y31='[1]35千伏-750千伏电网基建'!Y31</f>
        <v>1</v>
      </c>
      <c r="BO31" s="1" t="b">
        <f>Z31='[1]35千伏-750千伏电网基建'!Z31</f>
        <v>1</v>
      </c>
      <c r="BP31" s="1" t="b">
        <f>AA31='[1]35千伏-750千伏电网基建'!AA31</f>
        <v>1</v>
      </c>
      <c r="BQ31" s="1" t="b">
        <f>AB31='[1]35千伏-750千伏电网基建'!AB31</f>
        <v>1</v>
      </c>
      <c r="BR31" s="1" t="b">
        <f>AC31='[1]35千伏-750千伏电网基建'!AC31</f>
        <v>1</v>
      </c>
      <c r="BS31" s="1" t="b">
        <f>AD31='[1]35千伏-750千伏电网基建'!AD31</f>
        <v>1</v>
      </c>
      <c r="BT31" s="1" t="b">
        <f>AE31='[1]35千伏-750千伏电网基建'!AE31</f>
        <v>1</v>
      </c>
      <c r="BU31" s="1" t="b">
        <f>AF31='[1]35千伏-750千伏电网基建'!AF31</f>
        <v>1</v>
      </c>
      <c r="BV31" s="1" t="b">
        <f>AG31='[1]35千伏-750千伏电网基建'!AG31</f>
        <v>1</v>
      </c>
      <c r="BW31" s="1" t="b">
        <f>AH31='[1]35千伏-750千伏电网基建'!AH31</f>
        <v>1</v>
      </c>
      <c r="BX31" s="1" t="b">
        <f>AI31='[1]35千伏-750千伏电网基建'!AI31</f>
        <v>1</v>
      </c>
      <c r="BY31" s="1" t="b">
        <f>AJ31='[1]35千伏-750千伏电网基建'!AJ31</f>
        <v>1</v>
      </c>
      <c r="BZ31" s="1" t="b">
        <f>AK31='[1]35千伏-750千伏电网基建'!AK31</f>
        <v>1</v>
      </c>
    </row>
    <row r="32" s="1" customFormat="1" ht="121" customHeight="1" spans="1:78">
      <c r="A32" s="14"/>
      <c r="B32" s="14"/>
      <c r="C32" s="15"/>
      <c r="D32" s="41"/>
      <c r="E32" s="24"/>
      <c r="F32" s="17"/>
      <c r="G32" s="15"/>
      <c r="H32" s="16"/>
      <c r="I32" s="23" t="s">
        <v>1103</v>
      </c>
      <c r="J32" s="16" t="s">
        <v>1104</v>
      </c>
      <c r="K32" s="15"/>
      <c r="L32" s="15"/>
      <c r="M32" s="15"/>
      <c r="N32" s="15"/>
      <c r="O32" s="15"/>
      <c r="P32" s="15" t="s">
        <v>36</v>
      </c>
      <c r="Q32" s="15" t="s">
        <v>36</v>
      </c>
      <c r="R32" s="15"/>
      <c r="S32" s="15" t="s">
        <v>36</v>
      </c>
      <c r="T32" s="15" t="s">
        <v>492</v>
      </c>
      <c r="U32" s="15"/>
      <c r="V32" s="16" t="s">
        <v>687</v>
      </c>
      <c r="W32" s="42" t="s">
        <v>888</v>
      </c>
      <c r="X32" s="41" t="s">
        <v>474</v>
      </c>
      <c r="Y32" s="41" t="s">
        <v>473</v>
      </c>
      <c r="Z32" s="41"/>
      <c r="AA32" s="41" t="s">
        <v>474</v>
      </c>
      <c r="AB32" s="41" t="s">
        <v>473</v>
      </c>
      <c r="AC32" s="41"/>
      <c r="AD32" s="41"/>
      <c r="AE32" s="41"/>
      <c r="AF32" s="41"/>
      <c r="AG32" s="43"/>
      <c r="AH32" s="41" t="s">
        <v>476</v>
      </c>
      <c r="AI32" s="43" t="s">
        <v>476</v>
      </c>
      <c r="AJ32" s="41" t="s">
        <v>672</v>
      </c>
      <c r="AK32" s="41"/>
      <c r="AL32" s="1" t="s">
        <v>1064</v>
      </c>
      <c r="AM32" s="23" t="s">
        <v>1091</v>
      </c>
      <c r="AO32" s="7" t="s">
        <v>1045</v>
      </c>
      <c r="AP32" s="1" t="b">
        <f>A32='[1]35千伏-750千伏电网基建'!A32</f>
        <v>1</v>
      </c>
      <c r="AQ32" s="1" t="b">
        <f>B32='[1]35千伏-750千伏电网基建'!B32</f>
        <v>1</v>
      </c>
      <c r="AR32" s="1" t="b">
        <f>C32='[1]35千伏-750千伏电网基建'!C32</f>
        <v>1</v>
      </c>
      <c r="AS32" s="1" t="b">
        <f>D32='[1]35千伏-750千伏电网基建'!D32</f>
        <v>1</v>
      </c>
      <c r="AT32" s="1" t="b">
        <f>E32='[1]35千伏-750千伏电网基建'!E32</f>
        <v>1</v>
      </c>
      <c r="AU32" s="1" t="b">
        <f>F32='[1]35千伏-750千伏电网基建'!F32</f>
        <v>1</v>
      </c>
      <c r="AV32" s="1" t="b">
        <f>G32='[1]35千伏-750千伏电网基建'!G32</f>
        <v>1</v>
      </c>
      <c r="AW32" s="1" t="b">
        <f>H32='[1]35千伏-750千伏电网基建'!H32</f>
        <v>1</v>
      </c>
      <c r="AX32" s="1" t="b">
        <f>I32='[1]35千伏-750千伏电网基建'!I32</f>
        <v>1</v>
      </c>
      <c r="AY32" s="1" t="b">
        <f>J32='[1]35千伏-750千伏电网基建'!J32</f>
        <v>1</v>
      </c>
      <c r="AZ32" s="1" t="b">
        <f>K32='[1]35千伏-750千伏电网基建'!K32</f>
        <v>1</v>
      </c>
      <c r="BA32" s="1" t="b">
        <f>L32='[1]35千伏-750千伏电网基建'!L32</f>
        <v>1</v>
      </c>
      <c r="BB32" s="1" t="b">
        <f>M32='[1]35千伏-750千伏电网基建'!M32</f>
        <v>1</v>
      </c>
      <c r="BC32" s="1" t="b">
        <f>N32='[1]35千伏-750千伏电网基建'!N32</f>
        <v>1</v>
      </c>
      <c r="BD32" s="1" t="b">
        <f>O32='[1]35千伏-750千伏电网基建'!O32</f>
        <v>1</v>
      </c>
      <c r="BE32" s="1" t="b">
        <f>P32='[1]35千伏-750千伏电网基建'!P32</f>
        <v>1</v>
      </c>
      <c r="BF32" s="1" t="b">
        <f>Q32='[1]35千伏-750千伏电网基建'!Q32</f>
        <v>1</v>
      </c>
      <c r="BG32" s="1" t="b">
        <f>R32='[1]35千伏-750千伏电网基建'!R32</f>
        <v>1</v>
      </c>
      <c r="BH32" s="1" t="b">
        <f>S32='[1]35千伏-750千伏电网基建'!S32</f>
        <v>1</v>
      </c>
      <c r="BI32" s="1" t="b">
        <f>T32='[1]35千伏-750千伏电网基建'!T32</f>
        <v>1</v>
      </c>
      <c r="BJ32" s="1" t="b">
        <f>U32='[1]35千伏-750千伏电网基建'!U32</f>
        <v>1</v>
      </c>
      <c r="BK32" s="1" t="b">
        <f>V32='[1]35千伏-750千伏电网基建'!V32</f>
        <v>1</v>
      </c>
      <c r="BL32" s="8" t="b">
        <f>W32='[1]35千伏-750千伏电网基建'!W32</f>
        <v>0</v>
      </c>
      <c r="BM32" s="1" t="b">
        <f>X32='[1]35千伏-750千伏电网基建'!X32</f>
        <v>1</v>
      </c>
      <c r="BN32" s="1" t="b">
        <f>Y32='[1]35千伏-750千伏电网基建'!Y32</f>
        <v>1</v>
      </c>
      <c r="BO32" s="1" t="b">
        <f>Z32='[1]35千伏-750千伏电网基建'!Z32</f>
        <v>1</v>
      </c>
      <c r="BP32" s="1" t="b">
        <f>AA32='[1]35千伏-750千伏电网基建'!AA32</f>
        <v>1</v>
      </c>
      <c r="BQ32" s="1" t="b">
        <f>AB32='[1]35千伏-750千伏电网基建'!AB32</f>
        <v>1</v>
      </c>
      <c r="BR32" s="1" t="b">
        <f>AC32='[1]35千伏-750千伏电网基建'!AC32</f>
        <v>1</v>
      </c>
      <c r="BS32" s="1" t="b">
        <f>AD32='[1]35千伏-750千伏电网基建'!AD32</f>
        <v>1</v>
      </c>
      <c r="BT32" s="1" t="b">
        <f>AE32='[1]35千伏-750千伏电网基建'!AE32</f>
        <v>1</v>
      </c>
      <c r="BU32" s="1" t="b">
        <f>AF32='[1]35千伏-750千伏电网基建'!AF32</f>
        <v>1</v>
      </c>
      <c r="BV32" s="1" t="b">
        <f>AG32='[1]35千伏-750千伏电网基建'!AG32</f>
        <v>1</v>
      </c>
      <c r="BW32" s="1" t="b">
        <f>AH32='[1]35千伏-750千伏电网基建'!AH32</f>
        <v>1</v>
      </c>
      <c r="BX32" s="1" t="b">
        <f>AI32='[1]35千伏-750千伏电网基建'!AI32</f>
        <v>1</v>
      </c>
      <c r="BY32" s="1" t="b">
        <f>AJ32='[1]35千伏-750千伏电网基建'!AJ32</f>
        <v>1</v>
      </c>
      <c r="BZ32" s="1" t="b">
        <f>AK32='[1]35千伏-750千伏电网基建'!AK32</f>
        <v>1</v>
      </c>
    </row>
    <row r="33" s="1" customFormat="1" ht="86" customHeight="1" spans="1:78">
      <c r="A33" s="14"/>
      <c r="B33" s="14"/>
      <c r="C33" s="15" t="s">
        <v>485</v>
      </c>
      <c r="D33" s="15" t="s">
        <v>688</v>
      </c>
      <c r="E33" s="16" t="s">
        <v>689</v>
      </c>
      <c r="F33" s="17" t="s">
        <v>690</v>
      </c>
      <c r="G33" s="15" t="s">
        <v>1105</v>
      </c>
      <c r="H33" s="16" t="s">
        <v>692</v>
      </c>
      <c r="I33" s="23" t="s">
        <v>1106</v>
      </c>
      <c r="J33" s="31" t="s">
        <v>1357</v>
      </c>
      <c r="K33" s="15"/>
      <c r="L33" s="15"/>
      <c r="M33" s="15"/>
      <c r="N33" s="15"/>
      <c r="O33" s="15"/>
      <c r="P33" s="15"/>
      <c r="Q33" s="15"/>
      <c r="R33" s="15"/>
      <c r="S33" s="15"/>
      <c r="T33" s="15" t="s">
        <v>492</v>
      </c>
      <c r="U33" s="15"/>
      <c r="V33" s="16"/>
      <c r="W33" s="42" t="s">
        <v>1426</v>
      </c>
      <c r="X33" s="41"/>
      <c r="Y33" s="41"/>
      <c r="Z33" s="41"/>
      <c r="AA33" s="41"/>
      <c r="AB33" s="41"/>
      <c r="AC33" s="41"/>
      <c r="AD33" s="41"/>
      <c r="AE33" s="41"/>
      <c r="AF33" s="41"/>
      <c r="AG33" s="39"/>
      <c r="AH33" s="43" t="s">
        <v>610</v>
      </c>
      <c r="AI33" s="43" t="s">
        <v>610</v>
      </c>
      <c r="AJ33" s="41"/>
      <c r="AK33" s="41" t="s">
        <v>673</v>
      </c>
      <c r="AL33" s="1" t="s">
        <v>1064</v>
      </c>
      <c r="AM33" s="23" t="s">
        <v>1091</v>
      </c>
      <c r="AO33" s="7" t="s">
        <v>1059</v>
      </c>
      <c r="AP33" s="1" t="b">
        <f>A33='[1]35千伏-750千伏电网基建'!A33</f>
        <v>1</v>
      </c>
      <c r="AQ33" s="1" t="b">
        <f>B33='[1]35千伏-750千伏电网基建'!B33</f>
        <v>1</v>
      </c>
      <c r="AR33" s="1" t="b">
        <f>C33='[1]35千伏-750千伏电网基建'!C33</f>
        <v>1</v>
      </c>
      <c r="AS33" s="1" t="b">
        <f>D33='[1]35千伏-750千伏电网基建'!D33</f>
        <v>1</v>
      </c>
      <c r="AT33" s="1" t="b">
        <f>E33='[1]35千伏-750千伏电网基建'!E33</f>
        <v>1</v>
      </c>
      <c r="AU33" s="1" t="b">
        <f>F33='[1]35千伏-750千伏电网基建'!F33</f>
        <v>1</v>
      </c>
      <c r="AV33" s="1" t="b">
        <f>G33='[1]35千伏-750千伏电网基建'!G33</f>
        <v>1</v>
      </c>
      <c r="AW33" s="1" t="b">
        <f>H33='[1]35千伏-750千伏电网基建'!H33</f>
        <v>1</v>
      </c>
      <c r="AX33" s="1" t="b">
        <f>I33='[1]35千伏-750千伏电网基建'!I33</f>
        <v>1</v>
      </c>
      <c r="AY33" s="3" t="b">
        <f>J33='[1]35千伏-750千伏电网基建'!J33</f>
        <v>0</v>
      </c>
      <c r="AZ33" s="1" t="b">
        <f>K33='[1]35千伏-750千伏电网基建'!K33</f>
        <v>1</v>
      </c>
      <c r="BA33" s="1" t="b">
        <f>L33='[1]35千伏-750千伏电网基建'!L33</f>
        <v>1</v>
      </c>
      <c r="BB33" s="1" t="b">
        <f>M33='[1]35千伏-750千伏电网基建'!M33</f>
        <v>1</v>
      </c>
      <c r="BC33" s="1" t="b">
        <f>N33='[1]35千伏-750千伏电网基建'!N33</f>
        <v>1</v>
      </c>
      <c r="BD33" s="1" t="b">
        <f>O33='[1]35千伏-750千伏电网基建'!O33</f>
        <v>1</v>
      </c>
      <c r="BE33" s="1" t="b">
        <f>P33='[1]35千伏-750千伏电网基建'!P33</f>
        <v>1</v>
      </c>
      <c r="BF33" s="1" t="b">
        <f>Q33='[1]35千伏-750千伏电网基建'!Q33</f>
        <v>1</v>
      </c>
      <c r="BG33" s="1" t="b">
        <f>R33='[1]35千伏-750千伏电网基建'!R33</f>
        <v>1</v>
      </c>
      <c r="BH33" s="1" t="b">
        <f>S33='[1]35千伏-750千伏电网基建'!S33</f>
        <v>1</v>
      </c>
      <c r="BI33" s="1" t="b">
        <f>T33='[1]35千伏-750千伏电网基建'!T33</f>
        <v>1</v>
      </c>
      <c r="BJ33" s="1" t="b">
        <f>U33='[1]35千伏-750千伏电网基建'!U33</f>
        <v>1</v>
      </c>
      <c r="BK33" s="1" t="b">
        <f>V33='[1]35千伏-750千伏电网基建'!V33</f>
        <v>1</v>
      </c>
      <c r="BL33" s="8" t="b">
        <f>W33='[1]35千伏-750千伏电网基建'!W33</f>
        <v>0</v>
      </c>
      <c r="BM33" s="1" t="b">
        <f>X33='[1]35千伏-750千伏电网基建'!X33</f>
        <v>1</v>
      </c>
      <c r="BN33" s="1" t="b">
        <f>Y33='[1]35千伏-750千伏电网基建'!Y33</f>
        <v>1</v>
      </c>
      <c r="BO33" s="1" t="b">
        <f>Z33='[1]35千伏-750千伏电网基建'!Z33</f>
        <v>1</v>
      </c>
      <c r="BP33" s="1" t="b">
        <f>AA33='[1]35千伏-750千伏电网基建'!AA33</f>
        <v>1</v>
      </c>
      <c r="BQ33" s="1" t="b">
        <f>AB33='[1]35千伏-750千伏电网基建'!AB33</f>
        <v>1</v>
      </c>
      <c r="BR33" s="1" t="b">
        <f>AC33='[1]35千伏-750千伏电网基建'!AC33</f>
        <v>1</v>
      </c>
      <c r="BS33" s="1" t="b">
        <f>AD33='[1]35千伏-750千伏电网基建'!AD33</f>
        <v>1</v>
      </c>
      <c r="BT33" s="1" t="b">
        <f>AE33='[1]35千伏-750千伏电网基建'!AE33</f>
        <v>1</v>
      </c>
      <c r="BU33" s="1" t="b">
        <f>AF33='[1]35千伏-750千伏电网基建'!AF33</f>
        <v>1</v>
      </c>
      <c r="BV33" s="1" t="b">
        <f>AG33='[1]35千伏-750千伏电网基建'!AG33</f>
        <v>1</v>
      </c>
      <c r="BW33" s="1" t="b">
        <f>AH33='[1]35千伏-750千伏电网基建'!AH33</f>
        <v>1</v>
      </c>
      <c r="BX33" s="1" t="b">
        <f>AI33='[1]35千伏-750千伏电网基建'!AI33</f>
        <v>1</v>
      </c>
      <c r="BY33" s="1" t="b">
        <f>AJ33='[1]35千伏-750千伏电网基建'!AJ33</f>
        <v>1</v>
      </c>
      <c r="BZ33" s="1" t="b">
        <f>AK33='[1]35千伏-750千伏电网基建'!AK33</f>
        <v>1</v>
      </c>
    </row>
    <row r="34" s="1" customFormat="1" ht="98" customHeight="1" spans="1:78">
      <c r="A34" s="14" t="s">
        <v>483</v>
      </c>
      <c r="B34" s="14" t="s">
        <v>662</v>
      </c>
      <c r="C34" s="15" t="s">
        <v>485</v>
      </c>
      <c r="D34" s="15" t="s">
        <v>688</v>
      </c>
      <c r="E34" s="16" t="s">
        <v>689</v>
      </c>
      <c r="F34" s="17" t="s">
        <v>690</v>
      </c>
      <c r="G34" s="15" t="s">
        <v>1105</v>
      </c>
      <c r="H34" s="16" t="s">
        <v>692</v>
      </c>
      <c r="I34" s="23" t="s">
        <v>1108</v>
      </c>
      <c r="J34" s="16" t="s">
        <v>1109</v>
      </c>
      <c r="K34" s="15"/>
      <c r="L34" s="15"/>
      <c r="M34" s="35" t="s">
        <v>36</v>
      </c>
      <c r="N34" s="15"/>
      <c r="O34" s="15"/>
      <c r="P34" s="15"/>
      <c r="Q34" s="15"/>
      <c r="R34" s="15"/>
      <c r="S34" s="15"/>
      <c r="T34" s="15" t="s">
        <v>492</v>
      </c>
      <c r="U34" s="15"/>
      <c r="V34" s="16" t="s">
        <v>698</v>
      </c>
      <c r="W34" s="42" t="s">
        <v>1427</v>
      </c>
      <c r="X34" s="35" t="s">
        <v>474</v>
      </c>
      <c r="Y34" s="35" t="s">
        <v>473</v>
      </c>
      <c r="Z34" s="35"/>
      <c r="AA34" s="35" t="s">
        <v>474</v>
      </c>
      <c r="AB34" s="35" t="s">
        <v>473</v>
      </c>
      <c r="AC34" s="41"/>
      <c r="AD34" s="41"/>
      <c r="AE34" s="41"/>
      <c r="AF34" s="41"/>
      <c r="AG34" s="39"/>
      <c r="AH34" s="44" t="s">
        <v>1358</v>
      </c>
      <c r="AI34" s="44" t="s">
        <v>1358</v>
      </c>
      <c r="AJ34" s="42" t="s">
        <v>699</v>
      </c>
      <c r="AK34" s="41" t="s">
        <v>673</v>
      </c>
      <c r="AL34" s="1" t="s">
        <v>1064</v>
      </c>
      <c r="AM34" s="23" t="s">
        <v>1091</v>
      </c>
      <c r="AO34" s="7" t="s">
        <v>1428</v>
      </c>
      <c r="AP34" s="1" t="b">
        <f>A34='[1]35千伏-750千伏电网基建'!A34</f>
        <v>1</v>
      </c>
      <c r="AQ34" s="1" t="b">
        <f>B34='[1]35千伏-750千伏电网基建'!B34</f>
        <v>1</v>
      </c>
      <c r="AR34" s="1" t="b">
        <f>C34='[1]35千伏-750千伏电网基建'!C34</f>
        <v>1</v>
      </c>
      <c r="AS34" s="1" t="b">
        <f>D34='[1]35千伏-750千伏电网基建'!D34</f>
        <v>1</v>
      </c>
      <c r="AT34" s="1" t="b">
        <f>E34='[1]35千伏-750千伏电网基建'!E34</f>
        <v>1</v>
      </c>
      <c r="AU34" s="1" t="b">
        <f>F34='[1]35千伏-750千伏电网基建'!F34</f>
        <v>1</v>
      </c>
      <c r="AV34" s="1" t="b">
        <f>G34='[1]35千伏-750千伏电网基建'!G34</f>
        <v>1</v>
      </c>
      <c r="AW34" s="1" t="b">
        <f>H34='[1]35千伏-750千伏电网基建'!H34</f>
        <v>1</v>
      </c>
      <c r="AX34" s="1" t="b">
        <f>I34='[1]35千伏-750千伏电网基建'!I34</f>
        <v>1</v>
      </c>
      <c r="AY34" s="1" t="b">
        <f>J34='[1]35千伏-750千伏电网基建'!J34</f>
        <v>1</v>
      </c>
      <c r="AZ34" s="1" t="b">
        <f>K34='[1]35千伏-750千伏电网基建'!K34</f>
        <v>1</v>
      </c>
      <c r="BA34" s="1" t="b">
        <f>L34='[1]35千伏-750千伏电网基建'!L34</f>
        <v>1</v>
      </c>
      <c r="BB34" s="1" t="b">
        <f>M34='[1]35千伏-750千伏电网基建'!M34</f>
        <v>1</v>
      </c>
      <c r="BC34" s="1" t="b">
        <f>N34='[1]35千伏-750千伏电网基建'!N34</f>
        <v>1</v>
      </c>
      <c r="BD34" s="1" t="b">
        <f>O34='[1]35千伏-750千伏电网基建'!O34</f>
        <v>1</v>
      </c>
      <c r="BE34" s="1" t="b">
        <f>P34='[1]35千伏-750千伏电网基建'!P34</f>
        <v>1</v>
      </c>
      <c r="BF34" s="1" t="b">
        <f>Q34='[1]35千伏-750千伏电网基建'!Q34</f>
        <v>1</v>
      </c>
      <c r="BG34" s="1" t="b">
        <f>R34='[1]35千伏-750千伏电网基建'!R34</f>
        <v>1</v>
      </c>
      <c r="BH34" s="1" t="b">
        <f>S34='[1]35千伏-750千伏电网基建'!S34</f>
        <v>1</v>
      </c>
      <c r="BI34" s="1" t="b">
        <f>T34='[1]35千伏-750千伏电网基建'!T34</f>
        <v>1</v>
      </c>
      <c r="BJ34" s="1" t="b">
        <f>U34='[1]35千伏-750千伏电网基建'!U34</f>
        <v>1</v>
      </c>
      <c r="BK34" s="1" t="b">
        <f>V34='[1]35千伏-750千伏电网基建'!V34</f>
        <v>1</v>
      </c>
      <c r="BL34" s="8" t="b">
        <f>W34='[1]35千伏-750千伏电网基建'!W34</f>
        <v>0</v>
      </c>
      <c r="BM34" s="1" t="b">
        <f>X34='[1]35千伏-750千伏电网基建'!X34</f>
        <v>1</v>
      </c>
      <c r="BN34" s="1" t="b">
        <f>Y34='[1]35千伏-750千伏电网基建'!Y34</f>
        <v>1</v>
      </c>
      <c r="BO34" s="1" t="b">
        <f>Z34='[1]35千伏-750千伏电网基建'!Z34</f>
        <v>1</v>
      </c>
      <c r="BP34" s="1" t="b">
        <f>AA34='[1]35千伏-750千伏电网基建'!AA34</f>
        <v>1</v>
      </c>
      <c r="BQ34" s="1" t="b">
        <f>AB34='[1]35千伏-750千伏电网基建'!AB34</f>
        <v>1</v>
      </c>
      <c r="BR34" s="1" t="b">
        <f>AC34='[1]35千伏-750千伏电网基建'!AC34</f>
        <v>1</v>
      </c>
      <c r="BS34" s="1" t="b">
        <f>AD34='[1]35千伏-750千伏电网基建'!AD34</f>
        <v>1</v>
      </c>
      <c r="BT34" s="1" t="b">
        <f>AE34='[1]35千伏-750千伏电网基建'!AE34</f>
        <v>1</v>
      </c>
      <c r="BU34" s="1" t="b">
        <f>AF34='[1]35千伏-750千伏电网基建'!AF34</f>
        <v>1</v>
      </c>
      <c r="BV34" s="1" t="b">
        <f>AG34='[1]35千伏-750千伏电网基建'!AG34</f>
        <v>1</v>
      </c>
      <c r="BW34" s="1" t="b">
        <f>AH34='[1]35千伏-750千伏电网基建'!AH34</f>
        <v>0</v>
      </c>
      <c r="BX34" s="1" t="b">
        <f>AI34='[1]35千伏-750千伏电网基建'!AI34</f>
        <v>0</v>
      </c>
      <c r="BY34" s="1" t="b">
        <f>AJ34='[1]35千伏-750千伏电网基建'!AJ34</f>
        <v>1</v>
      </c>
      <c r="BZ34" s="1" t="b">
        <f>AK34='[1]35千伏-750千伏电网基建'!AK34</f>
        <v>1</v>
      </c>
    </row>
    <row r="35" s="1" customFormat="1" ht="92" customHeight="1" spans="1:78">
      <c r="A35" s="14"/>
      <c r="B35" s="14"/>
      <c r="C35" s="15"/>
      <c r="D35" s="15"/>
      <c r="E35" s="16"/>
      <c r="F35" s="17"/>
      <c r="G35" s="15"/>
      <c r="H35" s="16"/>
      <c r="I35" s="23" t="s">
        <v>1111</v>
      </c>
      <c r="J35" s="16" t="s">
        <v>1112</v>
      </c>
      <c r="K35" s="15"/>
      <c r="L35" s="15"/>
      <c r="M35" s="15" t="s">
        <v>36</v>
      </c>
      <c r="N35" s="15"/>
      <c r="O35" s="15"/>
      <c r="P35" s="15"/>
      <c r="Q35" s="15"/>
      <c r="R35" s="15"/>
      <c r="S35" s="15"/>
      <c r="T35" s="15" t="s">
        <v>492</v>
      </c>
      <c r="U35" s="15"/>
      <c r="V35" s="16" t="s">
        <v>698</v>
      </c>
      <c r="W35" s="42" t="s">
        <v>1427</v>
      </c>
      <c r="X35" s="15" t="s">
        <v>474</v>
      </c>
      <c r="Y35" s="15" t="s">
        <v>473</v>
      </c>
      <c r="Z35" s="15"/>
      <c r="AA35" s="15" t="s">
        <v>474</v>
      </c>
      <c r="AB35" s="15" t="s">
        <v>473</v>
      </c>
      <c r="AC35" s="15"/>
      <c r="AD35" s="15"/>
      <c r="AE35" s="30"/>
      <c r="AF35" s="30"/>
      <c r="AG35" s="30"/>
      <c r="AH35" s="15" t="s">
        <v>476</v>
      </c>
      <c r="AI35" s="15" t="s">
        <v>476</v>
      </c>
      <c r="AJ35" s="15" t="s">
        <v>699</v>
      </c>
      <c r="AK35" s="45" t="s">
        <v>673</v>
      </c>
      <c r="AL35" s="1" t="s">
        <v>1064</v>
      </c>
      <c r="AM35" s="23" t="s">
        <v>1091</v>
      </c>
      <c r="AO35" s="7" t="s">
        <v>1045</v>
      </c>
      <c r="AP35" s="1" t="b">
        <f>A35='[1]35千伏-750千伏电网基建'!A35</f>
        <v>1</v>
      </c>
      <c r="AQ35" s="1" t="b">
        <f>B35='[1]35千伏-750千伏电网基建'!B35</f>
        <v>1</v>
      </c>
      <c r="AR35" s="1" t="b">
        <f>C35='[1]35千伏-750千伏电网基建'!C35</f>
        <v>1</v>
      </c>
      <c r="AS35" s="1" t="b">
        <f>D35='[1]35千伏-750千伏电网基建'!D35</f>
        <v>1</v>
      </c>
      <c r="AT35" s="1" t="b">
        <f>E35='[1]35千伏-750千伏电网基建'!E35</f>
        <v>1</v>
      </c>
      <c r="AU35" s="1" t="b">
        <f>F35='[1]35千伏-750千伏电网基建'!F35</f>
        <v>1</v>
      </c>
      <c r="AV35" s="1" t="b">
        <f>G35='[1]35千伏-750千伏电网基建'!G35</f>
        <v>1</v>
      </c>
      <c r="AW35" s="1" t="b">
        <f>H35='[1]35千伏-750千伏电网基建'!H35</f>
        <v>1</v>
      </c>
      <c r="AX35" s="1" t="b">
        <f>I35='[1]35千伏-750千伏电网基建'!I35</f>
        <v>1</v>
      </c>
      <c r="AY35" s="1" t="b">
        <f>J35='[1]35千伏-750千伏电网基建'!J35</f>
        <v>1</v>
      </c>
      <c r="AZ35" s="1" t="b">
        <f>K35='[1]35千伏-750千伏电网基建'!K35</f>
        <v>1</v>
      </c>
      <c r="BA35" s="1" t="b">
        <f>L35='[1]35千伏-750千伏电网基建'!L35</f>
        <v>1</v>
      </c>
      <c r="BB35" s="1" t="b">
        <f>M35='[1]35千伏-750千伏电网基建'!M35</f>
        <v>1</v>
      </c>
      <c r="BC35" s="1" t="b">
        <f>N35='[1]35千伏-750千伏电网基建'!N35</f>
        <v>1</v>
      </c>
      <c r="BD35" s="1" t="b">
        <f>O35='[1]35千伏-750千伏电网基建'!O35</f>
        <v>1</v>
      </c>
      <c r="BE35" s="1" t="b">
        <f>P35='[1]35千伏-750千伏电网基建'!P35</f>
        <v>1</v>
      </c>
      <c r="BF35" s="1" t="b">
        <f>Q35='[1]35千伏-750千伏电网基建'!Q35</f>
        <v>1</v>
      </c>
      <c r="BG35" s="1" t="b">
        <f>R35='[1]35千伏-750千伏电网基建'!R35</f>
        <v>1</v>
      </c>
      <c r="BH35" s="1" t="b">
        <f>S35='[1]35千伏-750千伏电网基建'!S35</f>
        <v>1</v>
      </c>
      <c r="BI35" s="1" t="b">
        <f>T35='[1]35千伏-750千伏电网基建'!T35</f>
        <v>1</v>
      </c>
      <c r="BJ35" s="1" t="b">
        <f>U35='[1]35千伏-750千伏电网基建'!U35</f>
        <v>1</v>
      </c>
      <c r="BK35" s="1" t="b">
        <f>V35='[1]35千伏-750千伏电网基建'!V35</f>
        <v>1</v>
      </c>
      <c r="BL35" s="8" t="b">
        <f>W35='[1]35千伏-750千伏电网基建'!W35</f>
        <v>0</v>
      </c>
      <c r="BM35" s="1" t="b">
        <f>X35='[1]35千伏-750千伏电网基建'!X35</f>
        <v>1</v>
      </c>
      <c r="BN35" s="1" t="b">
        <f>Y35='[1]35千伏-750千伏电网基建'!Y35</f>
        <v>1</v>
      </c>
      <c r="BO35" s="1" t="b">
        <f>Z35='[1]35千伏-750千伏电网基建'!Z35</f>
        <v>1</v>
      </c>
      <c r="BP35" s="1" t="b">
        <f>AA35='[1]35千伏-750千伏电网基建'!AA35</f>
        <v>1</v>
      </c>
      <c r="BQ35" s="1" t="b">
        <f>AB35='[1]35千伏-750千伏电网基建'!AB35</f>
        <v>1</v>
      </c>
      <c r="BR35" s="1" t="b">
        <f>AC35='[1]35千伏-750千伏电网基建'!AC35</f>
        <v>1</v>
      </c>
      <c r="BS35" s="1" t="b">
        <f>AD35='[1]35千伏-750千伏电网基建'!AD35</f>
        <v>1</v>
      </c>
      <c r="BT35" s="1" t="b">
        <f>AE35='[1]35千伏-750千伏电网基建'!AE35</f>
        <v>1</v>
      </c>
      <c r="BU35" s="1" t="b">
        <f>AF35='[1]35千伏-750千伏电网基建'!AF35</f>
        <v>1</v>
      </c>
      <c r="BV35" s="1" t="b">
        <f>AG35='[1]35千伏-750千伏电网基建'!AG35</f>
        <v>1</v>
      </c>
      <c r="BW35" s="1" t="b">
        <f>AH35='[1]35千伏-750千伏电网基建'!AH35</f>
        <v>1</v>
      </c>
      <c r="BX35" s="1" t="b">
        <f>AI35='[1]35千伏-750千伏电网基建'!AI35</f>
        <v>1</v>
      </c>
      <c r="BY35" s="1" t="b">
        <f>AJ35='[1]35千伏-750千伏电网基建'!AJ35</f>
        <v>1</v>
      </c>
      <c r="BZ35" s="1" t="b">
        <f>AK35='[1]35千伏-750千伏电网基建'!AK35</f>
        <v>0</v>
      </c>
    </row>
    <row r="36" s="1" customFormat="1" ht="100" customHeight="1" spans="1:78">
      <c r="A36" s="14"/>
      <c r="B36" s="14"/>
      <c r="C36" s="15"/>
      <c r="D36" s="15"/>
      <c r="E36" s="16"/>
      <c r="F36" s="17"/>
      <c r="G36" s="15"/>
      <c r="H36" s="16"/>
      <c r="I36" s="23" t="s">
        <v>1113</v>
      </c>
      <c r="J36" s="16" t="s">
        <v>1114</v>
      </c>
      <c r="K36" s="15"/>
      <c r="L36" s="15"/>
      <c r="M36" s="46" t="s">
        <v>36</v>
      </c>
      <c r="N36" s="15"/>
      <c r="O36" s="15"/>
      <c r="P36" s="15"/>
      <c r="Q36" s="15"/>
      <c r="R36" s="15"/>
      <c r="S36" s="15"/>
      <c r="T36" s="35" t="s">
        <v>1115</v>
      </c>
      <c r="U36" s="35" t="s">
        <v>669</v>
      </c>
      <c r="V36" s="31" t="s">
        <v>1116</v>
      </c>
      <c r="W36" s="42" t="s">
        <v>1427</v>
      </c>
      <c r="X36" s="15" t="s">
        <v>474</v>
      </c>
      <c r="Y36" s="15" t="s">
        <v>473</v>
      </c>
      <c r="Z36" s="15"/>
      <c r="AA36" s="15" t="s">
        <v>474</v>
      </c>
      <c r="AB36" s="15" t="s">
        <v>473</v>
      </c>
      <c r="AC36" s="15"/>
      <c r="AD36" s="15"/>
      <c r="AE36" s="30"/>
      <c r="AF36" s="30"/>
      <c r="AG36" s="30"/>
      <c r="AH36" s="15" t="s">
        <v>476</v>
      </c>
      <c r="AI36" s="15" t="s">
        <v>476</v>
      </c>
      <c r="AJ36" s="15" t="s">
        <v>699</v>
      </c>
      <c r="AK36" s="47"/>
      <c r="AL36" s="1" t="s">
        <v>1064</v>
      </c>
      <c r="AM36" s="23" t="s">
        <v>1091</v>
      </c>
      <c r="AO36" s="7" t="s">
        <v>1117</v>
      </c>
      <c r="AP36" s="1" t="b">
        <f>A36='[1]35千伏-750千伏电网基建'!A36</f>
        <v>1</v>
      </c>
      <c r="AQ36" s="1" t="b">
        <f>B36='[1]35千伏-750千伏电网基建'!B36</f>
        <v>1</v>
      </c>
      <c r="AR36" s="1" t="b">
        <f>C36='[1]35千伏-750千伏电网基建'!C36</f>
        <v>1</v>
      </c>
      <c r="AS36" s="1" t="b">
        <f>D36='[1]35千伏-750千伏电网基建'!D36</f>
        <v>1</v>
      </c>
      <c r="AT36" s="1" t="b">
        <f>E36='[1]35千伏-750千伏电网基建'!E36</f>
        <v>1</v>
      </c>
      <c r="AU36" s="1" t="b">
        <f>F36='[1]35千伏-750千伏电网基建'!F36</f>
        <v>1</v>
      </c>
      <c r="AV36" s="1" t="b">
        <f>G36='[1]35千伏-750千伏电网基建'!G36</f>
        <v>1</v>
      </c>
      <c r="AW36" s="1" t="b">
        <f>H36='[1]35千伏-750千伏电网基建'!H36</f>
        <v>1</v>
      </c>
      <c r="AX36" s="1" t="b">
        <f>I36='[1]35千伏-750千伏电网基建'!I36</f>
        <v>1</v>
      </c>
      <c r="AY36" s="1" t="b">
        <f>J36='[1]35千伏-750千伏电网基建'!J36</f>
        <v>1</v>
      </c>
      <c r="AZ36" s="1" t="b">
        <f>K36='[1]35千伏-750千伏电网基建'!K36</f>
        <v>1</v>
      </c>
      <c r="BA36" s="1" t="b">
        <f>L36='[1]35千伏-750千伏电网基建'!L36</f>
        <v>1</v>
      </c>
      <c r="BB36" s="1" t="b">
        <f>M36='[1]35千伏-750千伏电网基建'!M36</f>
        <v>0</v>
      </c>
      <c r="BC36" s="1" t="b">
        <f>N36='[1]35千伏-750千伏电网基建'!N36</f>
        <v>1</v>
      </c>
      <c r="BD36" s="1" t="b">
        <f>O36='[1]35千伏-750千伏电网基建'!O36</f>
        <v>1</v>
      </c>
      <c r="BE36" s="1" t="b">
        <f>P36='[1]35千伏-750千伏电网基建'!P36</f>
        <v>1</v>
      </c>
      <c r="BF36" s="1" t="b">
        <f>Q36='[1]35千伏-750千伏电网基建'!Q36</f>
        <v>1</v>
      </c>
      <c r="BG36" s="1" t="b">
        <f>R36='[1]35千伏-750千伏电网基建'!R36</f>
        <v>1</v>
      </c>
      <c r="BH36" s="1" t="b">
        <f>S36='[1]35千伏-750千伏电网基建'!S36</f>
        <v>1</v>
      </c>
      <c r="BI36" s="1" t="b">
        <f>T36='[1]35千伏-750千伏电网基建'!T36</f>
        <v>0</v>
      </c>
      <c r="BJ36" s="1" t="b">
        <f>U36='[1]35千伏-750千伏电网基建'!U36</f>
        <v>1</v>
      </c>
      <c r="BK36" s="1" t="b">
        <f>V36='[1]35千伏-750千伏电网基建'!V36</f>
        <v>0</v>
      </c>
      <c r="BL36" s="8" t="b">
        <f>W36='[1]35千伏-750千伏电网基建'!W36</f>
        <v>0</v>
      </c>
      <c r="BM36" s="1" t="b">
        <f>X36='[1]35千伏-750千伏电网基建'!X36</f>
        <v>1</v>
      </c>
      <c r="BN36" s="1" t="b">
        <f>Y36='[1]35千伏-750千伏电网基建'!Y36</f>
        <v>1</v>
      </c>
      <c r="BO36" s="1" t="b">
        <f>Z36='[1]35千伏-750千伏电网基建'!Z36</f>
        <v>1</v>
      </c>
      <c r="BP36" s="1" t="b">
        <f>AA36='[1]35千伏-750千伏电网基建'!AA36</f>
        <v>1</v>
      </c>
      <c r="BQ36" s="1" t="b">
        <f>AB36='[1]35千伏-750千伏电网基建'!AB36</f>
        <v>1</v>
      </c>
      <c r="BR36" s="1" t="b">
        <f>AC36='[1]35千伏-750千伏电网基建'!AC36</f>
        <v>1</v>
      </c>
      <c r="BS36" s="1" t="b">
        <f>AD36='[1]35千伏-750千伏电网基建'!AD36</f>
        <v>1</v>
      </c>
      <c r="BT36" s="1" t="b">
        <f>AE36='[1]35千伏-750千伏电网基建'!AE36</f>
        <v>1</v>
      </c>
      <c r="BU36" s="1" t="b">
        <f>AF36='[1]35千伏-750千伏电网基建'!AF36</f>
        <v>1</v>
      </c>
      <c r="BV36" s="1" t="b">
        <f>AG36='[1]35千伏-750千伏电网基建'!AG36</f>
        <v>1</v>
      </c>
      <c r="BW36" s="1" t="b">
        <f>AH36='[1]35千伏-750千伏电网基建'!AH36</f>
        <v>1</v>
      </c>
      <c r="BX36" s="1" t="b">
        <f>AI36='[1]35千伏-750千伏电网基建'!AI36</f>
        <v>1</v>
      </c>
      <c r="BY36" s="1" t="b">
        <f>AJ36='[1]35千伏-750千伏电网基建'!AJ36</f>
        <v>1</v>
      </c>
      <c r="BZ36" s="1" t="b">
        <f>AK36='[1]35千伏-750千伏电网基建'!AK36</f>
        <v>1</v>
      </c>
    </row>
    <row r="37" s="1" customFormat="1" ht="78" customHeight="1" spans="1:78">
      <c r="A37" s="14"/>
      <c r="B37" s="14"/>
      <c r="C37" s="15"/>
      <c r="D37" s="15"/>
      <c r="E37" s="16"/>
      <c r="F37" s="17"/>
      <c r="G37" s="15"/>
      <c r="H37" s="16"/>
      <c r="I37" s="23" t="s">
        <v>1118</v>
      </c>
      <c r="J37" s="16" t="s">
        <v>1429</v>
      </c>
      <c r="K37" s="15"/>
      <c r="L37" s="15"/>
      <c r="M37" s="15"/>
      <c r="N37" s="15"/>
      <c r="O37" s="35" t="s">
        <v>36</v>
      </c>
      <c r="P37" s="35"/>
      <c r="Q37" s="35" t="s">
        <v>36</v>
      </c>
      <c r="R37" s="15"/>
      <c r="S37" s="15"/>
      <c r="T37" s="35" t="s">
        <v>1120</v>
      </c>
      <c r="U37" s="46" t="s">
        <v>669</v>
      </c>
      <c r="V37" s="16" t="s">
        <v>1121</v>
      </c>
      <c r="W37" s="42" t="s">
        <v>1430</v>
      </c>
      <c r="X37" s="15" t="s">
        <v>474</v>
      </c>
      <c r="Y37" s="15" t="s">
        <v>473</v>
      </c>
      <c r="Z37" s="15"/>
      <c r="AA37" s="15" t="s">
        <v>474</v>
      </c>
      <c r="AB37" s="15" t="s">
        <v>473</v>
      </c>
      <c r="AC37" s="15"/>
      <c r="AD37" s="15"/>
      <c r="AE37" s="30"/>
      <c r="AF37" s="30"/>
      <c r="AG37" s="30"/>
      <c r="AH37" s="15" t="s">
        <v>476</v>
      </c>
      <c r="AI37" s="15" t="s">
        <v>476</v>
      </c>
      <c r="AJ37" s="15" t="s">
        <v>699</v>
      </c>
      <c r="AK37" s="47"/>
      <c r="AL37" s="1" t="s">
        <v>1064</v>
      </c>
      <c r="AM37" s="23" t="s">
        <v>1091</v>
      </c>
      <c r="AO37" s="7" t="s">
        <v>1117</v>
      </c>
      <c r="AP37" s="1" t="b">
        <f>A37='[1]35千伏-750千伏电网基建'!A37</f>
        <v>1</v>
      </c>
      <c r="AQ37" s="1" t="b">
        <f>B37='[1]35千伏-750千伏电网基建'!B37</f>
        <v>1</v>
      </c>
      <c r="AR37" s="1" t="b">
        <f>C37='[1]35千伏-750千伏电网基建'!C37</f>
        <v>1</v>
      </c>
      <c r="AS37" s="1" t="b">
        <f>D37='[1]35千伏-750千伏电网基建'!D37</f>
        <v>1</v>
      </c>
      <c r="AT37" s="1" t="b">
        <f>E37='[1]35千伏-750千伏电网基建'!E37</f>
        <v>1</v>
      </c>
      <c r="AU37" s="1" t="b">
        <f>F37='[1]35千伏-750千伏电网基建'!F37</f>
        <v>1</v>
      </c>
      <c r="AV37" s="1" t="b">
        <f>G37='[1]35千伏-750千伏电网基建'!G37</f>
        <v>1</v>
      </c>
      <c r="AW37" s="1" t="b">
        <f>H37='[1]35千伏-750千伏电网基建'!H37</f>
        <v>1</v>
      </c>
      <c r="AX37" s="1" t="b">
        <f>I37='[1]35千伏-750千伏电网基建'!I37</f>
        <v>1</v>
      </c>
      <c r="AY37" s="1" t="b">
        <f>J37='[1]35千伏-750千伏电网基建'!J37</f>
        <v>1</v>
      </c>
      <c r="AZ37" s="1" t="b">
        <f>K37='[1]35千伏-750千伏电网基建'!K37</f>
        <v>1</v>
      </c>
      <c r="BA37" s="1" t="b">
        <f>L37='[1]35千伏-750千伏电网基建'!L37</f>
        <v>1</v>
      </c>
      <c r="BB37" s="1" t="b">
        <f>M37='[1]35千伏-750千伏电网基建'!M37</f>
        <v>1</v>
      </c>
      <c r="BC37" s="1" t="b">
        <f>N37='[1]35千伏-750千伏电网基建'!N37</f>
        <v>1</v>
      </c>
      <c r="BD37" s="1" t="b">
        <f>O37='[1]35千伏-750千伏电网基建'!O37</f>
        <v>1</v>
      </c>
      <c r="BE37" s="1" t="b">
        <f>P37='[1]35千伏-750千伏电网基建'!P37</f>
        <v>1</v>
      </c>
      <c r="BF37" s="1" t="b">
        <f>Q37='[1]35千伏-750千伏电网基建'!Q37</f>
        <v>1</v>
      </c>
      <c r="BG37" s="1" t="b">
        <f>R37='[1]35千伏-750千伏电网基建'!R37</f>
        <v>1</v>
      </c>
      <c r="BH37" s="1" t="b">
        <f>S37='[1]35千伏-750千伏电网基建'!S37</f>
        <v>1</v>
      </c>
      <c r="BI37" s="1" t="b">
        <f>T37='[1]35千伏-750千伏电网基建'!T37</f>
        <v>0</v>
      </c>
      <c r="BJ37" s="1" t="b">
        <f>U37='[1]35千伏-750千伏电网基建'!U37</f>
        <v>0</v>
      </c>
      <c r="BK37" s="1" t="b">
        <f>V37='[1]35千伏-750千伏电网基建'!V37</f>
        <v>0</v>
      </c>
      <c r="BL37" s="8" t="b">
        <f>W37='[1]35千伏-750千伏电网基建'!W37</f>
        <v>0</v>
      </c>
      <c r="BM37" s="1" t="b">
        <f>X37='[1]35千伏-750千伏电网基建'!X37</f>
        <v>1</v>
      </c>
      <c r="BN37" s="1" t="b">
        <f>Y37='[1]35千伏-750千伏电网基建'!Y37</f>
        <v>1</v>
      </c>
      <c r="BO37" s="1" t="b">
        <f>Z37='[1]35千伏-750千伏电网基建'!Z37</f>
        <v>1</v>
      </c>
      <c r="BP37" s="1" t="b">
        <f>AA37='[1]35千伏-750千伏电网基建'!AA37</f>
        <v>1</v>
      </c>
      <c r="BQ37" s="1" t="b">
        <f>AB37='[1]35千伏-750千伏电网基建'!AB37</f>
        <v>1</v>
      </c>
      <c r="BR37" s="1" t="b">
        <f>AC37='[1]35千伏-750千伏电网基建'!AC37</f>
        <v>1</v>
      </c>
      <c r="BS37" s="1" t="b">
        <f>AD37='[1]35千伏-750千伏电网基建'!AD37</f>
        <v>1</v>
      </c>
      <c r="BT37" s="1" t="b">
        <f>AE37='[1]35千伏-750千伏电网基建'!AE37</f>
        <v>1</v>
      </c>
      <c r="BU37" s="1" t="b">
        <f>AF37='[1]35千伏-750千伏电网基建'!AF37</f>
        <v>1</v>
      </c>
      <c r="BV37" s="1" t="b">
        <f>AG37='[1]35千伏-750千伏电网基建'!AG37</f>
        <v>1</v>
      </c>
      <c r="BW37" s="1" t="b">
        <f>AH37='[1]35千伏-750千伏电网基建'!AH37</f>
        <v>1</v>
      </c>
      <c r="BX37" s="1" t="b">
        <f>AI37='[1]35千伏-750千伏电网基建'!AI37</f>
        <v>1</v>
      </c>
      <c r="BY37" s="1" t="b">
        <f>AJ37='[1]35千伏-750千伏电网基建'!AJ37</f>
        <v>1</v>
      </c>
      <c r="BZ37" s="1" t="b">
        <f>AK37='[1]35千伏-750千伏电网基建'!AK37</f>
        <v>1</v>
      </c>
    </row>
    <row r="38" s="1" customFormat="1" ht="118" customHeight="1" spans="1:78">
      <c r="A38" s="14"/>
      <c r="B38" s="14"/>
      <c r="C38" s="15"/>
      <c r="D38" s="15"/>
      <c r="E38" s="16"/>
      <c r="F38" s="17"/>
      <c r="G38" s="15"/>
      <c r="H38" s="16"/>
      <c r="I38" s="23" t="s">
        <v>1125</v>
      </c>
      <c r="J38" s="16" t="s">
        <v>1126</v>
      </c>
      <c r="K38" s="15"/>
      <c r="L38" s="15"/>
      <c r="M38" s="15"/>
      <c r="N38" s="15"/>
      <c r="O38" s="46" t="s">
        <v>36</v>
      </c>
      <c r="P38" s="15"/>
      <c r="Q38" s="15" t="s">
        <v>36</v>
      </c>
      <c r="R38" s="15"/>
      <c r="S38" s="15"/>
      <c r="T38" s="15" t="s">
        <v>492</v>
      </c>
      <c r="U38" s="15"/>
      <c r="V38" s="16" t="s">
        <v>1127</v>
      </c>
      <c r="W38" s="35" t="s">
        <v>1431</v>
      </c>
      <c r="X38" s="15" t="s">
        <v>474</v>
      </c>
      <c r="Y38" s="15" t="s">
        <v>473</v>
      </c>
      <c r="Z38" s="15"/>
      <c r="AA38" s="15" t="s">
        <v>474</v>
      </c>
      <c r="AB38" s="15" t="s">
        <v>473</v>
      </c>
      <c r="AC38" s="15"/>
      <c r="AD38" s="15"/>
      <c r="AE38" s="30"/>
      <c r="AF38" s="30"/>
      <c r="AG38" s="30"/>
      <c r="AH38" s="15" t="s">
        <v>476</v>
      </c>
      <c r="AI38" s="15" t="s">
        <v>476</v>
      </c>
      <c r="AJ38" s="15" t="s">
        <v>699</v>
      </c>
      <c r="AK38" s="48"/>
      <c r="AL38" s="1" t="s">
        <v>1064</v>
      </c>
      <c r="AM38" s="23" t="s">
        <v>470</v>
      </c>
      <c r="AO38" s="7" t="s">
        <v>1128</v>
      </c>
      <c r="AP38" s="1" t="b">
        <f>A38='[1]35千伏-750千伏电网基建'!A38</f>
        <v>1</v>
      </c>
      <c r="AQ38" s="1" t="b">
        <f>B38='[1]35千伏-750千伏电网基建'!B38</f>
        <v>1</v>
      </c>
      <c r="AR38" s="1" t="b">
        <f>C38='[1]35千伏-750千伏电网基建'!C38</f>
        <v>1</v>
      </c>
      <c r="AS38" s="1" t="b">
        <f>D38='[1]35千伏-750千伏电网基建'!D38</f>
        <v>1</v>
      </c>
      <c r="AT38" s="1" t="b">
        <f>E38='[1]35千伏-750千伏电网基建'!E38</f>
        <v>1</v>
      </c>
      <c r="AU38" s="1" t="b">
        <f>F38='[1]35千伏-750千伏电网基建'!F38</f>
        <v>1</v>
      </c>
      <c r="AV38" s="1" t="b">
        <f>G38='[1]35千伏-750千伏电网基建'!G38</f>
        <v>1</v>
      </c>
      <c r="AW38" s="1" t="b">
        <f>H38='[1]35千伏-750千伏电网基建'!H38</f>
        <v>1</v>
      </c>
      <c r="AX38" s="1" t="b">
        <f>I38='[1]35千伏-750千伏电网基建'!I38</f>
        <v>1</v>
      </c>
      <c r="AY38" s="1" t="b">
        <f>J38='[1]35千伏-750千伏电网基建'!J38</f>
        <v>1</v>
      </c>
      <c r="AZ38" s="1" t="b">
        <f>K38='[1]35千伏-750千伏电网基建'!K38</f>
        <v>1</v>
      </c>
      <c r="BA38" s="1" t="b">
        <f>L38='[1]35千伏-750千伏电网基建'!L38</f>
        <v>1</v>
      </c>
      <c r="BB38" s="1" t="b">
        <f>M38='[1]35千伏-750千伏电网基建'!M38</f>
        <v>1</v>
      </c>
      <c r="BC38" s="1" t="b">
        <f>N38='[1]35千伏-750千伏电网基建'!N38</f>
        <v>1</v>
      </c>
      <c r="BD38" s="1" t="b">
        <f>O38='[1]35千伏-750千伏电网基建'!O38</f>
        <v>0</v>
      </c>
      <c r="BE38" s="1" t="b">
        <f>P38='[1]35千伏-750千伏电网基建'!P38</f>
        <v>1</v>
      </c>
      <c r="BF38" s="1" t="b">
        <f>Q38='[1]35千伏-750千伏电网基建'!Q38</f>
        <v>1</v>
      </c>
      <c r="BG38" s="1" t="b">
        <f>R38='[1]35千伏-750千伏电网基建'!R38</f>
        <v>1</v>
      </c>
      <c r="BH38" s="1" t="b">
        <f>S38='[1]35千伏-750千伏电网基建'!S38</f>
        <v>1</v>
      </c>
      <c r="BI38" s="1" t="b">
        <f>T38='[1]35千伏-750千伏电网基建'!T38</f>
        <v>1</v>
      </c>
      <c r="BJ38" s="1" t="b">
        <f>U38='[1]35千伏-750千伏电网基建'!U38</f>
        <v>1</v>
      </c>
      <c r="BK38" s="1" t="b">
        <f>V38='[1]35千伏-750千伏电网基建'!V38</f>
        <v>0</v>
      </c>
      <c r="BL38" s="8" t="b">
        <f>W38='[1]35千伏-750千伏电网基建'!W38</f>
        <v>0</v>
      </c>
      <c r="BM38" s="1" t="b">
        <f>X38='[1]35千伏-750千伏电网基建'!X38</f>
        <v>1</v>
      </c>
      <c r="BN38" s="1" t="b">
        <f>Y38='[1]35千伏-750千伏电网基建'!Y38</f>
        <v>1</v>
      </c>
      <c r="BO38" s="1" t="b">
        <f>Z38='[1]35千伏-750千伏电网基建'!Z38</f>
        <v>1</v>
      </c>
      <c r="BP38" s="1" t="b">
        <f>AA38='[1]35千伏-750千伏电网基建'!AA38</f>
        <v>1</v>
      </c>
      <c r="BQ38" s="1" t="b">
        <f>AB38='[1]35千伏-750千伏电网基建'!AB38</f>
        <v>1</v>
      </c>
      <c r="BR38" s="1" t="b">
        <f>AC38='[1]35千伏-750千伏电网基建'!AC38</f>
        <v>1</v>
      </c>
      <c r="BS38" s="1" t="b">
        <f>AD38='[1]35千伏-750千伏电网基建'!AD38</f>
        <v>1</v>
      </c>
      <c r="BT38" s="1" t="b">
        <f>AE38='[1]35千伏-750千伏电网基建'!AE38</f>
        <v>1</v>
      </c>
      <c r="BU38" s="1" t="b">
        <f>AF38='[1]35千伏-750千伏电网基建'!AF38</f>
        <v>1</v>
      </c>
      <c r="BV38" s="1" t="b">
        <f>AG38='[1]35千伏-750千伏电网基建'!AG38</f>
        <v>1</v>
      </c>
      <c r="BW38" s="1" t="b">
        <f>AH38='[1]35千伏-750千伏电网基建'!AH38</f>
        <v>1</v>
      </c>
      <c r="BX38" s="1" t="b">
        <f>AI38='[1]35千伏-750千伏电网基建'!AI38</f>
        <v>1</v>
      </c>
      <c r="BY38" s="1" t="b">
        <f>AJ38='[1]35千伏-750千伏电网基建'!AJ38</f>
        <v>1</v>
      </c>
      <c r="BZ38" s="1" t="b">
        <f>AK38='[1]35千伏-750千伏电网基建'!AK38</f>
        <v>1</v>
      </c>
    </row>
    <row r="39" s="1" customFormat="1" ht="101" customHeight="1" spans="1:78">
      <c r="A39" s="14"/>
      <c r="B39" s="14"/>
      <c r="C39" s="15" t="s">
        <v>485</v>
      </c>
      <c r="D39" s="15" t="s">
        <v>714</v>
      </c>
      <c r="E39" s="16" t="s">
        <v>715</v>
      </c>
      <c r="F39" s="49"/>
      <c r="G39" s="15" t="s">
        <v>1129</v>
      </c>
      <c r="H39" s="16" t="s">
        <v>717</v>
      </c>
      <c r="I39" s="23" t="s">
        <v>1130</v>
      </c>
      <c r="J39" s="16" t="s">
        <v>1131</v>
      </c>
      <c r="K39" s="15"/>
      <c r="L39" s="15" t="s">
        <v>36</v>
      </c>
      <c r="M39" s="15" t="s">
        <v>36</v>
      </c>
      <c r="N39" s="15"/>
      <c r="O39" s="15"/>
      <c r="P39" s="15"/>
      <c r="Q39" s="15"/>
      <c r="R39" s="15"/>
      <c r="S39" s="15"/>
      <c r="T39" s="15" t="s">
        <v>492</v>
      </c>
      <c r="U39" s="15"/>
      <c r="V39" s="16" t="s">
        <v>720</v>
      </c>
      <c r="W39" s="36" t="s">
        <v>1432</v>
      </c>
      <c r="X39" s="23" t="s">
        <v>474</v>
      </c>
      <c r="Y39" s="23" t="s">
        <v>473</v>
      </c>
      <c r="Z39" s="50"/>
      <c r="AA39" s="50" t="s">
        <v>474</v>
      </c>
      <c r="AB39" s="50" t="s">
        <v>473</v>
      </c>
      <c r="AC39" s="51"/>
      <c r="AD39" s="50"/>
      <c r="AE39" s="50"/>
      <c r="AF39" s="50"/>
      <c r="AG39" s="51"/>
      <c r="AH39" s="15" t="s">
        <v>476</v>
      </c>
      <c r="AI39" s="15" t="s">
        <v>476</v>
      </c>
      <c r="AJ39" s="15" t="s">
        <v>722</v>
      </c>
      <c r="AK39" s="23" t="s">
        <v>599</v>
      </c>
      <c r="AL39" s="37" t="s">
        <v>1073</v>
      </c>
      <c r="AM39" s="23" t="s">
        <v>1053</v>
      </c>
      <c r="AO39" s="7" t="s">
        <v>1045</v>
      </c>
      <c r="AP39" s="1" t="b">
        <f>A39='[1]35千伏-750千伏电网基建'!A39</f>
        <v>1</v>
      </c>
      <c r="AQ39" s="1" t="b">
        <f>B39='[1]35千伏-750千伏电网基建'!B39</f>
        <v>1</v>
      </c>
      <c r="AR39" s="1" t="b">
        <f>C39='[1]35千伏-750千伏电网基建'!C39</f>
        <v>1</v>
      </c>
      <c r="AS39" s="1" t="b">
        <f>D39='[1]35千伏-750千伏电网基建'!D39</f>
        <v>1</v>
      </c>
      <c r="AT39" s="1" t="b">
        <f>E39='[1]35千伏-750千伏电网基建'!E39</f>
        <v>1</v>
      </c>
      <c r="AU39" s="1" t="b">
        <f>F39='[1]35千伏-750千伏电网基建'!F39</f>
        <v>1</v>
      </c>
      <c r="AV39" s="1" t="b">
        <f>G39='[1]35千伏-750千伏电网基建'!G39</f>
        <v>1</v>
      </c>
      <c r="AW39" s="1" t="b">
        <f>H39='[1]35千伏-750千伏电网基建'!H39</f>
        <v>1</v>
      </c>
      <c r="AX39" s="1" t="b">
        <f>I39='[1]35千伏-750千伏电网基建'!I39</f>
        <v>1</v>
      </c>
      <c r="AY39" s="1" t="b">
        <f>J39='[1]35千伏-750千伏电网基建'!J39</f>
        <v>1</v>
      </c>
      <c r="AZ39" s="1" t="b">
        <f>K39='[1]35千伏-750千伏电网基建'!K39</f>
        <v>1</v>
      </c>
      <c r="BA39" s="1" t="b">
        <f>L39='[1]35千伏-750千伏电网基建'!L39</f>
        <v>1</v>
      </c>
      <c r="BB39" s="1" t="b">
        <f>M39='[1]35千伏-750千伏电网基建'!M39</f>
        <v>1</v>
      </c>
      <c r="BC39" s="1" t="b">
        <f>N39='[1]35千伏-750千伏电网基建'!N39</f>
        <v>1</v>
      </c>
      <c r="BD39" s="1" t="b">
        <f>O39='[1]35千伏-750千伏电网基建'!O39</f>
        <v>1</v>
      </c>
      <c r="BE39" s="1" t="b">
        <f>P39='[1]35千伏-750千伏电网基建'!P39</f>
        <v>1</v>
      </c>
      <c r="BF39" s="1" t="b">
        <f>Q39='[1]35千伏-750千伏电网基建'!Q39</f>
        <v>1</v>
      </c>
      <c r="BG39" s="1" t="b">
        <f>R39='[1]35千伏-750千伏电网基建'!R39</f>
        <v>1</v>
      </c>
      <c r="BH39" s="1" t="b">
        <f>S39='[1]35千伏-750千伏电网基建'!S39</f>
        <v>1</v>
      </c>
      <c r="BI39" s="1" t="b">
        <f>T39='[1]35千伏-750千伏电网基建'!T39</f>
        <v>1</v>
      </c>
      <c r="BJ39" s="1" t="b">
        <f>U39='[1]35千伏-750千伏电网基建'!U39</f>
        <v>1</v>
      </c>
      <c r="BK39" s="1" t="b">
        <f>V39='[1]35千伏-750千伏电网基建'!V39</f>
        <v>1</v>
      </c>
      <c r="BL39" s="8" t="b">
        <f>W39='[1]35千伏-750千伏电网基建'!W39</f>
        <v>0</v>
      </c>
      <c r="BM39" s="1" t="b">
        <f>X39='[1]35千伏-750千伏电网基建'!X39</f>
        <v>1</v>
      </c>
      <c r="BN39" s="1" t="b">
        <f>Y39='[1]35千伏-750千伏电网基建'!Y39</f>
        <v>1</v>
      </c>
      <c r="BO39" s="1" t="b">
        <f>Z39='[1]35千伏-750千伏电网基建'!Z39</f>
        <v>1</v>
      </c>
      <c r="BP39" s="1" t="b">
        <f>AA39='[1]35千伏-750千伏电网基建'!AA39</f>
        <v>1</v>
      </c>
      <c r="BQ39" s="1" t="b">
        <f>AB39='[1]35千伏-750千伏电网基建'!AB39</f>
        <v>1</v>
      </c>
      <c r="BR39" s="1" t="b">
        <f>AC39='[1]35千伏-750千伏电网基建'!AC39</f>
        <v>1</v>
      </c>
      <c r="BS39" s="1" t="b">
        <f>AD39='[1]35千伏-750千伏电网基建'!AD39</f>
        <v>1</v>
      </c>
      <c r="BT39" s="1" t="b">
        <f>AE39='[1]35千伏-750千伏电网基建'!AE39</f>
        <v>1</v>
      </c>
      <c r="BU39" s="1" t="b">
        <f>AF39='[1]35千伏-750千伏电网基建'!AF39</f>
        <v>1</v>
      </c>
      <c r="BV39" s="1" t="b">
        <f>AG39='[1]35千伏-750千伏电网基建'!AG39</f>
        <v>1</v>
      </c>
      <c r="BW39" s="1" t="b">
        <f>AH39='[1]35千伏-750千伏电网基建'!AH39</f>
        <v>1</v>
      </c>
      <c r="BX39" s="1" t="b">
        <f>AI39='[1]35千伏-750千伏电网基建'!AI39</f>
        <v>1</v>
      </c>
      <c r="BY39" s="1" t="b">
        <f>AJ39='[1]35千伏-750千伏电网基建'!AJ39</f>
        <v>1</v>
      </c>
      <c r="BZ39" s="1" t="b">
        <f>AK39='[1]35千伏-750千伏电网基建'!AK39</f>
        <v>1</v>
      </c>
    </row>
    <row r="40" s="1" customFormat="1" ht="137" customHeight="1" spans="1:78">
      <c r="A40" s="14"/>
      <c r="B40" s="46" t="s">
        <v>1132</v>
      </c>
      <c r="C40" s="15"/>
      <c r="D40" s="15"/>
      <c r="E40" s="52" t="s">
        <v>1133</v>
      </c>
      <c r="F40" s="53"/>
      <c r="G40" s="46" t="s">
        <v>1134</v>
      </c>
      <c r="H40" s="52" t="s">
        <v>1135</v>
      </c>
      <c r="I40" s="54" t="s">
        <v>1136</v>
      </c>
      <c r="J40" s="52" t="s">
        <v>1433</v>
      </c>
      <c r="K40" s="46"/>
      <c r="L40" s="46"/>
      <c r="M40" s="46"/>
      <c r="N40" s="46"/>
      <c r="O40" s="46"/>
      <c r="P40" s="46"/>
      <c r="Q40" s="46"/>
      <c r="R40" s="46"/>
      <c r="S40" s="46"/>
      <c r="T40" s="46" t="s">
        <v>492</v>
      </c>
      <c r="U40" s="46"/>
      <c r="V40" s="52" t="s">
        <v>1359</v>
      </c>
      <c r="W40" s="55" t="s">
        <v>1434</v>
      </c>
      <c r="X40" s="23"/>
      <c r="Y40" s="23"/>
      <c r="Z40" s="50"/>
      <c r="AA40" s="50"/>
      <c r="AB40" s="50"/>
      <c r="AC40" s="51"/>
      <c r="AD40" s="50"/>
      <c r="AE40" s="50"/>
      <c r="AF40" s="50"/>
      <c r="AG40" s="51"/>
      <c r="AH40" s="15"/>
      <c r="AI40" s="15"/>
      <c r="AJ40" s="46" t="s">
        <v>1140</v>
      </c>
      <c r="AK40" s="54" t="s">
        <v>470</v>
      </c>
      <c r="AL40" s="1" t="s">
        <v>1064</v>
      </c>
      <c r="AM40" s="54" t="s">
        <v>1141</v>
      </c>
      <c r="AN40" s="6" t="s">
        <v>1142</v>
      </c>
      <c r="AO40" s="7" t="s">
        <v>1143</v>
      </c>
      <c r="BL40" s="8"/>
    </row>
    <row r="41" s="1" customFormat="1" ht="78" customHeight="1" spans="1:78">
      <c r="A41" s="14" t="s">
        <v>483</v>
      </c>
      <c r="B41" s="14" t="s">
        <v>662</v>
      </c>
      <c r="C41" s="15" t="s">
        <v>485</v>
      </c>
      <c r="D41" s="15" t="s">
        <v>731</v>
      </c>
      <c r="E41" s="16" t="s">
        <v>732</v>
      </c>
      <c r="F41" s="17" t="s">
        <v>733</v>
      </c>
      <c r="G41" s="15" t="s">
        <v>1145</v>
      </c>
      <c r="H41" s="16" t="s">
        <v>735</v>
      </c>
      <c r="I41" s="23" t="s">
        <v>1146</v>
      </c>
      <c r="J41" s="16" t="s">
        <v>1435</v>
      </c>
      <c r="K41" s="15"/>
      <c r="L41" s="15" t="s">
        <v>36</v>
      </c>
      <c r="M41" s="15" t="s">
        <v>36</v>
      </c>
      <c r="N41" s="15"/>
      <c r="O41" s="15"/>
      <c r="P41" s="15"/>
      <c r="Q41" s="15"/>
      <c r="R41" s="15"/>
      <c r="S41" s="15"/>
      <c r="T41" s="15" t="s">
        <v>492</v>
      </c>
      <c r="U41" s="15"/>
      <c r="V41" s="31" t="s">
        <v>738</v>
      </c>
      <c r="W41" s="56" t="s">
        <v>1436</v>
      </c>
      <c r="X41" s="15" t="s">
        <v>474</v>
      </c>
      <c r="Y41" s="15" t="s">
        <v>473</v>
      </c>
      <c r="Z41" s="30"/>
      <c r="AA41" s="15" t="s">
        <v>474</v>
      </c>
      <c r="AB41" s="15" t="s">
        <v>473</v>
      </c>
      <c r="AC41" s="30"/>
      <c r="AD41" s="15"/>
      <c r="AE41" s="30"/>
      <c r="AF41" s="30"/>
      <c r="AG41" s="30"/>
      <c r="AH41" s="15" t="s">
        <v>476</v>
      </c>
      <c r="AI41" s="15" t="s">
        <v>476</v>
      </c>
      <c r="AJ41" s="15" t="s">
        <v>740</v>
      </c>
      <c r="AK41" s="15" t="s">
        <v>599</v>
      </c>
      <c r="AL41" s="1" t="s">
        <v>1064</v>
      </c>
      <c r="AM41" s="23" t="s">
        <v>1091</v>
      </c>
      <c r="AN41" s="57" t="s">
        <v>1147</v>
      </c>
      <c r="AO41" s="7" t="s">
        <v>1148</v>
      </c>
      <c r="AP41" s="1" t="b">
        <f>A41='[1]35千伏-750千伏电网基建'!A40</f>
        <v>1</v>
      </c>
      <c r="AQ41" s="1" t="b">
        <f>B41='[1]35千伏-750千伏电网基建'!B40</f>
        <v>1</v>
      </c>
      <c r="AR41" s="1" t="b">
        <f>C41='[1]35千伏-750千伏电网基建'!C40</f>
        <v>1</v>
      </c>
      <c r="AS41" s="1" t="b">
        <f>D41='[1]35千伏-750千伏电网基建'!D40</f>
        <v>1</v>
      </c>
      <c r="AT41" s="1" t="b">
        <f>E41='[1]35千伏-750千伏电网基建'!E40</f>
        <v>1</v>
      </c>
      <c r="AU41" s="1" t="b">
        <f>F41='[1]35千伏-750千伏电网基建'!F40</f>
        <v>1</v>
      </c>
      <c r="AV41" s="1" t="b">
        <f>G41='[1]35千伏-750千伏电网基建'!G40</f>
        <v>1</v>
      </c>
      <c r="AW41" s="1" t="b">
        <f>H41='[1]35千伏-750千伏电网基建'!H40</f>
        <v>1</v>
      </c>
      <c r="AX41" s="1" t="b">
        <f>I41='[1]35千伏-750千伏电网基建'!I40</f>
        <v>1</v>
      </c>
      <c r="AY41" s="1" t="b">
        <f>J41='[1]35千伏-750千伏电网基建'!J40</f>
        <v>0</v>
      </c>
      <c r="AZ41" s="1" t="b">
        <f>K41='[1]35千伏-750千伏电网基建'!K40</f>
        <v>1</v>
      </c>
      <c r="BA41" s="1" t="b">
        <f>L41='[1]35千伏-750千伏电网基建'!L40</f>
        <v>1</v>
      </c>
      <c r="BB41" s="1" t="b">
        <f>M41='[1]35千伏-750千伏电网基建'!M40</f>
        <v>1</v>
      </c>
      <c r="BC41" s="1" t="b">
        <f>N41='[1]35千伏-750千伏电网基建'!N40</f>
        <v>1</v>
      </c>
      <c r="BD41" s="1" t="b">
        <f>O41='[1]35千伏-750千伏电网基建'!O40</f>
        <v>1</v>
      </c>
      <c r="BE41" s="1" t="b">
        <f>P41='[1]35千伏-750千伏电网基建'!P40</f>
        <v>1</v>
      </c>
      <c r="BF41" s="1" t="b">
        <f>Q41='[1]35千伏-750千伏电网基建'!Q40</f>
        <v>1</v>
      </c>
      <c r="BG41" s="1" t="b">
        <f>R41='[1]35千伏-750千伏电网基建'!R40</f>
        <v>1</v>
      </c>
      <c r="BH41" s="1" t="b">
        <f>S41='[1]35千伏-750千伏电网基建'!S40</f>
        <v>1</v>
      </c>
      <c r="BI41" s="1" t="b">
        <f>T41='[1]35千伏-750千伏电网基建'!T40</f>
        <v>1</v>
      </c>
      <c r="BJ41" s="1" t="b">
        <f>U41='[1]35千伏-750千伏电网基建'!U40</f>
        <v>1</v>
      </c>
      <c r="BK41" s="1" t="b">
        <f>V41='[1]35千伏-750千伏电网基建'!V40</f>
        <v>0</v>
      </c>
      <c r="BL41" s="8" t="b">
        <f>W41='[1]35千伏-750千伏电网基建'!W40</f>
        <v>0</v>
      </c>
      <c r="BM41" s="1" t="b">
        <f>X41='[1]35千伏-750千伏电网基建'!X40</f>
        <v>1</v>
      </c>
      <c r="BN41" s="1" t="b">
        <f>Y41='[1]35千伏-750千伏电网基建'!Y40</f>
        <v>1</v>
      </c>
      <c r="BO41" s="1" t="b">
        <f>Z41='[1]35千伏-750千伏电网基建'!Z40</f>
        <v>1</v>
      </c>
      <c r="BP41" s="1" t="b">
        <f>AA41='[1]35千伏-750千伏电网基建'!AA40</f>
        <v>1</v>
      </c>
      <c r="BQ41" s="1" t="b">
        <f>AB41='[1]35千伏-750千伏电网基建'!AB40</f>
        <v>1</v>
      </c>
      <c r="BR41" s="1" t="b">
        <f>AC41='[1]35千伏-750千伏电网基建'!AC40</f>
        <v>1</v>
      </c>
      <c r="BS41" s="1" t="b">
        <f>AD41='[1]35千伏-750千伏电网基建'!AD40</f>
        <v>1</v>
      </c>
      <c r="BT41" s="1" t="b">
        <f>AE41='[1]35千伏-750千伏电网基建'!AE40</f>
        <v>1</v>
      </c>
      <c r="BU41" s="1" t="b">
        <f>AF41='[1]35千伏-750千伏电网基建'!AF40</f>
        <v>1</v>
      </c>
      <c r="BV41" s="1" t="b">
        <f>AG41='[1]35千伏-750千伏电网基建'!AG40</f>
        <v>1</v>
      </c>
      <c r="BW41" s="1" t="b">
        <f>AH41='[1]35千伏-750千伏电网基建'!AH40</f>
        <v>1</v>
      </c>
      <c r="BX41" s="1" t="b">
        <f>AI41='[1]35千伏-750千伏电网基建'!AI40</f>
        <v>1</v>
      </c>
      <c r="BY41" s="1" t="b">
        <f>AJ41='[1]35千伏-750千伏电网基建'!AJ40</f>
        <v>1</v>
      </c>
      <c r="BZ41" s="1" t="b">
        <f>AK41='[1]35千伏-750千伏电网基建'!AK40</f>
        <v>1</v>
      </c>
    </row>
    <row r="42" s="1" customFormat="1" ht="81" customHeight="1" spans="1:78">
      <c r="A42" s="14"/>
      <c r="B42" s="14"/>
      <c r="C42" s="15"/>
      <c r="D42" s="15"/>
      <c r="E42" s="16"/>
      <c r="F42" s="17"/>
      <c r="G42" s="15"/>
      <c r="H42" s="16"/>
      <c r="I42" s="23" t="s">
        <v>1149</v>
      </c>
      <c r="J42" s="16" t="s">
        <v>1437</v>
      </c>
      <c r="K42" s="15"/>
      <c r="L42" s="15" t="s">
        <v>36</v>
      </c>
      <c r="M42" s="15" t="s">
        <v>36</v>
      </c>
      <c r="N42" s="15"/>
      <c r="O42" s="15"/>
      <c r="P42" s="15"/>
      <c r="Q42" s="15"/>
      <c r="R42" s="15"/>
      <c r="S42" s="15"/>
      <c r="T42" s="15" t="s">
        <v>492</v>
      </c>
      <c r="U42" s="15"/>
      <c r="V42" s="16" t="s">
        <v>743</v>
      </c>
      <c r="W42" s="56" t="s">
        <v>1436</v>
      </c>
      <c r="X42" s="15" t="s">
        <v>474</v>
      </c>
      <c r="Y42" s="15" t="s">
        <v>473</v>
      </c>
      <c r="Z42" s="30"/>
      <c r="AA42" s="15" t="s">
        <v>474</v>
      </c>
      <c r="AB42" s="15" t="s">
        <v>473</v>
      </c>
      <c r="AC42" s="30"/>
      <c r="AD42" s="15"/>
      <c r="AE42" s="30"/>
      <c r="AF42" s="30"/>
      <c r="AG42" s="30"/>
      <c r="AH42" s="15" t="s">
        <v>476</v>
      </c>
      <c r="AI42" s="15" t="s">
        <v>476</v>
      </c>
      <c r="AJ42" s="15" t="s">
        <v>740</v>
      </c>
      <c r="AK42" s="15"/>
      <c r="AL42" s="1" t="s">
        <v>1064</v>
      </c>
      <c r="AM42" s="23" t="s">
        <v>1091</v>
      </c>
      <c r="AO42" s="7" t="s">
        <v>1045</v>
      </c>
      <c r="AP42" s="1" t="b">
        <f>A42='[1]35千伏-750千伏电网基建'!A41</f>
        <v>1</v>
      </c>
      <c r="AQ42" s="1" t="b">
        <f>B42='[1]35千伏-750千伏电网基建'!B41</f>
        <v>1</v>
      </c>
      <c r="AR42" s="1" t="b">
        <f>C42='[1]35千伏-750千伏电网基建'!C41</f>
        <v>1</v>
      </c>
      <c r="AS42" s="1" t="b">
        <f>D42='[1]35千伏-750千伏电网基建'!D41</f>
        <v>1</v>
      </c>
      <c r="AT42" s="1" t="b">
        <f>E42='[1]35千伏-750千伏电网基建'!E41</f>
        <v>1</v>
      </c>
      <c r="AU42" s="1" t="b">
        <f>F42='[1]35千伏-750千伏电网基建'!F41</f>
        <v>1</v>
      </c>
      <c r="AV42" s="1" t="b">
        <f>G42='[1]35千伏-750千伏电网基建'!G41</f>
        <v>1</v>
      </c>
      <c r="AW42" s="1" t="b">
        <f>H42='[1]35千伏-750千伏电网基建'!H41</f>
        <v>1</v>
      </c>
      <c r="AX42" s="1" t="b">
        <f>I42='[1]35千伏-750千伏电网基建'!I41</f>
        <v>1</v>
      </c>
      <c r="AY42" s="1" t="b">
        <f>J42='[1]35千伏-750千伏电网基建'!J41</f>
        <v>1</v>
      </c>
      <c r="AZ42" s="1" t="b">
        <f>K42='[1]35千伏-750千伏电网基建'!K41</f>
        <v>1</v>
      </c>
      <c r="BA42" s="1" t="b">
        <f>L42='[1]35千伏-750千伏电网基建'!L41</f>
        <v>1</v>
      </c>
      <c r="BB42" s="1" t="b">
        <f>M42='[1]35千伏-750千伏电网基建'!M41</f>
        <v>1</v>
      </c>
      <c r="BC42" s="1" t="b">
        <f>N42='[1]35千伏-750千伏电网基建'!N41</f>
        <v>1</v>
      </c>
      <c r="BD42" s="1" t="b">
        <f>O42='[1]35千伏-750千伏电网基建'!O41</f>
        <v>1</v>
      </c>
      <c r="BE42" s="1" t="b">
        <f>P42='[1]35千伏-750千伏电网基建'!P41</f>
        <v>1</v>
      </c>
      <c r="BF42" s="1" t="b">
        <f>Q42='[1]35千伏-750千伏电网基建'!Q41</f>
        <v>1</v>
      </c>
      <c r="BG42" s="1" t="b">
        <f>R42='[1]35千伏-750千伏电网基建'!R41</f>
        <v>1</v>
      </c>
      <c r="BH42" s="1" t="b">
        <f>S42='[1]35千伏-750千伏电网基建'!S41</f>
        <v>1</v>
      </c>
      <c r="BI42" s="1" t="b">
        <f>T42='[1]35千伏-750千伏电网基建'!T41</f>
        <v>1</v>
      </c>
      <c r="BJ42" s="1" t="b">
        <f>U42='[1]35千伏-750千伏电网基建'!U41</f>
        <v>1</v>
      </c>
      <c r="BK42" s="1" t="b">
        <f>V42='[1]35千伏-750千伏电网基建'!V41</f>
        <v>1</v>
      </c>
      <c r="BL42" s="8" t="b">
        <f>W42='[1]35千伏-750千伏电网基建'!W41</f>
        <v>0</v>
      </c>
      <c r="BM42" s="1" t="b">
        <f>X42='[1]35千伏-750千伏电网基建'!X41</f>
        <v>1</v>
      </c>
      <c r="BN42" s="1" t="b">
        <f>Y42='[1]35千伏-750千伏电网基建'!Y41</f>
        <v>1</v>
      </c>
      <c r="BO42" s="1" t="b">
        <f>Z42='[1]35千伏-750千伏电网基建'!Z41</f>
        <v>1</v>
      </c>
      <c r="BP42" s="1" t="b">
        <f>AA42='[1]35千伏-750千伏电网基建'!AA41</f>
        <v>1</v>
      </c>
      <c r="BQ42" s="1" t="b">
        <f>AB42='[1]35千伏-750千伏电网基建'!AB41</f>
        <v>1</v>
      </c>
      <c r="BR42" s="1" t="b">
        <f>AC42='[1]35千伏-750千伏电网基建'!AC41</f>
        <v>1</v>
      </c>
      <c r="BS42" s="1" t="b">
        <f>AD42='[1]35千伏-750千伏电网基建'!AD41</f>
        <v>1</v>
      </c>
      <c r="BT42" s="1" t="b">
        <f>AE42='[1]35千伏-750千伏电网基建'!AE41</f>
        <v>1</v>
      </c>
      <c r="BU42" s="1" t="b">
        <f>AF42='[1]35千伏-750千伏电网基建'!AF41</f>
        <v>1</v>
      </c>
      <c r="BV42" s="1" t="b">
        <f>AG42='[1]35千伏-750千伏电网基建'!AG41</f>
        <v>1</v>
      </c>
      <c r="BW42" s="1" t="b">
        <f>AH42='[1]35千伏-750千伏电网基建'!AH41</f>
        <v>1</v>
      </c>
      <c r="BX42" s="1" t="b">
        <f>AI42='[1]35千伏-750千伏电网基建'!AI41</f>
        <v>1</v>
      </c>
      <c r="BY42" s="1" t="b">
        <f>AJ42='[1]35千伏-750千伏电网基建'!AJ41</f>
        <v>1</v>
      </c>
      <c r="BZ42" s="1" t="b">
        <f>AK42='[1]35千伏-750千伏电网基建'!AK41</f>
        <v>1</v>
      </c>
    </row>
    <row r="43" s="1" customFormat="1" ht="78" customHeight="1" spans="1:78">
      <c r="A43" s="14"/>
      <c r="B43" s="14"/>
      <c r="C43" s="15"/>
      <c r="D43" s="15"/>
      <c r="E43" s="16"/>
      <c r="F43" s="17"/>
      <c r="G43" s="15"/>
      <c r="H43" s="16"/>
      <c r="I43" s="23" t="s">
        <v>1150</v>
      </c>
      <c r="J43" s="16" t="s">
        <v>1438</v>
      </c>
      <c r="K43" s="15"/>
      <c r="L43" s="15" t="s">
        <v>36</v>
      </c>
      <c r="M43" s="15" t="s">
        <v>36</v>
      </c>
      <c r="N43" s="15"/>
      <c r="O43" s="15"/>
      <c r="P43" s="15"/>
      <c r="Q43" s="15"/>
      <c r="R43" s="15"/>
      <c r="S43" s="15"/>
      <c r="T43" s="15" t="s">
        <v>465</v>
      </c>
      <c r="U43" s="15" t="s">
        <v>602</v>
      </c>
      <c r="V43" s="16" t="s">
        <v>743</v>
      </c>
      <c r="W43" s="56" t="s">
        <v>1436</v>
      </c>
      <c r="X43" s="15" t="s">
        <v>474</v>
      </c>
      <c r="Y43" s="15" t="s">
        <v>473</v>
      </c>
      <c r="Z43" s="30"/>
      <c r="AA43" s="15" t="s">
        <v>474</v>
      </c>
      <c r="AB43" s="15" t="s">
        <v>473</v>
      </c>
      <c r="AC43" s="30"/>
      <c r="AD43" s="15"/>
      <c r="AE43" s="30"/>
      <c r="AF43" s="30"/>
      <c r="AG43" s="30"/>
      <c r="AH43" s="15" t="s">
        <v>476</v>
      </c>
      <c r="AI43" s="15" t="s">
        <v>476</v>
      </c>
      <c r="AJ43" s="15" t="s">
        <v>746</v>
      </c>
      <c r="AK43" s="15"/>
      <c r="AL43" s="1" t="s">
        <v>1064</v>
      </c>
      <c r="AM43" s="23" t="s">
        <v>1075</v>
      </c>
      <c r="AO43" s="7" t="s">
        <v>1152</v>
      </c>
      <c r="AP43" s="1" t="b">
        <f>A43='[1]35千伏-750千伏电网基建'!A42</f>
        <v>1</v>
      </c>
      <c r="AQ43" s="1" t="b">
        <f>B43='[1]35千伏-750千伏电网基建'!B42</f>
        <v>1</v>
      </c>
      <c r="AR43" s="1" t="b">
        <f>C43='[1]35千伏-750千伏电网基建'!C42</f>
        <v>1</v>
      </c>
      <c r="AS43" s="1" t="b">
        <f>D43='[1]35千伏-750千伏电网基建'!D42</f>
        <v>1</v>
      </c>
      <c r="AT43" s="1" t="b">
        <f>E43='[1]35千伏-750千伏电网基建'!E42</f>
        <v>1</v>
      </c>
      <c r="AU43" s="1" t="b">
        <f>F43='[1]35千伏-750千伏电网基建'!F42</f>
        <v>1</v>
      </c>
      <c r="AV43" s="1" t="b">
        <f>G43='[1]35千伏-750千伏电网基建'!G42</f>
        <v>1</v>
      </c>
      <c r="AW43" s="1" t="b">
        <f>H43='[1]35千伏-750千伏电网基建'!H42</f>
        <v>1</v>
      </c>
      <c r="AX43" s="1" t="b">
        <f>I43='[1]35千伏-750千伏电网基建'!I42</f>
        <v>1</v>
      </c>
      <c r="AY43" s="1" t="b">
        <f>J43='[1]35千伏-750千伏电网基建'!J42</f>
        <v>0</v>
      </c>
      <c r="AZ43" s="1" t="b">
        <f>K43='[1]35千伏-750千伏电网基建'!K42</f>
        <v>1</v>
      </c>
      <c r="BA43" s="1" t="b">
        <f>L43='[1]35千伏-750千伏电网基建'!L42</f>
        <v>1</v>
      </c>
      <c r="BB43" s="1" t="b">
        <f>M43='[1]35千伏-750千伏电网基建'!M42</f>
        <v>1</v>
      </c>
      <c r="BC43" s="1" t="b">
        <f>N43='[1]35千伏-750千伏电网基建'!N42</f>
        <v>1</v>
      </c>
      <c r="BD43" s="1" t="b">
        <f>O43='[1]35千伏-750千伏电网基建'!O42</f>
        <v>1</v>
      </c>
      <c r="BE43" s="1" t="b">
        <f>P43='[1]35千伏-750千伏电网基建'!P42</f>
        <v>1</v>
      </c>
      <c r="BF43" s="1" t="b">
        <f>Q43='[1]35千伏-750千伏电网基建'!Q42</f>
        <v>1</v>
      </c>
      <c r="BG43" s="1" t="b">
        <f>R43='[1]35千伏-750千伏电网基建'!R42</f>
        <v>1</v>
      </c>
      <c r="BH43" s="1" t="b">
        <f>S43='[1]35千伏-750千伏电网基建'!S42</f>
        <v>1</v>
      </c>
      <c r="BI43" s="1" t="b">
        <f>T43='[1]35千伏-750千伏电网基建'!T42</f>
        <v>1</v>
      </c>
      <c r="BJ43" s="1" t="b">
        <f>U43='[1]35千伏-750千伏电网基建'!U42</f>
        <v>1</v>
      </c>
      <c r="BK43" s="1" t="b">
        <f>V43='[1]35千伏-750千伏电网基建'!V42</f>
        <v>1</v>
      </c>
      <c r="BL43" s="8" t="b">
        <f>W43='[1]35千伏-750千伏电网基建'!W42</f>
        <v>0</v>
      </c>
      <c r="BM43" s="1" t="b">
        <f>X43='[1]35千伏-750千伏电网基建'!X42</f>
        <v>1</v>
      </c>
      <c r="BN43" s="1" t="b">
        <f>Y43='[1]35千伏-750千伏电网基建'!Y42</f>
        <v>1</v>
      </c>
      <c r="BO43" s="1" t="b">
        <f>Z43='[1]35千伏-750千伏电网基建'!Z42</f>
        <v>1</v>
      </c>
      <c r="BP43" s="1" t="b">
        <f>AA43='[1]35千伏-750千伏电网基建'!AA42</f>
        <v>1</v>
      </c>
      <c r="BQ43" s="1" t="b">
        <f>AB43='[1]35千伏-750千伏电网基建'!AB42</f>
        <v>1</v>
      </c>
      <c r="BR43" s="1" t="b">
        <f>AC43='[1]35千伏-750千伏电网基建'!AC42</f>
        <v>1</v>
      </c>
      <c r="BS43" s="1" t="b">
        <f>AD43='[1]35千伏-750千伏电网基建'!AD42</f>
        <v>1</v>
      </c>
      <c r="BT43" s="1" t="b">
        <f>AE43='[1]35千伏-750千伏电网基建'!AE42</f>
        <v>1</v>
      </c>
      <c r="BU43" s="1" t="b">
        <f>AF43='[1]35千伏-750千伏电网基建'!AF42</f>
        <v>1</v>
      </c>
      <c r="BV43" s="1" t="b">
        <f>AG43='[1]35千伏-750千伏电网基建'!AG42</f>
        <v>1</v>
      </c>
      <c r="BW43" s="1" t="b">
        <f>AH43='[1]35千伏-750千伏电网基建'!AH42</f>
        <v>1</v>
      </c>
      <c r="BX43" s="1" t="b">
        <f>AI43='[1]35千伏-750千伏电网基建'!AI42</f>
        <v>1</v>
      </c>
      <c r="BY43" s="1" t="b">
        <f>AJ43='[1]35千伏-750千伏电网基建'!AJ42</f>
        <v>0</v>
      </c>
      <c r="BZ43" s="1" t="b">
        <f>AK43='[1]35千伏-750千伏电网基建'!AK42</f>
        <v>1</v>
      </c>
    </row>
    <row r="44" s="1" customFormat="1" ht="80" customHeight="1" spans="1:78">
      <c r="A44" s="14"/>
      <c r="B44" s="14"/>
      <c r="C44" s="15"/>
      <c r="D44" s="15"/>
      <c r="E44" s="16"/>
      <c r="F44" s="17"/>
      <c r="G44" s="15"/>
      <c r="H44" s="16"/>
      <c r="I44" s="23" t="s">
        <v>1153</v>
      </c>
      <c r="J44" s="16" t="s">
        <v>1360</v>
      </c>
      <c r="K44" s="15"/>
      <c r="L44" s="15" t="s">
        <v>36</v>
      </c>
      <c r="M44" s="15" t="s">
        <v>36</v>
      </c>
      <c r="N44" s="15"/>
      <c r="O44" s="15"/>
      <c r="P44" s="15"/>
      <c r="Q44" s="15"/>
      <c r="R44" s="15"/>
      <c r="S44" s="15" t="s">
        <v>36</v>
      </c>
      <c r="T44" s="15" t="s">
        <v>492</v>
      </c>
      <c r="U44" s="15"/>
      <c r="V44" s="16" t="s">
        <v>743</v>
      </c>
      <c r="W44" s="56" t="s">
        <v>1439</v>
      </c>
      <c r="X44" s="15" t="s">
        <v>474</v>
      </c>
      <c r="Y44" s="15" t="s">
        <v>473</v>
      </c>
      <c r="Z44" s="30"/>
      <c r="AA44" s="15" t="s">
        <v>474</v>
      </c>
      <c r="AB44" s="15" t="s">
        <v>473</v>
      </c>
      <c r="AC44" s="30"/>
      <c r="AD44" s="15"/>
      <c r="AE44" s="30"/>
      <c r="AF44" s="30"/>
      <c r="AG44" s="30"/>
      <c r="AH44" s="15" t="s">
        <v>476</v>
      </c>
      <c r="AI44" s="15" t="s">
        <v>476</v>
      </c>
      <c r="AJ44" s="15" t="s">
        <v>740</v>
      </c>
      <c r="AK44" s="15"/>
      <c r="AL44" s="1" t="s">
        <v>1064</v>
      </c>
      <c r="AM44" s="23" t="s">
        <v>1075</v>
      </c>
      <c r="AN44" s="58" t="s">
        <v>1155</v>
      </c>
      <c r="AO44" s="7" t="s">
        <v>1045</v>
      </c>
      <c r="AP44" s="1" t="b">
        <f>A44='[1]35千伏-750千伏电网基建'!A43</f>
        <v>1</v>
      </c>
      <c r="AQ44" s="1" t="b">
        <f>B44='[1]35千伏-750千伏电网基建'!B43</f>
        <v>1</v>
      </c>
      <c r="AR44" s="1" t="b">
        <f>C44='[1]35千伏-750千伏电网基建'!C43</f>
        <v>1</v>
      </c>
      <c r="AS44" s="1" t="b">
        <f>D44='[1]35千伏-750千伏电网基建'!D43</f>
        <v>1</v>
      </c>
      <c r="AT44" s="1" t="b">
        <f>E44='[1]35千伏-750千伏电网基建'!E43</f>
        <v>1</v>
      </c>
      <c r="AU44" s="1" t="b">
        <f>F44='[1]35千伏-750千伏电网基建'!F43</f>
        <v>1</v>
      </c>
      <c r="AV44" s="1" t="b">
        <f>G44='[1]35千伏-750千伏电网基建'!G43</f>
        <v>1</v>
      </c>
      <c r="AW44" s="1" t="b">
        <f>H44='[1]35千伏-750千伏电网基建'!H43</f>
        <v>1</v>
      </c>
      <c r="AX44" s="1" t="b">
        <f>I44='[1]35千伏-750千伏电网基建'!I43</f>
        <v>1</v>
      </c>
      <c r="AY44" s="1" t="b">
        <f>J44='[1]35千伏-750千伏电网基建'!J43</f>
        <v>1</v>
      </c>
      <c r="AZ44" s="1" t="b">
        <f>K44='[1]35千伏-750千伏电网基建'!K43</f>
        <v>1</v>
      </c>
      <c r="BA44" s="1" t="b">
        <f>L44='[1]35千伏-750千伏电网基建'!L43</f>
        <v>1</v>
      </c>
      <c r="BB44" s="1" t="b">
        <f>M44='[1]35千伏-750千伏电网基建'!M43</f>
        <v>1</v>
      </c>
      <c r="BC44" s="1" t="b">
        <f>N44='[1]35千伏-750千伏电网基建'!N43</f>
        <v>1</v>
      </c>
      <c r="BD44" s="1" t="b">
        <f>O44='[1]35千伏-750千伏电网基建'!O43</f>
        <v>1</v>
      </c>
      <c r="BE44" s="1" t="b">
        <f>P44='[1]35千伏-750千伏电网基建'!P43</f>
        <v>1</v>
      </c>
      <c r="BF44" s="1" t="b">
        <f>Q44='[1]35千伏-750千伏电网基建'!Q43</f>
        <v>1</v>
      </c>
      <c r="BG44" s="1" t="b">
        <f>R44='[1]35千伏-750千伏电网基建'!R43</f>
        <v>1</v>
      </c>
      <c r="BH44" s="1" t="b">
        <f>S44='[1]35千伏-750千伏电网基建'!S43</f>
        <v>1</v>
      </c>
      <c r="BI44" s="1" t="b">
        <f>T44='[1]35千伏-750千伏电网基建'!T43</f>
        <v>1</v>
      </c>
      <c r="BJ44" s="1" t="b">
        <f>U44='[1]35千伏-750千伏电网基建'!U43</f>
        <v>1</v>
      </c>
      <c r="BK44" s="1" t="b">
        <f>V44='[1]35千伏-750千伏电网基建'!V43</f>
        <v>1</v>
      </c>
      <c r="BL44" s="8" t="b">
        <f>W44='[1]35千伏-750千伏电网基建'!W43</f>
        <v>0</v>
      </c>
      <c r="BM44" s="1" t="b">
        <f>X44='[1]35千伏-750千伏电网基建'!X43</f>
        <v>1</v>
      </c>
      <c r="BN44" s="1" t="b">
        <f>Y44='[1]35千伏-750千伏电网基建'!Y43</f>
        <v>1</v>
      </c>
      <c r="BO44" s="1" t="b">
        <f>Z44='[1]35千伏-750千伏电网基建'!Z43</f>
        <v>1</v>
      </c>
      <c r="BP44" s="1" t="b">
        <f>AA44='[1]35千伏-750千伏电网基建'!AA43</f>
        <v>1</v>
      </c>
      <c r="BQ44" s="1" t="b">
        <f>AB44='[1]35千伏-750千伏电网基建'!AB43</f>
        <v>1</v>
      </c>
      <c r="BR44" s="1" t="b">
        <f>AC44='[1]35千伏-750千伏电网基建'!AC43</f>
        <v>1</v>
      </c>
      <c r="BS44" s="1" t="b">
        <f>AD44='[1]35千伏-750千伏电网基建'!AD43</f>
        <v>1</v>
      </c>
      <c r="BT44" s="1" t="b">
        <f>AE44='[1]35千伏-750千伏电网基建'!AE43</f>
        <v>1</v>
      </c>
      <c r="BU44" s="1" t="b">
        <f>AF44='[1]35千伏-750千伏电网基建'!AF43</f>
        <v>1</v>
      </c>
      <c r="BV44" s="1" t="b">
        <f>AG44='[1]35千伏-750千伏电网基建'!AG43</f>
        <v>1</v>
      </c>
      <c r="BW44" s="1" t="b">
        <f>AH44='[1]35千伏-750千伏电网基建'!AH43</f>
        <v>1</v>
      </c>
      <c r="BX44" s="1" t="b">
        <f>AI44='[1]35千伏-750千伏电网基建'!AI43</f>
        <v>1</v>
      </c>
      <c r="BY44" s="1" t="b">
        <f>AJ44='[1]35千伏-750千伏电网基建'!AJ43</f>
        <v>1</v>
      </c>
      <c r="BZ44" s="1" t="b">
        <f>AK44='[1]35千伏-750千伏电网基建'!AK43</f>
        <v>1</v>
      </c>
    </row>
    <row r="45" s="1" customFormat="1" ht="73" customHeight="1" spans="1:78">
      <c r="A45" s="14"/>
      <c r="B45" s="14"/>
      <c r="C45" s="15" t="s">
        <v>485</v>
      </c>
      <c r="D45" s="15" t="s">
        <v>750</v>
      </c>
      <c r="E45" s="16" t="s">
        <v>751</v>
      </c>
      <c r="F45" s="17" t="s">
        <v>752</v>
      </c>
      <c r="G45" s="15" t="s">
        <v>1156</v>
      </c>
      <c r="H45" s="16" t="s">
        <v>754</v>
      </c>
      <c r="I45" s="23" t="s">
        <v>1157</v>
      </c>
      <c r="J45" s="59" t="s">
        <v>1440</v>
      </c>
      <c r="K45" s="15"/>
      <c r="L45" s="15"/>
      <c r="M45" s="15" t="s">
        <v>36</v>
      </c>
      <c r="N45" s="15"/>
      <c r="O45" s="15" t="s">
        <v>36</v>
      </c>
      <c r="P45" s="15"/>
      <c r="Q45" s="15"/>
      <c r="R45" s="15" t="s">
        <v>36</v>
      </c>
      <c r="S45" s="15"/>
      <c r="T45" s="15" t="s">
        <v>465</v>
      </c>
      <c r="U45" s="15" t="s">
        <v>757</v>
      </c>
      <c r="V45" s="16" t="s">
        <v>758</v>
      </c>
      <c r="W45" s="60" t="s">
        <v>1159</v>
      </c>
      <c r="X45" s="15" t="s">
        <v>474</v>
      </c>
      <c r="Y45" s="15" t="s">
        <v>473</v>
      </c>
      <c r="Z45" s="15"/>
      <c r="AA45" s="15" t="s">
        <v>474</v>
      </c>
      <c r="AB45" s="15" t="s">
        <v>473</v>
      </c>
      <c r="AC45" s="15"/>
      <c r="AD45" s="15" t="s">
        <v>760</v>
      </c>
      <c r="AE45" s="15" t="s">
        <v>511</v>
      </c>
      <c r="AF45" s="15"/>
      <c r="AG45" s="30"/>
      <c r="AH45" s="15" t="s">
        <v>476</v>
      </c>
      <c r="AI45" s="15" t="s">
        <v>476</v>
      </c>
      <c r="AJ45" s="15" t="s">
        <v>761</v>
      </c>
      <c r="AK45" s="15" t="s">
        <v>762</v>
      </c>
      <c r="AL45" s="61" t="s">
        <v>1160</v>
      </c>
      <c r="AM45" s="23" t="s">
        <v>1091</v>
      </c>
      <c r="AO45" s="7" t="s">
        <v>1059</v>
      </c>
      <c r="AP45" s="1" t="b">
        <f>A45='[1]35千伏-750千伏电网基建'!A44</f>
        <v>1</v>
      </c>
      <c r="AQ45" s="1" t="b">
        <f>B45='[1]35千伏-750千伏电网基建'!B44</f>
        <v>1</v>
      </c>
      <c r="AR45" s="1" t="b">
        <f>C45='[1]35千伏-750千伏电网基建'!C44</f>
        <v>1</v>
      </c>
      <c r="AS45" s="1" t="b">
        <f>D45='[1]35千伏-750千伏电网基建'!D44</f>
        <v>1</v>
      </c>
      <c r="AT45" s="1" t="b">
        <f>E45='[1]35千伏-750千伏电网基建'!E44</f>
        <v>1</v>
      </c>
      <c r="AU45" s="1" t="b">
        <f>F45='[1]35千伏-750千伏电网基建'!F44</f>
        <v>1</v>
      </c>
      <c r="AV45" s="1" t="b">
        <f>G45='[1]35千伏-750千伏电网基建'!G44</f>
        <v>1</v>
      </c>
      <c r="AW45" s="1" t="b">
        <f>H45='[1]35千伏-750千伏电网基建'!H44</f>
        <v>1</v>
      </c>
      <c r="AX45" s="1" t="b">
        <f>I45='[1]35千伏-750千伏电网基建'!I44</f>
        <v>1</v>
      </c>
      <c r="AY45" s="1" t="b">
        <f>J45='[1]35千伏-750千伏电网基建'!J44</f>
        <v>1</v>
      </c>
      <c r="AZ45" s="1" t="b">
        <f>K45='[1]35千伏-750千伏电网基建'!K44</f>
        <v>1</v>
      </c>
      <c r="BA45" s="1" t="b">
        <f>L45='[1]35千伏-750千伏电网基建'!L44</f>
        <v>1</v>
      </c>
      <c r="BB45" s="1" t="b">
        <f>M45='[1]35千伏-750千伏电网基建'!M44</f>
        <v>1</v>
      </c>
      <c r="BC45" s="1" t="b">
        <f>N45='[1]35千伏-750千伏电网基建'!N44</f>
        <v>1</v>
      </c>
      <c r="BD45" s="1" t="b">
        <f>O45='[1]35千伏-750千伏电网基建'!O44</f>
        <v>1</v>
      </c>
      <c r="BE45" s="1" t="b">
        <f>P45='[1]35千伏-750千伏电网基建'!P44</f>
        <v>1</v>
      </c>
      <c r="BF45" s="1" t="b">
        <f>Q45='[1]35千伏-750千伏电网基建'!Q44</f>
        <v>1</v>
      </c>
      <c r="BG45" s="1" t="b">
        <f>R45='[1]35千伏-750千伏电网基建'!R44</f>
        <v>1</v>
      </c>
      <c r="BH45" s="1" t="b">
        <f>S45='[1]35千伏-750千伏电网基建'!S44</f>
        <v>1</v>
      </c>
      <c r="BI45" s="1" t="b">
        <f>T45='[1]35千伏-750千伏电网基建'!T44</f>
        <v>1</v>
      </c>
      <c r="BJ45" s="1" t="b">
        <f>U45='[1]35千伏-750千伏电网基建'!U44</f>
        <v>1</v>
      </c>
      <c r="BK45" s="1" t="b">
        <f>V45='[1]35千伏-750千伏电网基建'!V44</f>
        <v>1</v>
      </c>
      <c r="BL45" s="8" t="b">
        <f>W45='[1]35千伏-750千伏电网基建'!W44</f>
        <v>0</v>
      </c>
      <c r="BM45" s="1" t="b">
        <f>X45='[1]35千伏-750千伏电网基建'!X44</f>
        <v>1</v>
      </c>
      <c r="BN45" s="1" t="b">
        <f>Y45='[1]35千伏-750千伏电网基建'!Y44</f>
        <v>1</v>
      </c>
      <c r="BO45" s="1" t="b">
        <f>Z45='[1]35千伏-750千伏电网基建'!Z44</f>
        <v>1</v>
      </c>
      <c r="BP45" s="1" t="b">
        <f>AA45='[1]35千伏-750千伏电网基建'!AA44</f>
        <v>1</v>
      </c>
      <c r="BQ45" s="1" t="b">
        <f>AB45='[1]35千伏-750千伏电网基建'!AB44</f>
        <v>1</v>
      </c>
      <c r="BR45" s="1" t="b">
        <f>AC45='[1]35千伏-750千伏电网基建'!AC44</f>
        <v>1</v>
      </c>
      <c r="BS45" s="1" t="b">
        <f>AD45='[1]35千伏-750千伏电网基建'!AD44</f>
        <v>1</v>
      </c>
      <c r="BT45" s="1" t="b">
        <f>AE45='[1]35千伏-750千伏电网基建'!AE44</f>
        <v>1</v>
      </c>
      <c r="BU45" s="1" t="b">
        <f>AF45='[1]35千伏-750千伏电网基建'!AF44</f>
        <v>1</v>
      </c>
      <c r="BV45" s="1" t="b">
        <f>AG45='[1]35千伏-750千伏电网基建'!AG44</f>
        <v>1</v>
      </c>
      <c r="BW45" s="1" t="b">
        <f>AH45='[1]35千伏-750千伏电网基建'!AH44</f>
        <v>1</v>
      </c>
      <c r="BX45" s="1" t="b">
        <f>AI45='[1]35千伏-750千伏电网基建'!AI44</f>
        <v>1</v>
      </c>
      <c r="BY45" s="1" t="b">
        <f>AJ45='[1]35千伏-750千伏电网基建'!AJ44</f>
        <v>1</v>
      </c>
      <c r="BZ45" s="1" t="b">
        <f>AK45='[1]35千伏-750千伏电网基建'!AK44</f>
        <v>1</v>
      </c>
    </row>
    <row r="46" s="1" customFormat="1" ht="82" customHeight="1" spans="1:78">
      <c r="A46" s="14"/>
      <c r="B46" s="14"/>
      <c r="C46" s="15"/>
      <c r="D46" s="15"/>
      <c r="E46" s="16"/>
      <c r="F46" s="17"/>
      <c r="G46" s="15"/>
      <c r="H46" s="16"/>
      <c r="I46" s="23" t="s">
        <v>1162</v>
      </c>
      <c r="J46" s="59" t="s">
        <v>1163</v>
      </c>
      <c r="K46" s="15"/>
      <c r="L46" s="15"/>
      <c r="M46" s="15"/>
      <c r="N46" s="15"/>
      <c r="O46" s="15"/>
      <c r="P46" s="15"/>
      <c r="Q46" s="15"/>
      <c r="R46" s="15" t="s">
        <v>36</v>
      </c>
      <c r="S46" s="15"/>
      <c r="T46" s="15" t="s">
        <v>492</v>
      </c>
      <c r="U46" s="15"/>
      <c r="V46" s="16" t="s">
        <v>765</v>
      </c>
      <c r="W46" s="60" t="s">
        <v>1164</v>
      </c>
      <c r="X46" s="15" t="s">
        <v>474</v>
      </c>
      <c r="Y46" s="15" t="s">
        <v>473</v>
      </c>
      <c r="Z46" s="15"/>
      <c r="AA46" s="15" t="s">
        <v>474</v>
      </c>
      <c r="AB46" s="15" t="s">
        <v>473</v>
      </c>
      <c r="AC46" s="15"/>
      <c r="AD46" s="15"/>
      <c r="AE46" s="15"/>
      <c r="AF46" s="15"/>
      <c r="AG46" s="30"/>
      <c r="AH46" s="15" t="s">
        <v>476</v>
      </c>
      <c r="AI46" s="15" t="s">
        <v>476</v>
      </c>
      <c r="AJ46" s="15" t="s">
        <v>767</v>
      </c>
      <c r="AK46" s="15" t="s">
        <v>599</v>
      </c>
      <c r="AL46" s="62"/>
      <c r="AM46" s="23" t="s">
        <v>1091</v>
      </c>
      <c r="AO46" s="7" t="s">
        <v>1059</v>
      </c>
      <c r="AP46" s="1" t="b">
        <f>A46='[1]35千伏-750千伏电网基建'!A45</f>
        <v>1</v>
      </c>
      <c r="AQ46" s="1" t="b">
        <f>B46='[1]35千伏-750千伏电网基建'!B45</f>
        <v>1</v>
      </c>
      <c r="AR46" s="1" t="b">
        <f>C46='[1]35千伏-750千伏电网基建'!C45</f>
        <v>1</v>
      </c>
      <c r="AS46" s="1" t="b">
        <f>D46='[1]35千伏-750千伏电网基建'!D45</f>
        <v>1</v>
      </c>
      <c r="AT46" s="1" t="b">
        <f>E46='[1]35千伏-750千伏电网基建'!E45</f>
        <v>1</v>
      </c>
      <c r="AU46" s="1" t="b">
        <f>F46='[1]35千伏-750千伏电网基建'!F45</f>
        <v>1</v>
      </c>
      <c r="AV46" s="1" t="b">
        <f>G46='[1]35千伏-750千伏电网基建'!G45</f>
        <v>1</v>
      </c>
      <c r="AW46" s="1" t="b">
        <f>H46='[1]35千伏-750千伏电网基建'!H45</f>
        <v>1</v>
      </c>
      <c r="AX46" s="1" t="b">
        <f>I46='[1]35千伏-750千伏电网基建'!I45</f>
        <v>1</v>
      </c>
      <c r="AY46" s="1" t="b">
        <f>J46='[1]35千伏-750千伏电网基建'!J45</f>
        <v>1</v>
      </c>
      <c r="AZ46" s="1" t="b">
        <f>K46='[1]35千伏-750千伏电网基建'!K45</f>
        <v>1</v>
      </c>
      <c r="BA46" s="1" t="b">
        <f>L46='[1]35千伏-750千伏电网基建'!L45</f>
        <v>1</v>
      </c>
      <c r="BB46" s="1" t="b">
        <f>M46='[1]35千伏-750千伏电网基建'!M45</f>
        <v>1</v>
      </c>
      <c r="BC46" s="1" t="b">
        <f>N46='[1]35千伏-750千伏电网基建'!N45</f>
        <v>1</v>
      </c>
      <c r="BD46" s="1" t="b">
        <f>O46='[1]35千伏-750千伏电网基建'!O45</f>
        <v>1</v>
      </c>
      <c r="BE46" s="1" t="b">
        <f>P46='[1]35千伏-750千伏电网基建'!P45</f>
        <v>1</v>
      </c>
      <c r="BF46" s="1" t="b">
        <f>Q46='[1]35千伏-750千伏电网基建'!Q45</f>
        <v>1</v>
      </c>
      <c r="BG46" s="1" t="b">
        <f>R46='[1]35千伏-750千伏电网基建'!R45</f>
        <v>1</v>
      </c>
      <c r="BH46" s="1" t="b">
        <f>S46='[1]35千伏-750千伏电网基建'!S45</f>
        <v>1</v>
      </c>
      <c r="BI46" s="1" t="b">
        <f>T46='[1]35千伏-750千伏电网基建'!T45</f>
        <v>1</v>
      </c>
      <c r="BJ46" s="1" t="b">
        <f>U46='[1]35千伏-750千伏电网基建'!U45</f>
        <v>1</v>
      </c>
      <c r="BK46" s="1" t="b">
        <f>V46='[1]35千伏-750千伏电网基建'!V45</f>
        <v>1</v>
      </c>
      <c r="BL46" s="8" t="b">
        <f>W46='[1]35千伏-750千伏电网基建'!W45</f>
        <v>0</v>
      </c>
      <c r="BM46" s="1" t="b">
        <f>X46='[1]35千伏-750千伏电网基建'!X45</f>
        <v>1</v>
      </c>
      <c r="BN46" s="1" t="b">
        <f>Y46='[1]35千伏-750千伏电网基建'!Y45</f>
        <v>1</v>
      </c>
      <c r="BO46" s="1" t="b">
        <f>Z46='[1]35千伏-750千伏电网基建'!Z45</f>
        <v>1</v>
      </c>
      <c r="BP46" s="1" t="b">
        <f>AA46='[1]35千伏-750千伏电网基建'!AA45</f>
        <v>1</v>
      </c>
      <c r="BQ46" s="1" t="b">
        <f>AB46='[1]35千伏-750千伏电网基建'!AB45</f>
        <v>1</v>
      </c>
      <c r="BR46" s="1" t="b">
        <f>AC46='[1]35千伏-750千伏电网基建'!AC45</f>
        <v>1</v>
      </c>
      <c r="BS46" s="1" t="b">
        <f>AD46='[1]35千伏-750千伏电网基建'!AD45</f>
        <v>1</v>
      </c>
      <c r="BT46" s="1" t="b">
        <f>AE46='[1]35千伏-750千伏电网基建'!AE45</f>
        <v>1</v>
      </c>
      <c r="BU46" s="1" t="b">
        <f>AF46='[1]35千伏-750千伏电网基建'!AF45</f>
        <v>1</v>
      </c>
      <c r="BV46" s="1" t="b">
        <f>AG46='[1]35千伏-750千伏电网基建'!AG45</f>
        <v>1</v>
      </c>
      <c r="BW46" s="1" t="b">
        <f>AH46='[1]35千伏-750千伏电网基建'!AH45</f>
        <v>1</v>
      </c>
      <c r="BX46" s="1" t="b">
        <f>AI46='[1]35千伏-750千伏电网基建'!AI45</f>
        <v>1</v>
      </c>
      <c r="BY46" s="1" t="b">
        <f>AJ46='[1]35千伏-750千伏电网基建'!AJ45</f>
        <v>1</v>
      </c>
      <c r="BZ46" s="1" t="b">
        <f>AK46='[1]35千伏-750千伏电网基建'!AK45</f>
        <v>1</v>
      </c>
    </row>
    <row r="47" s="1" customFormat="1" ht="71" customHeight="1" spans="1:78">
      <c r="A47" s="14"/>
      <c r="B47" s="14"/>
      <c r="C47" s="15"/>
      <c r="D47" s="15"/>
      <c r="E47" s="16"/>
      <c r="F47" s="17"/>
      <c r="G47" s="15"/>
      <c r="H47" s="16"/>
      <c r="I47" s="23" t="s">
        <v>1165</v>
      </c>
      <c r="J47" s="59" t="s">
        <v>1166</v>
      </c>
      <c r="K47" s="15" t="s">
        <v>36</v>
      </c>
      <c r="L47" s="15"/>
      <c r="M47" s="15"/>
      <c r="N47" s="15"/>
      <c r="O47" s="15"/>
      <c r="P47" s="15"/>
      <c r="Q47" s="15"/>
      <c r="R47" s="15" t="s">
        <v>36</v>
      </c>
      <c r="S47" s="15"/>
      <c r="T47" s="15" t="s">
        <v>492</v>
      </c>
      <c r="U47" s="15"/>
      <c r="V47" s="16" t="s">
        <v>765</v>
      </c>
      <c r="W47" s="60" t="s">
        <v>1164</v>
      </c>
      <c r="X47" s="15" t="s">
        <v>474</v>
      </c>
      <c r="Y47" s="15" t="s">
        <v>473</v>
      </c>
      <c r="Z47" s="15"/>
      <c r="AA47" s="15" t="s">
        <v>474</v>
      </c>
      <c r="AB47" s="15" t="s">
        <v>473</v>
      </c>
      <c r="AC47" s="15"/>
      <c r="AD47" s="15"/>
      <c r="AE47" s="15"/>
      <c r="AF47" s="15"/>
      <c r="AG47" s="30"/>
      <c r="AH47" s="15" t="s">
        <v>476</v>
      </c>
      <c r="AI47" s="15" t="s">
        <v>476</v>
      </c>
      <c r="AJ47" s="15" t="s">
        <v>767</v>
      </c>
      <c r="AK47" s="15"/>
      <c r="AL47" s="62"/>
      <c r="AM47" s="23" t="s">
        <v>1091</v>
      </c>
      <c r="AO47" s="7" t="s">
        <v>1059</v>
      </c>
      <c r="AP47" s="1" t="b">
        <f>A47='[1]35千伏-750千伏电网基建'!A46</f>
        <v>1</v>
      </c>
      <c r="AQ47" s="1" t="b">
        <f>B47='[1]35千伏-750千伏电网基建'!B46</f>
        <v>1</v>
      </c>
      <c r="AR47" s="1" t="b">
        <f>C47='[1]35千伏-750千伏电网基建'!C46</f>
        <v>1</v>
      </c>
      <c r="AS47" s="1" t="b">
        <f>D47='[1]35千伏-750千伏电网基建'!D46</f>
        <v>1</v>
      </c>
      <c r="AT47" s="1" t="b">
        <f>E47='[1]35千伏-750千伏电网基建'!E46</f>
        <v>1</v>
      </c>
      <c r="AU47" s="1" t="b">
        <f>F47='[1]35千伏-750千伏电网基建'!F46</f>
        <v>1</v>
      </c>
      <c r="AV47" s="1" t="b">
        <f>G47='[1]35千伏-750千伏电网基建'!G46</f>
        <v>1</v>
      </c>
      <c r="AW47" s="1" t="b">
        <f>H47='[1]35千伏-750千伏电网基建'!H46</f>
        <v>1</v>
      </c>
      <c r="AX47" s="1" t="b">
        <f>I47='[1]35千伏-750千伏电网基建'!I46</f>
        <v>1</v>
      </c>
      <c r="AY47" s="1" t="b">
        <f>J47='[1]35千伏-750千伏电网基建'!J46</f>
        <v>1</v>
      </c>
      <c r="AZ47" s="1" t="b">
        <f>K47='[1]35千伏-750千伏电网基建'!K46</f>
        <v>1</v>
      </c>
      <c r="BA47" s="1" t="b">
        <f>L47='[1]35千伏-750千伏电网基建'!L46</f>
        <v>1</v>
      </c>
      <c r="BB47" s="1" t="b">
        <f>M47='[1]35千伏-750千伏电网基建'!M46</f>
        <v>1</v>
      </c>
      <c r="BC47" s="1" t="b">
        <f>N47='[1]35千伏-750千伏电网基建'!N46</f>
        <v>1</v>
      </c>
      <c r="BD47" s="1" t="b">
        <f>O47='[1]35千伏-750千伏电网基建'!O46</f>
        <v>1</v>
      </c>
      <c r="BE47" s="1" t="b">
        <f>P47='[1]35千伏-750千伏电网基建'!P46</f>
        <v>1</v>
      </c>
      <c r="BF47" s="1" t="b">
        <f>Q47='[1]35千伏-750千伏电网基建'!Q46</f>
        <v>1</v>
      </c>
      <c r="BG47" s="1" t="b">
        <f>R47='[1]35千伏-750千伏电网基建'!R46</f>
        <v>1</v>
      </c>
      <c r="BH47" s="1" t="b">
        <f>S47='[1]35千伏-750千伏电网基建'!S46</f>
        <v>1</v>
      </c>
      <c r="BI47" s="1" t="b">
        <f>T47='[1]35千伏-750千伏电网基建'!T46</f>
        <v>1</v>
      </c>
      <c r="BJ47" s="1" t="b">
        <f>U47='[1]35千伏-750千伏电网基建'!U46</f>
        <v>1</v>
      </c>
      <c r="BK47" s="1" t="b">
        <f>V47='[1]35千伏-750千伏电网基建'!V46</f>
        <v>1</v>
      </c>
      <c r="BL47" s="8" t="b">
        <f>W47='[1]35千伏-750千伏电网基建'!W46</f>
        <v>0</v>
      </c>
      <c r="BM47" s="1" t="b">
        <f>X47='[1]35千伏-750千伏电网基建'!X46</f>
        <v>1</v>
      </c>
      <c r="BN47" s="1" t="b">
        <f>Y47='[1]35千伏-750千伏电网基建'!Y46</f>
        <v>1</v>
      </c>
      <c r="BO47" s="1" t="b">
        <f>Z47='[1]35千伏-750千伏电网基建'!Z46</f>
        <v>1</v>
      </c>
      <c r="BP47" s="1" t="b">
        <f>AA47='[1]35千伏-750千伏电网基建'!AA46</f>
        <v>1</v>
      </c>
      <c r="BQ47" s="1" t="b">
        <f>AB47='[1]35千伏-750千伏电网基建'!AB46</f>
        <v>1</v>
      </c>
      <c r="BR47" s="1" t="b">
        <f>AC47='[1]35千伏-750千伏电网基建'!AC46</f>
        <v>1</v>
      </c>
      <c r="BS47" s="1" t="b">
        <f>AD47='[1]35千伏-750千伏电网基建'!AD46</f>
        <v>1</v>
      </c>
      <c r="BT47" s="1" t="b">
        <f>AE47='[1]35千伏-750千伏电网基建'!AE46</f>
        <v>1</v>
      </c>
      <c r="BU47" s="1" t="b">
        <f>AF47='[1]35千伏-750千伏电网基建'!AF46</f>
        <v>1</v>
      </c>
      <c r="BV47" s="1" t="b">
        <f>AG47='[1]35千伏-750千伏电网基建'!AG46</f>
        <v>1</v>
      </c>
      <c r="BW47" s="1" t="b">
        <f>AH47='[1]35千伏-750千伏电网基建'!AH46</f>
        <v>1</v>
      </c>
      <c r="BX47" s="1" t="b">
        <f>AI47='[1]35千伏-750千伏电网基建'!AI46</f>
        <v>1</v>
      </c>
      <c r="BY47" s="1" t="b">
        <f>AJ47='[1]35千伏-750千伏电网基建'!AJ46</f>
        <v>1</v>
      </c>
      <c r="BZ47" s="1" t="b">
        <f>AK47='[1]35千伏-750千伏电网基建'!AK46</f>
        <v>1</v>
      </c>
    </row>
    <row r="48" s="1" customFormat="1" ht="90" customHeight="1" spans="1:78">
      <c r="A48" s="63" t="s">
        <v>483</v>
      </c>
      <c r="B48" s="64" t="s">
        <v>662</v>
      </c>
      <c r="C48" s="15" t="s">
        <v>485</v>
      </c>
      <c r="D48" s="15" t="s">
        <v>770</v>
      </c>
      <c r="E48" s="16" t="s">
        <v>771</v>
      </c>
      <c r="F48" s="24"/>
      <c r="G48" s="15" t="s">
        <v>1167</v>
      </c>
      <c r="H48" s="16" t="s">
        <v>773</v>
      </c>
      <c r="I48" s="23" t="s">
        <v>1168</v>
      </c>
      <c r="J48" s="65" t="s">
        <v>1169</v>
      </c>
      <c r="K48" s="15"/>
      <c r="L48" s="15"/>
      <c r="M48" s="15" t="s">
        <v>36</v>
      </c>
      <c r="N48" s="15"/>
      <c r="O48" s="15"/>
      <c r="P48" s="15"/>
      <c r="Q48" s="15" t="s">
        <v>36</v>
      </c>
      <c r="R48" s="15" t="s">
        <v>36</v>
      </c>
      <c r="S48" s="15"/>
      <c r="T48" s="15" t="s">
        <v>492</v>
      </c>
      <c r="U48" s="15"/>
      <c r="V48" s="16" t="s">
        <v>776</v>
      </c>
      <c r="W48" s="60" t="s">
        <v>1170</v>
      </c>
      <c r="X48" s="15" t="s">
        <v>474</v>
      </c>
      <c r="Y48" s="15" t="s">
        <v>473</v>
      </c>
      <c r="Z48" s="15"/>
      <c r="AA48" s="15" t="s">
        <v>474</v>
      </c>
      <c r="AB48" s="15" t="s">
        <v>473</v>
      </c>
      <c r="AC48" s="15"/>
      <c r="AD48" s="15"/>
      <c r="AE48" s="30"/>
      <c r="AF48" s="30"/>
      <c r="AG48" s="30"/>
      <c r="AH48" s="15" t="s">
        <v>476</v>
      </c>
      <c r="AI48" s="15" t="s">
        <v>476</v>
      </c>
      <c r="AJ48" s="15" t="s">
        <v>778</v>
      </c>
      <c r="AK48" s="15" t="s">
        <v>532</v>
      </c>
      <c r="AL48" s="66"/>
      <c r="AM48" s="23" t="s">
        <v>470</v>
      </c>
      <c r="AO48" s="7" t="s">
        <v>1045</v>
      </c>
      <c r="AP48" s="1" t="b">
        <f>A48='[1]35千伏-750千伏电网基建'!A47</f>
        <v>1</v>
      </c>
      <c r="AQ48" s="1" t="b">
        <f>B48='[1]35千伏-750千伏电网基建'!B47</f>
        <v>1</v>
      </c>
      <c r="AR48" s="1" t="b">
        <f>C48='[1]35千伏-750千伏电网基建'!C47</f>
        <v>1</v>
      </c>
      <c r="AS48" s="1" t="b">
        <f>D48='[1]35千伏-750千伏电网基建'!D47</f>
        <v>1</v>
      </c>
      <c r="AT48" s="1" t="b">
        <f>E48='[1]35千伏-750千伏电网基建'!E47</f>
        <v>1</v>
      </c>
      <c r="AU48" s="1" t="b">
        <f>F48='[1]35千伏-750千伏电网基建'!F47</f>
        <v>1</v>
      </c>
      <c r="AV48" s="1" t="b">
        <f>G48='[1]35千伏-750千伏电网基建'!G47</f>
        <v>1</v>
      </c>
      <c r="AW48" s="1" t="b">
        <f>H48='[1]35千伏-750千伏电网基建'!H47</f>
        <v>1</v>
      </c>
      <c r="AX48" s="1" t="b">
        <f>I48='[1]35千伏-750千伏电网基建'!I47</f>
        <v>1</v>
      </c>
      <c r="AY48" s="1" t="b">
        <f>J48='[1]35千伏-750千伏电网基建'!J47</f>
        <v>1</v>
      </c>
      <c r="AZ48" s="1" t="b">
        <f>K48='[1]35千伏-750千伏电网基建'!K47</f>
        <v>1</v>
      </c>
      <c r="BA48" s="1" t="b">
        <f>L48='[1]35千伏-750千伏电网基建'!L47</f>
        <v>1</v>
      </c>
      <c r="BB48" s="1" t="b">
        <f>M48='[1]35千伏-750千伏电网基建'!M47</f>
        <v>1</v>
      </c>
      <c r="BC48" s="1" t="b">
        <f>N48='[1]35千伏-750千伏电网基建'!N47</f>
        <v>1</v>
      </c>
      <c r="BD48" s="1" t="b">
        <f>O48='[1]35千伏-750千伏电网基建'!O47</f>
        <v>1</v>
      </c>
      <c r="BE48" s="1" t="b">
        <f>P48='[1]35千伏-750千伏电网基建'!P47</f>
        <v>1</v>
      </c>
      <c r="BF48" s="1" t="b">
        <f>Q48='[1]35千伏-750千伏电网基建'!Q47</f>
        <v>1</v>
      </c>
      <c r="BG48" s="1" t="b">
        <f>R48='[1]35千伏-750千伏电网基建'!R47</f>
        <v>1</v>
      </c>
      <c r="BH48" s="1" t="b">
        <f>S48='[1]35千伏-750千伏电网基建'!S47</f>
        <v>1</v>
      </c>
      <c r="BI48" s="1" t="b">
        <f>T48='[1]35千伏-750千伏电网基建'!T47</f>
        <v>1</v>
      </c>
      <c r="BJ48" s="1" t="b">
        <f>U48='[1]35千伏-750千伏电网基建'!U47</f>
        <v>1</v>
      </c>
      <c r="BK48" s="1" t="b">
        <f>V48='[1]35千伏-750千伏电网基建'!V47</f>
        <v>1</v>
      </c>
      <c r="BL48" s="8" t="b">
        <f>W48='[1]35千伏-750千伏电网基建'!W47</f>
        <v>0</v>
      </c>
      <c r="BM48" s="1" t="b">
        <f>X48='[1]35千伏-750千伏电网基建'!X47</f>
        <v>1</v>
      </c>
      <c r="BN48" s="1" t="b">
        <f>Y48='[1]35千伏-750千伏电网基建'!Y47</f>
        <v>1</v>
      </c>
      <c r="BO48" s="1" t="b">
        <f>Z48='[1]35千伏-750千伏电网基建'!Z47</f>
        <v>1</v>
      </c>
      <c r="BP48" s="1" t="b">
        <f>AA48='[1]35千伏-750千伏电网基建'!AA47</f>
        <v>1</v>
      </c>
      <c r="BQ48" s="1" t="b">
        <f>AB48='[1]35千伏-750千伏电网基建'!AB47</f>
        <v>1</v>
      </c>
      <c r="BR48" s="1" t="b">
        <f>AC48='[1]35千伏-750千伏电网基建'!AC47</f>
        <v>1</v>
      </c>
      <c r="BS48" s="1" t="b">
        <f>AD48='[1]35千伏-750千伏电网基建'!AD47</f>
        <v>1</v>
      </c>
      <c r="BT48" s="1" t="b">
        <f>AE48='[1]35千伏-750千伏电网基建'!AE47</f>
        <v>1</v>
      </c>
      <c r="BU48" s="1" t="b">
        <f>AF48='[1]35千伏-750千伏电网基建'!AF47</f>
        <v>1</v>
      </c>
      <c r="BV48" s="1" t="b">
        <f>AG48='[1]35千伏-750千伏电网基建'!AG47</f>
        <v>1</v>
      </c>
      <c r="BW48" s="1" t="b">
        <f>AH48='[1]35千伏-750千伏电网基建'!AH47</f>
        <v>1</v>
      </c>
      <c r="BX48" s="1" t="b">
        <f>AI48='[1]35千伏-750千伏电网基建'!AI47</f>
        <v>1</v>
      </c>
      <c r="BY48" s="1" t="b">
        <f>AJ48='[1]35千伏-750千伏电网基建'!AJ47</f>
        <v>1</v>
      </c>
      <c r="BZ48" s="1" t="b">
        <f>AK48='[1]35千伏-750千伏电网基建'!AK47</f>
        <v>1</v>
      </c>
    </row>
    <row r="49" s="1" customFormat="1" ht="150" customHeight="1" spans="1:78">
      <c r="A49" s="63"/>
      <c r="B49" s="67"/>
      <c r="C49" s="15" t="s">
        <v>536</v>
      </c>
      <c r="D49" s="15" t="s">
        <v>779</v>
      </c>
      <c r="E49" s="16" t="s">
        <v>780</v>
      </c>
      <c r="F49" s="17" t="s">
        <v>781</v>
      </c>
      <c r="G49" s="45" t="s">
        <v>1171</v>
      </c>
      <c r="H49" s="16" t="s">
        <v>783</v>
      </c>
      <c r="I49" s="23" t="s">
        <v>1172</v>
      </c>
      <c r="J49" s="16" t="s">
        <v>1173</v>
      </c>
      <c r="K49" s="15"/>
      <c r="L49" s="15"/>
      <c r="M49" s="15" t="s">
        <v>36</v>
      </c>
      <c r="N49" s="15"/>
      <c r="O49" s="15" t="s">
        <v>36</v>
      </c>
      <c r="P49" s="15"/>
      <c r="Q49" s="15"/>
      <c r="R49" s="15"/>
      <c r="S49" s="15"/>
      <c r="T49" s="15" t="s">
        <v>550</v>
      </c>
      <c r="U49" s="15" t="s">
        <v>786</v>
      </c>
      <c r="V49" s="16" t="s">
        <v>787</v>
      </c>
      <c r="W49" s="35" t="s">
        <v>1427</v>
      </c>
      <c r="X49" s="15" t="s">
        <v>474</v>
      </c>
      <c r="Y49" s="15" t="s">
        <v>473</v>
      </c>
      <c r="Z49" s="30"/>
      <c r="AA49" s="15" t="s">
        <v>474</v>
      </c>
      <c r="AB49" s="15" t="s">
        <v>473</v>
      </c>
      <c r="AC49" s="30"/>
      <c r="AD49" s="15"/>
      <c r="AE49" s="30"/>
      <c r="AF49" s="30"/>
      <c r="AG49" s="30"/>
      <c r="AH49" s="15" t="s">
        <v>476</v>
      </c>
      <c r="AI49" s="15" t="s">
        <v>476</v>
      </c>
      <c r="AJ49" s="15" t="s">
        <v>778</v>
      </c>
      <c r="AK49" s="15" t="s">
        <v>599</v>
      </c>
      <c r="AL49" s="1" t="s">
        <v>1064</v>
      </c>
      <c r="AM49" s="4" t="s">
        <v>1075</v>
      </c>
      <c r="AO49" s="7" t="s">
        <v>1045</v>
      </c>
      <c r="AP49" s="1" t="b">
        <f>A49='[1]35千伏-750千伏电网基建'!A48</f>
        <v>1</v>
      </c>
      <c r="AQ49" s="1" t="b">
        <f>B49='[1]35千伏-750千伏电网基建'!B48</f>
        <v>1</v>
      </c>
      <c r="AR49" s="1" t="b">
        <f>C49='[1]35千伏-750千伏电网基建'!C48</f>
        <v>1</v>
      </c>
      <c r="AS49" s="1" t="b">
        <f>D49='[1]35千伏-750千伏电网基建'!D48</f>
        <v>1</v>
      </c>
      <c r="AT49" s="1" t="b">
        <f>E49='[1]35千伏-750千伏电网基建'!E48</f>
        <v>1</v>
      </c>
      <c r="AU49" s="1" t="b">
        <f>F49='[1]35千伏-750千伏电网基建'!F48</f>
        <v>1</v>
      </c>
      <c r="AV49" s="1" t="b">
        <f>G49='[1]35千伏-750千伏电网基建'!G48</f>
        <v>1</v>
      </c>
      <c r="AW49" s="1" t="b">
        <f>H49='[1]35千伏-750千伏电网基建'!H48</f>
        <v>1</v>
      </c>
      <c r="AX49" s="1" t="b">
        <f>I49='[1]35千伏-750千伏电网基建'!I48</f>
        <v>1</v>
      </c>
      <c r="AY49" s="1" t="b">
        <f>J49='[1]35千伏-750千伏电网基建'!J48</f>
        <v>1</v>
      </c>
      <c r="AZ49" s="1" t="b">
        <f>K49='[1]35千伏-750千伏电网基建'!K48</f>
        <v>1</v>
      </c>
      <c r="BA49" s="1" t="b">
        <f>L49='[1]35千伏-750千伏电网基建'!L48</f>
        <v>1</v>
      </c>
      <c r="BB49" s="1" t="b">
        <f>M49='[1]35千伏-750千伏电网基建'!M48</f>
        <v>1</v>
      </c>
      <c r="BC49" s="1" t="b">
        <f>N49='[1]35千伏-750千伏电网基建'!N48</f>
        <v>1</v>
      </c>
      <c r="BD49" s="1" t="b">
        <f>O49='[1]35千伏-750千伏电网基建'!O48</f>
        <v>1</v>
      </c>
      <c r="BE49" s="1" t="b">
        <f>P49='[1]35千伏-750千伏电网基建'!P48</f>
        <v>1</v>
      </c>
      <c r="BF49" s="1" t="b">
        <f>Q49='[1]35千伏-750千伏电网基建'!Q48</f>
        <v>1</v>
      </c>
      <c r="BG49" s="1" t="b">
        <f>R49='[1]35千伏-750千伏电网基建'!R48</f>
        <v>1</v>
      </c>
      <c r="BH49" s="1" t="b">
        <f>S49='[1]35千伏-750千伏电网基建'!S48</f>
        <v>1</v>
      </c>
      <c r="BI49" s="1" t="b">
        <f>T49='[1]35千伏-750千伏电网基建'!T48</f>
        <v>1</v>
      </c>
      <c r="BJ49" s="1" t="b">
        <f>U49='[1]35千伏-750千伏电网基建'!U48</f>
        <v>1</v>
      </c>
      <c r="BK49" s="1" t="b">
        <f>V49='[1]35千伏-750千伏电网基建'!V48</f>
        <v>1</v>
      </c>
      <c r="BL49" s="8" t="b">
        <f>W49='[1]35千伏-750千伏电网基建'!W48</f>
        <v>0</v>
      </c>
      <c r="BM49" s="1" t="b">
        <f>X49='[1]35千伏-750千伏电网基建'!X48</f>
        <v>1</v>
      </c>
      <c r="BN49" s="1" t="b">
        <f>Y49='[1]35千伏-750千伏电网基建'!Y48</f>
        <v>1</v>
      </c>
      <c r="BO49" s="1" t="b">
        <f>Z49='[1]35千伏-750千伏电网基建'!Z48</f>
        <v>1</v>
      </c>
      <c r="BP49" s="1" t="b">
        <f>AA49='[1]35千伏-750千伏电网基建'!AA48</f>
        <v>1</v>
      </c>
      <c r="BQ49" s="1" t="b">
        <f>AB49='[1]35千伏-750千伏电网基建'!AB48</f>
        <v>1</v>
      </c>
      <c r="BR49" s="1" t="b">
        <f>AC49='[1]35千伏-750千伏电网基建'!AC48</f>
        <v>1</v>
      </c>
      <c r="BS49" s="1" t="b">
        <f>AD49='[1]35千伏-750千伏电网基建'!AD48</f>
        <v>1</v>
      </c>
      <c r="BT49" s="1" t="b">
        <f>AE49='[1]35千伏-750千伏电网基建'!AE48</f>
        <v>1</v>
      </c>
      <c r="BU49" s="1" t="b">
        <f>AF49='[1]35千伏-750千伏电网基建'!AF48</f>
        <v>1</v>
      </c>
      <c r="BV49" s="1" t="b">
        <f>AG49='[1]35千伏-750千伏电网基建'!AG48</f>
        <v>1</v>
      </c>
      <c r="BW49" s="1" t="b">
        <f>AH49='[1]35千伏-750千伏电网基建'!AH48</f>
        <v>1</v>
      </c>
      <c r="BX49" s="1" t="b">
        <f>AI49='[1]35千伏-750千伏电网基建'!AI48</f>
        <v>1</v>
      </c>
      <c r="BY49" s="1" t="b">
        <f>AJ49='[1]35千伏-750千伏电网基建'!AJ48</f>
        <v>1</v>
      </c>
      <c r="BZ49" s="1" t="b">
        <f>AK49='[1]35千伏-750千伏电网基建'!AK48</f>
        <v>1</v>
      </c>
    </row>
    <row r="50" s="1" customFormat="1" ht="91" customHeight="1" spans="1:78">
      <c r="A50" s="63"/>
      <c r="B50" s="67"/>
      <c r="C50" s="15"/>
      <c r="D50" s="15"/>
      <c r="E50" s="16"/>
      <c r="F50" s="17"/>
      <c r="G50" s="47"/>
      <c r="H50" s="16"/>
      <c r="I50" s="23" t="s">
        <v>1174</v>
      </c>
      <c r="J50" s="16" t="s">
        <v>1175</v>
      </c>
      <c r="K50" s="15"/>
      <c r="L50" s="15"/>
      <c r="M50" s="15" t="s">
        <v>36</v>
      </c>
      <c r="N50" s="15"/>
      <c r="O50" s="15" t="s">
        <v>36</v>
      </c>
      <c r="P50" s="15"/>
      <c r="Q50" s="15" t="s">
        <v>36</v>
      </c>
      <c r="R50" s="15"/>
      <c r="S50" s="15"/>
      <c r="T50" s="15" t="s">
        <v>465</v>
      </c>
      <c r="U50" s="15" t="s">
        <v>790</v>
      </c>
      <c r="V50" s="16" t="s">
        <v>791</v>
      </c>
      <c r="W50" s="35" t="s">
        <v>1431</v>
      </c>
      <c r="X50" s="15" t="s">
        <v>474</v>
      </c>
      <c r="Y50" s="15" t="s">
        <v>473</v>
      </c>
      <c r="Z50" s="30"/>
      <c r="AA50" s="15" t="s">
        <v>474</v>
      </c>
      <c r="AB50" s="15" t="s">
        <v>473</v>
      </c>
      <c r="AC50" s="30"/>
      <c r="AD50" s="15" t="s">
        <v>792</v>
      </c>
      <c r="AE50" s="15" t="s">
        <v>511</v>
      </c>
      <c r="AF50" s="15"/>
      <c r="AG50" s="30"/>
      <c r="AH50" s="15" t="s">
        <v>476</v>
      </c>
      <c r="AI50" s="15" t="s">
        <v>476</v>
      </c>
      <c r="AJ50" s="15" t="s">
        <v>778</v>
      </c>
      <c r="AK50" s="15" t="s">
        <v>532</v>
      </c>
      <c r="AL50" s="1" t="s">
        <v>1064</v>
      </c>
      <c r="AM50" s="15" t="s">
        <v>470</v>
      </c>
      <c r="AO50" s="7" t="s">
        <v>1045</v>
      </c>
      <c r="AP50" s="1" t="b">
        <f>A50='[1]35千伏-750千伏电网基建'!A49</f>
        <v>1</v>
      </c>
      <c r="AQ50" s="1" t="b">
        <f>B50='[1]35千伏-750千伏电网基建'!B49</f>
        <v>1</v>
      </c>
      <c r="AR50" s="1" t="b">
        <f>C50='[1]35千伏-750千伏电网基建'!C49</f>
        <v>1</v>
      </c>
      <c r="AS50" s="1" t="b">
        <f>D50='[1]35千伏-750千伏电网基建'!D49</f>
        <v>1</v>
      </c>
      <c r="AT50" s="1" t="b">
        <f>E50='[1]35千伏-750千伏电网基建'!E49</f>
        <v>1</v>
      </c>
      <c r="AU50" s="1" t="b">
        <f>F50='[1]35千伏-750千伏电网基建'!F49</f>
        <v>1</v>
      </c>
      <c r="AV50" s="1" t="b">
        <f>G50='[1]35千伏-750千伏电网基建'!G49</f>
        <v>1</v>
      </c>
      <c r="AW50" s="1" t="b">
        <f>H50='[1]35千伏-750千伏电网基建'!H49</f>
        <v>1</v>
      </c>
      <c r="AX50" s="1" t="b">
        <f>I50='[1]35千伏-750千伏电网基建'!I49</f>
        <v>1</v>
      </c>
      <c r="AY50" s="1" t="b">
        <f>J50='[1]35千伏-750千伏电网基建'!J49</f>
        <v>1</v>
      </c>
      <c r="AZ50" s="1" t="b">
        <f>K50='[1]35千伏-750千伏电网基建'!K49</f>
        <v>1</v>
      </c>
      <c r="BA50" s="1" t="b">
        <f>L50='[1]35千伏-750千伏电网基建'!L49</f>
        <v>1</v>
      </c>
      <c r="BB50" s="1" t="b">
        <f>M50='[1]35千伏-750千伏电网基建'!M49</f>
        <v>1</v>
      </c>
      <c r="BC50" s="1" t="b">
        <f>N50='[1]35千伏-750千伏电网基建'!N49</f>
        <v>1</v>
      </c>
      <c r="BD50" s="1" t="b">
        <f>O50='[1]35千伏-750千伏电网基建'!O49</f>
        <v>1</v>
      </c>
      <c r="BE50" s="1" t="b">
        <f>P50='[1]35千伏-750千伏电网基建'!P49</f>
        <v>1</v>
      </c>
      <c r="BF50" s="1" t="b">
        <f>Q50='[1]35千伏-750千伏电网基建'!Q49</f>
        <v>1</v>
      </c>
      <c r="BG50" s="1" t="b">
        <f>R50='[1]35千伏-750千伏电网基建'!R49</f>
        <v>1</v>
      </c>
      <c r="BH50" s="1" t="b">
        <f>S50='[1]35千伏-750千伏电网基建'!S49</f>
        <v>1</v>
      </c>
      <c r="BI50" s="1" t="b">
        <f>T50='[1]35千伏-750千伏电网基建'!T49</f>
        <v>1</v>
      </c>
      <c r="BJ50" s="1" t="b">
        <f>U50='[1]35千伏-750千伏电网基建'!U49</f>
        <v>1</v>
      </c>
      <c r="BK50" s="1" t="b">
        <f>V50='[1]35千伏-750千伏电网基建'!V49</f>
        <v>1</v>
      </c>
      <c r="BL50" s="8" t="b">
        <f>W50='[1]35千伏-750千伏电网基建'!W49</f>
        <v>0</v>
      </c>
      <c r="BM50" s="1" t="b">
        <f>X50='[1]35千伏-750千伏电网基建'!X49</f>
        <v>1</v>
      </c>
      <c r="BN50" s="1" t="b">
        <f>Y50='[1]35千伏-750千伏电网基建'!Y49</f>
        <v>1</v>
      </c>
      <c r="BO50" s="1" t="b">
        <f>Z50='[1]35千伏-750千伏电网基建'!Z49</f>
        <v>1</v>
      </c>
      <c r="BP50" s="1" t="b">
        <f>AA50='[1]35千伏-750千伏电网基建'!AA49</f>
        <v>1</v>
      </c>
      <c r="BQ50" s="1" t="b">
        <f>AB50='[1]35千伏-750千伏电网基建'!AB49</f>
        <v>1</v>
      </c>
      <c r="BR50" s="1" t="b">
        <f>AC50='[1]35千伏-750千伏电网基建'!AC49</f>
        <v>1</v>
      </c>
      <c r="BS50" s="1" t="b">
        <f>AD50='[1]35千伏-750千伏电网基建'!AD49</f>
        <v>1</v>
      </c>
      <c r="BT50" s="1" t="b">
        <f>AE50='[1]35千伏-750千伏电网基建'!AE49</f>
        <v>1</v>
      </c>
      <c r="BU50" s="1" t="b">
        <f>AF50='[1]35千伏-750千伏电网基建'!AF49</f>
        <v>1</v>
      </c>
      <c r="BV50" s="1" t="b">
        <f>AG50='[1]35千伏-750千伏电网基建'!AG49</f>
        <v>1</v>
      </c>
      <c r="BW50" s="1" t="b">
        <f>AH50='[1]35千伏-750千伏电网基建'!AH49</f>
        <v>1</v>
      </c>
      <c r="BX50" s="1" t="b">
        <f>AI50='[1]35千伏-750千伏电网基建'!AI49</f>
        <v>1</v>
      </c>
      <c r="BY50" s="1" t="b">
        <f>AJ50='[1]35千伏-750千伏电网基建'!AJ49</f>
        <v>1</v>
      </c>
      <c r="BZ50" s="1" t="b">
        <f>AK50='[1]35千伏-750千伏电网基建'!AK49</f>
        <v>1</v>
      </c>
    </row>
    <row r="51" s="1" customFormat="1" ht="141" customHeight="1" spans="1:78">
      <c r="A51" s="14"/>
      <c r="B51" s="67"/>
      <c r="C51" s="45" t="s">
        <v>485</v>
      </c>
      <c r="D51" s="15" t="s">
        <v>1176</v>
      </c>
      <c r="E51" s="52" t="s">
        <v>793</v>
      </c>
      <c r="F51" s="68"/>
      <c r="G51" s="69" t="s">
        <v>1177</v>
      </c>
      <c r="H51" s="52" t="s">
        <v>795</v>
      </c>
      <c r="I51" s="54" t="s">
        <v>1441</v>
      </c>
      <c r="J51" s="52" t="s">
        <v>1179</v>
      </c>
      <c r="K51" s="46"/>
      <c r="L51" s="46"/>
      <c r="M51" s="46" t="s">
        <v>36</v>
      </c>
      <c r="N51" s="46"/>
      <c r="O51" s="46"/>
      <c r="P51" s="46"/>
      <c r="Q51" s="46" t="s">
        <v>36</v>
      </c>
      <c r="R51" s="46" t="s">
        <v>36</v>
      </c>
      <c r="S51" s="46" t="s">
        <v>36</v>
      </c>
      <c r="T51" s="46" t="s">
        <v>492</v>
      </c>
      <c r="U51" s="46" t="s">
        <v>790</v>
      </c>
      <c r="V51" s="52" t="s">
        <v>1180</v>
      </c>
      <c r="W51" s="46" t="s">
        <v>1442</v>
      </c>
      <c r="X51" s="46" t="s">
        <v>474</v>
      </c>
      <c r="Y51" s="46" t="s">
        <v>473</v>
      </c>
      <c r="Z51" s="46"/>
      <c r="AA51" s="46" t="s">
        <v>474</v>
      </c>
      <c r="AB51" s="46" t="s">
        <v>473</v>
      </c>
      <c r="AC51" s="46"/>
      <c r="AD51" s="46"/>
      <c r="AE51" s="70"/>
      <c r="AF51" s="70"/>
      <c r="AG51" s="70"/>
      <c r="AH51" s="46" t="s">
        <v>476</v>
      </c>
      <c r="AI51" s="46" t="s">
        <v>476</v>
      </c>
      <c r="AJ51" s="46" t="s">
        <v>1182</v>
      </c>
      <c r="AK51" s="46" t="s">
        <v>470</v>
      </c>
      <c r="AL51" s="1" t="s">
        <v>1064</v>
      </c>
      <c r="AM51" s="46" t="s">
        <v>1141</v>
      </c>
      <c r="AN51" s="71"/>
      <c r="AO51" s="72" t="s">
        <v>1143</v>
      </c>
      <c r="BL51" s="8"/>
    </row>
    <row r="52" s="2" customFormat="1" ht="137" customHeight="1" spans="1:78">
      <c r="A52" s="14"/>
      <c r="B52" s="67"/>
      <c r="C52" s="48"/>
      <c r="D52" s="73" t="s">
        <v>1184</v>
      </c>
      <c r="E52" s="52" t="s">
        <v>1185</v>
      </c>
      <c r="F52" s="3"/>
      <c r="G52" s="69" t="s">
        <v>1186</v>
      </c>
      <c r="H52" s="52" t="s">
        <v>1187</v>
      </c>
      <c r="I52" s="54" t="s">
        <v>1443</v>
      </c>
      <c r="J52" s="52" t="s">
        <v>1189</v>
      </c>
      <c r="K52" s="46"/>
      <c r="L52" s="46"/>
      <c r="M52" s="74"/>
      <c r="N52" s="74"/>
      <c r="O52" s="46"/>
      <c r="P52" s="74"/>
      <c r="Q52" s="74"/>
      <c r="R52" s="74"/>
      <c r="S52" s="46"/>
      <c r="T52" s="46" t="s">
        <v>492</v>
      </c>
      <c r="U52" s="75"/>
      <c r="V52" s="52" t="s">
        <v>1190</v>
      </c>
      <c r="W52" s="52" t="s">
        <v>1444</v>
      </c>
      <c r="X52" s="46"/>
      <c r="Y52" s="46"/>
      <c r="Z52" s="46"/>
      <c r="AA52" s="46"/>
      <c r="AB52" s="46"/>
      <c r="AC52" s="46"/>
      <c r="AD52" s="46"/>
      <c r="AE52" s="46"/>
      <c r="AF52" s="46"/>
      <c r="AG52" s="46"/>
      <c r="AH52" s="46"/>
      <c r="AI52" s="46"/>
      <c r="AJ52" s="52" t="s">
        <v>817</v>
      </c>
      <c r="AK52" s="46" t="s">
        <v>470</v>
      </c>
      <c r="AL52" s="1" t="s">
        <v>1064</v>
      </c>
      <c r="AM52" s="46" t="s">
        <v>1141</v>
      </c>
      <c r="AN52" s="76"/>
      <c r="AO52" s="72" t="s">
        <v>1143</v>
      </c>
      <c r="BL52" s="77"/>
    </row>
    <row r="53" s="1" customFormat="1" ht="112" customHeight="1" spans="1:78">
      <c r="A53" s="63"/>
      <c r="B53" s="67"/>
      <c r="C53" s="15" t="s">
        <v>485</v>
      </c>
      <c r="D53" s="15" t="s">
        <v>818</v>
      </c>
      <c r="E53" s="16" t="s">
        <v>819</v>
      </c>
      <c r="F53" s="24"/>
      <c r="G53" s="15" t="s">
        <v>1193</v>
      </c>
      <c r="H53" s="16" t="s">
        <v>821</v>
      </c>
      <c r="I53" s="23" t="s">
        <v>1194</v>
      </c>
      <c r="J53" s="16" t="s">
        <v>1195</v>
      </c>
      <c r="K53" s="15"/>
      <c r="L53" s="15"/>
      <c r="M53" s="15"/>
      <c r="N53" s="15"/>
      <c r="O53" s="15"/>
      <c r="P53" s="15"/>
      <c r="Q53" s="15" t="s">
        <v>36</v>
      </c>
      <c r="R53" s="15"/>
      <c r="S53" s="15"/>
      <c r="T53" s="15" t="s">
        <v>550</v>
      </c>
      <c r="U53" s="15" t="s">
        <v>467</v>
      </c>
      <c r="V53" s="16" t="s">
        <v>824</v>
      </c>
      <c r="W53" s="35" t="s">
        <v>1445</v>
      </c>
      <c r="X53" s="15" t="s">
        <v>474</v>
      </c>
      <c r="Y53" s="15" t="s">
        <v>473</v>
      </c>
      <c r="Z53" s="30"/>
      <c r="AA53" s="15" t="s">
        <v>474</v>
      </c>
      <c r="AB53" s="15" t="s">
        <v>473</v>
      </c>
      <c r="AC53" s="30"/>
      <c r="AD53" s="15"/>
      <c r="AE53" s="30"/>
      <c r="AF53" s="30"/>
      <c r="AG53" s="30"/>
      <c r="AH53" s="15" t="s">
        <v>476</v>
      </c>
      <c r="AI53" s="30" t="s">
        <v>476</v>
      </c>
      <c r="AJ53" s="15" t="s">
        <v>558</v>
      </c>
      <c r="AK53" s="15" t="s">
        <v>673</v>
      </c>
      <c r="AL53" s="1" t="s">
        <v>1064</v>
      </c>
      <c r="AM53" s="15" t="s">
        <v>470</v>
      </c>
      <c r="AO53" s="7" t="s">
        <v>1059</v>
      </c>
      <c r="AP53" s="1" t="b">
        <f>A53='[1]35千伏-750千伏电网基建'!A50</f>
        <v>1</v>
      </c>
      <c r="AQ53" s="1" t="b">
        <f>B53='[1]35千伏-750千伏电网基建'!B50</f>
        <v>1</v>
      </c>
      <c r="AR53" s="1" t="b">
        <f>C53='[1]35千伏-750千伏电网基建'!C50</f>
        <v>1</v>
      </c>
      <c r="AS53" s="1" t="b">
        <f>D53='[1]35千伏-750千伏电网基建'!D50</f>
        <v>1</v>
      </c>
      <c r="AT53" s="1" t="b">
        <f>E53='[1]35千伏-750千伏电网基建'!E50</f>
        <v>1</v>
      </c>
      <c r="AU53" s="1" t="b">
        <f>F53='[1]35千伏-750千伏电网基建'!F50</f>
        <v>1</v>
      </c>
      <c r="AV53" s="1" t="b">
        <f>G53='[1]35千伏-750千伏电网基建'!G50</f>
        <v>1</v>
      </c>
      <c r="AW53" s="1" t="b">
        <f>H53='[1]35千伏-750千伏电网基建'!H50</f>
        <v>1</v>
      </c>
      <c r="AX53" s="1" t="b">
        <f>I53='[1]35千伏-750千伏电网基建'!I50</f>
        <v>1</v>
      </c>
      <c r="AY53" s="1" t="b">
        <f>J53='[1]35千伏-750千伏电网基建'!J50</f>
        <v>0</v>
      </c>
      <c r="AZ53" s="1" t="b">
        <f>K53='[1]35千伏-750千伏电网基建'!K50</f>
        <v>1</v>
      </c>
      <c r="BA53" s="1" t="b">
        <f>L53='[1]35千伏-750千伏电网基建'!L50</f>
        <v>1</v>
      </c>
      <c r="BB53" s="1" t="b">
        <f>M53='[1]35千伏-750千伏电网基建'!M50</f>
        <v>1</v>
      </c>
      <c r="BC53" s="1" t="b">
        <f>N53='[1]35千伏-750千伏电网基建'!N50</f>
        <v>1</v>
      </c>
      <c r="BD53" s="1" t="b">
        <f>O53='[1]35千伏-750千伏电网基建'!O50</f>
        <v>1</v>
      </c>
      <c r="BE53" s="1" t="b">
        <f>P53='[1]35千伏-750千伏电网基建'!P50</f>
        <v>1</v>
      </c>
      <c r="BF53" s="1" t="b">
        <f>Q53='[1]35千伏-750千伏电网基建'!Q50</f>
        <v>1</v>
      </c>
      <c r="BG53" s="1" t="b">
        <f>R53='[1]35千伏-750千伏电网基建'!R50</f>
        <v>1</v>
      </c>
      <c r="BH53" s="1" t="b">
        <f>S53='[1]35千伏-750千伏电网基建'!S50</f>
        <v>1</v>
      </c>
      <c r="BI53" s="1" t="b">
        <f>T53='[1]35千伏-750千伏电网基建'!T50</f>
        <v>1</v>
      </c>
      <c r="BJ53" s="1" t="b">
        <f>U53='[1]35千伏-750千伏电网基建'!U50</f>
        <v>1</v>
      </c>
      <c r="BK53" s="1" t="b">
        <f>V53='[1]35千伏-750千伏电网基建'!V50</f>
        <v>1</v>
      </c>
      <c r="BL53" s="8" t="b">
        <f>W53='[1]35千伏-750千伏电网基建'!W50</f>
        <v>0</v>
      </c>
      <c r="BM53" s="1" t="b">
        <f>X53='[1]35千伏-750千伏电网基建'!X50</f>
        <v>1</v>
      </c>
      <c r="BN53" s="1" t="b">
        <f>Y53='[1]35千伏-750千伏电网基建'!Y50</f>
        <v>1</v>
      </c>
      <c r="BO53" s="1" t="b">
        <f>Z53='[1]35千伏-750千伏电网基建'!Z50</f>
        <v>1</v>
      </c>
      <c r="BP53" s="1" t="b">
        <f>AA53='[1]35千伏-750千伏电网基建'!AA50</f>
        <v>1</v>
      </c>
      <c r="BQ53" s="1" t="b">
        <f>AB53='[1]35千伏-750千伏电网基建'!AB50</f>
        <v>1</v>
      </c>
      <c r="BR53" s="1" t="b">
        <f>AC53='[1]35千伏-750千伏电网基建'!AC50</f>
        <v>1</v>
      </c>
      <c r="BS53" s="1" t="b">
        <f>AD53='[1]35千伏-750千伏电网基建'!AD50</f>
        <v>1</v>
      </c>
      <c r="BT53" s="1" t="b">
        <f>AE53='[1]35千伏-750千伏电网基建'!AE50</f>
        <v>1</v>
      </c>
      <c r="BU53" s="1" t="b">
        <f>AF53='[1]35千伏-750千伏电网基建'!AF50</f>
        <v>1</v>
      </c>
      <c r="BV53" s="1" t="b">
        <f>AG53='[1]35千伏-750千伏电网基建'!AG50</f>
        <v>1</v>
      </c>
      <c r="BW53" s="1" t="b">
        <f>AH53='[1]35千伏-750千伏电网基建'!AH50</f>
        <v>1</v>
      </c>
      <c r="BX53" s="1" t="b">
        <f>AI53='[1]35千伏-750千伏电网基建'!AI50</f>
        <v>1</v>
      </c>
      <c r="BY53" s="1" t="b">
        <f>AJ53='[1]35千伏-750千伏电网基建'!AJ50</f>
        <v>1</v>
      </c>
      <c r="BZ53" s="1" t="b">
        <f>AK53='[1]35千伏-750千伏电网基建'!AK50</f>
        <v>1</v>
      </c>
    </row>
    <row r="54" s="1" customFormat="1" ht="84" customHeight="1" spans="1:78">
      <c r="A54" s="63"/>
      <c r="B54" s="67"/>
      <c r="C54" s="15"/>
      <c r="D54" s="15"/>
      <c r="E54" s="16"/>
      <c r="F54" s="24"/>
      <c r="G54" s="15"/>
      <c r="H54" s="16"/>
      <c r="I54" s="23" t="s">
        <v>1196</v>
      </c>
      <c r="J54" s="16" t="s">
        <v>1197</v>
      </c>
      <c r="K54" s="15"/>
      <c r="L54" s="15"/>
      <c r="M54" s="15"/>
      <c r="N54" s="15"/>
      <c r="O54" s="15"/>
      <c r="P54" s="15"/>
      <c r="Q54" s="15"/>
      <c r="R54" s="15"/>
      <c r="S54" s="15"/>
      <c r="T54" s="15" t="s">
        <v>492</v>
      </c>
      <c r="U54" s="15"/>
      <c r="V54" s="16" t="s">
        <v>828</v>
      </c>
      <c r="W54" s="35" t="s">
        <v>1446</v>
      </c>
      <c r="X54" s="15" t="s">
        <v>474</v>
      </c>
      <c r="Y54" s="15" t="s">
        <v>473</v>
      </c>
      <c r="Z54" s="30"/>
      <c r="AA54" s="15" t="s">
        <v>474</v>
      </c>
      <c r="AB54" s="15" t="s">
        <v>473</v>
      </c>
      <c r="AC54" s="30"/>
      <c r="AD54" s="15"/>
      <c r="AE54" s="30"/>
      <c r="AF54" s="30"/>
      <c r="AG54" s="30"/>
      <c r="AH54" s="15" t="s">
        <v>476</v>
      </c>
      <c r="AI54" s="30" t="s">
        <v>476</v>
      </c>
      <c r="AJ54" s="15" t="s">
        <v>558</v>
      </c>
      <c r="AK54" s="15"/>
      <c r="AL54" s="1" t="s">
        <v>1064</v>
      </c>
      <c r="AM54" s="15" t="s">
        <v>1091</v>
      </c>
      <c r="AO54" s="7" t="s">
        <v>1045</v>
      </c>
      <c r="AP54" s="1" t="b">
        <f>A54='[1]35千伏-750千伏电网基建'!A51</f>
        <v>1</v>
      </c>
      <c r="AQ54" s="1" t="b">
        <f>B54='[1]35千伏-750千伏电网基建'!B51</f>
        <v>1</v>
      </c>
      <c r="AR54" s="1" t="b">
        <f>C54='[1]35千伏-750千伏电网基建'!C51</f>
        <v>1</v>
      </c>
      <c r="AS54" s="1" t="b">
        <f>D54='[1]35千伏-750千伏电网基建'!D51</f>
        <v>1</v>
      </c>
      <c r="AT54" s="1" t="b">
        <f>E54='[1]35千伏-750千伏电网基建'!E51</f>
        <v>1</v>
      </c>
      <c r="AU54" s="1" t="b">
        <f>F54='[1]35千伏-750千伏电网基建'!F51</f>
        <v>1</v>
      </c>
      <c r="AV54" s="1" t="b">
        <f>G54='[1]35千伏-750千伏电网基建'!G51</f>
        <v>1</v>
      </c>
      <c r="AW54" s="1" t="b">
        <f>H54='[1]35千伏-750千伏电网基建'!H51</f>
        <v>1</v>
      </c>
      <c r="AX54" s="1" t="b">
        <f>I54='[1]35千伏-750千伏电网基建'!I51</f>
        <v>1</v>
      </c>
      <c r="AY54" s="1" t="b">
        <f>J54='[1]35千伏-750千伏电网基建'!J51</f>
        <v>1</v>
      </c>
      <c r="AZ54" s="1" t="b">
        <f>K54='[1]35千伏-750千伏电网基建'!K51</f>
        <v>1</v>
      </c>
      <c r="BA54" s="1" t="b">
        <f>L54='[1]35千伏-750千伏电网基建'!L51</f>
        <v>1</v>
      </c>
      <c r="BB54" s="1" t="b">
        <f>M54='[1]35千伏-750千伏电网基建'!M51</f>
        <v>1</v>
      </c>
      <c r="BC54" s="1" t="b">
        <f>N54='[1]35千伏-750千伏电网基建'!N51</f>
        <v>1</v>
      </c>
      <c r="BD54" s="1" t="b">
        <f>O54='[1]35千伏-750千伏电网基建'!O51</f>
        <v>1</v>
      </c>
      <c r="BE54" s="1" t="b">
        <f>P54='[1]35千伏-750千伏电网基建'!P51</f>
        <v>1</v>
      </c>
      <c r="BF54" s="1" t="b">
        <f>Q54='[1]35千伏-750千伏电网基建'!Q51</f>
        <v>1</v>
      </c>
      <c r="BG54" s="1" t="b">
        <f>R54='[1]35千伏-750千伏电网基建'!R51</f>
        <v>1</v>
      </c>
      <c r="BH54" s="1" t="b">
        <f>S54='[1]35千伏-750千伏电网基建'!S51</f>
        <v>1</v>
      </c>
      <c r="BI54" s="1" t="b">
        <f>T54='[1]35千伏-750千伏电网基建'!T51</f>
        <v>1</v>
      </c>
      <c r="BJ54" s="1" t="b">
        <f>U54='[1]35千伏-750千伏电网基建'!U51</f>
        <v>1</v>
      </c>
      <c r="BK54" s="1" t="b">
        <f>V54='[1]35千伏-750千伏电网基建'!V51</f>
        <v>1</v>
      </c>
      <c r="BL54" s="8" t="b">
        <f>W54='[1]35千伏-750千伏电网基建'!W51</f>
        <v>0</v>
      </c>
      <c r="BM54" s="1" t="b">
        <f>X54='[1]35千伏-750千伏电网基建'!X51</f>
        <v>1</v>
      </c>
      <c r="BN54" s="1" t="b">
        <f>Y54='[1]35千伏-750千伏电网基建'!Y51</f>
        <v>1</v>
      </c>
      <c r="BO54" s="1" t="b">
        <f>Z54='[1]35千伏-750千伏电网基建'!Z51</f>
        <v>1</v>
      </c>
      <c r="BP54" s="1" t="b">
        <f>AA54='[1]35千伏-750千伏电网基建'!AA51</f>
        <v>1</v>
      </c>
      <c r="BQ54" s="1" t="b">
        <f>AB54='[1]35千伏-750千伏电网基建'!AB51</f>
        <v>1</v>
      </c>
      <c r="BR54" s="1" t="b">
        <f>AC54='[1]35千伏-750千伏电网基建'!AC51</f>
        <v>1</v>
      </c>
      <c r="BS54" s="1" t="b">
        <f>AD54='[1]35千伏-750千伏电网基建'!AD51</f>
        <v>1</v>
      </c>
      <c r="BT54" s="1" t="b">
        <f>AE54='[1]35千伏-750千伏电网基建'!AE51</f>
        <v>1</v>
      </c>
      <c r="BU54" s="1" t="b">
        <f>AF54='[1]35千伏-750千伏电网基建'!AF51</f>
        <v>1</v>
      </c>
      <c r="BV54" s="1" t="b">
        <f>AG54='[1]35千伏-750千伏电网基建'!AG51</f>
        <v>1</v>
      </c>
      <c r="BW54" s="1" t="b">
        <f>AH54='[1]35千伏-750千伏电网基建'!AH51</f>
        <v>1</v>
      </c>
      <c r="BX54" s="1" t="b">
        <f>AI54='[1]35千伏-750千伏电网基建'!AI51</f>
        <v>1</v>
      </c>
      <c r="BY54" s="1" t="b">
        <f>AJ54='[1]35千伏-750千伏电网基建'!AJ51</f>
        <v>1</v>
      </c>
      <c r="BZ54" s="1" t="b">
        <f>AK54='[1]35千伏-750千伏电网基建'!AK51</f>
        <v>1</v>
      </c>
    </row>
    <row r="55" s="1" customFormat="1" ht="74" customHeight="1" spans="1:78">
      <c r="A55" s="63"/>
      <c r="B55" s="78"/>
      <c r="C55" s="15"/>
      <c r="D55" s="15"/>
      <c r="E55" s="16"/>
      <c r="F55" s="24"/>
      <c r="G55" s="15"/>
      <c r="H55" s="16"/>
      <c r="I55" s="23" t="s">
        <v>1198</v>
      </c>
      <c r="J55" s="16" t="s">
        <v>1199</v>
      </c>
      <c r="K55" s="15"/>
      <c r="L55" s="15"/>
      <c r="M55" s="15"/>
      <c r="N55" s="15"/>
      <c r="O55" s="15"/>
      <c r="P55" s="15"/>
      <c r="Q55" s="15"/>
      <c r="R55" s="15"/>
      <c r="S55" s="15"/>
      <c r="T55" s="15" t="s">
        <v>492</v>
      </c>
      <c r="U55" s="15"/>
      <c r="V55" s="16" t="s">
        <v>828</v>
      </c>
      <c r="W55" s="35" t="s">
        <v>1447</v>
      </c>
      <c r="X55" s="15" t="s">
        <v>474</v>
      </c>
      <c r="Y55" s="15" t="s">
        <v>473</v>
      </c>
      <c r="Z55" s="30"/>
      <c r="AA55" s="15" t="s">
        <v>474</v>
      </c>
      <c r="AB55" s="15" t="s">
        <v>473</v>
      </c>
      <c r="AC55" s="30"/>
      <c r="AD55" s="15"/>
      <c r="AE55" s="30"/>
      <c r="AF55" s="30"/>
      <c r="AG55" s="30"/>
      <c r="AH55" s="15" t="s">
        <v>476</v>
      </c>
      <c r="AI55" s="30" t="s">
        <v>610</v>
      </c>
      <c r="AJ55" s="15" t="s">
        <v>832</v>
      </c>
      <c r="AK55" s="15"/>
      <c r="AL55" s="1" t="s">
        <v>1064</v>
      </c>
      <c r="AM55" s="15" t="s">
        <v>1091</v>
      </c>
      <c r="AO55" s="7" t="s">
        <v>1045</v>
      </c>
      <c r="AP55" s="1" t="b">
        <f>A55='[1]35千伏-750千伏电网基建'!A52</f>
        <v>1</v>
      </c>
      <c r="AQ55" s="1" t="b">
        <f>B55='[1]35千伏-750千伏电网基建'!B52</f>
        <v>1</v>
      </c>
      <c r="AR55" s="1" t="b">
        <f>C55='[1]35千伏-750千伏电网基建'!C52</f>
        <v>1</v>
      </c>
      <c r="AS55" s="1" t="b">
        <f>D55='[1]35千伏-750千伏电网基建'!D52</f>
        <v>1</v>
      </c>
      <c r="AT55" s="1" t="b">
        <f>E55='[1]35千伏-750千伏电网基建'!E52</f>
        <v>1</v>
      </c>
      <c r="AU55" s="1" t="b">
        <f>F55='[1]35千伏-750千伏电网基建'!F52</f>
        <v>1</v>
      </c>
      <c r="AV55" s="1" t="b">
        <f>G55='[1]35千伏-750千伏电网基建'!G52</f>
        <v>1</v>
      </c>
      <c r="AW55" s="1" t="b">
        <f>H55='[1]35千伏-750千伏电网基建'!H52</f>
        <v>1</v>
      </c>
      <c r="AX55" s="1" t="b">
        <f>I55='[1]35千伏-750千伏电网基建'!I52</f>
        <v>1</v>
      </c>
      <c r="AY55" s="1" t="b">
        <f>J55='[1]35千伏-750千伏电网基建'!J52</f>
        <v>1</v>
      </c>
      <c r="AZ55" s="1" t="b">
        <f>K55='[1]35千伏-750千伏电网基建'!K52</f>
        <v>1</v>
      </c>
      <c r="BA55" s="1" t="b">
        <f>L55='[1]35千伏-750千伏电网基建'!L52</f>
        <v>1</v>
      </c>
      <c r="BB55" s="1" t="b">
        <f>M55='[1]35千伏-750千伏电网基建'!M52</f>
        <v>1</v>
      </c>
      <c r="BC55" s="1" t="b">
        <f>N55='[1]35千伏-750千伏电网基建'!N52</f>
        <v>1</v>
      </c>
      <c r="BD55" s="1" t="b">
        <f>O55='[1]35千伏-750千伏电网基建'!O52</f>
        <v>1</v>
      </c>
      <c r="BE55" s="1" t="b">
        <f>P55='[1]35千伏-750千伏电网基建'!P52</f>
        <v>1</v>
      </c>
      <c r="BF55" s="1" t="b">
        <f>Q55='[1]35千伏-750千伏电网基建'!Q52</f>
        <v>1</v>
      </c>
      <c r="BG55" s="1" t="b">
        <f>R55='[1]35千伏-750千伏电网基建'!R52</f>
        <v>1</v>
      </c>
      <c r="BH55" s="1" t="b">
        <f>S55='[1]35千伏-750千伏电网基建'!S52</f>
        <v>1</v>
      </c>
      <c r="BI55" s="1" t="b">
        <f>T55='[1]35千伏-750千伏电网基建'!T52</f>
        <v>1</v>
      </c>
      <c r="BJ55" s="1" t="b">
        <f>U55='[1]35千伏-750千伏电网基建'!U52</f>
        <v>1</v>
      </c>
      <c r="BK55" s="1" t="b">
        <f>V55='[1]35千伏-750千伏电网基建'!V52</f>
        <v>1</v>
      </c>
      <c r="BL55" s="8" t="b">
        <f>W55='[1]35千伏-750千伏电网基建'!W52</f>
        <v>0</v>
      </c>
      <c r="BM55" s="1" t="b">
        <f>X55='[1]35千伏-750千伏电网基建'!X52</f>
        <v>1</v>
      </c>
      <c r="BN55" s="1" t="b">
        <f>Y55='[1]35千伏-750千伏电网基建'!Y52</f>
        <v>1</v>
      </c>
      <c r="BO55" s="1" t="b">
        <f>Z55='[1]35千伏-750千伏电网基建'!Z52</f>
        <v>1</v>
      </c>
      <c r="BP55" s="1" t="b">
        <f>AA55='[1]35千伏-750千伏电网基建'!AA52</f>
        <v>1</v>
      </c>
      <c r="BQ55" s="1" t="b">
        <f>AB55='[1]35千伏-750千伏电网基建'!AB52</f>
        <v>1</v>
      </c>
      <c r="BR55" s="1" t="b">
        <f>AC55='[1]35千伏-750千伏电网基建'!AC52</f>
        <v>1</v>
      </c>
      <c r="BS55" s="1" t="b">
        <f>AD55='[1]35千伏-750千伏电网基建'!AD52</f>
        <v>1</v>
      </c>
      <c r="BT55" s="1" t="b">
        <f>AE55='[1]35千伏-750千伏电网基建'!AE52</f>
        <v>1</v>
      </c>
      <c r="BU55" s="1" t="b">
        <f>AF55='[1]35千伏-750千伏电网基建'!AF52</f>
        <v>1</v>
      </c>
      <c r="BV55" s="1" t="b">
        <f>AG55='[1]35千伏-750千伏电网基建'!AG52</f>
        <v>1</v>
      </c>
      <c r="BW55" s="1" t="b">
        <f>AH55='[1]35千伏-750千伏电网基建'!AH52</f>
        <v>1</v>
      </c>
      <c r="BX55" s="1" t="b">
        <f>AI55='[1]35千伏-750千伏电网基建'!AI52</f>
        <v>1</v>
      </c>
      <c r="BY55" s="1" t="b">
        <f>AJ55='[1]35千伏-750千伏电网基建'!AJ52</f>
        <v>1</v>
      </c>
      <c r="BZ55" s="1" t="b">
        <f>AK55='[1]35千伏-750千伏电网基建'!AK52</f>
        <v>1</v>
      </c>
    </row>
    <row r="56" s="1" customFormat="1" ht="115" customHeight="1" spans="1:78">
      <c r="A56" s="14" t="s">
        <v>483</v>
      </c>
      <c r="B56" s="14" t="s">
        <v>833</v>
      </c>
      <c r="C56" s="15" t="s">
        <v>485</v>
      </c>
      <c r="D56" s="15" t="s">
        <v>834</v>
      </c>
      <c r="E56" s="16" t="s">
        <v>835</v>
      </c>
      <c r="F56" s="17" t="s">
        <v>836</v>
      </c>
      <c r="G56" s="15" t="s">
        <v>1200</v>
      </c>
      <c r="H56" s="16" t="s">
        <v>838</v>
      </c>
      <c r="I56" s="23" t="s">
        <v>1201</v>
      </c>
      <c r="J56" s="16" t="s">
        <v>1202</v>
      </c>
      <c r="K56" s="15"/>
      <c r="L56" s="15"/>
      <c r="M56" s="15" t="s">
        <v>36</v>
      </c>
      <c r="N56" s="15"/>
      <c r="O56" s="15"/>
      <c r="P56" s="15"/>
      <c r="Q56" s="15"/>
      <c r="R56" s="15" t="s">
        <v>36</v>
      </c>
      <c r="S56" s="15"/>
      <c r="T56" s="15" t="s">
        <v>492</v>
      </c>
      <c r="U56" s="15"/>
      <c r="V56" s="16" t="s">
        <v>841</v>
      </c>
      <c r="W56" s="79" t="s">
        <v>1448</v>
      </c>
      <c r="X56" s="15" t="s">
        <v>474</v>
      </c>
      <c r="Y56" s="15" t="s">
        <v>473</v>
      </c>
      <c r="Z56" s="30"/>
      <c r="AA56" s="15" t="s">
        <v>474</v>
      </c>
      <c r="AB56" s="15" t="s">
        <v>473</v>
      </c>
      <c r="AC56" s="30"/>
      <c r="AD56" s="15"/>
      <c r="AE56" s="15"/>
      <c r="AF56" s="15"/>
      <c r="AG56" s="30"/>
      <c r="AH56" s="15" t="s">
        <v>476</v>
      </c>
      <c r="AI56" s="15" t="s">
        <v>476</v>
      </c>
      <c r="AJ56" s="15" t="s">
        <v>843</v>
      </c>
      <c r="AK56" s="15" t="s">
        <v>599</v>
      </c>
      <c r="AL56" s="80" t="s">
        <v>1204</v>
      </c>
      <c r="AM56" s="23" t="s">
        <v>1205</v>
      </c>
      <c r="AO56" s="7" t="s">
        <v>1045</v>
      </c>
      <c r="AP56" s="1" t="b">
        <f>A56='[1]35千伏-750千伏电网基建'!A53</f>
        <v>1</v>
      </c>
      <c r="AQ56" s="1" t="b">
        <f>B56='[1]35千伏-750千伏电网基建'!B53</f>
        <v>1</v>
      </c>
      <c r="AR56" s="1" t="b">
        <f>C56='[1]35千伏-750千伏电网基建'!C53</f>
        <v>1</v>
      </c>
      <c r="AS56" s="1" t="b">
        <f>D56='[1]35千伏-750千伏电网基建'!D53</f>
        <v>1</v>
      </c>
      <c r="AT56" s="1" t="b">
        <f>E56='[1]35千伏-750千伏电网基建'!E53</f>
        <v>1</v>
      </c>
      <c r="AU56" s="1" t="b">
        <f>F56='[1]35千伏-750千伏电网基建'!F53</f>
        <v>1</v>
      </c>
      <c r="AV56" s="1" t="b">
        <f>G56='[1]35千伏-750千伏电网基建'!G53</f>
        <v>1</v>
      </c>
      <c r="AW56" s="1" t="b">
        <f>H56='[1]35千伏-750千伏电网基建'!H53</f>
        <v>1</v>
      </c>
      <c r="AX56" s="1" t="b">
        <f>I56='[1]35千伏-750千伏电网基建'!I53</f>
        <v>1</v>
      </c>
      <c r="AY56" s="1" t="b">
        <f>J56='[1]35千伏-750千伏电网基建'!J53</f>
        <v>1</v>
      </c>
      <c r="AZ56" s="1" t="b">
        <f>K56='[1]35千伏-750千伏电网基建'!K53</f>
        <v>1</v>
      </c>
      <c r="BA56" s="1" t="b">
        <f>L56='[1]35千伏-750千伏电网基建'!L53</f>
        <v>1</v>
      </c>
      <c r="BB56" s="1" t="b">
        <f>M56='[1]35千伏-750千伏电网基建'!M53</f>
        <v>1</v>
      </c>
      <c r="BC56" s="1" t="b">
        <f>N56='[1]35千伏-750千伏电网基建'!N53</f>
        <v>1</v>
      </c>
      <c r="BD56" s="1" t="b">
        <f>O56='[1]35千伏-750千伏电网基建'!O53</f>
        <v>1</v>
      </c>
      <c r="BE56" s="1" t="b">
        <f>P56='[1]35千伏-750千伏电网基建'!P53</f>
        <v>1</v>
      </c>
      <c r="BF56" s="1" t="b">
        <f>Q56='[1]35千伏-750千伏电网基建'!Q53</f>
        <v>1</v>
      </c>
      <c r="BG56" s="1" t="b">
        <f>R56='[1]35千伏-750千伏电网基建'!R53</f>
        <v>1</v>
      </c>
      <c r="BH56" s="1" t="b">
        <f>S56='[1]35千伏-750千伏电网基建'!S53</f>
        <v>1</v>
      </c>
      <c r="BI56" s="1" t="b">
        <f>T56='[1]35千伏-750千伏电网基建'!T53</f>
        <v>1</v>
      </c>
      <c r="BJ56" s="1" t="b">
        <f>U56='[1]35千伏-750千伏电网基建'!U53</f>
        <v>1</v>
      </c>
      <c r="BK56" s="1" t="b">
        <f>V56='[1]35千伏-750千伏电网基建'!V53</f>
        <v>1</v>
      </c>
      <c r="BL56" s="8" t="b">
        <f>W56='[1]35千伏-750千伏电网基建'!W53</f>
        <v>0</v>
      </c>
      <c r="BM56" s="1" t="b">
        <f>X56='[1]35千伏-750千伏电网基建'!X53</f>
        <v>1</v>
      </c>
      <c r="BN56" s="1" t="b">
        <f>Y56='[1]35千伏-750千伏电网基建'!Y53</f>
        <v>1</v>
      </c>
      <c r="BO56" s="1" t="b">
        <f>Z56='[1]35千伏-750千伏电网基建'!Z53</f>
        <v>1</v>
      </c>
      <c r="BP56" s="1" t="b">
        <f>AA56='[1]35千伏-750千伏电网基建'!AA53</f>
        <v>1</v>
      </c>
      <c r="BQ56" s="1" t="b">
        <f>AB56='[1]35千伏-750千伏电网基建'!AB53</f>
        <v>1</v>
      </c>
      <c r="BR56" s="1" t="b">
        <f>AC56='[1]35千伏-750千伏电网基建'!AC53</f>
        <v>1</v>
      </c>
      <c r="BS56" s="1" t="b">
        <f>AD56='[1]35千伏-750千伏电网基建'!AD53</f>
        <v>1</v>
      </c>
      <c r="BT56" s="1" t="b">
        <f>AE56='[1]35千伏-750千伏电网基建'!AE53</f>
        <v>1</v>
      </c>
      <c r="BU56" s="1" t="b">
        <f>AF56='[1]35千伏-750千伏电网基建'!AF53</f>
        <v>1</v>
      </c>
      <c r="BV56" s="1" t="b">
        <f>AG56='[1]35千伏-750千伏电网基建'!AG53</f>
        <v>1</v>
      </c>
      <c r="BW56" s="1" t="b">
        <f>AH56='[1]35千伏-750千伏电网基建'!AH53</f>
        <v>1</v>
      </c>
      <c r="BX56" s="1" t="b">
        <f>AI56='[1]35千伏-750千伏电网基建'!AI53</f>
        <v>1</v>
      </c>
      <c r="BY56" s="1" t="b">
        <f>AJ56='[1]35千伏-750千伏电网基建'!AJ53</f>
        <v>1</v>
      </c>
      <c r="BZ56" s="1" t="b">
        <f>AK56='[1]35千伏-750千伏电网基建'!AK53</f>
        <v>1</v>
      </c>
    </row>
    <row r="57" s="1" customFormat="1" ht="94" customHeight="1" spans="1:78">
      <c r="A57" s="14"/>
      <c r="B57" s="14"/>
      <c r="C57" s="15" t="s">
        <v>485</v>
      </c>
      <c r="D57" s="15" t="s">
        <v>844</v>
      </c>
      <c r="E57" s="16" t="s">
        <v>845</v>
      </c>
      <c r="F57" s="24"/>
      <c r="G57" s="15" t="s">
        <v>1206</v>
      </c>
      <c r="H57" s="16" t="s">
        <v>847</v>
      </c>
      <c r="I57" s="23" t="s">
        <v>1207</v>
      </c>
      <c r="J57" s="16" t="s">
        <v>1208</v>
      </c>
      <c r="K57" s="15"/>
      <c r="L57" s="15"/>
      <c r="M57" s="15"/>
      <c r="N57" s="15"/>
      <c r="O57" s="15"/>
      <c r="P57" s="15"/>
      <c r="Q57" s="15"/>
      <c r="R57" s="15" t="s">
        <v>36</v>
      </c>
      <c r="S57" s="15"/>
      <c r="T57" s="15" t="s">
        <v>492</v>
      </c>
      <c r="U57" s="15"/>
      <c r="V57" s="16" t="s">
        <v>850</v>
      </c>
      <c r="W57" s="81" t="s">
        <v>1449</v>
      </c>
      <c r="X57" s="15" t="s">
        <v>474</v>
      </c>
      <c r="Y57" s="15" t="s">
        <v>473</v>
      </c>
      <c r="Z57" s="15"/>
      <c r="AA57" s="15" t="s">
        <v>474</v>
      </c>
      <c r="AB57" s="15" t="s">
        <v>473</v>
      </c>
      <c r="AC57" s="15"/>
      <c r="AD57" s="15"/>
      <c r="AE57" s="30"/>
      <c r="AF57" s="30"/>
      <c r="AG57" s="30"/>
      <c r="AH57" s="15" t="s">
        <v>476</v>
      </c>
      <c r="AI57" s="15" t="s">
        <v>476</v>
      </c>
      <c r="AJ57" s="15" t="s">
        <v>852</v>
      </c>
      <c r="AK57" s="15" t="s">
        <v>853</v>
      </c>
      <c r="AL57" s="80" t="s">
        <v>1204</v>
      </c>
      <c r="AM57" s="23" t="s">
        <v>1091</v>
      </c>
      <c r="AO57" s="7" t="s">
        <v>1045</v>
      </c>
      <c r="AP57" s="1" t="b">
        <f>A57='[1]35千伏-750千伏电网基建'!A54</f>
        <v>1</v>
      </c>
      <c r="AQ57" s="1" t="b">
        <f>B57='[1]35千伏-750千伏电网基建'!B54</f>
        <v>1</v>
      </c>
      <c r="AR57" s="1" t="b">
        <f>C57='[1]35千伏-750千伏电网基建'!C54</f>
        <v>1</v>
      </c>
      <c r="AS57" s="1" t="b">
        <f>D57='[1]35千伏-750千伏电网基建'!D54</f>
        <v>1</v>
      </c>
      <c r="AT57" s="1" t="b">
        <f>E57='[1]35千伏-750千伏电网基建'!E54</f>
        <v>1</v>
      </c>
      <c r="AU57" s="1" t="b">
        <f>F57='[1]35千伏-750千伏电网基建'!F54</f>
        <v>1</v>
      </c>
      <c r="AV57" s="1" t="b">
        <f>G57='[1]35千伏-750千伏电网基建'!G54</f>
        <v>1</v>
      </c>
      <c r="AW57" s="1" t="b">
        <f>H57='[1]35千伏-750千伏电网基建'!H54</f>
        <v>1</v>
      </c>
      <c r="AX57" s="1" t="b">
        <f>I57='[1]35千伏-750千伏电网基建'!I54</f>
        <v>1</v>
      </c>
      <c r="AY57" s="1" t="b">
        <f>J57='[1]35千伏-750千伏电网基建'!J54</f>
        <v>1</v>
      </c>
      <c r="AZ57" s="1" t="b">
        <f>K57='[1]35千伏-750千伏电网基建'!K54</f>
        <v>1</v>
      </c>
      <c r="BA57" s="1" t="b">
        <f>L57='[1]35千伏-750千伏电网基建'!L54</f>
        <v>1</v>
      </c>
      <c r="BB57" s="1" t="b">
        <f>M57='[1]35千伏-750千伏电网基建'!M54</f>
        <v>1</v>
      </c>
      <c r="BC57" s="1" t="b">
        <f>N57='[1]35千伏-750千伏电网基建'!N54</f>
        <v>1</v>
      </c>
      <c r="BD57" s="1" t="b">
        <f>O57='[1]35千伏-750千伏电网基建'!O54</f>
        <v>1</v>
      </c>
      <c r="BE57" s="1" t="b">
        <f>P57='[1]35千伏-750千伏电网基建'!P54</f>
        <v>1</v>
      </c>
      <c r="BF57" s="1" t="b">
        <f>Q57='[1]35千伏-750千伏电网基建'!Q54</f>
        <v>1</v>
      </c>
      <c r="BG57" s="1" t="b">
        <f>R57='[1]35千伏-750千伏电网基建'!R54</f>
        <v>1</v>
      </c>
      <c r="BH57" s="1" t="b">
        <f>S57='[1]35千伏-750千伏电网基建'!S54</f>
        <v>1</v>
      </c>
      <c r="BI57" s="1" t="b">
        <f>T57='[1]35千伏-750千伏电网基建'!T54</f>
        <v>1</v>
      </c>
      <c r="BJ57" s="1" t="b">
        <f>U57='[1]35千伏-750千伏电网基建'!U54</f>
        <v>1</v>
      </c>
      <c r="BK57" s="1" t="b">
        <f>V57='[1]35千伏-750千伏电网基建'!V54</f>
        <v>1</v>
      </c>
      <c r="BL57" s="8" t="b">
        <f>W57='[1]35千伏-750千伏电网基建'!W54</f>
        <v>0</v>
      </c>
      <c r="BM57" s="1" t="b">
        <f>X57='[1]35千伏-750千伏电网基建'!X54</f>
        <v>1</v>
      </c>
      <c r="BN57" s="1" t="b">
        <f>Y57='[1]35千伏-750千伏电网基建'!Y54</f>
        <v>1</v>
      </c>
      <c r="BO57" s="1" t="b">
        <f>Z57='[1]35千伏-750千伏电网基建'!Z54</f>
        <v>1</v>
      </c>
      <c r="BP57" s="1" t="b">
        <f>AA57='[1]35千伏-750千伏电网基建'!AA54</f>
        <v>1</v>
      </c>
      <c r="BQ57" s="1" t="b">
        <f>AB57='[1]35千伏-750千伏电网基建'!AB54</f>
        <v>1</v>
      </c>
      <c r="BR57" s="1" t="b">
        <f>AC57='[1]35千伏-750千伏电网基建'!AC54</f>
        <v>1</v>
      </c>
      <c r="BS57" s="1" t="b">
        <f>AD57='[1]35千伏-750千伏电网基建'!AD54</f>
        <v>1</v>
      </c>
      <c r="BT57" s="1" t="b">
        <f>AE57='[1]35千伏-750千伏电网基建'!AE54</f>
        <v>1</v>
      </c>
      <c r="BU57" s="1" t="b">
        <f>AF57='[1]35千伏-750千伏电网基建'!AF54</f>
        <v>1</v>
      </c>
      <c r="BV57" s="1" t="b">
        <f>AG57='[1]35千伏-750千伏电网基建'!AG54</f>
        <v>1</v>
      </c>
      <c r="BW57" s="1" t="b">
        <f>AH57='[1]35千伏-750千伏电网基建'!AH54</f>
        <v>1</v>
      </c>
      <c r="BX57" s="1" t="b">
        <f>AI57='[1]35千伏-750千伏电网基建'!AI54</f>
        <v>1</v>
      </c>
      <c r="BY57" s="1" t="b">
        <f>AJ57='[1]35千伏-750千伏电网基建'!AJ54</f>
        <v>1</v>
      </c>
      <c r="BZ57" s="1" t="b">
        <f>AK57='[1]35千伏-750千伏电网基建'!AK54</f>
        <v>1</v>
      </c>
    </row>
    <row r="58" s="1" customFormat="1" ht="93" customHeight="1" spans="1:78">
      <c r="A58" s="14"/>
      <c r="B58" s="14"/>
      <c r="C58" s="15"/>
      <c r="D58" s="15"/>
      <c r="E58" s="16"/>
      <c r="F58" s="24"/>
      <c r="G58" s="15"/>
      <c r="H58" s="16"/>
      <c r="I58" s="23" t="s">
        <v>1211</v>
      </c>
      <c r="J58" s="16" t="s">
        <v>1212</v>
      </c>
      <c r="K58" s="15"/>
      <c r="L58" s="15"/>
      <c r="M58" s="15"/>
      <c r="N58" s="15"/>
      <c r="O58" s="15"/>
      <c r="P58" s="15"/>
      <c r="Q58" s="15"/>
      <c r="R58" s="15" t="s">
        <v>36</v>
      </c>
      <c r="S58" s="15"/>
      <c r="T58" s="15" t="s">
        <v>465</v>
      </c>
      <c r="U58" s="15" t="s">
        <v>856</v>
      </c>
      <c r="V58" s="16" t="s">
        <v>850</v>
      </c>
      <c r="W58" s="82" t="s">
        <v>1450</v>
      </c>
      <c r="X58" s="15" t="s">
        <v>474</v>
      </c>
      <c r="Y58" s="15" t="s">
        <v>473</v>
      </c>
      <c r="Z58" s="15"/>
      <c r="AA58" s="15" t="s">
        <v>474</v>
      </c>
      <c r="AB58" s="15" t="s">
        <v>473</v>
      </c>
      <c r="AC58" s="15"/>
      <c r="AD58" s="15" t="s">
        <v>858</v>
      </c>
      <c r="AE58" s="15" t="s">
        <v>511</v>
      </c>
      <c r="AF58" s="15"/>
      <c r="AG58" s="30"/>
      <c r="AH58" s="15" t="s">
        <v>476</v>
      </c>
      <c r="AI58" s="15" t="s">
        <v>476</v>
      </c>
      <c r="AJ58" s="15" t="s">
        <v>859</v>
      </c>
      <c r="AK58" s="15" t="s">
        <v>860</v>
      </c>
      <c r="AL58" s="80" t="s">
        <v>1204</v>
      </c>
      <c r="AM58" s="23" t="s">
        <v>1091</v>
      </c>
      <c r="AO58" s="7" t="s">
        <v>1045</v>
      </c>
      <c r="AP58" s="1" t="b">
        <f>A58='[1]35千伏-750千伏电网基建'!A55</f>
        <v>1</v>
      </c>
      <c r="AQ58" s="1" t="b">
        <f>B58='[1]35千伏-750千伏电网基建'!B55</f>
        <v>1</v>
      </c>
      <c r="AR58" s="1" t="b">
        <f>C58='[1]35千伏-750千伏电网基建'!C55</f>
        <v>1</v>
      </c>
      <c r="AS58" s="1" t="b">
        <f>D58='[1]35千伏-750千伏电网基建'!D55</f>
        <v>1</v>
      </c>
      <c r="AT58" s="1" t="b">
        <f>E58='[1]35千伏-750千伏电网基建'!E55</f>
        <v>1</v>
      </c>
      <c r="AU58" s="1" t="b">
        <f>F58='[1]35千伏-750千伏电网基建'!F55</f>
        <v>1</v>
      </c>
      <c r="AV58" s="1" t="b">
        <f>G58='[1]35千伏-750千伏电网基建'!G55</f>
        <v>1</v>
      </c>
      <c r="AW58" s="1" t="b">
        <f>H58='[1]35千伏-750千伏电网基建'!H55</f>
        <v>1</v>
      </c>
      <c r="AX58" s="1" t="b">
        <f>I58='[1]35千伏-750千伏电网基建'!I55</f>
        <v>1</v>
      </c>
      <c r="AY58" s="1" t="b">
        <f>J58='[1]35千伏-750千伏电网基建'!J55</f>
        <v>1</v>
      </c>
      <c r="AZ58" s="1" t="b">
        <f>K58='[1]35千伏-750千伏电网基建'!K55</f>
        <v>1</v>
      </c>
      <c r="BA58" s="1" t="b">
        <f>L58='[1]35千伏-750千伏电网基建'!L55</f>
        <v>1</v>
      </c>
      <c r="BB58" s="1" t="b">
        <f>M58='[1]35千伏-750千伏电网基建'!M55</f>
        <v>1</v>
      </c>
      <c r="BC58" s="1" t="b">
        <f>N58='[1]35千伏-750千伏电网基建'!N55</f>
        <v>1</v>
      </c>
      <c r="BD58" s="1" t="b">
        <f>O58='[1]35千伏-750千伏电网基建'!O55</f>
        <v>1</v>
      </c>
      <c r="BE58" s="1" t="b">
        <f>P58='[1]35千伏-750千伏电网基建'!P55</f>
        <v>1</v>
      </c>
      <c r="BF58" s="1" t="b">
        <f>Q58='[1]35千伏-750千伏电网基建'!Q55</f>
        <v>1</v>
      </c>
      <c r="BG58" s="1" t="b">
        <f>R58='[1]35千伏-750千伏电网基建'!R55</f>
        <v>1</v>
      </c>
      <c r="BH58" s="1" t="b">
        <f>S58='[1]35千伏-750千伏电网基建'!S55</f>
        <v>1</v>
      </c>
      <c r="BI58" s="1" t="b">
        <f>T58='[1]35千伏-750千伏电网基建'!T55</f>
        <v>1</v>
      </c>
      <c r="BJ58" s="1" t="b">
        <f>U58='[1]35千伏-750千伏电网基建'!U55</f>
        <v>1</v>
      </c>
      <c r="BK58" s="1" t="b">
        <f>V58='[1]35千伏-750千伏电网基建'!V55</f>
        <v>1</v>
      </c>
      <c r="BL58" s="8" t="b">
        <f>W58='[1]35千伏-750千伏电网基建'!W55</f>
        <v>0</v>
      </c>
      <c r="BM58" s="1" t="b">
        <f>X58='[1]35千伏-750千伏电网基建'!X55</f>
        <v>1</v>
      </c>
      <c r="BN58" s="1" t="b">
        <f>Y58='[1]35千伏-750千伏电网基建'!Y55</f>
        <v>1</v>
      </c>
      <c r="BO58" s="1" t="b">
        <f>Z58='[1]35千伏-750千伏电网基建'!Z55</f>
        <v>1</v>
      </c>
      <c r="BP58" s="1" t="b">
        <f>AA58='[1]35千伏-750千伏电网基建'!AA55</f>
        <v>1</v>
      </c>
      <c r="BQ58" s="1" t="b">
        <f>AB58='[1]35千伏-750千伏电网基建'!AB55</f>
        <v>1</v>
      </c>
      <c r="BR58" s="1" t="b">
        <f>AC58='[1]35千伏-750千伏电网基建'!AC55</f>
        <v>1</v>
      </c>
      <c r="BS58" s="1" t="b">
        <f>AD58='[1]35千伏-750千伏电网基建'!AD55</f>
        <v>1</v>
      </c>
      <c r="BT58" s="1" t="b">
        <f>AE58='[1]35千伏-750千伏电网基建'!AE55</f>
        <v>1</v>
      </c>
      <c r="BU58" s="1" t="b">
        <f>AF58='[1]35千伏-750千伏电网基建'!AF55</f>
        <v>1</v>
      </c>
      <c r="BV58" s="1" t="b">
        <f>AG58='[1]35千伏-750千伏电网基建'!AG55</f>
        <v>1</v>
      </c>
      <c r="BW58" s="1" t="b">
        <f>AH58='[1]35千伏-750千伏电网基建'!AH55</f>
        <v>1</v>
      </c>
      <c r="BX58" s="1" t="b">
        <f>AI58='[1]35千伏-750千伏电网基建'!AI55</f>
        <v>1</v>
      </c>
      <c r="BY58" s="1" t="b">
        <f>AJ58='[1]35千伏-750千伏电网基建'!AJ55</f>
        <v>1</v>
      </c>
      <c r="BZ58" s="1" t="b">
        <f>AK58='[1]35千伏-750千伏电网基建'!AK55</f>
        <v>1</v>
      </c>
    </row>
    <row r="59" s="1" customFormat="1" ht="99" customHeight="1" spans="1:78">
      <c r="A59" s="14"/>
      <c r="B59" s="14"/>
      <c r="C59" s="15" t="s">
        <v>536</v>
      </c>
      <c r="D59" s="15" t="s">
        <v>861</v>
      </c>
      <c r="E59" s="16" t="s">
        <v>862</v>
      </c>
      <c r="F59" s="24"/>
      <c r="G59" s="15" t="s">
        <v>1214</v>
      </c>
      <c r="H59" s="16" t="s">
        <v>864</v>
      </c>
      <c r="I59" s="23" t="s">
        <v>1215</v>
      </c>
      <c r="J59" s="16" t="s">
        <v>1216</v>
      </c>
      <c r="K59" s="15"/>
      <c r="L59" s="15"/>
      <c r="M59" s="15"/>
      <c r="N59" s="15"/>
      <c r="O59" s="15" t="s">
        <v>36</v>
      </c>
      <c r="P59" s="15"/>
      <c r="Q59" s="15"/>
      <c r="R59" s="15"/>
      <c r="S59" s="15"/>
      <c r="T59" s="15" t="s">
        <v>465</v>
      </c>
      <c r="U59" s="15" t="s">
        <v>790</v>
      </c>
      <c r="V59" s="16" t="s">
        <v>867</v>
      </c>
      <c r="W59" s="35" t="s">
        <v>1451</v>
      </c>
      <c r="X59" s="15" t="s">
        <v>474</v>
      </c>
      <c r="Y59" s="15" t="s">
        <v>473</v>
      </c>
      <c r="Z59" s="30"/>
      <c r="AA59" s="15" t="s">
        <v>474</v>
      </c>
      <c r="AB59" s="15" t="s">
        <v>473</v>
      </c>
      <c r="AC59" s="30"/>
      <c r="AD59" s="15" t="s">
        <v>869</v>
      </c>
      <c r="AE59" s="15" t="s">
        <v>511</v>
      </c>
      <c r="AF59" s="15"/>
      <c r="AG59" s="30"/>
      <c r="AH59" s="15" t="s">
        <v>476</v>
      </c>
      <c r="AI59" s="30" t="s">
        <v>610</v>
      </c>
      <c r="AJ59" s="15" t="s">
        <v>870</v>
      </c>
      <c r="AK59" s="15" t="s">
        <v>673</v>
      </c>
      <c r="AL59" s="1" t="s">
        <v>1064</v>
      </c>
      <c r="AM59" s="23" t="s">
        <v>1075</v>
      </c>
      <c r="AO59" s="7" t="s">
        <v>1045</v>
      </c>
      <c r="AP59" s="1" t="b">
        <f>A59='[1]35千伏-750千伏电网基建'!A56</f>
        <v>1</v>
      </c>
      <c r="AQ59" s="1" t="b">
        <f>B59='[1]35千伏-750千伏电网基建'!B56</f>
        <v>1</v>
      </c>
      <c r="AR59" s="1" t="b">
        <f>C59='[1]35千伏-750千伏电网基建'!C56</f>
        <v>1</v>
      </c>
      <c r="AS59" s="1" t="b">
        <f>D59='[1]35千伏-750千伏电网基建'!D56</f>
        <v>1</v>
      </c>
      <c r="AT59" s="1" t="b">
        <f>E59='[1]35千伏-750千伏电网基建'!E56</f>
        <v>1</v>
      </c>
      <c r="AU59" s="1" t="b">
        <f>F59='[1]35千伏-750千伏电网基建'!F56</f>
        <v>1</v>
      </c>
      <c r="AV59" s="1" t="b">
        <f>G59='[1]35千伏-750千伏电网基建'!G56</f>
        <v>1</v>
      </c>
      <c r="AW59" s="1" t="b">
        <f>H59='[1]35千伏-750千伏电网基建'!H56</f>
        <v>1</v>
      </c>
      <c r="AX59" s="1" t="b">
        <f>I59='[1]35千伏-750千伏电网基建'!I56</f>
        <v>1</v>
      </c>
      <c r="AY59" s="1" t="b">
        <f>J59='[1]35千伏-750千伏电网基建'!J56</f>
        <v>1</v>
      </c>
      <c r="AZ59" s="1" t="b">
        <f>K59='[1]35千伏-750千伏电网基建'!K56</f>
        <v>1</v>
      </c>
      <c r="BA59" s="1" t="b">
        <f>L59='[1]35千伏-750千伏电网基建'!L56</f>
        <v>1</v>
      </c>
      <c r="BB59" s="1" t="b">
        <f>M59='[1]35千伏-750千伏电网基建'!M56</f>
        <v>1</v>
      </c>
      <c r="BC59" s="1" t="b">
        <f>N59='[1]35千伏-750千伏电网基建'!N56</f>
        <v>1</v>
      </c>
      <c r="BD59" s="1" t="b">
        <f>O59='[1]35千伏-750千伏电网基建'!O56</f>
        <v>1</v>
      </c>
      <c r="BE59" s="1" t="b">
        <f>P59='[1]35千伏-750千伏电网基建'!P56</f>
        <v>1</v>
      </c>
      <c r="BF59" s="1" t="b">
        <f>Q59='[1]35千伏-750千伏电网基建'!Q56</f>
        <v>1</v>
      </c>
      <c r="BG59" s="1" t="b">
        <f>R59='[1]35千伏-750千伏电网基建'!R56</f>
        <v>1</v>
      </c>
      <c r="BH59" s="1" t="b">
        <f>S59='[1]35千伏-750千伏电网基建'!S56</f>
        <v>1</v>
      </c>
      <c r="BI59" s="1" t="b">
        <f>T59='[1]35千伏-750千伏电网基建'!T56</f>
        <v>1</v>
      </c>
      <c r="BJ59" s="1" t="b">
        <f>U59='[1]35千伏-750千伏电网基建'!U56</f>
        <v>1</v>
      </c>
      <c r="BK59" s="1" t="b">
        <f>V59='[1]35千伏-750千伏电网基建'!V56</f>
        <v>1</v>
      </c>
      <c r="BL59" s="8" t="b">
        <f>W59='[1]35千伏-750千伏电网基建'!W56</f>
        <v>0</v>
      </c>
      <c r="BM59" s="1" t="b">
        <f>X59='[1]35千伏-750千伏电网基建'!X56</f>
        <v>1</v>
      </c>
      <c r="BN59" s="1" t="b">
        <f>Y59='[1]35千伏-750千伏电网基建'!Y56</f>
        <v>1</v>
      </c>
      <c r="BO59" s="1" t="b">
        <f>Z59='[1]35千伏-750千伏电网基建'!Z56</f>
        <v>1</v>
      </c>
      <c r="BP59" s="1" t="b">
        <f>AA59='[1]35千伏-750千伏电网基建'!AA56</f>
        <v>1</v>
      </c>
      <c r="BQ59" s="1" t="b">
        <f>AB59='[1]35千伏-750千伏电网基建'!AB56</f>
        <v>1</v>
      </c>
      <c r="BR59" s="1" t="b">
        <f>AC59='[1]35千伏-750千伏电网基建'!AC56</f>
        <v>1</v>
      </c>
      <c r="BS59" s="1" t="b">
        <f>AD59='[1]35千伏-750千伏电网基建'!AD56</f>
        <v>1</v>
      </c>
      <c r="BT59" s="1" t="b">
        <f>AE59='[1]35千伏-750千伏电网基建'!AE56</f>
        <v>1</v>
      </c>
      <c r="BU59" s="1" t="b">
        <f>AF59='[1]35千伏-750千伏电网基建'!AF56</f>
        <v>1</v>
      </c>
      <c r="BV59" s="1" t="b">
        <f>AG59='[1]35千伏-750千伏电网基建'!AG56</f>
        <v>1</v>
      </c>
      <c r="BW59" s="1" t="b">
        <f>AH59='[1]35千伏-750千伏电网基建'!AH56</f>
        <v>1</v>
      </c>
      <c r="BX59" s="1" t="b">
        <f>AI59='[1]35千伏-750千伏电网基建'!AI56</f>
        <v>1</v>
      </c>
      <c r="BY59" s="1" t="b">
        <f>AJ59='[1]35千伏-750千伏电网基建'!AJ56</f>
        <v>1</v>
      </c>
      <c r="BZ59" s="1" t="b">
        <f>AK59='[1]35千伏-750千伏电网基建'!AK56</f>
        <v>1</v>
      </c>
    </row>
    <row r="60" s="1" customFormat="1" ht="71" customHeight="1" spans="1:78">
      <c r="A60" s="14"/>
      <c r="B60" s="14"/>
      <c r="C60" s="15"/>
      <c r="D60" s="15"/>
      <c r="E60" s="16"/>
      <c r="F60" s="24"/>
      <c r="G60" s="15"/>
      <c r="H60" s="16"/>
      <c r="I60" s="23" t="s">
        <v>1217</v>
      </c>
      <c r="J60" s="16" t="s">
        <v>1218</v>
      </c>
      <c r="K60" s="15"/>
      <c r="L60" s="15"/>
      <c r="M60" s="15"/>
      <c r="N60" s="15"/>
      <c r="O60" s="15"/>
      <c r="P60" s="15"/>
      <c r="Q60" s="15" t="s">
        <v>36</v>
      </c>
      <c r="R60" s="15"/>
      <c r="S60" s="15"/>
      <c r="T60" s="15" t="s">
        <v>492</v>
      </c>
      <c r="U60" s="15"/>
      <c r="V60" s="16" t="s">
        <v>867</v>
      </c>
      <c r="W60" s="15" t="s">
        <v>1219</v>
      </c>
      <c r="X60" s="15" t="s">
        <v>474</v>
      </c>
      <c r="Y60" s="15" t="s">
        <v>473</v>
      </c>
      <c r="Z60" s="30"/>
      <c r="AA60" s="15" t="s">
        <v>474</v>
      </c>
      <c r="AB60" s="15" t="s">
        <v>473</v>
      </c>
      <c r="AC60" s="30"/>
      <c r="AD60" s="15"/>
      <c r="AE60" s="30"/>
      <c r="AF60" s="15"/>
      <c r="AG60" s="30"/>
      <c r="AH60" s="15" t="s">
        <v>476</v>
      </c>
      <c r="AI60" s="30" t="s">
        <v>476</v>
      </c>
      <c r="AJ60" s="15" t="s">
        <v>874</v>
      </c>
      <c r="AK60" s="15" t="s">
        <v>532</v>
      </c>
      <c r="AL60" s="1" t="s">
        <v>1064</v>
      </c>
      <c r="AM60" s="23" t="s">
        <v>470</v>
      </c>
      <c r="AO60" s="7"/>
      <c r="AP60" s="1" t="b">
        <f>A60='[1]35千伏-750千伏电网基建'!A57</f>
        <v>1</v>
      </c>
      <c r="AQ60" s="1" t="b">
        <f>B60='[1]35千伏-750千伏电网基建'!B57</f>
        <v>1</v>
      </c>
      <c r="AR60" s="1" t="b">
        <f>C60='[1]35千伏-750千伏电网基建'!C57</f>
        <v>1</v>
      </c>
      <c r="AS60" s="1" t="b">
        <f>D60='[1]35千伏-750千伏电网基建'!D57</f>
        <v>1</v>
      </c>
      <c r="AT60" s="1" t="b">
        <f>E60='[1]35千伏-750千伏电网基建'!E57</f>
        <v>1</v>
      </c>
      <c r="AU60" s="1" t="b">
        <f>F60='[1]35千伏-750千伏电网基建'!F57</f>
        <v>1</v>
      </c>
      <c r="AV60" s="1" t="b">
        <f>G60='[1]35千伏-750千伏电网基建'!G57</f>
        <v>1</v>
      </c>
      <c r="AW60" s="1" t="b">
        <f>H60='[1]35千伏-750千伏电网基建'!H57</f>
        <v>1</v>
      </c>
      <c r="AX60" s="1" t="b">
        <f>I60='[1]35千伏-750千伏电网基建'!I57</f>
        <v>1</v>
      </c>
      <c r="AY60" s="1" t="b">
        <f>J60='[1]35千伏-750千伏电网基建'!J57</f>
        <v>1</v>
      </c>
      <c r="AZ60" s="1" t="b">
        <f>K60='[1]35千伏-750千伏电网基建'!K57</f>
        <v>1</v>
      </c>
      <c r="BA60" s="1" t="b">
        <f>L60='[1]35千伏-750千伏电网基建'!L57</f>
        <v>1</v>
      </c>
      <c r="BB60" s="1" t="b">
        <f>M60='[1]35千伏-750千伏电网基建'!M57</f>
        <v>1</v>
      </c>
      <c r="BC60" s="1" t="b">
        <f>N60='[1]35千伏-750千伏电网基建'!N57</f>
        <v>1</v>
      </c>
      <c r="BD60" s="1" t="b">
        <f>O60='[1]35千伏-750千伏电网基建'!O57</f>
        <v>1</v>
      </c>
      <c r="BE60" s="1" t="b">
        <f>P60='[1]35千伏-750千伏电网基建'!P57</f>
        <v>1</v>
      </c>
      <c r="BF60" s="1" t="b">
        <f>Q60='[1]35千伏-750千伏电网基建'!Q57</f>
        <v>1</v>
      </c>
      <c r="BG60" s="1" t="b">
        <f>R60='[1]35千伏-750千伏电网基建'!R57</f>
        <v>1</v>
      </c>
      <c r="BH60" s="1" t="b">
        <f>S60='[1]35千伏-750千伏电网基建'!S57</f>
        <v>1</v>
      </c>
      <c r="BI60" s="1" t="b">
        <f>T60='[1]35千伏-750千伏电网基建'!T57</f>
        <v>1</v>
      </c>
      <c r="BJ60" s="1" t="b">
        <f>U60='[1]35千伏-750千伏电网基建'!U57</f>
        <v>1</v>
      </c>
      <c r="BK60" s="1" t="b">
        <f>V60='[1]35千伏-750千伏电网基建'!V57</f>
        <v>1</v>
      </c>
      <c r="BL60" s="8" t="b">
        <f>W60='[1]35千伏-750千伏电网基建'!W57</f>
        <v>1</v>
      </c>
      <c r="BM60" s="1" t="b">
        <f>X60='[1]35千伏-750千伏电网基建'!X57</f>
        <v>1</v>
      </c>
      <c r="BN60" s="1" t="b">
        <f>Y60='[1]35千伏-750千伏电网基建'!Y57</f>
        <v>1</v>
      </c>
      <c r="BO60" s="1" t="b">
        <f>Z60='[1]35千伏-750千伏电网基建'!Z57</f>
        <v>1</v>
      </c>
      <c r="BP60" s="1" t="b">
        <f>AA60='[1]35千伏-750千伏电网基建'!AA57</f>
        <v>1</v>
      </c>
      <c r="BQ60" s="1" t="b">
        <f>AB60='[1]35千伏-750千伏电网基建'!AB57</f>
        <v>1</v>
      </c>
      <c r="BR60" s="1" t="b">
        <f>AC60='[1]35千伏-750千伏电网基建'!AC57</f>
        <v>1</v>
      </c>
      <c r="BS60" s="1" t="b">
        <f>AD60='[1]35千伏-750千伏电网基建'!AD57</f>
        <v>1</v>
      </c>
      <c r="BT60" s="1" t="b">
        <f>AE60='[1]35千伏-750千伏电网基建'!AE57</f>
        <v>1</v>
      </c>
      <c r="BU60" s="1" t="b">
        <f>AF60='[1]35千伏-750千伏电网基建'!AF57</f>
        <v>1</v>
      </c>
      <c r="BV60" s="1" t="b">
        <f>AG60='[1]35千伏-750千伏电网基建'!AG57</f>
        <v>1</v>
      </c>
      <c r="BW60" s="1" t="b">
        <f>AH60='[1]35千伏-750千伏电网基建'!AH57</f>
        <v>1</v>
      </c>
      <c r="BX60" s="1" t="b">
        <f>AI60='[1]35千伏-750千伏电网基建'!AI57</f>
        <v>1</v>
      </c>
      <c r="BY60" s="1" t="b">
        <f>AJ60='[1]35千伏-750千伏电网基建'!AJ57</f>
        <v>1</v>
      </c>
      <c r="BZ60" s="1" t="b">
        <f>AK60='[1]35千伏-750千伏电网基建'!AK57</f>
        <v>1</v>
      </c>
    </row>
    <row r="61" s="1" customFormat="1" ht="73" customHeight="1" spans="1:78">
      <c r="A61" s="14"/>
      <c r="B61" s="14"/>
      <c r="C61" s="15" t="s">
        <v>536</v>
      </c>
      <c r="D61" s="15" t="s">
        <v>875</v>
      </c>
      <c r="E61" s="16" t="s">
        <v>876</v>
      </c>
      <c r="F61" s="24"/>
      <c r="G61" s="15" t="s">
        <v>1220</v>
      </c>
      <c r="H61" s="16" t="s">
        <v>878</v>
      </c>
      <c r="I61" s="23" t="s">
        <v>1221</v>
      </c>
      <c r="J61" s="16" t="s">
        <v>1222</v>
      </c>
      <c r="K61" s="15"/>
      <c r="L61" s="15"/>
      <c r="M61" s="15"/>
      <c r="N61" s="15"/>
      <c r="O61" s="15"/>
      <c r="P61" s="15"/>
      <c r="Q61" s="15" t="s">
        <v>36</v>
      </c>
      <c r="R61" s="15" t="s">
        <v>36</v>
      </c>
      <c r="S61" s="15"/>
      <c r="T61" s="15" t="s">
        <v>465</v>
      </c>
      <c r="U61" s="15" t="s">
        <v>587</v>
      </c>
      <c r="V61" s="16" t="s">
        <v>882</v>
      </c>
      <c r="W61" s="35" t="s">
        <v>1452</v>
      </c>
      <c r="X61" s="15" t="s">
        <v>511</v>
      </c>
      <c r="Y61" s="15" t="s">
        <v>566</v>
      </c>
      <c r="Z61" s="30"/>
      <c r="AA61" s="15" t="s">
        <v>474</v>
      </c>
      <c r="AB61" s="15" t="s">
        <v>473</v>
      </c>
      <c r="AC61" s="30"/>
      <c r="AD61" s="15" t="s">
        <v>884</v>
      </c>
      <c r="AE61" s="15" t="s">
        <v>511</v>
      </c>
      <c r="AF61" s="15"/>
      <c r="AG61" s="30"/>
      <c r="AH61" s="15" t="s">
        <v>476</v>
      </c>
      <c r="AI61" s="15" t="s">
        <v>476</v>
      </c>
      <c r="AJ61" s="15" t="s">
        <v>874</v>
      </c>
      <c r="AK61" s="15" t="s">
        <v>532</v>
      </c>
      <c r="AL61" s="1" t="s">
        <v>1064</v>
      </c>
      <c r="AM61" s="23" t="s">
        <v>470</v>
      </c>
      <c r="AO61" s="7" t="s">
        <v>1045</v>
      </c>
      <c r="AP61" s="1" t="b">
        <f>A61='[1]35千伏-750千伏电网基建'!A58</f>
        <v>1</v>
      </c>
      <c r="AQ61" s="1" t="b">
        <f>B61='[1]35千伏-750千伏电网基建'!B58</f>
        <v>1</v>
      </c>
      <c r="AR61" s="1" t="b">
        <f>C61='[1]35千伏-750千伏电网基建'!C58</f>
        <v>1</v>
      </c>
      <c r="AS61" s="1" t="b">
        <f>D61='[1]35千伏-750千伏电网基建'!D58</f>
        <v>1</v>
      </c>
      <c r="AT61" s="1" t="b">
        <f>E61='[1]35千伏-750千伏电网基建'!E58</f>
        <v>1</v>
      </c>
      <c r="AU61" s="1" t="b">
        <f>F61='[1]35千伏-750千伏电网基建'!F58</f>
        <v>1</v>
      </c>
      <c r="AV61" s="1" t="b">
        <f>G61='[1]35千伏-750千伏电网基建'!G58</f>
        <v>1</v>
      </c>
      <c r="AW61" s="1" t="b">
        <f>H61='[1]35千伏-750千伏电网基建'!H58</f>
        <v>1</v>
      </c>
      <c r="AX61" s="1" t="b">
        <f>I61='[1]35千伏-750千伏电网基建'!I58</f>
        <v>1</v>
      </c>
      <c r="AY61" s="1" t="b">
        <f>J61='[1]35千伏-750千伏电网基建'!J58</f>
        <v>1</v>
      </c>
      <c r="AZ61" s="1" t="b">
        <f>K61='[1]35千伏-750千伏电网基建'!K58</f>
        <v>1</v>
      </c>
      <c r="BA61" s="1" t="b">
        <f>L61='[1]35千伏-750千伏电网基建'!L58</f>
        <v>1</v>
      </c>
      <c r="BB61" s="1" t="b">
        <f>M61='[1]35千伏-750千伏电网基建'!M58</f>
        <v>1</v>
      </c>
      <c r="BC61" s="1" t="b">
        <f>N61='[1]35千伏-750千伏电网基建'!N58</f>
        <v>1</v>
      </c>
      <c r="BD61" s="1" t="b">
        <f>O61='[1]35千伏-750千伏电网基建'!O58</f>
        <v>1</v>
      </c>
      <c r="BE61" s="1" t="b">
        <f>P61='[1]35千伏-750千伏电网基建'!P58</f>
        <v>1</v>
      </c>
      <c r="BF61" s="1" t="b">
        <f>Q61='[1]35千伏-750千伏电网基建'!Q58</f>
        <v>1</v>
      </c>
      <c r="BG61" s="1" t="b">
        <f>R61='[1]35千伏-750千伏电网基建'!R58</f>
        <v>1</v>
      </c>
      <c r="BH61" s="1" t="b">
        <f>S61='[1]35千伏-750千伏电网基建'!S58</f>
        <v>1</v>
      </c>
      <c r="BI61" s="1" t="b">
        <f>T61='[1]35千伏-750千伏电网基建'!T58</f>
        <v>1</v>
      </c>
      <c r="BJ61" s="1" t="b">
        <f>U61='[1]35千伏-750千伏电网基建'!U58</f>
        <v>1</v>
      </c>
      <c r="BK61" s="1" t="b">
        <f>V61='[1]35千伏-750千伏电网基建'!V58</f>
        <v>1</v>
      </c>
      <c r="BL61" s="8" t="b">
        <f>W61='[1]35千伏-750千伏电网基建'!W58</f>
        <v>0</v>
      </c>
      <c r="BM61" s="1" t="b">
        <f>X61='[1]35千伏-750千伏电网基建'!X58</f>
        <v>1</v>
      </c>
      <c r="BN61" s="1" t="b">
        <f>Y61='[1]35千伏-750千伏电网基建'!Y58</f>
        <v>1</v>
      </c>
      <c r="BO61" s="1" t="b">
        <f>Z61='[1]35千伏-750千伏电网基建'!Z58</f>
        <v>1</v>
      </c>
      <c r="BP61" s="1" t="b">
        <f>AA61='[1]35千伏-750千伏电网基建'!AA58</f>
        <v>1</v>
      </c>
      <c r="BQ61" s="1" t="b">
        <f>AB61='[1]35千伏-750千伏电网基建'!AB58</f>
        <v>1</v>
      </c>
      <c r="BR61" s="1" t="b">
        <f>AC61='[1]35千伏-750千伏电网基建'!AC58</f>
        <v>1</v>
      </c>
      <c r="BS61" s="1" t="b">
        <f>AD61='[1]35千伏-750千伏电网基建'!AD58</f>
        <v>1</v>
      </c>
      <c r="BT61" s="1" t="b">
        <f>AE61='[1]35千伏-750千伏电网基建'!AE58</f>
        <v>1</v>
      </c>
      <c r="BU61" s="1" t="b">
        <f>AF61='[1]35千伏-750千伏电网基建'!AF58</f>
        <v>1</v>
      </c>
      <c r="BV61" s="1" t="b">
        <f>AG61='[1]35千伏-750千伏电网基建'!AG58</f>
        <v>1</v>
      </c>
      <c r="BW61" s="1" t="b">
        <f>AH61='[1]35千伏-750千伏电网基建'!AH58</f>
        <v>1</v>
      </c>
      <c r="BX61" s="1" t="b">
        <f>AI61='[1]35千伏-750千伏电网基建'!AI58</f>
        <v>1</v>
      </c>
      <c r="BY61" s="1" t="b">
        <f>AJ61='[1]35千伏-750千伏电网基建'!AJ58</f>
        <v>1</v>
      </c>
      <c r="BZ61" s="1" t="b">
        <f>AK61='[1]35千伏-750千伏电网基建'!AK58</f>
        <v>1</v>
      </c>
    </row>
    <row r="62" s="1" customFormat="1" ht="75" customHeight="1" spans="1:78">
      <c r="A62" s="14"/>
      <c r="B62" s="14"/>
      <c r="C62" s="15"/>
      <c r="D62" s="15"/>
      <c r="E62" s="16"/>
      <c r="F62" s="24"/>
      <c r="G62" s="15"/>
      <c r="H62" s="16"/>
      <c r="I62" s="23" t="s">
        <v>1224</v>
      </c>
      <c r="J62" s="16" t="s">
        <v>1225</v>
      </c>
      <c r="K62" s="15"/>
      <c r="L62" s="15"/>
      <c r="M62" s="15"/>
      <c r="N62" s="15"/>
      <c r="O62" s="15"/>
      <c r="P62" s="15"/>
      <c r="Q62" s="15"/>
      <c r="R62" s="15"/>
      <c r="S62" s="15"/>
      <c r="T62" s="15" t="s">
        <v>492</v>
      </c>
      <c r="U62" s="15"/>
      <c r="V62" s="16" t="s">
        <v>887</v>
      </c>
      <c r="W62" s="35" t="s">
        <v>888</v>
      </c>
      <c r="X62" s="15" t="s">
        <v>511</v>
      </c>
      <c r="Y62" s="15" t="s">
        <v>566</v>
      </c>
      <c r="Z62" s="30"/>
      <c r="AA62" s="15" t="s">
        <v>474</v>
      </c>
      <c r="AB62" s="15" t="s">
        <v>473</v>
      </c>
      <c r="AC62" s="30"/>
      <c r="AD62" s="15"/>
      <c r="AE62" s="30"/>
      <c r="AF62" s="15"/>
      <c r="AG62" s="30"/>
      <c r="AH62" s="15" t="s">
        <v>476</v>
      </c>
      <c r="AI62" s="15" t="s">
        <v>610</v>
      </c>
      <c r="AJ62" s="15" t="s">
        <v>870</v>
      </c>
      <c r="AK62" s="15" t="s">
        <v>599</v>
      </c>
      <c r="AL62" s="1" t="s">
        <v>1064</v>
      </c>
      <c r="AM62" s="23" t="s">
        <v>1091</v>
      </c>
      <c r="AO62" s="7" t="s">
        <v>1045</v>
      </c>
      <c r="AP62" s="1" t="b">
        <f>A62='[1]35千伏-750千伏电网基建'!A59</f>
        <v>1</v>
      </c>
      <c r="AQ62" s="1" t="b">
        <f>B62='[1]35千伏-750千伏电网基建'!B59</f>
        <v>1</v>
      </c>
      <c r="AR62" s="1" t="b">
        <f>C62='[1]35千伏-750千伏电网基建'!C59</f>
        <v>1</v>
      </c>
      <c r="AS62" s="1" t="b">
        <f>D62='[1]35千伏-750千伏电网基建'!D59</f>
        <v>1</v>
      </c>
      <c r="AT62" s="1" t="b">
        <f>E62='[1]35千伏-750千伏电网基建'!E59</f>
        <v>1</v>
      </c>
      <c r="AU62" s="1" t="b">
        <f>F62='[1]35千伏-750千伏电网基建'!F59</f>
        <v>1</v>
      </c>
      <c r="AV62" s="1" t="b">
        <f>G62='[1]35千伏-750千伏电网基建'!G59</f>
        <v>1</v>
      </c>
      <c r="AW62" s="1" t="b">
        <f>H62='[1]35千伏-750千伏电网基建'!H59</f>
        <v>1</v>
      </c>
      <c r="AX62" s="1" t="b">
        <f>I62='[1]35千伏-750千伏电网基建'!I59</f>
        <v>1</v>
      </c>
      <c r="AY62" s="1" t="b">
        <f>J62='[1]35千伏-750千伏电网基建'!J59</f>
        <v>1</v>
      </c>
      <c r="AZ62" s="1" t="b">
        <f>K62='[1]35千伏-750千伏电网基建'!K59</f>
        <v>1</v>
      </c>
      <c r="BA62" s="1" t="b">
        <f>L62='[1]35千伏-750千伏电网基建'!L59</f>
        <v>1</v>
      </c>
      <c r="BB62" s="1" t="b">
        <f>M62='[1]35千伏-750千伏电网基建'!M59</f>
        <v>1</v>
      </c>
      <c r="BC62" s="1" t="b">
        <f>N62='[1]35千伏-750千伏电网基建'!N59</f>
        <v>1</v>
      </c>
      <c r="BD62" s="1" t="b">
        <f>O62='[1]35千伏-750千伏电网基建'!O59</f>
        <v>1</v>
      </c>
      <c r="BE62" s="1" t="b">
        <f>P62='[1]35千伏-750千伏电网基建'!P59</f>
        <v>1</v>
      </c>
      <c r="BF62" s="1" t="b">
        <f>Q62='[1]35千伏-750千伏电网基建'!Q59</f>
        <v>1</v>
      </c>
      <c r="BG62" s="1" t="b">
        <f>R62='[1]35千伏-750千伏电网基建'!R59</f>
        <v>1</v>
      </c>
      <c r="BH62" s="1" t="b">
        <f>S62='[1]35千伏-750千伏电网基建'!S59</f>
        <v>1</v>
      </c>
      <c r="BI62" s="1" t="b">
        <f>T62='[1]35千伏-750千伏电网基建'!T59</f>
        <v>1</v>
      </c>
      <c r="BJ62" s="1" t="b">
        <f>U62='[1]35千伏-750千伏电网基建'!U59</f>
        <v>1</v>
      </c>
      <c r="BK62" s="1" t="b">
        <f>V62='[1]35千伏-750千伏电网基建'!V59</f>
        <v>1</v>
      </c>
      <c r="BL62" s="8" t="b">
        <f>W62='[1]35千伏-750千伏电网基建'!W59</f>
        <v>0</v>
      </c>
      <c r="BM62" s="1" t="b">
        <f>X62='[1]35千伏-750千伏电网基建'!X59</f>
        <v>1</v>
      </c>
      <c r="BN62" s="1" t="b">
        <f>Y62='[1]35千伏-750千伏电网基建'!Y59</f>
        <v>1</v>
      </c>
      <c r="BO62" s="1" t="b">
        <f>Z62='[1]35千伏-750千伏电网基建'!Z59</f>
        <v>1</v>
      </c>
      <c r="BP62" s="1" t="b">
        <f>AA62='[1]35千伏-750千伏电网基建'!AA59</f>
        <v>1</v>
      </c>
      <c r="BQ62" s="1" t="b">
        <f>AB62='[1]35千伏-750千伏电网基建'!AB59</f>
        <v>1</v>
      </c>
      <c r="BR62" s="1" t="b">
        <f>AC62='[1]35千伏-750千伏电网基建'!AC59</f>
        <v>1</v>
      </c>
      <c r="BS62" s="1" t="b">
        <f>AD62='[1]35千伏-750千伏电网基建'!AD59</f>
        <v>1</v>
      </c>
      <c r="BT62" s="1" t="b">
        <f>AE62='[1]35千伏-750千伏电网基建'!AE59</f>
        <v>1</v>
      </c>
      <c r="BU62" s="1" t="b">
        <f>AF62='[1]35千伏-750千伏电网基建'!AF59</f>
        <v>1</v>
      </c>
      <c r="BV62" s="1" t="b">
        <f>AG62='[1]35千伏-750千伏电网基建'!AG59</f>
        <v>1</v>
      </c>
      <c r="BW62" s="1" t="b">
        <f>AH62='[1]35千伏-750千伏电网基建'!AH59</f>
        <v>1</v>
      </c>
      <c r="BX62" s="1" t="b">
        <f>AI62='[1]35千伏-750千伏电网基建'!AI59</f>
        <v>1</v>
      </c>
      <c r="BY62" s="1" t="b">
        <f>AJ62='[1]35千伏-750千伏电网基建'!AJ59</f>
        <v>1</v>
      </c>
      <c r="BZ62" s="1" t="b">
        <f>AK62='[1]35千伏-750千伏电网基建'!AK59</f>
        <v>1</v>
      </c>
    </row>
    <row r="63" s="1" customFormat="1" ht="85" customHeight="1" spans="1:78">
      <c r="A63" s="14"/>
      <c r="B63" s="14"/>
      <c r="C63" s="15"/>
      <c r="D63" s="15"/>
      <c r="E63" s="16"/>
      <c r="F63" s="24"/>
      <c r="G63" s="15"/>
      <c r="H63" s="16"/>
      <c r="I63" s="23" t="s">
        <v>1227</v>
      </c>
      <c r="J63" s="16" t="s">
        <v>1228</v>
      </c>
      <c r="K63" s="15"/>
      <c r="L63" s="15"/>
      <c r="M63" s="15"/>
      <c r="N63" s="15"/>
      <c r="O63" s="15"/>
      <c r="P63" s="15"/>
      <c r="Q63" s="15" t="s">
        <v>36</v>
      </c>
      <c r="R63" s="15"/>
      <c r="S63" s="15"/>
      <c r="T63" s="15" t="s">
        <v>492</v>
      </c>
      <c r="U63" s="15"/>
      <c r="V63" s="16" t="s">
        <v>887</v>
      </c>
      <c r="W63" s="35" t="s">
        <v>1431</v>
      </c>
      <c r="X63" s="15" t="s">
        <v>511</v>
      </c>
      <c r="Y63" s="15" t="s">
        <v>566</v>
      </c>
      <c r="Z63" s="30"/>
      <c r="AA63" s="15" t="s">
        <v>474</v>
      </c>
      <c r="AB63" s="15" t="s">
        <v>473</v>
      </c>
      <c r="AC63" s="30"/>
      <c r="AD63" s="15"/>
      <c r="AE63" s="30"/>
      <c r="AF63" s="15"/>
      <c r="AG63" s="30"/>
      <c r="AH63" s="15" t="s">
        <v>476</v>
      </c>
      <c r="AI63" s="15" t="s">
        <v>476</v>
      </c>
      <c r="AJ63" s="15" t="s">
        <v>870</v>
      </c>
      <c r="AK63" s="15" t="s">
        <v>532</v>
      </c>
      <c r="AL63" s="1" t="s">
        <v>1064</v>
      </c>
      <c r="AM63" s="23" t="s">
        <v>470</v>
      </c>
      <c r="AO63" s="7" t="s">
        <v>1045</v>
      </c>
      <c r="AP63" s="1" t="b">
        <f>A63='[1]35千伏-750千伏电网基建'!A60</f>
        <v>1</v>
      </c>
      <c r="AQ63" s="1" t="b">
        <f>B63='[1]35千伏-750千伏电网基建'!B60</f>
        <v>1</v>
      </c>
      <c r="AR63" s="1" t="b">
        <f>C63='[1]35千伏-750千伏电网基建'!C60</f>
        <v>1</v>
      </c>
      <c r="AS63" s="1" t="b">
        <f>D63='[1]35千伏-750千伏电网基建'!D60</f>
        <v>1</v>
      </c>
      <c r="AT63" s="1" t="b">
        <f>E63='[1]35千伏-750千伏电网基建'!E60</f>
        <v>1</v>
      </c>
      <c r="AU63" s="1" t="b">
        <f>F63='[1]35千伏-750千伏电网基建'!F60</f>
        <v>1</v>
      </c>
      <c r="AV63" s="1" t="b">
        <f>G63='[1]35千伏-750千伏电网基建'!G60</f>
        <v>1</v>
      </c>
      <c r="AW63" s="1" t="b">
        <f>H63='[1]35千伏-750千伏电网基建'!H60</f>
        <v>1</v>
      </c>
      <c r="AX63" s="1" t="b">
        <f>I63='[1]35千伏-750千伏电网基建'!I60</f>
        <v>1</v>
      </c>
      <c r="AY63" s="1" t="b">
        <f>J63='[1]35千伏-750千伏电网基建'!J60</f>
        <v>1</v>
      </c>
      <c r="AZ63" s="1" t="b">
        <f>K63='[1]35千伏-750千伏电网基建'!K60</f>
        <v>1</v>
      </c>
      <c r="BA63" s="1" t="b">
        <f>L63='[1]35千伏-750千伏电网基建'!L60</f>
        <v>1</v>
      </c>
      <c r="BB63" s="1" t="b">
        <f>M63='[1]35千伏-750千伏电网基建'!M60</f>
        <v>1</v>
      </c>
      <c r="BC63" s="1" t="b">
        <f>N63='[1]35千伏-750千伏电网基建'!N60</f>
        <v>1</v>
      </c>
      <c r="BD63" s="1" t="b">
        <f>O63='[1]35千伏-750千伏电网基建'!O60</f>
        <v>1</v>
      </c>
      <c r="BE63" s="1" t="b">
        <f>P63='[1]35千伏-750千伏电网基建'!P60</f>
        <v>1</v>
      </c>
      <c r="BF63" s="1" t="b">
        <f>Q63='[1]35千伏-750千伏电网基建'!Q60</f>
        <v>1</v>
      </c>
      <c r="BG63" s="1" t="b">
        <f>R63='[1]35千伏-750千伏电网基建'!R60</f>
        <v>1</v>
      </c>
      <c r="BH63" s="1" t="b">
        <f>S63='[1]35千伏-750千伏电网基建'!S60</f>
        <v>1</v>
      </c>
      <c r="BI63" s="1" t="b">
        <f>T63='[1]35千伏-750千伏电网基建'!T60</f>
        <v>1</v>
      </c>
      <c r="BJ63" s="1" t="b">
        <f>U63='[1]35千伏-750千伏电网基建'!U60</f>
        <v>1</v>
      </c>
      <c r="BK63" s="1" t="b">
        <f>V63='[1]35千伏-750千伏电网基建'!V60</f>
        <v>1</v>
      </c>
      <c r="BL63" s="8" t="b">
        <f>W63='[1]35千伏-750千伏电网基建'!W60</f>
        <v>0</v>
      </c>
      <c r="BM63" s="1" t="b">
        <f>X63='[1]35千伏-750千伏电网基建'!X60</f>
        <v>1</v>
      </c>
      <c r="BN63" s="1" t="b">
        <f>Y63='[1]35千伏-750千伏电网基建'!Y60</f>
        <v>1</v>
      </c>
      <c r="BO63" s="1" t="b">
        <f>Z63='[1]35千伏-750千伏电网基建'!Z60</f>
        <v>1</v>
      </c>
      <c r="BP63" s="1" t="b">
        <f>AA63='[1]35千伏-750千伏电网基建'!AA60</f>
        <v>1</v>
      </c>
      <c r="BQ63" s="1" t="b">
        <f>AB63='[1]35千伏-750千伏电网基建'!AB60</f>
        <v>1</v>
      </c>
      <c r="BR63" s="1" t="b">
        <f>AC63='[1]35千伏-750千伏电网基建'!AC60</f>
        <v>1</v>
      </c>
      <c r="BS63" s="1" t="b">
        <f>AD63='[1]35千伏-750千伏电网基建'!AD60</f>
        <v>1</v>
      </c>
      <c r="BT63" s="1" t="b">
        <f>AE63='[1]35千伏-750千伏电网基建'!AE60</f>
        <v>1</v>
      </c>
      <c r="BU63" s="1" t="b">
        <f>AF63='[1]35千伏-750千伏电网基建'!AF60</f>
        <v>1</v>
      </c>
      <c r="BV63" s="1" t="b">
        <f>AG63='[1]35千伏-750千伏电网基建'!AG60</f>
        <v>1</v>
      </c>
      <c r="BW63" s="1" t="b">
        <f>AH63='[1]35千伏-750千伏电网基建'!AH60</f>
        <v>1</v>
      </c>
      <c r="BX63" s="1" t="b">
        <f>AI63='[1]35千伏-750千伏电网基建'!AI60</f>
        <v>1</v>
      </c>
      <c r="BY63" s="1" t="b">
        <f>AJ63='[1]35千伏-750千伏电网基建'!AJ60</f>
        <v>1</v>
      </c>
      <c r="BZ63" s="1" t="b">
        <f>AK63='[1]35千伏-750千伏电网基建'!AK60</f>
        <v>1</v>
      </c>
    </row>
    <row r="64" s="1" customFormat="1" ht="76" customHeight="1" spans="1:78">
      <c r="A64" s="14" t="s">
        <v>483</v>
      </c>
      <c r="B64" s="14" t="s">
        <v>833</v>
      </c>
      <c r="C64" s="15" t="s">
        <v>485</v>
      </c>
      <c r="D64" s="15" t="s">
        <v>892</v>
      </c>
      <c r="E64" s="16" t="s">
        <v>893</v>
      </c>
      <c r="F64" s="17" t="s">
        <v>894</v>
      </c>
      <c r="G64" s="15" t="s">
        <v>1229</v>
      </c>
      <c r="H64" s="16" t="s">
        <v>896</v>
      </c>
      <c r="I64" s="23" t="s">
        <v>1230</v>
      </c>
      <c r="J64" s="16" t="s">
        <v>1231</v>
      </c>
      <c r="K64" s="15"/>
      <c r="L64" s="15"/>
      <c r="M64" s="15"/>
      <c r="N64" s="15"/>
      <c r="O64" s="15"/>
      <c r="P64" s="15"/>
      <c r="Q64" s="15"/>
      <c r="R64" s="15" t="s">
        <v>36</v>
      </c>
      <c r="S64" s="15"/>
      <c r="T64" s="15" t="s">
        <v>492</v>
      </c>
      <c r="U64" s="15"/>
      <c r="V64" s="16" t="s">
        <v>899</v>
      </c>
      <c r="W64" s="83" t="s">
        <v>1453</v>
      </c>
      <c r="X64" s="15" t="s">
        <v>474</v>
      </c>
      <c r="Y64" s="15" t="s">
        <v>473</v>
      </c>
      <c r="Z64" s="30"/>
      <c r="AA64" s="15" t="s">
        <v>474</v>
      </c>
      <c r="AB64" s="15" t="s">
        <v>473</v>
      </c>
      <c r="AC64" s="30"/>
      <c r="AD64" s="15"/>
      <c r="AE64" s="30"/>
      <c r="AF64" s="15"/>
      <c r="AG64" s="30"/>
      <c r="AH64" s="15" t="s">
        <v>476</v>
      </c>
      <c r="AI64" s="15" t="s">
        <v>476</v>
      </c>
      <c r="AJ64" s="15" t="s">
        <v>901</v>
      </c>
      <c r="AK64" s="15" t="s">
        <v>673</v>
      </c>
      <c r="AL64" s="80" t="s">
        <v>1233</v>
      </c>
      <c r="AM64" s="23" t="s">
        <v>1091</v>
      </c>
      <c r="AO64" s="7" t="s">
        <v>1045</v>
      </c>
      <c r="AP64" s="1" t="b">
        <f>A64='[1]35千伏-750千伏电网基建'!A61</f>
        <v>1</v>
      </c>
      <c r="AQ64" s="1" t="b">
        <f>B64='[1]35千伏-750千伏电网基建'!B61</f>
        <v>1</v>
      </c>
      <c r="AR64" s="1" t="b">
        <f>C64='[1]35千伏-750千伏电网基建'!C61</f>
        <v>1</v>
      </c>
      <c r="AS64" s="1" t="b">
        <f>D64='[1]35千伏-750千伏电网基建'!D61</f>
        <v>1</v>
      </c>
      <c r="AT64" s="1" t="b">
        <f>E64='[1]35千伏-750千伏电网基建'!E61</f>
        <v>1</v>
      </c>
      <c r="AU64" s="1" t="b">
        <f>F64='[1]35千伏-750千伏电网基建'!F61</f>
        <v>1</v>
      </c>
      <c r="AV64" s="1" t="b">
        <f>G64='[1]35千伏-750千伏电网基建'!G61</f>
        <v>1</v>
      </c>
      <c r="AW64" s="1" t="b">
        <f>H64='[1]35千伏-750千伏电网基建'!H61</f>
        <v>1</v>
      </c>
      <c r="AX64" s="1" t="b">
        <f>I64='[1]35千伏-750千伏电网基建'!I61</f>
        <v>1</v>
      </c>
      <c r="AY64" s="1" t="b">
        <f>J64='[1]35千伏-750千伏电网基建'!J61</f>
        <v>1</v>
      </c>
      <c r="AZ64" s="1" t="b">
        <f>K64='[1]35千伏-750千伏电网基建'!K61</f>
        <v>1</v>
      </c>
      <c r="BA64" s="1" t="b">
        <f>L64='[1]35千伏-750千伏电网基建'!L61</f>
        <v>1</v>
      </c>
      <c r="BB64" s="1" t="b">
        <f>M64='[1]35千伏-750千伏电网基建'!M61</f>
        <v>1</v>
      </c>
      <c r="BC64" s="1" t="b">
        <f>N64='[1]35千伏-750千伏电网基建'!N61</f>
        <v>1</v>
      </c>
      <c r="BD64" s="1" t="b">
        <f>O64='[1]35千伏-750千伏电网基建'!O61</f>
        <v>1</v>
      </c>
      <c r="BE64" s="1" t="b">
        <f>P64='[1]35千伏-750千伏电网基建'!P61</f>
        <v>1</v>
      </c>
      <c r="BF64" s="1" t="b">
        <f>Q64='[1]35千伏-750千伏电网基建'!Q61</f>
        <v>1</v>
      </c>
      <c r="BG64" s="1" t="b">
        <f>R64='[1]35千伏-750千伏电网基建'!R61</f>
        <v>1</v>
      </c>
      <c r="BH64" s="1" t="b">
        <f>S64='[1]35千伏-750千伏电网基建'!S61</f>
        <v>1</v>
      </c>
      <c r="BI64" s="1" t="b">
        <f>T64='[1]35千伏-750千伏电网基建'!T61</f>
        <v>1</v>
      </c>
      <c r="BJ64" s="1" t="b">
        <f>U64='[1]35千伏-750千伏电网基建'!U61</f>
        <v>1</v>
      </c>
      <c r="BK64" s="1" t="b">
        <f>V64='[1]35千伏-750千伏电网基建'!V61</f>
        <v>1</v>
      </c>
      <c r="BL64" s="8" t="b">
        <f>W64='[1]35千伏-750千伏电网基建'!W61</f>
        <v>0</v>
      </c>
      <c r="BM64" s="1" t="b">
        <f>X64='[1]35千伏-750千伏电网基建'!X61</f>
        <v>1</v>
      </c>
      <c r="BN64" s="1" t="b">
        <f>Y64='[1]35千伏-750千伏电网基建'!Y61</f>
        <v>1</v>
      </c>
      <c r="BO64" s="1" t="b">
        <f>Z64='[1]35千伏-750千伏电网基建'!Z61</f>
        <v>1</v>
      </c>
      <c r="BP64" s="1" t="b">
        <f>AA64='[1]35千伏-750千伏电网基建'!AA61</f>
        <v>1</v>
      </c>
      <c r="BQ64" s="1" t="b">
        <f>AB64='[1]35千伏-750千伏电网基建'!AB61</f>
        <v>1</v>
      </c>
      <c r="BR64" s="1" t="b">
        <f>AC64='[1]35千伏-750千伏电网基建'!AC61</f>
        <v>1</v>
      </c>
      <c r="BS64" s="1" t="b">
        <f>AD64='[1]35千伏-750千伏电网基建'!AD61</f>
        <v>1</v>
      </c>
      <c r="BT64" s="1" t="b">
        <f>AE64='[1]35千伏-750千伏电网基建'!AE61</f>
        <v>1</v>
      </c>
      <c r="BU64" s="1" t="b">
        <f>AF64='[1]35千伏-750千伏电网基建'!AF61</f>
        <v>1</v>
      </c>
      <c r="BV64" s="1" t="b">
        <f>AG64='[1]35千伏-750千伏电网基建'!AG61</f>
        <v>1</v>
      </c>
      <c r="BW64" s="1" t="b">
        <f>AH64='[1]35千伏-750千伏电网基建'!AH61</f>
        <v>1</v>
      </c>
      <c r="BX64" s="1" t="b">
        <f>AI64='[1]35千伏-750千伏电网基建'!AI61</f>
        <v>1</v>
      </c>
      <c r="BY64" s="1" t="b">
        <f>AJ64='[1]35千伏-750千伏电网基建'!AJ61</f>
        <v>1</v>
      </c>
      <c r="BZ64" s="1" t="b">
        <f>AK64='[1]35千伏-750千伏电网基建'!AK61</f>
        <v>1</v>
      </c>
    </row>
    <row r="65" s="1" customFormat="1" ht="76" customHeight="1" spans="1:78">
      <c r="A65" s="14"/>
      <c r="B65" s="14"/>
      <c r="C65" s="15"/>
      <c r="D65" s="15"/>
      <c r="E65" s="16"/>
      <c r="F65" s="17"/>
      <c r="G65" s="15"/>
      <c r="H65" s="16"/>
      <c r="I65" s="23" t="s">
        <v>1234</v>
      </c>
      <c r="J65" s="16" t="s">
        <v>1454</v>
      </c>
      <c r="K65" s="15"/>
      <c r="L65" s="15"/>
      <c r="M65" s="15"/>
      <c r="N65" s="15"/>
      <c r="O65" s="15"/>
      <c r="P65" s="15"/>
      <c r="Q65" s="15" t="s">
        <v>36</v>
      </c>
      <c r="R65" s="15" t="s">
        <v>36</v>
      </c>
      <c r="S65" s="15"/>
      <c r="T65" s="15" t="s">
        <v>492</v>
      </c>
      <c r="U65" s="15"/>
      <c r="V65" s="16" t="s">
        <v>904</v>
      </c>
      <c r="W65" s="35" t="s">
        <v>1431</v>
      </c>
      <c r="X65" s="15" t="s">
        <v>474</v>
      </c>
      <c r="Y65" s="15" t="s">
        <v>473</v>
      </c>
      <c r="Z65" s="30"/>
      <c r="AA65" s="15" t="s">
        <v>474</v>
      </c>
      <c r="AB65" s="15" t="s">
        <v>473</v>
      </c>
      <c r="AC65" s="30"/>
      <c r="AD65" s="15"/>
      <c r="AE65" s="30"/>
      <c r="AF65" s="15"/>
      <c r="AG65" s="30"/>
      <c r="AH65" s="15" t="s">
        <v>476</v>
      </c>
      <c r="AI65" s="15" t="s">
        <v>476</v>
      </c>
      <c r="AJ65" s="15"/>
      <c r="AK65" s="15"/>
      <c r="AL65" s="1" t="s">
        <v>1064</v>
      </c>
      <c r="AM65" s="23" t="s">
        <v>470</v>
      </c>
      <c r="AO65" s="7" t="s">
        <v>1045</v>
      </c>
      <c r="AP65" s="1" t="b">
        <f>A65='[1]35千伏-750千伏电网基建'!A62</f>
        <v>1</v>
      </c>
      <c r="AQ65" s="1" t="b">
        <f>B65='[1]35千伏-750千伏电网基建'!B62</f>
        <v>1</v>
      </c>
      <c r="AR65" s="1" t="b">
        <f>C65='[1]35千伏-750千伏电网基建'!C62</f>
        <v>1</v>
      </c>
      <c r="AS65" s="1" t="b">
        <f>D65='[1]35千伏-750千伏电网基建'!D62</f>
        <v>1</v>
      </c>
      <c r="AT65" s="1" t="b">
        <f>E65='[1]35千伏-750千伏电网基建'!E62</f>
        <v>1</v>
      </c>
      <c r="AU65" s="1" t="b">
        <f>F65='[1]35千伏-750千伏电网基建'!F62</f>
        <v>1</v>
      </c>
      <c r="AV65" s="1" t="b">
        <f>G65='[1]35千伏-750千伏电网基建'!G62</f>
        <v>1</v>
      </c>
      <c r="AW65" s="1" t="b">
        <f>H65='[1]35千伏-750千伏电网基建'!H62</f>
        <v>1</v>
      </c>
      <c r="AX65" s="1" t="b">
        <f>I65='[1]35千伏-750千伏电网基建'!I62</f>
        <v>1</v>
      </c>
      <c r="AY65" s="1" t="b">
        <f>J65='[1]35千伏-750千伏电网基建'!J62</f>
        <v>1</v>
      </c>
      <c r="AZ65" s="1" t="b">
        <f>K65='[1]35千伏-750千伏电网基建'!K62</f>
        <v>1</v>
      </c>
      <c r="BA65" s="1" t="b">
        <f>L65='[1]35千伏-750千伏电网基建'!L62</f>
        <v>1</v>
      </c>
      <c r="BB65" s="1" t="b">
        <f>M65='[1]35千伏-750千伏电网基建'!M62</f>
        <v>1</v>
      </c>
      <c r="BC65" s="1" t="b">
        <f>N65='[1]35千伏-750千伏电网基建'!N62</f>
        <v>1</v>
      </c>
      <c r="BD65" s="1" t="b">
        <f>O65='[1]35千伏-750千伏电网基建'!O62</f>
        <v>1</v>
      </c>
      <c r="BE65" s="1" t="b">
        <f>P65='[1]35千伏-750千伏电网基建'!P62</f>
        <v>1</v>
      </c>
      <c r="BF65" s="1" t="b">
        <f>Q65='[1]35千伏-750千伏电网基建'!Q62</f>
        <v>1</v>
      </c>
      <c r="BG65" s="1" t="b">
        <f>R65='[1]35千伏-750千伏电网基建'!R62</f>
        <v>1</v>
      </c>
      <c r="BH65" s="1" t="b">
        <f>S65='[1]35千伏-750千伏电网基建'!S62</f>
        <v>1</v>
      </c>
      <c r="BI65" s="1" t="b">
        <f>T65='[1]35千伏-750千伏电网基建'!T62</f>
        <v>1</v>
      </c>
      <c r="BJ65" s="1" t="b">
        <f>U65='[1]35千伏-750千伏电网基建'!U62</f>
        <v>1</v>
      </c>
      <c r="BK65" s="1" t="b">
        <f>V65='[1]35千伏-750千伏电网基建'!V62</f>
        <v>1</v>
      </c>
      <c r="BL65" s="8" t="b">
        <f>W65='[1]35千伏-750千伏电网基建'!W62</f>
        <v>0</v>
      </c>
      <c r="BM65" s="1" t="b">
        <f>X65='[1]35千伏-750千伏电网基建'!X62</f>
        <v>1</v>
      </c>
      <c r="BN65" s="1" t="b">
        <f>Y65='[1]35千伏-750千伏电网基建'!Y62</f>
        <v>1</v>
      </c>
      <c r="BO65" s="1" t="b">
        <f>Z65='[1]35千伏-750千伏电网基建'!Z62</f>
        <v>1</v>
      </c>
      <c r="BP65" s="1" t="b">
        <f>AA65='[1]35千伏-750千伏电网基建'!AA62</f>
        <v>1</v>
      </c>
      <c r="BQ65" s="1" t="b">
        <f>AB65='[1]35千伏-750千伏电网基建'!AB62</f>
        <v>1</v>
      </c>
      <c r="BR65" s="1" t="b">
        <f>AC65='[1]35千伏-750千伏电网基建'!AC62</f>
        <v>1</v>
      </c>
      <c r="BS65" s="1" t="b">
        <f>AD65='[1]35千伏-750千伏电网基建'!AD62</f>
        <v>1</v>
      </c>
      <c r="BT65" s="1" t="b">
        <f>AE65='[1]35千伏-750千伏电网基建'!AE62</f>
        <v>1</v>
      </c>
      <c r="BU65" s="1" t="b">
        <f>AF65='[1]35千伏-750千伏电网基建'!AF62</f>
        <v>1</v>
      </c>
      <c r="BV65" s="1" t="b">
        <f>AG65='[1]35千伏-750千伏电网基建'!AG62</f>
        <v>1</v>
      </c>
      <c r="BW65" s="1" t="b">
        <f>AH65='[1]35千伏-750千伏电网基建'!AH62</f>
        <v>1</v>
      </c>
      <c r="BX65" s="1" t="b">
        <f>AI65='[1]35千伏-750千伏电网基建'!AI62</f>
        <v>1</v>
      </c>
      <c r="BY65" s="1" t="b">
        <f>AJ65='[1]35千伏-750千伏电网基建'!AJ62</f>
        <v>1</v>
      </c>
      <c r="BZ65" s="1" t="b">
        <f>AK65='[1]35千伏-750千伏电网基建'!AK62</f>
        <v>1</v>
      </c>
    </row>
    <row r="66" s="1" customFormat="1" ht="69" customHeight="1" spans="1:78">
      <c r="A66" s="14"/>
      <c r="B66" s="14"/>
      <c r="C66" s="15"/>
      <c r="D66" s="15"/>
      <c r="E66" s="16"/>
      <c r="F66" s="17"/>
      <c r="G66" s="15"/>
      <c r="H66" s="16"/>
      <c r="I66" s="23" t="s">
        <v>1236</v>
      </c>
      <c r="J66" s="16" t="s">
        <v>1237</v>
      </c>
      <c r="K66" s="15"/>
      <c r="L66" s="15"/>
      <c r="M66" s="15"/>
      <c r="N66" s="15"/>
      <c r="O66" s="15"/>
      <c r="P66" s="15"/>
      <c r="Q66" s="15"/>
      <c r="R66" s="15" t="s">
        <v>36</v>
      </c>
      <c r="S66" s="15"/>
      <c r="T66" s="15" t="s">
        <v>492</v>
      </c>
      <c r="U66" s="15"/>
      <c r="V66" s="16" t="s">
        <v>899</v>
      </c>
      <c r="W66" s="35" t="s">
        <v>1455</v>
      </c>
      <c r="X66" s="15" t="s">
        <v>474</v>
      </c>
      <c r="Y66" s="15" t="s">
        <v>473</v>
      </c>
      <c r="Z66" s="30"/>
      <c r="AA66" s="15" t="s">
        <v>474</v>
      </c>
      <c r="AB66" s="15" t="s">
        <v>473</v>
      </c>
      <c r="AC66" s="30"/>
      <c r="AD66" s="15"/>
      <c r="AE66" s="30"/>
      <c r="AF66" s="15"/>
      <c r="AG66" s="30"/>
      <c r="AH66" s="15" t="s">
        <v>476</v>
      </c>
      <c r="AI66" s="15" t="s">
        <v>476</v>
      </c>
      <c r="AJ66" s="15" t="s">
        <v>908</v>
      </c>
      <c r="AK66" s="15"/>
      <c r="AL66" s="1" t="s">
        <v>1064</v>
      </c>
      <c r="AM66" s="23" t="s">
        <v>1091</v>
      </c>
      <c r="AO66" s="7" t="s">
        <v>1045</v>
      </c>
      <c r="AP66" s="1" t="b">
        <f>A66='[1]35千伏-750千伏电网基建'!A63</f>
        <v>1</v>
      </c>
      <c r="AQ66" s="1" t="b">
        <f>B66='[1]35千伏-750千伏电网基建'!B63</f>
        <v>1</v>
      </c>
      <c r="AR66" s="1" t="b">
        <f>C66='[1]35千伏-750千伏电网基建'!C63</f>
        <v>1</v>
      </c>
      <c r="AS66" s="1" t="b">
        <f>D66='[1]35千伏-750千伏电网基建'!D63</f>
        <v>1</v>
      </c>
      <c r="AT66" s="1" t="b">
        <f>E66='[1]35千伏-750千伏电网基建'!E63</f>
        <v>1</v>
      </c>
      <c r="AU66" s="1" t="b">
        <f>F66='[1]35千伏-750千伏电网基建'!F63</f>
        <v>1</v>
      </c>
      <c r="AV66" s="1" t="b">
        <f>G66='[1]35千伏-750千伏电网基建'!G63</f>
        <v>1</v>
      </c>
      <c r="AW66" s="1" t="b">
        <f>H66='[1]35千伏-750千伏电网基建'!H63</f>
        <v>1</v>
      </c>
      <c r="AX66" s="1" t="b">
        <f>I66='[1]35千伏-750千伏电网基建'!I63</f>
        <v>1</v>
      </c>
      <c r="AY66" s="1" t="b">
        <f>J66='[1]35千伏-750千伏电网基建'!J63</f>
        <v>1</v>
      </c>
      <c r="AZ66" s="1" t="b">
        <f>K66='[1]35千伏-750千伏电网基建'!K63</f>
        <v>1</v>
      </c>
      <c r="BA66" s="1" t="b">
        <f>L66='[1]35千伏-750千伏电网基建'!L63</f>
        <v>1</v>
      </c>
      <c r="BB66" s="1" t="b">
        <f>M66='[1]35千伏-750千伏电网基建'!M63</f>
        <v>1</v>
      </c>
      <c r="BC66" s="1" t="b">
        <f>N66='[1]35千伏-750千伏电网基建'!N63</f>
        <v>1</v>
      </c>
      <c r="BD66" s="1" t="b">
        <f>O66='[1]35千伏-750千伏电网基建'!O63</f>
        <v>1</v>
      </c>
      <c r="BE66" s="1" t="b">
        <f>P66='[1]35千伏-750千伏电网基建'!P63</f>
        <v>1</v>
      </c>
      <c r="BF66" s="1" t="b">
        <f>Q66='[1]35千伏-750千伏电网基建'!Q63</f>
        <v>1</v>
      </c>
      <c r="BG66" s="1" t="b">
        <f>R66='[1]35千伏-750千伏电网基建'!R63</f>
        <v>1</v>
      </c>
      <c r="BH66" s="1" t="b">
        <f>S66='[1]35千伏-750千伏电网基建'!S63</f>
        <v>1</v>
      </c>
      <c r="BI66" s="1" t="b">
        <f>T66='[1]35千伏-750千伏电网基建'!T63</f>
        <v>1</v>
      </c>
      <c r="BJ66" s="1" t="b">
        <f>U66='[1]35千伏-750千伏电网基建'!U63</f>
        <v>1</v>
      </c>
      <c r="BK66" s="1" t="b">
        <f>V66='[1]35千伏-750千伏电网基建'!V63</f>
        <v>1</v>
      </c>
      <c r="BL66" s="8" t="b">
        <f>W66='[1]35千伏-750千伏电网基建'!W63</f>
        <v>0</v>
      </c>
      <c r="BM66" s="1" t="b">
        <f>X66='[1]35千伏-750千伏电网基建'!X63</f>
        <v>1</v>
      </c>
      <c r="BN66" s="1" t="b">
        <f>Y66='[1]35千伏-750千伏电网基建'!Y63</f>
        <v>1</v>
      </c>
      <c r="BO66" s="1" t="b">
        <f>Z66='[1]35千伏-750千伏电网基建'!Z63</f>
        <v>1</v>
      </c>
      <c r="BP66" s="1" t="b">
        <f>AA66='[1]35千伏-750千伏电网基建'!AA63</f>
        <v>1</v>
      </c>
      <c r="BQ66" s="1" t="b">
        <f>AB66='[1]35千伏-750千伏电网基建'!AB63</f>
        <v>1</v>
      </c>
      <c r="BR66" s="1" t="b">
        <f>AC66='[1]35千伏-750千伏电网基建'!AC63</f>
        <v>1</v>
      </c>
      <c r="BS66" s="1" t="b">
        <f>AD66='[1]35千伏-750千伏电网基建'!AD63</f>
        <v>1</v>
      </c>
      <c r="BT66" s="1" t="b">
        <f>AE66='[1]35千伏-750千伏电网基建'!AE63</f>
        <v>1</v>
      </c>
      <c r="BU66" s="1" t="b">
        <f>AF66='[1]35千伏-750千伏电网基建'!AF63</f>
        <v>1</v>
      </c>
      <c r="BV66" s="1" t="b">
        <f>AG66='[1]35千伏-750千伏电网基建'!AG63</f>
        <v>1</v>
      </c>
      <c r="BW66" s="1" t="b">
        <f>AH66='[1]35千伏-750千伏电网基建'!AH63</f>
        <v>1</v>
      </c>
      <c r="BX66" s="1" t="b">
        <f>AI66='[1]35千伏-750千伏电网基建'!AI63</f>
        <v>1</v>
      </c>
      <c r="BY66" s="1" t="b">
        <f>AJ66='[1]35千伏-750千伏电网基建'!AJ63</f>
        <v>1</v>
      </c>
      <c r="BZ66" s="1" t="b">
        <f>AK66='[1]35千伏-750千伏电网基建'!AK63</f>
        <v>1</v>
      </c>
    </row>
    <row r="67" s="1" customFormat="1" ht="87" customHeight="1" spans="1:78">
      <c r="A67" s="14"/>
      <c r="B67" s="14"/>
      <c r="C67" s="15" t="s">
        <v>485</v>
      </c>
      <c r="D67" s="15" t="s">
        <v>909</v>
      </c>
      <c r="E67" s="16" t="s">
        <v>910</v>
      </c>
      <c r="F67" s="24"/>
      <c r="G67" s="15" t="s">
        <v>1238</v>
      </c>
      <c r="H67" s="16" t="s">
        <v>912</v>
      </c>
      <c r="I67" s="23" t="s">
        <v>1239</v>
      </c>
      <c r="J67" s="16" t="s">
        <v>1240</v>
      </c>
      <c r="K67" s="15"/>
      <c r="L67" s="15"/>
      <c r="M67" s="15"/>
      <c r="N67" s="15"/>
      <c r="O67" s="15"/>
      <c r="P67" s="15"/>
      <c r="Q67" s="15"/>
      <c r="R67" s="15" t="s">
        <v>36</v>
      </c>
      <c r="S67" s="15"/>
      <c r="T67" s="15" t="s">
        <v>492</v>
      </c>
      <c r="U67" s="15"/>
      <c r="V67" s="16" t="s">
        <v>1241</v>
      </c>
      <c r="W67" s="82" t="s">
        <v>1456</v>
      </c>
      <c r="X67" s="15" t="s">
        <v>474</v>
      </c>
      <c r="Y67" s="15" t="s">
        <v>473</v>
      </c>
      <c r="Z67" s="15"/>
      <c r="AA67" s="15" t="s">
        <v>474</v>
      </c>
      <c r="AB67" s="15" t="s">
        <v>473</v>
      </c>
      <c r="AC67" s="15"/>
      <c r="AD67" s="15"/>
      <c r="AE67" s="15"/>
      <c r="AF67" s="15"/>
      <c r="AG67" s="30"/>
      <c r="AH67" s="15" t="s">
        <v>476</v>
      </c>
      <c r="AI67" s="15" t="s">
        <v>476</v>
      </c>
      <c r="AJ67" s="15" t="s">
        <v>917</v>
      </c>
      <c r="AK67" s="15" t="s">
        <v>673</v>
      </c>
      <c r="AL67" s="84" t="s">
        <v>1204</v>
      </c>
      <c r="AM67" s="23" t="s">
        <v>1091</v>
      </c>
      <c r="AO67" s="7" t="s">
        <v>1045</v>
      </c>
      <c r="AP67" s="1" t="b">
        <f>A67='[1]35千伏-750千伏电网基建'!A64</f>
        <v>1</v>
      </c>
      <c r="AQ67" s="1" t="b">
        <f>B67='[1]35千伏-750千伏电网基建'!B64</f>
        <v>1</v>
      </c>
      <c r="AR67" s="1" t="b">
        <f>C67='[1]35千伏-750千伏电网基建'!C64</f>
        <v>1</v>
      </c>
      <c r="AS67" s="1" t="b">
        <f>D67='[1]35千伏-750千伏电网基建'!D64</f>
        <v>1</v>
      </c>
      <c r="AT67" s="1" t="b">
        <f>E67='[1]35千伏-750千伏电网基建'!E64</f>
        <v>1</v>
      </c>
      <c r="AU67" s="1" t="b">
        <f>F67='[1]35千伏-750千伏电网基建'!F64</f>
        <v>1</v>
      </c>
      <c r="AV67" s="1" t="b">
        <f>G67='[1]35千伏-750千伏电网基建'!G64</f>
        <v>1</v>
      </c>
      <c r="AW67" s="1" t="b">
        <f>H67='[1]35千伏-750千伏电网基建'!H64</f>
        <v>1</v>
      </c>
      <c r="AX67" s="1" t="b">
        <f>I67='[1]35千伏-750千伏电网基建'!I64</f>
        <v>1</v>
      </c>
      <c r="AY67" s="1" t="b">
        <f>J67='[1]35千伏-750千伏电网基建'!J64</f>
        <v>1</v>
      </c>
      <c r="AZ67" s="1" t="b">
        <f>K67='[1]35千伏-750千伏电网基建'!K64</f>
        <v>1</v>
      </c>
      <c r="BA67" s="1" t="b">
        <f>L67='[1]35千伏-750千伏电网基建'!L64</f>
        <v>1</v>
      </c>
      <c r="BB67" s="1" t="b">
        <f>M67='[1]35千伏-750千伏电网基建'!M64</f>
        <v>1</v>
      </c>
      <c r="BC67" s="1" t="b">
        <f>N67='[1]35千伏-750千伏电网基建'!N64</f>
        <v>1</v>
      </c>
      <c r="BD67" s="1" t="b">
        <f>O67='[1]35千伏-750千伏电网基建'!O64</f>
        <v>1</v>
      </c>
      <c r="BE67" s="1" t="b">
        <f>P67='[1]35千伏-750千伏电网基建'!P64</f>
        <v>1</v>
      </c>
      <c r="BF67" s="1" t="b">
        <f>Q67='[1]35千伏-750千伏电网基建'!Q64</f>
        <v>1</v>
      </c>
      <c r="BG67" s="1" t="b">
        <f>R67='[1]35千伏-750千伏电网基建'!R64</f>
        <v>1</v>
      </c>
      <c r="BH67" s="1" t="b">
        <f>S67='[1]35千伏-750千伏电网基建'!S64</f>
        <v>1</v>
      </c>
      <c r="BI67" s="1" t="b">
        <f>T67='[1]35千伏-750千伏电网基建'!T64</f>
        <v>1</v>
      </c>
      <c r="BJ67" s="1" t="b">
        <f>U67='[1]35千伏-750千伏电网基建'!U64</f>
        <v>1</v>
      </c>
      <c r="BK67" s="1" t="b">
        <f>V67='[1]35千伏-750千伏电网基建'!V64</f>
        <v>1</v>
      </c>
      <c r="BL67" s="8" t="b">
        <f>W67='[1]35千伏-750千伏电网基建'!W64</f>
        <v>0</v>
      </c>
      <c r="BM67" s="1" t="b">
        <f>X67='[1]35千伏-750千伏电网基建'!X64</f>
        <v>1</v>
      </c>
      <c r="BN67" s="1" t="b">
        <f>Y67='[1]35千伏-750千伏电网基建'!Y64</f>
        <v>1</v>
      </c>
      <c r="BO67" s="1" t="b">
        <f>Z67='[1]35千伏-750千伏电网基建'!Z64</f>
        <v>1</v>
      </c>
      <c r="BP67" s="1" t="b">
        <f>AA67='[1]35千伏-750千伏电网基建'!AA64</f>
        <v>1</v>
      </c>
      <c r="BQ67" s="1" t="b">
        <f>AB67='[1]35千伏-750千伏电网基建'!AB64</f>
        <v>1</v>
      </c>
      <c r="BR67" s="1" t="b">
        <f>AC67='[1]35千伏-750千伏电网基建'!AC64</f>
        <v>1</v>
      </c>
      <c r="BS67" s="1" t="b">
        <f>AD67='[1]35千伏-750千伏电网基建'!AD64</f>
        <v>1</v>
      </c>
      <c r="BT67" s="1" t="b">
        <f>AE67='[1]35千伏-750千伏电网基建'!AE64</f>
        <v>1</v>
      </c>
      <c r="BU67" s="1" t="b">
        <f>AF67='[1]35千伏-750千伏电网基建'!AF64</f>
        <v>1</v>
      </c>
      <c r="BV67" s="1" t="b">
        <f>AG67='[1]35千伏-750千伏电网基建'!AG64</f>
        <v>1</v>
      </c>
      <c r="BW67" s="1" t="b">
        <f>AH67='[1]35千伏-750千伏电网基建'!AH64</f>
        <v>1</v>
      </c>
      <c r="BX67" s="1" t="b">
        <f>AI67='[1]35千伏-750千伏电网基建'!AI64</f>
        <v>1</v>
      </c>
      <c r="BY67" s="1" t="b">
        <f>AJ67='[1]35千伏-750千伏电网基建'!AJ64</f>
        <v>1</v>
      </c>
      <c r="BZ67" s="1" t="b">
        <f>AK67='[1]35千伏-750千伏电网基建'!AK64</f>
        <v>1</v>
      </c>
    </row>
    <row r="68" s="1" customFormat="1" ht="92" customHeight="1" spans="1:78">
      <c r="A68" s="14"/>
      <c r="B68" s="14"/>
      <c r="C68" s="15"/>
      <c r="D68" s="15"/>
      <c r="E68" s="16"/>
      <c r="F68" s="24"/>
      <c r="G68" s="15"/>
      <c r="H68" s="16"/>
      <c r="I68" s="23" t="s">
        <v>1243</v>
      </c>
      <c r="J68" s="16" t="s">
        <v>1457</v>
      </c>
      <c r="K68" s="15"/>
      <c r="L68" s="15"/>
      <c r="M68" s="15"/>
      <c r="N68" s="15"/>
      <c r="O68" s="15"/>
      <c r="P68" s="15"/>
      <c r="Q68" s="15" t="s">
        <v>36</v>
      </c>
      <c r="R68" s="15" t="s">
        <v>36</v>
      </c>
      <c r="S68" s="15"/>
      <c r="T68" s="15" t="s">
        <v>492</v>
      </c>
      <c r="U68" s="15"/>
      <c r="V68" s="16" t="s">
        <v>920</v>
      </c>
      <c r="W68" s="82" t="s">
        <v>1458</v>
      </c>
      <c r="X68" s="15"/>
      <c r="Y68" s="15"/>
      <c r="Z68" s="15"/>
      <c r="AA68" s="15"/>
      <c r="AB68" s="15"/>
      <c r="AC68" s="15"/>
      <c r="AD68" s="15"/>
      <c r="AE68" s="15"/>
      <c r="AF68" s="15"/>
      <c r="AG68" s="30"/>
      <c r="AH68" s="15"/>
      <c r="AI68" s="15"/>
      <c r="AJ68" s="15"/>
      <c r="AK68" s="15"/>
      <c r="AL68" s="84" t="s">
        <v>1204</v>
      </c>
      <c r="AM68" s="23" t="s">
        <v>1246</v>
      </c>
      <c r="AO68" s="7" t="s">
        <v>1059</v>
      </c>
      <c r="AP68" s="1" t="b">
        <f>A68='[1]35千伏-750千伏电网基建'!A65</f>
        <v>1</v>
      </c>
      <c r="AQ68" s="1" t="b">
        <f>B68='[1]35千伏-750千伏电网基建'!B65</f>
        <v>1</v>
      </c>
      <c r="AR68" s="1" t="b">
        <f>C68='[1]35千伏-750千伏电网基建'!C65</f>
        <v>1</v>
      </c>
      <c r="AS68" s="1" t="b">
        <f>D68='[1]35千伏-750千伏电网基建'!D65</f>
        <v>1</v>
      </c>
      <c r="AT68" s="1" t="b">
        <f>E68='[1]35千伏-750千伏电网基建'!E65</f>
        <v>1</v>
      </c>
      <c r="AU68" s="1" t="b">
        <f>F68='[1]35千伏-750千伏电网基建'!F65</f>
        <v>1</v>
      </c>
      <c r="AV68" s="1" t="b">
        <f>G68='[1]35千伏-750千伏电网基建'!G65</f>
        <v>1</v>
      </c>
      <c r="AW68" s="1" t="b">
        <f>H68='[1]35千伏-750千伏电网基建'!H65</f>
        <v>1</v>
      </c>
      <c r="AX68" s="1" t="b">
        <f>I68='[1]35千伏-750千伏电网基建'!I65</f>
        <v>1</v>
      </c>
      <c r="AY68" s="1" t="b">
        <f>J68='[1]35千伏-750千伏电网基建'!J65</f>
        <v>0</v>
      </c>
      <c r="AZ68" s="1" t="b">
        <f>K68='[1]35千伏-750千伏电网基建'!K65</f>
        <v>1</v>
      </c>
      <c r="BA68" s="1" t="b">
        <f>L68='[1]35千伏-750千伏电网基建'!L65</f>
        <v>1</v>
      </c>
      <c r="BB68" s="1" t="b">
        <f>M68='[1]35千伏-750千伏电网基建'!M65</f>
        <v>1</v>
      </c>
      <c r="BC68" s="1" t="b">
        <f>N68='[1]35千伏-750千伏电网基建'!N65</f>
        <v>1</v>
      </c>
      <c r="BD68" s="1" t="b">
        <f>O68='[1]35千伏-750千伏电网基建'!O65</f>
        <v>1</v>
      </c>
      <c r="BE68" s="1" t="b">
        <f>P68='[1]35千伏-750千伏电网基建'!P65</f>
        <v>1</v>
      </c>
      <c r="BF68" s="1" t="b">
        <f>Q68='[1]35千伏-750千伏电网基建'!Q65</f>
        <v>1</v>
      </c>
      <c r="BG68" s="1" t="b">
        <f>R68='[1]35千伏-750千伏电网基建'!R65</f>
        <v>1</v>
      </c>
      <c r="BH68" s="1" t="b">
        <f>S68='[1]35千伏-750千伏电网基建'!S65</f>
        <v>1</v>
      </c>
      <c r="BI68" s="1" t="b">
        <f>T68='[1]35千伏-750千伏电网基建'!T65</f>
        <v>1</v>
      </c>
      <c r="BJ68" s="1" t="b">
        <f>U68='[1]35千伏-750千伏电网基建'!U65</f>
        <v>1</v>
      </c>
      <c r="BK68" s="1" t="b">
        <f>V68='[1]35千伏-750千伏电网基建'!V65</f>
        <v>1</v>
      </c>
      <c r="BL68" s="8" t="b">
        <f>W68='[1]35千伏-750千伏电网基建'!W65</f>
        <v>0</v>
      </c>
      <c r="BM68" s="1" t="b">
        <f>X68='[1]35千伏-750千伏电网基建'!X65</f>
        <v>1</v>
      </c>
      <c r="BN68" s="1" t="b">
        <f>Y68='[1]35千伏-750千伏电网基建'!Y65</f>
        <v>1</v>
      </c>
      <c r="BO68" s="1" t="b">
        <f>Z68='[1]35千伏-750千伏电网基建'!Z65</f>
        <v>1</v>
      </c>
      <c r="BP68" s="1" t="b">
        <f>AA68='[1]35千伏-750千伏电网基建'!AA65</f>
        <v>1</v>
      </c>
      <c r="BQ68" s="1" t="b">
        <f>AB68='[1]35千伏-750千伏电网基建'!AB65</f>
        <v>1</v>
      </c>
      <c r="BR68" s="1" t="b">
        <f>AC68='[1]35千伏-750千伏电网基建'!AC65</f>
        <v>1</v>
      </c>
      <c r="BS68" s="1" t="b">
        <f>AD68='[1]35千伏-750千伏电网基建'!AD65</f>
        <v>1</v>
      </c>
      <c r="BT68" s="1" t="b">
        <f>AE68='[1]35千伏-750千伏电网基建'!AE65</f>
        <v>1</v>
      </c>
      <c r="BU68" s="1" t="b">
        <f>AF68='[1]35千伏-750千伏电网基建'!AF65</f>
        <v>1</v>
      </c>
      <c r="BV68" s="1" t="b">
        <f>AG68='[1]35千伏-750千伏电网基建'!AG65</f>
        <v>1</v>
      </c>
      <c r="BW68" s="1" t="b">
        <f>AH68='[1]35千伏-750千伏电网基建'!AH65</f>
        <v>1</v>
      </c>
      <c r="BX68" s="1" t="b">
        <f>AI68='[1]35千伏-750千伏电网基建'!AI65</f>
        <v>1</v>
      </c>
      <c r="BY68" s="1" t="b">
        <f>AJ68='[1]35千伏-750千伏电网基建'!AJ65</f>
        <v>1</v>
      </c>
      <c r="BZ68" s="1" t="b">
        <f>AK68='[1]35千伏-750千伏电网基建'!AK65</f>
        <v>1</v>
      </c>
    </row>
    <row r="69" s="1" customFormat="1" ht="79" customHeight="1" spans="1:78">
      <c r="A69" s="14"/>
      <c r="B69" s="14" t="s">
        <v>922</v>
      </c>
      <c r="C69" s="15" t="s">
        <v>485</v>
      </c>
      <c r="D69" s="15" t="s">
        <v>923</v>
      </c>
      <c r="E69" s="16" t="s">
        <v>924</v>
      </c>
      <c r="F69" s="24"/>
      <c r="G69" s="15" t="s">
        <v>1247</v>
      </c>
      <c r="H69" s="16" t="s">
        <v>926</v>
      </c>
      <c r="I69" s="23" t="s">
        <v>1248</v>
      </c>
      <c r="J69" s="16" t="s">
        <v>1249</v>
      </c>
      <c r="K69" s="15"/>
      <c r="L69" s="15" t="s">
        <v>36</v>
      </c>
      <c r="M69" s="15"/>
      <c r="N69" s="15"/>
      <c r="O69" s="15"/>
      <c r="P69" s="15"/>
      <c r="Q69" s="15"/>
      <c r="R69" s="15"/>
      <c r="S69" s="15"/>
      <c r="T69" s="15" t="s">
        <v>492</v>
      </c>
      <c r="U69" s="15"/>
      <c r="V69" s="16" t="s">
        <v>929</v>
      </c>
      <c r="W69" s="35" t="s">
        <v>1459</v>
      </c>
      <c r="X69" s="15" t="s">
        <v>474</v>
      </c>
      <c r="Y69" s="15" t="s">
        <v>473</v>
      </c>
      <c r="Z69" s="30"/>
      <c r="AA69" s="15" t="s">
        <v>474</v>
      </c>
      <c r="AB69" s="15" t="s">
        <v>473</v>
      </c>
      <c r="AC69" s="30"/>
      <c r="AD69" s="15"/>
      <c r="AE69" s="15"/>
      <c r="AF69" s="15"/>
      <c r="AG69" s="30"/>
      <c r="AH69" s="15" t="s">
        <v>476</v>
      </c>
      <c r="AI69" s="15" t="s">
        <v>476</v>
      </c>
      <c r="AJ69" s="15" t="s">
        <v>931</v>
      </c>
      <c r="AK69" s="15" t="s">
        <v>673</v>
      </c>
      <c r="AL69" s="1" t="s">
        <v>1064</v>
      </c>
      <c r="AM69" s="23" t="s">
        <v>1091</v>
      </c>
      <c r="AO69" s="7" t="s">
        <v>1250</v>
      </c>
      <c r="AP69" s="1" t="b">
        <f>A69='[1]35千伏-750千伏电网基建'!A66</f>
        <v>1</v>
      </c>
      <c r="AQ69" s="1" t="b">
        <f>B69='[1]35千伏-750千伏电网基建'!B66</f>
        <v>1</v>
      </c>
      <c r="AR69" s="1" t="b">
        <f>C69='[1]35千伏-750千伏电网基建'!C66</f>
        <v>1</v>
      </c>
      <c r="AS69" s="1" t="b">
        <f>D69='[1]35千伏-750千伏电网基建'!D66</f>
        <v>1</v>
      </c>
      <c r="AT69" s="1" t="b">
        <f>E69='[1]35千伏-750千伏电网基建'!E66</f>
        <v>1</v>
      </c>
      <c r="AU69" s="1" t="b">
        <f>F69='[1]35千伏-750千伏电网基建'!F66</f>
        <v>1</v>
      </c>
      <c r="AV69" s="1" t="b">
        <f>G69='[1]35千伏-750千伏电网基建'!G66</f>
        <v>1</v>
      </c>
      <c r="AW69" s="1" t="b">
        <f>H69='[1]35千伏-750千伏电网基建'!H66</f>
        <v>0</v>
      </c>
      <c r="AX69" s="1" t="b">
        <f>I69='[1]35千伏-750千伏电网基建'!I66</f>
        <v>1</v>
      </c>
      <c r="AY69" s="1" t="b">
        <f>J69='[1]35千伏-750千伏电网基建'!J66</f>
        <v>1</v>
      </c>
      <c r="AZ69" s="1" t="b">
        <f>K69='[1]35千伏-750千伏电网基建'!K66</f>
        <v>1</v>
      </c>
      <c r="BA69" s="1" t="b">
        <f>L69='[1]35千伏-750千伏电网基建'!L66</f>
        <v>1</v>
      </c>
      <c r="BB69" s="1" t="b">
        <f>M69='[1]35千伏-750千伏电网基建'!M66</f>
        <v>1</v>
      </c>
      <c r="BC69" s="1" t="b">
        <f>N69='[1]35千伏-750千伏电网基建'!N66</f>
        <v>1</v>
      </c>
      <c r="BD69" s="1" t="b">
        <f>O69='[1]35千伏-750千伏电网基建'!O66</f>
        <v>1</v>
      </c>
      <c r="BE69" s="1" t="b">
        <f>P69='[1]35千伏-750千伏电网基建'!P66</f>
        <v>1</v>
      </c>
      <c r="BF69" s="1" t="b">
        <f>Q69='[1]35千伏-750千伏电网基建'!Q66</f>
        <v>1</v>
      </c>
      <c r="BG69" s="1" t="b">
        <f>R69='[1]35千伏-750千伏电网基建'!R66</f>
        <v>1</v>
      </c>
      <c r="BH69" s="1" t="b">
        <f>S69='[1]35千伏-750千伏电网基建'!S66</f>
        <v>1</v>
      </c>
      <c r="BI69" s="1" t="b">
        <f>T69='[1]35千伏-750千伏电网基建'!T66</f>
        <v>1</v>
      </c>
      <c r="BJ69" s="1" t="b">
        <f>U69='[1]35千伏-750千伏电网基建'!U66</f>
        <v>1</v>
      </c>
      <c r="BK69" s="1" t="b">
        <f>V69='[1]35千伏-750千伏电网基建'!V66</f>
        <v>1</v>
      </c>
      <c r="BL69" s="8" t="b">
        <f>W69='[1]35千伏-750千伏电网基建'!W66</f>
        <v>0</v>
      </c>
      <c r="BM69" s="1" t="b">
        <f>X69='[1]35千伏-750千伏电网基建'!X66</f>
        <v>1</v>
      </c>
      <c r="BN69" s="1" t="b">
        <f>Y69='[1]35千伏-750千伏电网基建'!Y66</f>
        <v>1</v>
      </c>
      <c r="BO69" s="1" t="b">
        <f>Z69='[1]35千伏-750千伏电网基建'!Z66</f>
        <v>1</v>
      </c>
      <c r="BP69" s="1" t="b">
        <f>AA69='[1]35千伏-750千伏电网基建'!AA66</f>
        <v>1</v>
      </c>
      <c r="BQ69" s="1" t="b">
        <f>AB69='[1]35千伏-750千伏电网基建'!AB66</f>
        <v>1</v>
      </c>
      <c r="BR69" s="1" t="b">
        <f>AC69='[1]35千伏-750千伏电网基建'!AC66</f>
        <v>1</v>
      </c>
      <c r="BS69" s="1" t="b">
        <f>AD69='[1]35千伏-750千伏电网基建'!AD66</f>
        <v>1</v>
      </c>
      <c r="BT69" s="1" t="b">
        <f>AE69='[1]35千伏-750千伏电网基建'!AE66</f>
        <v>1</v>
      </c>
      <c r="BU69" s="1" t="b">
        <f>AF69='[1]35千伏-750千伏电网基建'!AF66</f>
        <v>1</v>
      </c>
      <c r="BV69" s="1" t="b">
        <f>AG69='[1]35千伏-750千伏电网基建'!AG66</f>
        <v>1</v>
      </c>
      <c r="BW69" s="1" t="b">
        <f>AH69='[1]35千伏-750千伏电网基建'!AH66</f>
        <v>1</v>
      </c>
      <c r="BX69" s="1" t="b">
        <f>AI69='[1]35千伏-750千伏电网基建'!AI66</f>
        <v>1</v>
      </c>
      <c r="BY69" s="1" t="b">
        <f>AJ69='[1]35千伏-750千伏电网基建'!AJ66</f>
        <v>0</v>
      </c>
      <c r="BZ69" s="1" t="b">
        <f>AK69='[1]35千伏-750千伏电网基建'!AK66</f>
        <v>1</v>
      </c>
    </row>
    <row r="70" s="1" customFormat="1" ht="59" customHeight="1" spans="1:78">
      <c r="A70" s="14"/>
      <c r="B70" s="14"/>
      <c r="C70" s="15"/>
      <c r="D70" s="15"/>
      <c r="E70" s="16"/>
      <c r="F70" s="24"/>
      <c r="G70" s="15"/>
      <c r="H70" s="16"/>
      <c r="I70" s="23" t="s">
        <v>1251</v>
      </c>
      <c r="J70" s="16" t="s">
        <v>1252</v>
      </c>
      <c r="K70" s="15"/>
      <c r="L70" s="15"/>
      <c r="M70" s="15"/>
      <c r="N70" s="15"/>
      <c r="O70" s="15"/>
      <c r="P70" s="15"/>
      <c r="Q70" s="15"/>
      <c r="R70" s="15"/>
      <c r="S70" s="15"/>
      <c r="T70" s="15" t="s">
        <v>492</v>
      </c>
      <c r="U70" s="15"/>
      <c r="V70" s="16" t="s">
        <v>934</v>
      </c>
      <c r="W70" s="35" t="s">
        <v>1427</v>
      </c>
      <c r="X70" s="15" t="s">
        <v>474</v>
      </c>
      <c r="Y70" s="15" t="s">
        <v>473</v>
      </c>
      <c r="Z70" s="30"/>
      <c r="AA70" s="15" t="s">
        <v>474</v>
      </c>
      <c r="AB70" s="15" t="s">
        <v>473</v>
      </c>
      <c r="AC70" s="30"/>
      <c r="AD70" s="15"/>
      <c r="AE70" s="15"/>
      <c r="AF70" s="15"/>
      <c r="AG70" s="30"/>
      <c r="AH70" s="15" t="s">
        <v>476</v>
      </c>
      <c r="AI70" s="15" t="s">
        <v>476</v>
      </c>
      <c r="AJ70" s="15" t="s">
        <v>935</v>
      </c>
      <c r="AK70" s="15"/>
      <c r="AL70" s="1" t="s">
        <v>1064</v>
      </c>
      <c r="AM70" s="23" t="s">
        <v>1091</v>
      </c>
      <c r="AO70" s="7" t="s">
        <v>1045</v>
      </c>
      <c r="AP70" s="1" t="b">
        <f>A70='[1]35千伏-750千伏电网基建'!A67</f>
        <v>1</v>
      </c>
      <c r="AQ70" s="1" t="b">
        <f>B70='[1]35千伏-750千伏电网基建'!B67</f>
        <v>1</v>
      </c>
      <c r="AR70" s="1" t="b">
        <f>C70='[1]35千伏-750千伏电网基建'!C67</f>
        <v>1</v>
      </c>
      <c r="AS70" s="1" t="b">
        <f>D70='[1]35千伏-750千伏电网基建'!D67</f>
        <v>1</v>
      </c>
      <c r="AT70" s="1" t="b">
        <f>E70='[1]35千伏-750千伏电网基建'!E67</f>
        <v>1</v>
      </c>
      <c r="AU70" s="1" t="b">
        <f>F70='[1]35千伏-750千伏电网基建'!F67</f>
        <v>1</v>
      </c>
      <c r="AV70" s="1" t="b">
        <f>G70='[1]35千伏-750千伏电网基建'!G67</f>
        <v>1</v>
      </c>
      <c r="AW70" s="1" t="b">
        <f>H70='[1]35千伏-750千伏电网基建'!H67</f>
        <v>1</v>
      </c>
      <c r="AX70" s="1" t="b">
        <f>I70='[1]35千伏-750千伏电网基建'!I67</f>
        <v>1</v>
      </c>
      <c r="AY70" s="1" t="b">
        <f>J70='[1]35千伏-750千伏电网基建'!J67</f>
        <v>1</v>
      </c>
      <c r="AZ70" s="1" t="b">
        <f>K70='[1]35千伏-750千伏电网基建'!K67</f>
        <v>1</v>
      </c>
      <c r="BA70" s="1" t="b">
        <f>L70='[1]35千伏-750千伏电网基建'!L67</f>
        <v>1</v>
      </c>
      <c r="BB70" s="1" t="b">
        <f>M70='[1]35千伏-750千伏电网基建'!M67</f>
        <v>1</v>
      </c>
      <c r="BC70" s="1" t="b">
        <f>N70='[1]35千伏-750千伏电网基建'!N67</f>
        <v>1</v>
      </c>
      <c r="BD70" s="1" t="b">
        <f>O70='[1]35千伏-750千伏电网基建'!O67</f>
        <v>1</v>
      </c>
      <c r="BE70" s="1" t="b">
        <f>P70='[1]35千伏-750千伏电网基建'!P67</f>
        <v>1</v>
      </c>
      <c r="BF70" s="1" t="b">
        <f>Q70='[1]35千伏-750千伏电网基建'!Q67</f>
        <v>1</v>
      </c>
      <c r="BG70" s="1" t="b">
        <f>R70='[1]35千伏-750千伏电网基建'!R67</f>
        <v>1</v>
      </c>
      <c r="BH70" s="1" t="b">
        <f>S70='[1]35千伏-750千伏电网基建'!S67</f>
        <v>1</v>
      </c>
      <c r="BI70" s="1" t="b">
        <f>T70='[1]35千伏-750千伏电网基建'!T67</f>
        <v>1</v>
      </c>
      <c r="BJ70" s="1" t="b">
        <f>U70='[1]35千伏-750千伏电网基建'!U67</f>
        <v>1</v>
      </c>
      <c r="BK70" s="1" t="b">
        <f>V70='[1]35千伏-750千伏电网基建'!V67</f>
        <v>1</v>
      </c>
      <c r="BL70" s="8" t="b">
        <f>W70='[1]35千伏-750千伏电网基建'!W67</f>
        <v>0</v>
      </c>
      <c r="BM70" s="1" t="b">
        <f>X70='[1]35千伏-750千伏电网基建'!X67</f>
        <v>1</v>
      </c>
      <c r="BN70" s="1" t="b">
        <f>Y70='[1]35千伏-750千伏电网基建'!Y67</f>
        <v>1</v>
      </c>
      <c r="BO70" s="1" t="b">
        <f>Z70='[1]35千伏-750千伏电网基建'!Z67</f>
        <v>1</v>
      </c>
      <c r="BP70" s="1" t="b">
        <f>AA70='[1]35千伏-750千伏电网基建'!AA67</f>
        <v>1</v>
      </c>
      <c r="BQ70" s="1" t="b">
        <f>AB70='[1]35千伏-750千伏电网基建'!AB67</f>
        <v>1</v>
      </c>
      <c r="BR70" s="1" t="b">
        <f>AC70='[1]35千伏-750千伏电网基建'!AC67</f>
        <v>1</v>
      </c>
      <c r="BS70" s="1" t="b">
        <f>AD70='[1]35千伏-750千伏电网基建'!AD67</f>
        <v>1</v>
      </c>
      <c r="BT70" s="1" t="b">
        <f>AE70='[1]35千伏-750千伏电网基建'!AE67</f>
        <v>1</v>
      </c>
      <c r="BU70" s="1" t="b">
        <f>AF70='[1]35千伏-750千伏电网基建'!AF67</f>
        <v>1</v>
      </c>
      <c r="BV70" s="1" t="b">
        <f>AG70='[1]35千伏-750千伏电网基建'!AG67</f>
        <v>1</v>
      </c>
      <c r="BW70" s="1" t="b">
        <f>AH70='[1]35千伏-750千伏电网基建'!AH67</f>
        <v>1</v>
      </c>
      <c r="BX70" s="1" t="b">
        <f>AI70='[1]35千伏-750千伏电网基建'!AI67</f>
        <v>1</v>
      </c>
      <c r="BY70" s="1" t="b">
        <f>AJ70='[1]35千伏-750千伏电网基建'!AJ67</f>
        <v>1</v>
      </c>
      <c r="BZ70" s="1" t="b">
        <f>AK70='[1]35千伏-750千伏电网基建'!AK67</f>
        <v>1</v>
      </c>
    </row>
    <row r="71" s="1" customFormat="1" ht="61" customHeight="1" spans="1:78">
      <c r="A71" s="14"/>
      <c r="B71" s="14"/>
      <c r="C71" s="15"/>
      <c r="D71" s="15"/>
      <c r="E71" s="16"/>
      <c r="F71" s="24"/>
      <c r="G71" s="15"/>
      <c r="H71" s="16"/>
      <c r="I71" s="23" t="s">
        <v>1253</v>
      </c>
      <c r="J71" s="16" t="s">
        <v>1254</v>
      </c>
      <c r="K71" s="15"/>
      <c r="L71" s="15"/>
      <c r="M71" s="15"/>
      <c r="N71" s="15"/>
      <c r="O71" s="15"/>
      <c r="P71" s="15"/>
      <c r="Q71" s="15" t="s">
        <v>36</v>
      </c>
      <c r="R71" s="15"/>
      <c r="S71" s="15"/>
      <c r="T71" s="15" t="s">
        <v>492</v>
      </c>
      <c r="U71" s="15"/>
      <c r="V71" s="16" t="s">
        <v>938</v>
      </c>
      <c r="W71" s="35" t="s">
        <v>1460</v>
      </c>
      <c r="X71" s="15" t="s">
        <v>474</v>
      </c>
      <c r="Y71" s="15" t="s">
        <v>473</v>
      </c>
      <c r="Z71" s="30"/>
      <c r="AA71" s="15" t="s">
        <v>474</v>
      </c>
      <c r="AB71" s="15" t="s">
        <v>473</v>
      </c>
      <c r="AC71" s="30"/>
      <c r="AD71" s="15"/>
      <c r="AE71" s="15"/>
      <c r="AF71" s="15"/>
      <c r="AG71" s="30"/>
      <c r="AH71" s="15" t="s">
        <v>476</v>
      </c>
      <c r="AI71" s="15" t="s">
        <v>476</v>
      </c>
      <c r="AJ71" s="15" t="s">
        <v>935</v>
      </c>
      <c r="AK71" s="15"/>
      <c r="AL71" s="1" t="s">
        <v>1064</v>
      </c>
      <c r="AM71" s="23" t="s">
        <v>1102</v>
      </c>
      <c r="AO71" s="7" t="s">
        <v>1045</v>
      </c>
      <c r="AP71" s="1" t="b">
        <f>A71='[1]35千伏-750千伏电网基建'!A68</f>
        <v>1</v>
      </c>
      <c r="AQ71" s="1" t="b">
        <f>B71='[1]35千伏-750千伏电网基建'!B68</f>
        <v>1</v>
      </c>
      <c r="AR71" s="1" t="b">
        <f>C71='[1]35千伏-750千伏电网基建'!C68</f>
        <v>1</v>
      </c>
      <c r="AS71" s="1" t="b">
        <f>D71='[1]35千伏-750千伏电网基建'!D68</f>
        <v>1</v>
      </c>
      <c r="AT71" s="1" t="b">
        <f>E71='[1]35千伏-750千伏电网基建'!E68</f>
        <v>1</v>
      </c>
      <c r="AU71" s="1" t="b">
        <f>F71='[1]35千伏-750千伏电网基建'!F68</f>
        <v>1</v>
      </c>
      <c r="AV71" s="1" t="b">
        <f>G71='[1]35千伏-750千伏电网基建'!G68</f>
        <v>1</v>
      </c>
      <c r="AW71" s="1" t="b">
        <f>H71='[1]35千伏-750千伏电网基建'!H68</f>
        <v>1</v>
      </c>
      <c r="AX71" s="1" t="b">
        <f>I71='[1]35千伏-750千伏电网基建'!I68</f>
        <v>1</v>
      </c>
      <c r="AY71" s="1" t="b">
        <f>J71='[1]35千伏-750千伏电网基建'!J68</f>
        <v>1</v>
      </c>
      <c r="AZ71" s="1" t="b">
        <f>K71='[1]35千伏-750千伏电网基建'!K68</f>
        <v>1</v>
      </c>
      <c r="BA71" s="1" t="b">
        <f>L71='[1]35千伏-750千伏电网基建'!L68</f>
        <v>1</v>
      </c>
      <c r="BB71" s="1" t="b">
        <f>M71='[1]35千伏-750千伏电网基建'!M68</f>
        <v>1</v>
      </c>
      <c r="BC71" s="1" t="b">
        <f>N71='[1]35千伏-750千伏电网基建'!N68</f>
        <v>1</v>
      </c>
      <c r="BD71" s="1" t="b">
        <f>O71='[1]35千伏-750千伏电网基建'!O68</f>
        <v>1</v>
      </c>
      <c r="BE71" s="1" t="b">
        <f>P71='[1]35千伏-750千伏电网基建'!P68</f>
        <v>1</v>
      </c>
      <c r="BF71" s="1" t="b">
        <f>Q71='[1]35千伏-750千伏电网基建'!Q68</f>
        <v>1</v>
      </c>
      <c r="BG71" s="1" t="b">
        <f>R71='[1]35千伏-750千伏电网基建'!R68</f>
        <v>1</v>
      </c>
      <c r="BH71" s="1" t="b">
        <f>S71='[1]35千伏-750千伏电网基建'!S68</f>
        <v>1</v>
      </c>
      <c r="BI71" s="1" t="b">
        <f>T71='[1]35千伏-750千伏电网基建'!T68</f>
        <v>1</v>
      </c>
      <c r="BJ71" s="1" t="b">
        <f>U71='[1]35千伏-750千伏电网基建'!U68</f>
        <v>1</v>
      </c>
      <c r="BK71" s="1" t="b">
        <f>V71='[1]35千伏-750千伏电网基建'!V68</f>
        <v>1</v>
      </c>
      <c r="BL71" s="8" t="b">
        <f>W71='[1]35千伏-750千伏电网基建'!W68</f>
        <v>0</v>
      </c>
      <c r="BM71" s="1" t="b">
        <f>X71='[1]35千伏-750千伏电网基建'!X68</f>
        <v>1</v>
      </c>
      <c r="BN71" s="1" t="b">
        <f>Y71='[1]35千伏-750千伏电网基建'!Y68</f>
        <v>1</v>
      </c>
      <c r="BO71" s="1" t="b">
        <f>Z71='[1]35千伏-750千伏电网基建'!Z68</f>
        <v>1</v>
      </c>
      <c r="BP71" s="1" t="b">
        <f>AA71='[1]35千伏-750千伏电网基建'!AA68</f>
        <v>1</v>
      </c>
      <c r="BQ71" s="1" t="b">
        <f>AB71='[1]35千伏-750千伏电网基建'!AB68</f>
        <v>1</v>
      </c>
      <c r="BR71" s="1" t="b">
        <f>AC71='[1]35千伏-750千伏电网基建'!AC68</f>
        <v>1</v>
      </c>
      <c r="BS71" s="1" t="b">
        <f>AD71='[1]35千伏-750千伏电网基建'!AD68</f>
        <v>1</v>
      </c>
      <c r="BT71" s="1" t="b">
        <f>AE71='[1]35千伏-750千伏电网基建'!AE68</f>
        <v>1</v>
      </c>
      <c r="BU71" s="1" t="b">
        <f>AF71='[1]35千伏-750千伏电网基建'!AF68</f>
        <v>1</v>
      </c>
      <c r="BV71" s="1" t="b">
        <f>AG71='[1]35千伏-750千伏电网基建'!AG68</f>
        <v>1</v>
      </c>
      <c r="BW71" s="1" t="b">
        <f>AH71='[1]35千伏-750千伏电网基建'!AH68</f>
        <v>1</v>
      </c>
      <c r="BX71" s="1" t="b">
        <f>AI71='[1]35千伏-750千伏电网基建'!AI68</f>
        <v>1</v>
      </c>
      <c r="BY71" s="1" t="b">
        <f>AJ71='[1]35千伏-750千伏电网基建'!AJ68</f>
        <v>1</v>
      </c>
      <c r="BZ71" s="1" t="b">
        <f>AK71='[1]35千伏-750千伏电网基建'!AK68</f>
        <v>1</v>
      </c>
    </row>
    <row r="72" s="1" customFormat="1" ht="73" customHeight="1" spans="1:78">
      <c r="A72" s="14" t="s">
        <v>483</v>
      </c>
      <c r="B72" s="14" t="s">
        <v>922</v>
      </c>
      <c r="C72" s="15" t="s">
        <v>485</v>
      </c>
      <c r="D72" s="23" t="s">
        <v>939</v>
      </c>
      <c r="E72" s="16" t="s">
        <v>940</v>
      </c>
      <c r="F72" s="24"/>
      <c r="G72" s="15" t="s">
        <v>1255</v>
      </c>
      <c r="H72" s="16" t="s">
        <v>942</v>
      </c>
      <c r="I72" s="23" t="s">
        <v>1256</v>
      </c>
      <c r="J72" s="16" t="s">
        <v>1257</v>
      </c>
      <c r="K72" s="15"/>
      <c r="L72" s="15"/>
      <c r="M72" s="15" t="s">
        <v>36</v>
      </c>
      <c r="N72" s="15"/>
      <c r="O72" s="15"/>
      <c r="P72" s="15"/>
      <c r="Q72" s="15"/>
      <c r="R72" s="15"/>
      <c r="S72" s="15"/>
      <c r="T72" s="15" t="s">
        <v>492</v>
      </c>
      <c r="U72" s="15"/>
      <c r="V72" s="16" t="s">
        <v>945</v>
      </c>
      <c r="W72" s="35" t="s">
        <v>1461</v>
      </c>
      <c r="X72" s="15" t="s">
        <v>474</v>
      </c>
      <c r="Y72" s="15" t="s">
        <v>473</v>
      </c>
      <c r="Z72" s="30"/>
      <c r="AA72" s="15" t="s">
        <v>474</v>
      </c>
      <c r="AB72" s="15" t="s">
        <v>473</v>
      </c>
      <c r="AC72" s="30"/>
      <c r="AD72" s="15"/>
      <c r="AE72" s="30"/>
      <c r="AF72" s="30"/>
      <c r="AG72" s="30"/>
      <c r="AH72" s="15" t="s">
        <v>476</v>
      </c>
      <c r="AI72" s="15" t="s">
        <v>476</v>
      </c>
      <c r="AJ72" s="15" t="s">
        <v>935</v>
      </c>
      <c r="AK72" s="15" t="s">
        <v>599</v>
      </c>
      <c r="AL72" s="1" t="s">
        <v>1064</v>
      </c>
      <c r="AM72" s="23" t="s">
        <v>1075</v>
      </c>
      <c r="AO72" s="7" t="s">
        <v>1045</v>
      </c>
      <c r="AP72" s="1" t="b">
        <f>A72='[1]35千伏-750千伏电网基建'!A69</f>
        <v>1</v>
      </c>
      <c r="AQ72" s="1" t="b">
        <f>B72='[1]35千伏-750千伏电网基建'!B69</f>
        <v>1</v>
      </c>
      <c r="AR72" s="1" t="b">
        <f>C72='[1]35千伏-750千伏电网基建'!C69</f>
        <v>1</v>
      </c>
      <c r="AS72" s="1" t="b">
        <f>D72='[1]35千伏-750千伏电网基建'!D69</f>
        <v>1</v>
      </c>
      <c r="AT72" s="1" t="b">
        <f>E72='[1]35千伏-750千伏电网基建'!E69</f>
        <v>1</v>
      </c>
      <c r="AU72" s="1" t="b">
        <f>F72='[1]35千伏-750千伏电网基建'!F69</f>
        <v>1</v>
      </c>
      <c r="AV72" s="1" t="b">
        <f>G72='[1]35千伏-750千伏电网基建'!G69</f>
        <v>1</v>
      </c>
      <c r="AW72" s="1" t="b">
        <f>H72='[1]35千伏-750千伏电网基建'!H69</f>
        <v>1</v>
      </c>
      <c r="AX72" s="1" t="b">
        <f>I72='[1]35千伏-750千伏电网基建'!I69</f>
        <v>1</v>
      </c>
      <c r="AY72" s="1" t="b">
        <f>J72='[1]35千伏-750千伏电网基建'!J69</f>
        <v>1</v>
      </c>
      <c r="AZ72" s="1" t="b">
        <f>K72='[1]35千伏-750千伏电网基建'!K69</f>
        <v>1</v>
      </c>
      <c r="BA72" s="1" t="b">
        <f>L72='[1]35千伏-750千伏电网基建'!L69</f>
        <v>1</v>
      </c>
      <c r="BB72" s="1" t="b">
        <f>M72='[1]35千伏-750千伏电网基建'!M69</f>
        <v>1</v>
      </c>
      <c r="BC72" s="1" t="b">
        <f>N72='[1]35千伏-750千伏电网基建'!N69</f>
        <v>1</v>
      </c>
      <c r="BD72" s="1" t="b">
        <f>O72='[1]35千伏-750千伏电网基建'!O69</f>
        <v>1</v>
      </c>
      <c r="BE72" s="1" t="b">
        <f>P72='[1]35千伏-750千伏电网基建'!P69</f>
        <v>1</v>
      </c>
      <c r="BF72" s="1" t="b">
        <f>Q72='[1]35千伏-750千伏电网基建'!Q69</f>
        <v>1</v>
      </c>
      <c r="BG72" s="1" t="b">
        <f>R72='[1]35千伏-750千伏电网基建'!R69</f>
        <v>1</v>
      </c>
      <c r="BH72" s="1" t="b">
        <f>S72='[1]35千伏-750千伏电网基建'!S69</f>
        <v>1</v>
      </c>
      <c r="BI72" s="1" t="b">
        <f>T72='[1]35千伏-750千伏电网基建'!T69</f>
        <v>1</v>
      </c>
      <c r="BJ72" s="1" t="b">
        <f>U72='[1]35千伏-750千伏电网基建'!U69</f>
        <v>1</v>
      </c>
      <c r="BK72" s="1" t="b">
        <f>V72='[1]35千伏-750千伏电网基建'!V69</f>
        <v>1</v>
      </c>
      <c r="BL72" s="8" t="b">
        <f>W72='[1]35千伏-750千伏电网基建'!W69</f>
        <v>0</v>
      </c>
      <c r="BM72" s="1" t="b">
        <f>X72='[1]35千伏-750千伏电网基建'!X69</f>
        <v>1</v>
      </c>
      <c r="BN72" s="1" t="b">
        <f>Y72='[1]35千伏-750千伏电网基建'!Y69</f>
        <v>1</v>
      </c>
      <c r="BO72" s="1" t="b">
        <f>Z72='[1]35千伏-750千伏电网基建'!Z69</f>
        <v>1</v>
      </c>
      <c r="BP72" s="1" t="b">
        <f>AA72='[1]35千伏-750千伏电网基建'!AA69</f>
        <v>1</v>
      </c>
      <c r="BQ72" s="1" t="b">
        <f>AB72='[1]35千伏-750千伏电网基建'!AB69</f>
        <v>1</v>
      </c>
      <c r="BR72" s="1" t="b">
        <f>AC72='[1]35千伏-750千伏电网基建'!AC69</f>
        <v>1</v>
      </c>
      <c r="BS72" s="1" t="b">
        <f>AD72='[1]35千伏-750千伏电网基建'!AD69</f>
        <v>1</v>
      </c>
      <c r="BT72" s="1" t="b">
        <f>AE72='[1]35千伏-750千伏电网基建'!AE69</f>
        <v>1</v>
      </c>
      <c r="BU72" s="1" t="b">
        <f>AF72='[1]35千伏-750千伏电网基建'!AF69</f>
        <v>1</v>
      </c>
      <c r="BV72" s="1" t="b">
        <f>AG72='[1]35千伏-750千伏电网基建'!AG69</f>
        <v>1</v>
      </c>
      <c r="BW72" s="1" t="b">
        <f>AH72='[1]35千伏-750千伏电网基建'!AH69</f>
        <v>1</v>
      </c>
      <c r="BX72" s="1" t="b">
        <f>AI72='[1]35千伏-750千伏电网基建'!AI69</f>
        <v>1</v>
      </c>
      <c r="BY72" s="1" t="b">
        <f>AJ72='[1]35千伏-750千伏电网基建'!AJ69</f>
        <v>1</v>
      </c>
      <c r="BZ72" s="1" t="b">
        <f>AK72='[1]35千伏-750千伏电网基建'!AK69</f>
        <v>1</v>
      </c>
    </row>
    <row r="73" s="1" customFormat="1" ht="69" customHeight="1" spans="1:78">
      <c r="A73" s="14"/>
      <c r="B73" s="14"/>
      <c r="C73" s="15"/>
      <c r="D73" s="23"/>
      <c r="E73" s="16"/>
      <c r="F73" s="24"/>
      <c r="G73" s="15"/>
      <c r="H73" s="16"/>
      <c r="I73" s="23" t="s">
        <v>1258</v>
      </c>
      <c r="J73" s="16" t="s">
        <v>1259</v>
      </c>
      <c r="K73" s="15"/>
      <c r="L73" s="15"/>
      <c r="M73" s="15"/>
      <c r="N73" s="15"/>
      <c r="O73" s="15"/>
      <c r="P73" s="15"/>
      <c r="Q73" s="15"/>
      <c r="R73" s="15"/>
      <c r="S73" s="15" t="s">
        <v>36</v>
      </c>
      <c r="T73" s="15" t="s">
        <v>492</v>
      </c>
      <c r="U73" s="15"/>
      <c r="V73" s="16" t="s">
        <v>945</v>
      </c>
      <c r="W73" s="35" t="s">
        <v>1462</v>
      </c>
      <c r="X73" s="15" t="s">
        <v>474</v>
      </c>
      <c r="Y73" s="15" t="s">
        <v>473</v>
      </c>
      <c r="Z73" s="30"/>
      <c r="AA73" s="15" t="s">
        <v>474</v>
      </c>
      <c r="AB73" s="15" t="s">
        <v>473</v>
      </c>
      <c r="AC73" s="30"/>
      <c r="AD73" s="15"/>
      <c r="AE73" s="30"/>
      <c r="AF73" s="30"/>
      <c r="AG73" s="30"/>
      <c r="AH73" s="15" t="s">
        <v>476</v>
      </c>
      <c r="AI73" s="15" t="s">
        <v>476</v>
      </c>
      <c r="AJ73" s="15" t="s">
        <v>935</v>
      </c>
      <c r="AK73" s="15"/>
      <c r="AL73" s="1" t="s">
        <v>1064</v>
      </c>
      <c r="AM73" s="23" t="s">
        <v>1075</v>
      </c>
      <c r="AO73" s="7" t="s">
        <v>1045</v>
      </c>
      <c r="AP73" s="1" t="b">
        <f>A73='[1]35千伏-750千伏电网基建'!A70</f>
        <v>1</v>
      </c>
      <c r="AQ73" s="1" t="b">
        <f>B73='[1]35千伏-750千伏电网基建'!B70</f>
        <v>1</v>
      </c>
      <c r="AR73" s="1" t="b">
        <f>C73='[1]35千伏-750千伏电网基建'!C70</f>
        <v>1</v>
      </c>
      <c r="AS73" s="1" t="b">
        <f>D73='[1]35千伏-750千伏电网基建'!D70</f>
        <v>1</v>
      </c>
      <c r="AT73" s="1" t="b">
        <f>E73='[1]35千伏-750千伏电网基建'!E70</f>
        <v>1</v>
      </c>
      <c r="AU73" s="1" t="b">
        <f>F73='[1]35千伏-750千伏电网基建'!F70</f>
        <v>1</v>
      </c>
      <c r="AV73" s="1" t="b">
        <f>G73='[1]35千伏-750千伏电网基建'!G70</f>
        <v>1</v>
      </c>
      <c r="AW73" s="1" t="b">
        <f>H73='[1]35千伏-750千伏电网基建'!H70</f>
        <v>1</v>
      </c>
      <c r="AX73" s="1" t="b">
        <f>I73='[1]35千伏-750千伏电网基建'!I70</f>
        <v>1</v>
      </c>
      <c r="AY73" s="1" t="b">
        <f>J73='[1]35千伏-750千伏电网基建'!J70</f>
        <v>1</v>
      </c>
      <c r="AZ73" s="1" t="b">
        <f>K73='[1]35千伏-750千伏电网基建'!K70</f>
        <v>1</v>
      </c>
      <c r="BA73" s="1" t="b">
        <f>L73='[1]35千伏-750千伏电网基建'!L70</f>
        <v>1</v>
      </c>
      <c r="BB73" s="1" t="b">
        <f>M73='[1]35千伏-750千伏电网基建'!M70</f>
        <v>1</v>
      </c>
      <c r="BC73" s="1" t="b">
        <f>N73='[1]35千伏-750千伏电网基建'!N70</f>
        <v>1</v>
      </c>
      <c r="BD73" s="1" t="b">
        <f>O73='[1]35千伏-750千伏电网基建'!O70</f>
        <v>1</v>
      </c>
      <c r="BE73" s="1" t="b">
        <f>P73='[1]35千伏-750千伏电网基建'!P70</f>
        <v>1</v>
      </c>
      <c r="BF73" s="1" t="b">
        <f>Q73='[1]35千伏-750千伏电网基建'!Q70</f>
        <v>1</v>
      </c>
      <c r="BG73" s="1" t="b">
        <f>R73='[1]35千伏-750千伏电网基建'!R70</f>
        <v>1</v>
      </c>
      <c r="BH73" s="1" t="b">
        <f>S73='[1]35千伏-750千伏电网基建'!S70</f>
        <v>1</v>
      </c>
      <c r="BI73" s="1" t="b">
        <f>T73='[1]35千伏-750千伏电网基建'!T70</f>
        <v>1</v>
      </c>
      <c r="BJ73" s="1" t="b">
        <f>U73='[1]35千伏-750千伏电网基建'!U70</f>
        <v>1</v>
      </c>
      <c r="BK73" s="1" t="b">
        <f>V73='[1]35千伏-750千伏电网基建'!V70</f>
        <v>1</v>
      </c>
      <c r="BL73" s="8" t="b">
        <f>W73='[1]35千伏-750千伏电网基建'!W70</f>
        <v>0</v>
      </c>
      <c r="BM73" s="1" t="b">
        <f>X73='[1]35千伏-750千伏电网基建'!X70</f>
        <v>1</v>
      </c>
      <c r="BN73" s="1" t="b">
        <f>Y73='[1]35千伏-750千伏电网基建'!Y70</f>
        <v>1</v>
      </c>
      <c r="BO73" s="1" t="b">
        <f>Z73='[1]35千伏-750千伏电网基建'!Z70</f>
        <v>1</v>
      </c>
      <c r="BP73" s="1" t="b">
        <f>AA73='[1]35千伏-750千伏电网基建'!AA70</f>
        <v>1</v>
      </c>
      <c r="BQ73" s="1" t="b">
        <f>AB73='[1]35千伏-750千伏电网基建'!AB70</f>
        <v>1</v>
      </c>
      <c r="BR73" s="1" t="b">
        <f>AC73='[1]35千伏-750千伏电网基建'!AC70</f>
        <v>1</v>
      </c>
      <c r="BS73" s="1" t="b">
        <f>AD73='[1]35千伏-750千伏电网基建'!AD70</f>
        <v>1</v>
      </c>
      <c r="BT73" s="1" t="b">
        <f>AE73='[1]35千伏-750千伏电网基建'!AE70</f>
        <v>1</v>
      </c>
      <c r="BU73" s="1" t="b">
        <f>AF73='[1]35千伏-750千伏电网基建'!AF70</f>
        <v>1</v>
      </c>
      <c r="BV73" s="1" t="b">
        <f>AG73='[1]35千伏-750千伏电网基建'!AG70</f>
        <v>1</v>
      </c>
      <c r="BW73" s="1" t="b">
        <f>AH73='[1]35千伏-750千伏电网基建'!AH70</f>
        <v>1</v>
      </c>
      <c r="BX73" s="1" t="b">
        <f>AI73='[1]35千伏-750千伏电网基建'!AI70</f>
        <v>1</v>
      </c>
      <c r="BY73" s="1" t="b">
        <f>AJ73='[1]35千伏-750千伏电网基建'!AJ70</f>
        <v>1</v>
      </c>
      <c r="BZ73" s="1" t="b">
        <f>AK73='[1]35千伏-750千伏电网基建'!AK70</f>
        <v>1</v>
      </c>
    </row>
    <row r="74" s="1" customFormat="1" ht="69" customHeight="1" spans="1:78">
      <c r="A74" s="14"/>
      <c r="B74" s="14"/>
      <c r="C74" s="15"/>
      <c r="D74" s="23"/>
      <c r="E74" s="16" t="s">
        <v>950</v>
      </c>
      <c r="F74" s="17" t="s">
        <v>951</v>
      </c>
      <c r="G74" s="15" t="s">
        <v>1260</v>
      </c>
      <c r="H74" s="16" t="s">
        <v>953</v>
      </c>
      <c r="I74" s="23" t="s">
        <v>1261</v>
      </c>
      <c r="J74" s="16" t="s">
        <v>1262</v>
      </c>
      <c r="K74" s="15"/>
      <c r="L74" s="15"/>
      <c r="M74" s="15" t="s">
        <v>36</v>
      </c>
      <c r="N74" s="15"/>
      <c r="O74" s="15" t="s">
        <v>36</v>
      </c>
      <c r="P74" s="15"/>
      <c r="Q74" s="15"/>
      <c r="R74" s="15" t="s">
        <v>36</v>
      </c>
      <c r="S74" s="15"/>
      <c r="T74" s="15" t="s">
        <v>492</v>
      </c>
      <c r="U74" s="15"/>
      <c r="V74" s="16" t="s">
        <v>945</v>
      </c>
      <c r="W74" s="35" t="s">
        <v>1417</v>
      </c>
      <c r="X74" s="15" t="s">
        <v>474</v>
      </c>
      <c r="Y74" s="15" t="s">
        <v>473</v>
      </c>
      <c r="Z74" s="30"/>
      <c r="AA74" s="15" t="s">
        <v>474</v>
      </c>
      <c r="AB74" s="15" t="s">
        <v>473</v>
      </c>
      <c r="AC74" s="30"/>
      <c r="AD74" s="15"/>
      <c r="AE74" s="30"/>
      <c r="AF74" s="30"/>
      <c r="AG74" s="30"/>
      <c r="AH74" s="15" t="s">
        <v>476</v>
      </c>
      <c r="AI74" s="15" t="s">
        <v>476</v>
      </c>
      <c r="AJ74" s="15" t="s">
        <v>956</v>
      </c>
      <c r="AK74" s="15" t="s">
        <v>599</v>
      </c>
      <c r="AL74" s="1" t="s">
        <v>1064</v>
      </c>
      <c r="AM74" s="15" t="s">
        <v>1075</v>
      </c>
      <c r="AO74" s="7" t="s">
        <v>1045</v>
      </c>
      <c r="AP74" s="1" t="b">
        <f>A74='[1]35千伏-750千伏电网基建'!A71</f>
        <v>1</v>
      </c>
      <c r="AQ74" s="1" t="b">
        <f>B74='[1]35千伏-750千伏电网基建'!B71</f>
        <v>1</v>
      </c>
      <c r="AR74" s="1" t="b">
        <f>C74='[1]35千伏-750千伏电网基建'!C71</f>
        <v>1</v>
      </c>
      <c r="AS74" s="1" t="b">
        <f>D74='[1]35千伏-750千伏电网基建'!D71</f>
        <v>1</v>
      </c>
      <c r="AT74" s="1" t="b">
        <f>E74='[1]35千伏-750千伏电网基建'!E71</f>
        <v>1</v>
      </c>
      <c r="AU74" s="1" t="b">
        <f>F74='[1]35千伏-750千伏电网基建'!F71</f>
        <v>1</v>
      </c>
      <c r="AV74" s="1" t="b">
        <f>G74='[1]35千伏-750千伏电网基建'!G71</f>
        <v>1</v>
      </c>
      <c r="AW74" s="1" t="b">
        <f>H74='[1]35千伏-750千伏电网基建'!H71</f>
        <v>1</v>
      </c>
      <c r="AX74" s="1" t="b">
        <f>I74='[1]35千伏-750千伏电网基建'!I71</f>
        <v>1</v>
      </c>
      <c r="AY74" s="1" t="b">
        <f>J74='[1]35千伏-750千伏电网基建'!J71</f>
        <v>1</v>
      </c>
      <c r="AZ74" s="1" t="b">
        <f>K74='[1]35千伏-750千伏电网基建'!K71</f>
        <v>1</v>
      </c>
      <c r="BA74" s="1" t="b">
        <f>L74='[1]35千伏-750千伏电网基建'!L71</f>
        <v>1</v>
      </c>
      <c r="BB74" s="1" t="b">
        <f>M74='[1]35千伏-750千伏电网基建'!M71</f>
        <v>1</v>
      </c>
      <c r="BC74" s="1" t="b">
        <f>N74='[1]35千伏-750千伏电网基建'!N71</f>
        <v>1</v>
      </c>
      <c r="BD74" s="1" t="b">
        <f>O74='[1]35千伏-750千伏电网基建'!O71</f>
        <v>1</v>
      </c>
      <c r="BE74" s="1" t="b">
        <f>P74='[1]35千伏-750千伏电网基建'!P71</f>
        <v>1</v>
      </c>
      <c r="BF74" s="1" t="b">
        <f>Q74='[1]35千伏-750千伏电网基建'!Q71</f>
        <v>1</v>
      </c>
      <c r="BG74" s="1" t="b">
        <f>R74='[1]35千伏-750千伏电网基建'!R71</f>
        <v>1</v>
      </c>
      <c r="BH74" s="1" t="b">
        <f>S74='[1]35千伏-750千伏电网基建'!S71</f>
        <v>1</v>
      </c>
      <c r="BI74" s="1" t="b">
        <f>T74='[1]35千伏-750千伏电网基建'!T71</f>
        <v>1</v>
      </c>
      <c r="BJ74" s="1" t="b">
        <f>U74='[1]35千伏-750千伏电网基建'!U71</f>
        <v>1</v>
      </c>
      <c r="BK74" s="1" t="b">
        <f>V74='[1]35千伏-750千伏电网基建'!V71</f>
        <v>1</v>
      </c>
      <c r="BL74" s="8" t="b">
        <f>W74='[1]35千伏-750千伏电网基建'!W71</f>
        <v>0</v>
      </c>
      <c r="BM74" s="1" t="b">
        <f>X74='[1]35千伏-750千伏电网基建'!X71</f>
        <v>1</v>
      </c>
      <c r="BN74" s="1" t="b">
        <f>Y74='[1]35千伏-750千伏电网基建'!Y71</f>
        <v>1</v>
      </c>
      <c r="BO74" s="1" t="b">
        <f>Z74='[1]35千伏-750千伏电网基建'!Z71</f>
        <v>1</v>
      </c>
      <c r="BP74" s="1" t="b">
        <f>AA74='[1]35千伏-750千伏电网基建'!AA71</f>
        <v>1</v>
      </c>
      <c r="BQ74" s="1" t="b">
        <f>AB74='[1]35千伏-750千伏电网基建'!AB71</f>
        <v>1</v>
      </c>
      <c r="BR74" s="1" t="b">
        <f>AC74='[1]35千伏-750千伏电网基建'!AC71</f>
        <v>1</v>
      </c>
      <c r="BS74" s="1" t="b">
        <f>AD74='[1]35千伏-750千伏电网基建'!AD71</f>
        <v>1</v>
      </c>
      <c r="BT74" s="1" t="b">
        <f>AE74='[1]35千伏-750千伏电网基建'!AE71</f>
        <v>1</v>
      </c>
      <c r="BU74" s="1" t="b">
        <f>AF74='[1]35千伏-750千伏电网基建'!AF71</f>
        <v>1</v>
      </c>
      <c r="BV74" s="1" t="b">
        <f>AG74='[1]35千伏-750千伏电网基建'!AG71</f>
        <v>1</v>
      </c>
      <c r="BW74" s="1" t="b">
        <f>AH74='[1]35千伏-750千伏电网基建'!AH71</f>
        <v>1</v>
      </c>
      <c r="BX74" s="1" t="b">
        <f>AI74='[1]35千伏-750千伏电网基建'!AI71</f>
        <v>1</v>
      </c>
      <c r="BY74" s="1" t="b">
        <f>AJ74='[1]35千伏-750千伏电网基建'!AJ71</f>
        <v>1</v>
      </c>
      <c r="BZ74" s="1" t="b">
        <f>AK74='[1]35千伏-750千伏电网基建'!AK71</f>
        <v>1</v>
      </c>
    </row>
    <row r="75" s="1" customFormat="1" ht="70" customHeight="1" spans="1:78">
      <c r="A75" s="14"/>
      <c r="B75" s="14"/>
      <c r="C75" s="15"/>
      <c r="D75" s="23"/>
      <c r="E75" s="16"/>
      <c r="F75" s="17"/>
      <c r="G75" s="15"/>
      <c r="H75" s="16"/>
      <c r="I75" s="23" t="s">
        <v>1263</v>
      </c>
      <c r="J75" s="16" t="s">
        <v>1264</v>
      </c>
      <c r="K75" s="15"/>
      <c r="L75" s="15"/>
      <c r="M75" s="15" t="s">
        <v>36</v>
      </c>
      <c r="N75" s="15"/>
      <c r="O75" s="15" t="s">
        <v>36</v>
      </c>
      <c r="P75" s="15"/>
      <c r="Q75" s="15"/>
      <c r="R75" s="15" t="s">
        <v>36</v>
      </c>
      <c r="S75" s="15" t="s">
        <v>36</v>
      </c>
      <c r="T75" s="15" t="s">
        <v>492</v>
      </c>
      <c r="U75" s="15"/>
      <c r="V75" s="16" t="s">
        <v>945</v>
      </c>
      <c r="W75" s="35" t="s">
        <v>1417</v>
      </c>
      <c r="X75" s="15" t="s">
        <v>474</v>
      </c>
      <c r="Y75" s="15" t="s">
        <v>473</v>
      </c>
      <c r="Z75" s="30"/>
      <c r="AA75" s="15" t="s">
        <v>474</v>
      </c>
      <c r="AB75" s="15" t="s">
        <v>473</v>
      </c>
      <c r="AC75" s="30"/>
      <c r="AD75" s="15"/>
      <c r="AE75" s="30"/>
      <c r="AF75" s="30"/>
      <c r="AG75" s="30"/>
      <c r="AH75" s="15" t="s">
        <v>476</v>
      </c>
      <c r="AI75" s="15" t="s">
        <v>476</v>
      </c>
      <c r="AJ75" s="15" t="s">
        <v>956</v>
      </c>
      <c r="AK75" s="15"/>
      <c r="AL75" s="1" t="s">
        <v>1064</v>
      </c>
      <c r="AM75" s="15" t="s">
        <v>1075</v>
      </c>
      <c r="AO75" s="7" t="s">
        <v>1045</v>
      </c>
      <c r="AP75" s="1" t="b">
        <f>A75='[1]35千伏-750千伏电网基建'!A72</f>
        <v>1</v>
      </c>
      <c r="AQ75" s="1" t="b">
        <f>B75='[1]35千伏-750千伏电网基建'!B72</f>
        <v>1</v>
      </c>
      <c r="AR75" s="1" t="b">
        <f>C75='[1]35千伏-750千伏电网基建'!C72</f>
        <v>1</v>
      </c>
      <c r="AS75" s="1" t="b">
        <f>D75='[1]35千伏-750千伏电网基建'!D72</f>
        <v>1</v>
      </c>
      <c r="AT75" s="1" t="b">
        <f>E75='[1]35千伏-750千伏电网基建'!E72</f>
        <v>1</v>
      </c>
      <c r="AU75" s="1" t="b">
        <f>F75='[1]35千伏-750千伏电网基建'!F72</f>
        <v>1</v>
      </c>
      <c r="AV75" s="1" t="b">
        <f>G75='[1]35千伏-750千伏电网基建'!G72</f>
        <v>1</v>
      </c>
      <c r="AW75" s="1" t="b">
        <f>H75='[1]35千伏-750千伏电网基建'!H72</f>
        <v>1</v>
      </c>
      <c r="AX75" s="1" t="b">
        <f>I75='[1]35千伏-750千伏电网基建'!I72</f>
        <v>1</v>
      </c>
      <c r="AY75" s="1" t="b">
        <f>J75='[1]35千伏-750千伏电网基建'!J72</f>
        <v>1</v>
      </c>
      <c r="AZ75" s="1" t="b">
        <f>K75='[1]35千伏-750千伏电网基建'!K72</f>
        <v>1</v>
      </c>
      <c r="BA75" s="1" t="b">
        <f>L75='[1]35千伏-750千伏电网基建'!L72</f>
        <v>1</v>
      </c>
      <c r="BB75" s="1" t="b">
        <f>M75='[1]35千伏-750千伏电网基建'!M72</f>
        <v>1</v>
      </c>
      <c r="BC75" s="1" t="b">
        <f>N75='[1]35千伏-750千伏电网基建'!N72</f>
        <v>1</v>
      </c>
      <c r="BD75" s="1" t="b">
        <f>O75='[1]35千伏-750千伏电网基建'!O72</f>
        <v>1</v>
      </c>
      <c r="BE75" s="1" t="b">
        <f>P75='[1]35千伏-750千伏电网基建'!P72</f>
        <v>1</v>
      </c>
      <c r="BF75" s="1" t="b">
        <f>Q75='[1]35千伏-750千伏电网基建'!Q72</f>
        <v>1</v>
      </c>
      <c r="BG75" s="1" t="b">
        <f>R75='[1]35千伏-750千伏电网基建'!R72</f>
        <v>1</v>
      </c>
      <c r="BH75" s="1" t="b">
        <f>S75='[1]35千伏-750千伏电网基建'!S72</f>
        <v>1</v>
      </c>
      <c r="BI75" s="1" t="b">
        <f>T75='[1]35千伏-750千伏电网基建'!T72</f>
        <v>1</v>
      </c>
      <c r="BJ75" s="1" t="b">
        <f>U75='[1]35千伏-750千伏电网基建'!U72</f>
        <v>1</v>
      </c>
      <c r="BK75" s="1" t="b">
        <f>V75='[1]35千伏-750千伏电网基建'!V72</f>
        <v>1</v>
      </c>
      <c r="BL75" s="8" t="b">
        <f>W75='[1]35千伏-750千伏电网基建'!W72</f>
        <v>0</v>
      </c>
      <c r="BM75" s="1" t="b">
        <f>X75='[1]35千伏-750千伏电网基建'!X72</f>
        <v>1</v>
      </c>
      <c r="BN75" s="1" t="b">
        <f>Y75='[1]35千伏-750千伏电网基建'!Y72</f>
        <v>1</v>
      </c>
      <c r="BO75" s="1" t="b">
        <f>Z75='[1]35千伏-750千伏电网基建'!Z72</f>
        <v>1</v>
      </c>
      <c r="BP75" s="1" t="b">
        <f>AA75='[1]35千伏-750千伏电网基建'!AA72</f>
        <v>1</v>
      </c>
      <c r="BQ75" s="1" t="b">
        <f>AB75='[1]35千伏-750千伏电网基建'!AB72</f>
        <v>1</v>
      </c>
      <c r="BR75" s="1" t="b">
        <f>AC75='[1]35千伏-750千伏电网基建'!AC72</f>
        <v>1</v>
      </c>
      <c r="BS75" s="1" t="b">
        <f>AD75='[1]35千伏-750千伏电网基建'!AD72</f>
        <v>1</v>
      </c>
      <c r="BT75" s="1" t="b">
        <f>AE75='[1]35千伏-750千伏电网基建'!AE72</f>
        <v>1</v>
      </c>
      <c r="BU75" s="1" t="b">
        <f>AF75='[1]35千伏-750千伏电网基建'!AF72</f>
        <v>1</v>
      </c>
      <c r="BV75" s="1" t="b">
        <f>AG75='[1]35千伏-750千伏电网基建'!AG72</f>
        <v>1</v>
      </c>
      <c r="BW75" s="1" t="b">
        <f>AH75='[1]35千伏-750千伏电网基建'!AH72</f>
        <v>1</v>
      </c>
      <c r="BX75" s="1" t="b">
        <f>AI75='[1]35千伏-750千伏电网基建'!AI72</f>
        <v>1</v>
      </c>
      <c r="BY75" s="1" t="b">
        <f>AJ75='[1]35千伏-750千伏电网基建'!AJ72</f>
        <v>1</v>
      </c>
      <c r="BZ75" s="1" t="b">
        <f>AK75='[1]35千伏-750千伏电网基建'!AK72</f>
        <v>1</v>
      </c>
    </row>
    <row r="76" s="1" customFormat="1" ht="78" customHeight="1" spans="1:78">
      <c r="A76" s="14"/>
      <c r="B76" s="14"/>
      <c r="C76" s="15"/>
      <c r="D76" s="23"/>
      <c r="E76" s="16" t="s">
        <v>959</v>
      </c>
      <c r="F76" s="17" t="s">
        <v>960</v>
      </c>
      <c r="G76" s="15" t="s">
        <v>1265</v>
      </c>
      <c r="H76" s="16" t="s">
        <v>962</v>
      </c>
      <c r="I76" s="23" t="s">
        <v>1266</v>
      </c>
      <c r="J76" s="16" t="s">
        <v>1267</v>
      </c>
      <c r="K76" s="15"/>
      <c r="L76" s="15"/>
      <c r="M76" s="15"/>
      <c r="N76" s="15"/>
      <c r="O76" s="15" t="s">
        <v>36</v>
      </c>
      <c r="P76" s="15"/>
      <c r="Q76" s="15"/>
      <c r="R76" s="15"/>
      <c r="S76" s="15"/>
      <c r="T76" s="15" t="s">
        <v>492</v>
      </c>
      <c r="U76" s="15"/>
      <c r="V76" s="16" t="s">
        <v>945</v>
      </c>
      <c r="W76" s="35" t="s">
        <v>1417</v>
      </c>
      <c r="X76" s="15" t="s">
        <v>565</v>
      </c>
      <c r="Y76" s="15" t="s">
        <v>473</v>
      </c>
      <c r="Z76" s="30"/>
      <c r="AA76" s="15" t="s">
        <v>474</v>
      </c>
      <c r="AB76" s="15" t="s">
        <v>473</v>
      </c>
      <c r="AC76" s="30"/>
      <c r="AD76" s="15"/>
      <c r="AE76" s="30"/>
      <c r="AF76" s="15"/>
      <c r="AG76" s="30"/>
      <c r="AH76" s="15" t="s">
        <v>476</v>
      </c>
      <c r="AI76" s="15" t="s">
        <v>476</v>
      </c>
      <c r="AJ76" s="15" t="s">
        <v>965</v>
      </c>
      <c r="AK76" s="15" t="s">
        <v>599</v>
      </c>
      <c r="AL76" s="1" t="s">
        <v>1064</v>
      </c>
      <c r="AM76" s="4" t="s">
        <v>1075</v>
      </c>
      <c r="AO76" s="7" t="s">
        <v>1045</v>
      </c>
      <c r="AP76" s="1" t="b">
        <f>A76='[1]35千伏-750千伏电网基建'!A73</f>
        <v>1</v>
      </c>
      <c r="AQ76" s="1" t="b">
        <f>B76='[1]35千伏-750千伏电网基建'!B73</f>
        <v>1</v>
      </c>
      <c r="AR76" s="1" t="b">
        <f>C76='[1]35千伏-750千伏电网基建'!C73</f>
        <v>1</v>
      </c>
      <c r="AS76" s="1" t="b">
        <f>D76='[1]35千伏-750千伏电网基建'!D73</f>
        <v>1</v>
      </c>
      <c r="AT76" s="1" t="b">
        <f>E76='[1]35千伏-750千伏电网基建'!E73</f>
        <v>1</v>
      </c>
      <c r="AU76" s="1" t="b">
        <f>F76='[1]35千伏-750千伏电网基建'!F73</f>
        <v>1</v>
      </c>
      <c r="AV76" s="1" t="b">
        <f>G76='[1]35千伏-750千伏电网基建'!G73</f>
        <v>1</v>
      </c>
      <c r="AW76" s="1" t="b">
        <f>H76='[1]35千伏-750千伏电网基建'!H73</f>
        <v>1</v>
      </c>
      <c r="AX76" s="1" t="b">
        <f>I76='[1]35千伏-750千伏电网基建'!I73</f>
        <v>1</v>
      </c>
      <c r="AY76" s="1" t="b">
        <f>J76='[1]35千伏-750千伏电网基建'!J73</f>
        <v>1</v>
      </c>
      <c r="AZ76" s="1" t="b">
        <f>K76='[1]35千伏-750千伏电网基建'!K73</f>
        <v>1</v>
      </c>
      <c r="BA76" s="1" t="b">
        <f>L76='[1]35千伏-750千伏电网基建'!L73</f>
        <v>1</v>
      </c>
      <c r="BB76" s="1" t="b">
        <f>M76='[1]35千伏-750千伏电网基建'!M73</f>
        <v>1</v>
      </c>
      <c r="BC76" s="1" t="b">
        <f>N76='[1]35千伏-750千伏电网基建'!N73</f>
        <v>1</v>
      </c>
      <c r="BD76" s="1" t="b">
        <f>O76='[1]35千伏-750千伏电网基建'!O73</f>
        <v>1</v>
      </c>
      <c r="BE76" s="1" t="b">
        <f>P76='[1]35千伏-750千伏电网基建'!P73</f>
        <v>1</v>
      </c>
      <c r="BF76" s="1" t="b">
        <f>Q76='[1]35千伏-750千伏电网基建'!Q73</f>
        <v>1</v>
      </c>
      <c r="BG76" s="1" t="b">
        <f>R76='[1]35千伏-750千伏电网基建'!R73</f>
        <v>1</v>
      </c>
      <c r="BH76" s="1" t="b">
        <f>S76='[1]35千伏-750千伏电网基建'!S73</f>
        <v>1</v>
      </c>
      <c r="BI76" s="1" t="b">
        <f>T76='[1]35千伏-750千伏电网基建'!T73</f>
        <v>1</v>
      </c>
      <c r="BJ76" s="1" t="b">
        <f>U76='[1]35千伏-750千伏电网基建'!U73</f>
        <v>1</v>
      </c>
      <c r="BK76" s="1" t="b">
        <f>V76='[1]35千伏-750千伏电网基建'!V73</f>
        <v>1</v>
      </c>
      <c r="BL76" s="8" t="b">
        <f>W76='[1]35千伏-750千伏电网基建'!W73</f>
        <v>0</v>
      </c>
      <c r="BM76" s="1" t="b">
        <f>X76='[1]35千伏-750千伏电网基建'!X73</f>
        <v>1</v>
      </c>
      <c r="BN76" s="1" t="b">
        <f>Y76='[1]35千伏-750千伏电网基建'!Y73</f>
        <v>1</v>
      </c>
      <c r="BO76" s="1" t="b">
        <f>Z76='[1]35千伏-750千伏电网基建'!Z73</f>
        <v>1</v>
      </c>
      <c r="BP76" s="1" t="b">
        <f>AA76='[1]35千伏-750千伏电网基建'!AA73</f>
        <v>1</v>
      </c>
      <c r="BQ76" s="1" t="b">
        <f>AB76='[1]35千伏-750千伏电网基建'!AB73</f>
        <v>1</v>
      </c>
      <c r="BR76" s="1" t="b">
        <f>AC76='[1]35千伏-750千伏电网基建'!AC73</f>
        <v>1</v>
      </c>
      <c r="BS76" s="1" t="b">
        <f>AD76='[1]35千伏-750千伏电网基建'!AD73</f>
        <v>1</v>
      </c>
      <c r="BT76" s="1" t="b">
        <f>AE76='[1]35千伏-750千伏电网基建'!AE73</f>
        <v>1</v>
      </c>
      <c r="BU76" s="1" t="b">
        <f>AF76='[1]35千伏-750千伏电网基建'!AF73</f>
        <v>1</v>
      </c>
      <c r="BV76" s="1" t="b">
        <f>AG76='[1]35千伏-750千伏电网基建'!AG73</f>
        <v>1</v>
      </c>
      <c r="BW76" s="1" t="b">
        <f>AH76='[1]35千伏-750千伏电网基建'!AH73</f>
        <v>1</v>
      </c>
      <c r="BX76" s="1" t="b">
        <f>AI76='[1]35千伏-750千伏电网基建'!AI73</f>
        <v>1</v>
      </c>
      <c r="BY76" s="1" t="b">
        <f>AJ76='[1]35千伏-750千伏电网基建'!AJ73</f>
        <v>1</v>
      </c>
      <c r="BZ76" s="1" t="b">
        <f>AK76='[1]35千伏-750千伏电网基建'!AK73</f>
        <v>1</v>
      </c>
    </row>
    <row r="77" s="1" customFormat="1" ht="88" customHeight="1" spans="1:78">
      <c r="A77" s="14"/>
      <c r="B77" s="14"/>
      <c r="C77" s="15"/>
      <c r="D77" s="23"/>
      <c r="E77" s="16"/>
      <c r="F77" s="17"/>
      <c r="G77" s="15"/>
      <c r="H77" s="16"/>
      <c r="I77" s="23" t="s">
        <v>1268</v>
      </c>
      <c r="J77" s="16" t="s">
        <v>1269</v>
      </c>
      <c r="K77" s="15"/>
      <c r="L77" s="15"/>
      <c r="M77" s="15"/>
      <c r="N77" s="15"/>
      <c r="O77" s="15" t="s">
        <v>36</v>
      </c>
      <c r="P77" s="15"/>
      <c r="Q77" s="15"/>
      <c r="R77" s="15"/>
      <c r="S77" s="15"/>
      <c r="T77" s="15" t="s">
        <v>492</v>
      </c>
      <c r="U77" s="15"/>
      <c r="V77" s="16" t="s">
        <v>945</v>
      </c>
      <c r="W77" s="35" t="s">
        <v>888</v>
      </c>
      <c r="X77" s="15" t="s">
        <v>565</v>
      </c>
      <c r="Y77" s="15" t="s">
        <v>473</v>
      </c>
      <c r="Z77" s="30"/>
      <c r="AA77" s="15" t="s">
        <v>474</v>
      </c>
      <c r="AB77" s="15" t="s">
        <v>473</v>
      </c>
      <c r="AC77" s="30"/>
      <c r="AD77" s="15"/>
      <c r="AE77" s="30"/>
      <c r="AF77" s="15"/>
      <c r="AG77" s="30"/>
      <c r="AH77" s="15" t="s">
        <v>476</v>
      </c>
      <c r="AI77" s="15" t="s">
        <v>476</v>
      </c>
      <c r="AJ77" s="15" t="s">
        <v>965</v>
      </c>
      <c r="AK77" s="15"/>
      <c r="AL77" s="1" t="s">
        <v>1064</v>
      </c>
      <c r="AM77" s="23" t="s">
        <v>1075</v>
      </c>
      <c r="AO77" s="7" t="s">
        <v>1045</v>
      </c>
      <c r="AP77" s="1" t="b">
        <f>A77='[1]35千伏-750千伏电网基建'!A74</f>
        <v>1</v>
      </c>
      <c r="AQ77" s="1" t="b">
        <f>B77='[1]35千伏-750千伏电网基建'!B74</f>
        <v>1</v>
      </c>
      <c r="AR77" s="1" t="b">
        <f>C77='[1]35千伏-750千伏电网基建'!C74</f>
        <v>1</v>
      </c>
      <c r="AS77" s="1" t="b">
        <f>D77='[1]35千伏-750千伏电网基建'!D74</f>
        <v>1</v>
      </c>
      <c r="AT77" s="1" t="b">
        <f>E77='[1]35千伏-750千伏电网基建'!E74</f>
        <v>1</v>
      </c>
      <c r="AU77" s="1" t="b">
        <f>F77='[1]35千伏-750千伏电网基建'!F74</f>
        <v>1</v>
      </c>
      <c r="AV77" s="1" t="b">
        <f>G77='[1]35千伏-750千伏电网基建'!G74</f>
        <v>1</v>
      </c>
      <c r="AW77" s="1" t="b">
        <f>H77='[1]35千伏-750千伏电网基建'!H74</f>
        <v>1</v>
      </c>
      <c r="AX77" s="1" t="b">
        <f>I77='[1]35千伏-750千伏电网基建'!I74</f>
        <v>1</v>
      </c>
      <c r="AY77" s="1" t="b">
        <f>J77='[1]35千伏-750千伏电网基建'!J74</f>
        <v>1</v>
      </c>
      <c r="AZ77" s="1" t="b">
        <f>K77='[1]35千伏-750千伏电网基建'!K74</f>
        <v>1</v>
      </c>
      <c r="BA77" s="1" t="b">
        <f>L77='[1]35千伏-750千伏电网基建'!L74</f>
        <v>1</v>
      </c>
      <c r="BB77" s="1" t="b">
        <f>M77='[1]35千伏-750千伏电网基建'!M74</f>
        <v>1</v>
      </c>
      <c r="BC77" s="1" t="b">
        <f>N77='[1]35千伏-750千伏电网基建'!N74</f>
        <v>1</v>
      </c>
      <c r="BD77" s="1" t="b">
        <f>O77='[1]35千伏-750千伏电网基建'!O74</f>
        <v>1</v>
      </c>
      <c r="BE77" s="1" t="b">
        <f>P77='[1]35千伏-750千伏电网基建'!P74</f>
        <v>1</v>
      </c>
      <c r="BF77" s="1" t="b">
        <f>Q77='[1]35千伏-750千伏电网基建'!Q74</f>
        <v>1</v>
      </c>
      <c r="BG77" s="1" t="b">
        <f>R77='[1]35千伏-750千伏电网基建'!R74</f>
        <v>1</v>
      </c>
      <c r="BH77" s="1" t="b">
        <f>S77='[1]35千伏-750千伏电网基建'!S74</f>
        <v>1</v>
      </c>
      <c r="BI77" s="1" t="b">
        <f>T77='[1]35千伏-750千伏电网基建'!T74</f>
        <v>1</v>
      </c>
      <c r="BJ77" s="1" t="b">
        <f>U77='[1]35千伏-750千伏电网基建'!U74</f>
        <v>1</v>
      </c>
      <c r="BK77" s="1" t="b">
        <f>V77='[1]35千伏-750千伏电网基建'!V74</f>
        <v>1</v>
      </c>
      <c r="BL77" s="8" t="b">
        <f>W77='[1]35千伏-750千伏电网基建'!W74</f>
        <v>0</v>
      </c>
      <c r="BM77" s="1" t="b">
        <f>X77='[1]35千伏-750千伏电网基建'!X74</f>
        <v>1</v>
      </c>
      <c r="BN77" s="1" t="b">
        <f>Y77='[1]35千伏-750千伏电网基建'!Y74</f>
        <v>1</v>
      </c>
      <c r="BO77" s="1" t="b">
        <f>Z77='[1]35千伏-750千伏电网基建'!Z74</f>
        <v>1</v>
      </c>
      <c r="BP77" s="1" t="b">
        <f>AA77='[1]35千伏-750千伏电网基建'!AA74</f>
        <v>1</v>
      </c>
      <c r="BQ77" s="1" t="b">
        <f>AB77='[1]35千伏-750千伏电网基建'!AB74</f>
        <v>1</v>
      </c>
      <c r="BR77" s="1" t="b">
        <f>AC77='[1]35千伏-750千伏电网基建'!AC74</f>
        <v>1</v>
      </c>
      <c r="BS77" s="1" t="b">
        <f>AD77='[1]35千伏-750千伏电网基建'!AD74</f>
        <v>1</v>
      </c>
      <c r="BT77" s="1" t="b">
        <f>AE77='[1]35千伏-750千伏电网基建'!AE74</f>
        <v>1</v>
      </c>
      <c r="BU77" s="1" t="b">
        <f>AF77='[1]35千伏-750千伏电网基建'!AF74</f>
        <v>1</v>
      </c>
      <c r="BV77" s="1" t="b">
        <f>AG77='[1]35千伏-750千伏电网基建'!AG74</f>
        <v>1</v>
      </c>
      <c r="BW77" s="1" t="b">
        <f>AH77='[1]35千伏-750千伏电网基建'!AH74</f>
        <v>1</v>
      </c>
      <c r="BX77" s="1" t="b">
        <f>AI77='[1]35千伏-750千伏电网基建'!AI74</f>
        <v>1</v>
      </c>
      <c r="BY77" s="1" t="b">
        <f>AJ77='[1]35千伏-750千伏电网基建'!AJ74</f>
        <v>1</v>
      </c>
      <c r="BZ77" s="1" t="b">
        <f>AK77='[1]35千伏-750千伏电网基建'!AK74</f>
        <v>1</v>
      </c>
    </row>
    <row r="78" s="1" customFormat="1" ht="81" customHeight="1" spans="1:78">
      <c r="A78" s="14"/>
      <c r="B78" s="14"/>
      <c r="C78" s="15"/>
      <c r="D78" s="23"/>
      <c r="E78" s="16"/>
      <c r="F78" s="17"/>
      <c r="G78" s="15"/>
      <c r="H78" s="16"/>
      <c r="I78" s="23" t="s">
        <v>1270</v>
      </c>
      <c r="J78" s="16" t="s">
        <v>1271</v>
      </c>
      <c r="K78" s="15"/>
      <c r="L78" s="15"/>
      <c r="M78" s="15"/>
      <c r="N78" s="15"/>
      <c r="O78" s="15" t="s">
        <v>36</v>
      </c>
      <c r="P78" s="15"/>
      <c r="Q78" s="15"/>
      <c r="R78" s="15"/>
      <c r="S78" s="15"/>
      <c r="T78" s="15" t="s">
        <v>492</v>
      </c>
      <c r="U78" s="15"/>
      <c r="V78" s="16" t="s">
        <v>945</v>
      </c>
      <c r="W78" s="35" t="s">
        <v>1462</v>
      </c>
      <c r="X78" s="15" t="s">
        <v>565</v>
      </c>
      <c r="Y78" s="15" t="s">
        <v>473</v>
      </c>
      <c r="Z78" s="30"/>
      <c r="AA78" s="15" t="s">
        <v>474</v>
      </c>
      <c r="AB78" s="15" t="s">
        <v>473</v>
      </c>
      <c r="AC78" s="30"/>
      <c r="AD78" s="15"/>
      <c r="AE78" s="30"/>
      <c r="AF78" s="15"/>
      <c r="AG78" s="30"/>
      <c r="AH78" s="15" t="s">
        <v>476</v>
      </c>
      <c r="AI78" s="15" t="s">
        <v>476</v>
      </c>
      <c r="AJ78" s="15" t="s">
        <v>965</v>
      </c>
      <c r="AK78" s="15"/>
      <c r="AL78" s="1" t="s">
        <v>1064</v>
      </c>
      <c r="AM78" s="23" t="s">
        <v>1075</v>
      </c>
      <c r="AO78" s="7" t="s">
        <v>1045</v>
      </c>
      <c r="AP78" s="1" t="b">
        <f>A78='[1]35千伏-750千伏电网基建'!A75</f>
        <v>1</v>
      </c>
      <c r="AQ78" s="1" t="b">
        <f>B78='[1]35千伏-750千伏电网基建'!B75</f>
        <v>1</v>
      </c>
      <c r="AR78" s="1" t="b">
        <f>C78='[1]35千伏-750千伏电网基建'!C75</f>
        <v>1</v>
      </c>
      <c r="AS78" s="1" t="b">
        <f>D78='[1]35千伏-750千伏电网基建'!D75</f>
        <v>1</v>
      </c>
      <c r="AT78" s="1" t="b">
        <f>E78='[1]35千伏-750千伏电网基建'!E75</f>
        <v>1</v>
      </c>
      <c r="AU78" s="1" t="b">
        <f>F78='[1]35千伏-750千伏电网基建'!F75</f>
        <v>1</v>
      </c>
      <c r="AV78" s="1" t="b">
        <f>G78='[1]35千伏-750千伏电网基建'!G75</f>
        <v>1</v>
      </c>
      <c r="AW78" s="1" t="b">
        <f>H78='[1]35千伏-750千伏电网基建'!H75</f>
        <v>1</v>
      </c>
      <c r="AX78" s="1" t="b">
        <f>I78='[1]35千伏-750千伏电网基建'!I75</f>
        <v>1</v>
      </c>
      <c r="AY78" s="1" t="b">
        <f>J78='[1]35千伏-750千伏电网基建'!J75</f>
        <v>1</v>
      </c>
      <c r="AZ78" s="1" t="b">
        <f>K78='[1]35千伏-750千伏电网基建'!K75</f>
        <v>1</v>
      </c>
      <c r="BA78" s="1" t="b">
        <f>L78='[1]35千伏-750千伏电网基建'!L75</f>
        <v>1</v>
      </c>
      <c r="BB78" s="1" t="b">
        <f>M78='[1]35千伏-750千伏电网基建'!M75</f>
        <v>1</v>
      </c>
      <c r="BC78" s="1" t="b">
        <f>N78='[1]35千伏-750千伏电网基建'!N75</f>
        <v>1</v>
      </c>
      <c r="BD78" s="1" t="b">
        <f>O78='[1]35千伏-750千伏电网基建'!O75</f>
        <v>1</v>
      </c>
      <c r="BE78" s="1" t="b">
        <f>P78='[1]35千伏-750千伏电网基建'!P75</f>
        <v>1</v>
      </c>
      <c r="BF78" s="1" t="b">
        <f>Q78='[1]35千伏-750千伏电网基建'!Q75</f>
        <v>1</v>
      </c>
      <c r="BG78" s="1" t="b">
        <f>R78='[1]35千伏-750千伏电网基建'!R75</f>
        <v>1</v>
      </c>
      <c r="BH78" s="1" t="b">
        <f>S78='[1]35千伏-750千伏电网基建'!S75</f>
        <v>1</v>
      </c>
      <c r="BI78" s="1" t="b">
        <f>T78='[1]35千伏-750千伏电网基建'!T75</f>
        <v>1</v>
      </c>
      <c r="BJ78" s="1" t="b">
        <f>U78='[1]35千伏-750千伏电网基建'!U75</f>
        <v>1</v>
      </c>
      <c r="BK78" s="1" t="b">
        <f>V78='[1]35千伏-750千伏电网基建'!V75</f>
        <v>1</v>
      </c>
      <c r="BL78" s="8" t="b">
        <f>W78='[1]35千伏-750千伏电网基建'!W75</f>
        <v>0</v>
      </c>
      <c r="BM78" s="1" t="b">
        <f>X78='[1]35千伏-750千伏电网基建'!X75</f>
        <v>1</v>
      </c>
      <c r="BN78" s="1" t="b">
        <f>Y78='[1]35千伏-750千伏电网基建'!Y75</f>
        <v>1</v>
      </c>
      <c r="BO78" s="1" t="b">
        <f>Z78='[1]35千伏-750千伏电网基建'!Z75</f>
        <v>1</v>
      </c>
      <c r="BP78" s="1" t="b">
        <f>AA78='[1]35千伏-750千伏电网基建'!AA75</f>
        <v>1</v>
      </c>
      <c r="BQ78" s="1" t="b">
        <f>AB78='[1]35千伏-750千伏电网基建'!AB75</f>
        <v>1</v>
      </c>
      <c r="BR78" s="1" t="b">
        <f>AC78='[1]35千伏-750千伏电网基建'!AC75</f>
        <v>1</v>
      </c>
      <c r="BS78" s="1" t="b">
        <f>AD78='[1]35千伏-750千伏电网基建'!AD75</f>
        <v>1</v>
      </c>
      <c r="BT78" s="1" t="b">
        <f>AE78='[1]35千伏-750千伏电网基建'!AE75</f>
        <v>1</v>
      </c>
      <c r="BU78" s="1" t="b">
        <f>AF78='[1]35千伏-750千伏电网基建'!AF75</f>
        <v>1</v>
      </c>
      <c r="BV78" s="1" t="b">
        <f>AG78='[1]35千伏-750千伏电网基建'!AG75</f>
        <v>1</v>
      </c>
      <c r="BW78" s="1" t="b">
        <f>AH78='[1]35千伏-750千伏电网基建'!AH75</f>
        <v>1</v>
      </c>
      <c r="BX78" s="1" t="b">
        <f>AI78='[1]35千伏-750千伏电网基建'!AI75</f>
        <v>1</v>
      </c>
      <c r="BY78" s="1" t="b">
        <f>AJ78='[1]35千伏-750千伏电网基建'!AJ75</f>
        <v>1</v>
      </c>
      <c r="BZ78" s="1" t="b">
        <f>AK78='[1]35千伏-750千伏电网基建'!AK75</f>
        <v>1</v>
      </c>
    </row>
    <row r="79" s="1" customFormat="1" ht="72" customHeight="1" spans="1:78">
      <c r="A79" s="14"/>
      <c r="B79" s="14"/>
      <c r="C79" s="15"/>
      <c r="D79" s="23"/>
      <c r="E79" s="16"/>
      <c r="F79" s="17"/>
      <c r="G79" s="15"/>
      <c r="H79" s="16"/>
      <c r="I79" s="23" t="s">
        <v>1272</v>
      </c>
      <c r="J79" s="16" t="s">
        <v>1273</v>
      </c>
      <c r="K79" s="15"/>
      <c r="L79" s="15"/>
      <c r="M79" s="15"/>
      <c r="N79" s="15"/>
      <c r="O79" s="15"/>
      <c r="P79" s="15"/>
      <c r="Q79" s="15"/>
      <c r="R79" s="15"/>
      <c r="S79" s="15" t="s">
        <v>36</v>
      </c>
      <c r="T79" s="15" t="s">
        <v>465</v>
      </c>
      <c r="U79" s="15" t="s">
        <v>602</v>
      </c>
      <c r="V79" s="16" t="s">
        <v>945</v>
      </c>
      <c r="W79" s="35" t="s">
        <v>1462</v>
      </c>
      <c r="X79" s="15" t="s">
        <v>565</v>
      </c>
      <c r="Y79" s="15" t="s">
        <v>473</v>
      </c>
      <c r="Z79" s="30"/>
      <c r="AA79" s="15" t="s">
        <v>474</v>
      </c>
      <c r="AB79" s="15" t="s">
        <v>473</v>
      </c>
      <c r="AC79" s="30"/>
      <c r="AD79" s="15" t="s">
        <v>973</v>
      </c>
      <c r="AE79" s="15" t="s">
        <v>511</v>
      </c>
      <c r="AF79" s="15"/>
      <c r="AG79" s="30"/>
      <c r="AH79" s="15" t="s">
        <v>476</v>
      </c>
      <c r="AI79" s="15" t="s">
        <v>476</v>
      </c>
      <c r="AJ79" s="15" t="s">
        <v>974</v>
      </c>
      <c r="AK79" s="15" t="s">
        <v>599</v>
      </c>
      <c r="AL79" s="1" t="s">
        <v>1064</v>
      </c>
      <c r="AM79" s="15" t="s">
        <v>1075</v>
      </c>
      <c r="AO79" s="7" t="s">
        <v>1045</v>
      </c>
      <c r="AP79" s="1" t="b">
        <f>A79='[1]35千伏-750千伏电网基建'!A76</f>
        <v>1</v>
      </c>
      <c r="AQ79" s="1" t="b">
        <f>B79='[1]35千伏-750千伏电网基建'!B76</f>
        <v>1</v>
      </c>
      <c r="AR79" s="1" t="b">
        <f>C79='[1]35千伏-750千伏电网基建'!C76</f>
        <v>1</v>
      </c>
      <c r="AS79" s="1" t="b">
        <f>D79='[1]35千伏-750千伏电网基建'!D76</f>
        <v>1</v>
      </c>
      <c r="AT79" s="1" t="b">
        <f>E79='[1]35千伏-750千伏电网基建'!E76</f>
        <v>1</v>
      </c>
      <c r="AU79" s="1" t="b">
        <f>F79='[1]35千伏-750千伏电网基建'!F76</f>
        <v>1</v>
      </c>
      <c r="AV79" s="1" t="b">
        <f>G79='[1]35千伏-750千伏电网基建'!G76</f>
        <v>1</v>
      </c>
      <c r="AW79" s="1" t="b">
        <f>H79='[1]35千伏-750千伏电网基建'!H76</f>
        <v>1</v>
      </c>
      <c r="AX79" s="1" t="b">
        <f>I79='[1]35千伏-750千伏电网基建'!I76</f>
        <v>1</v>
      </c>
      <c r="AY79" s="1" t="b">
        <f>J79='[1]35千伏-750千伏电网基建'!J76</f>
        <v>1</v>
      </c>
      <c r="AZ79" s="1" t="b">
        <f>K79='[1]35千伏-750千伏电网基建'!K76</f>
        <v>1</v>
      </c>
      <c r="BA79" s="1" t="b">
        <f>L79='[1]35千伏-750千伏电网基建'!L76</f>
        <v>1</v>
      </c>
      <c r="BB79" s="1" t="b">
        <f>M79='[1]35千伏-750千伏电网基建'!M76</f>
        <v>1</v>
      </c>
      <c r="BC79" s="1" t="b">
        <f>N79='[1]35千伏-750千伏电网基建'!N76</f>
        <v>1</v>
      </c>
      <c r="BD79" s="1" t="b">
        <f>O79='[1]35千伏-750千伏电网基建'!O76</f>
        <v>1</v>
      </c>
      <c r="BE79" s="1" t="b">
        <f>P79='[1]35千伏-750千伏电网基建'!P76</f>
        <v>1</v>
      </c>
      <c r="BF79" s="1" t="b">
        <f>Q79='[1]35千伏-750千伏电网基建'!Q76</f>
        <v>1</v>
      </c>
      <c r="BG79" s="1" t="b">
        <f>R79='[1]35千伏-750千伏电网基建'!R76</f>
        <v>1</v>
      </c>
      <c r="BH79" s="1" t="b">
        <f>S79='[1]35千伏-750千伏电网基建'!S76</f>
        <v>1</v>
      </c>
      <c r="BI79" s="1" t="b">
        <f>T79='[1]35千伏-750千伏电网基建'!T76</f>
        <v>1</v>
      </c>
      <c r="BJ79" s="1" t="b">
        <f>U79='[1]35千伏-750千伏电网基建'!U76</f>
        <v>1</v>
      </c>
      <c r="BK79" s="1" t="b">
        <f>V79='[1]35千伏-750千伏电网基建'!V76</f>
        <v>1</v>
      </c>
      <c r="BL79" s="8" t="b">
        <f>W79='[1]35千伏-750千伏电网基建'!W76</f>
        <v>0</v>
      </c>
      <c r="BM79" s="1" t="b">
        <f>X79='[1]35千伏-750千伏电网基建'!X76</f>
        <v>1</v>
      </c>
      <c r="BN79" s="1" t="b">
        <f>Y79='[1]35千伏-750千伏电网基建'!Y76</f>
        <v>1</v>
      </c>
      <c r="BO79" s="1" t="b">
        <f>Z79='[1]35千伏-750千伏电网基建'!Z76</f>
        <v>1</v>
      </c>
      <c r="BP79" s="1" t="b">
        <f>AA79='[1]35千伏-750千伏电网基建'!AA76</f>
        <v>1</v>
      </c>
      <c r="BQ79" s="1" t="b">
        <f>AB79='[1]35千伏-750千伏电网基建'!AB76</f>
        <v>1</v>
      </c>
      <c r="BR79" s="1" t="b">
        <f>AC79='[1]35千伏-750千伏电网基建'!AC76</f>
        <v>1</v>
      </c>
      <c r="BS79" s="1" t="b">
        <f>AD79='[1]35千伏-750千伏电网基建'!AD76</f>
        <v>1</v>
      </c>
      <c r="BT79" s="1" t="b">
        <f>AE79='[1]35千伏-750千伏电网基建'!AE76</f>
        <v>1</v>
      </c>
      <c r="BU79" s="1" t="b">
        <f>AF79='[1]35千伏-750千伏电网基建'!AF76</f>
        <v>1</v>
      </c>
      <c r="BV79" s="1" t="b">
        <f>AG79='[1]35千伏-750千伏电网基建'!AG76</f>
        <v>1</v>
      </c>
      <c r="BW79" s="1" t="b">
        <f>AH79='[1]35千伏-750千伏电网基建'!AH76</f>
        <v>1</v>
      </c>
      <c r="BX79" s="1" t="b">
        <f>AI79='[1]35千伏-750千伏电网基建'!AI76</f>
        <v>1</v>
      </c>
      <c r="BY79" s="1" t="b">
        <f>AJ79='[1]35千伏-750千伏电网基建'!AJ76</f>
        <v>1</v>
      </c>
      <c r="BZ79" s="1" t="b">
        <f>AK79='[1]35千伏-750千伏电网基建'!AK76</f>
        <v>1</v>
      </c>
    </row>
    <row r="80" s="1" customFormat="1" ht="74" customHeight="1" spans="1:78">
      <c r="A80" s="14" t="s">
        <v>483</v>
      </c>
      <c r="B80" s="14" t="s">
        <v>922</v>
      </c>
      <c r="C80" s="15" t="s">
        <v>485</v>
      </c>
      <c r="D80" s="15" t="s">
        <v>975</v>
      </c>
      <c r="E80" s="16" t="s">
        <v>976</v>
      </c>
      <c r="F80" s="24"/>
      <c r="G80" s="15" t="s">
        <v>1274</v>
      </c>
      <c r="H80" s="16" t="s">
        <v>978</v>
      </c>
      <c r="I80" s="23" t="s">
        <v>1275</v>
      </c>
      <c r="J80" s="16" t="s">
        <v>1276</v>
      </c>
      <c r="K80" s="15"/>
      <c r="L80" s="15"/>
      <c r="M80" s="15"/>
      <c r="N80" s="15"/>
      <c r="O80" s="15" t="s">
        <v>36</v>
      </c>
      <c r="P80" s="15"/>
      <c r="Q80" s="15"/>
      <c r="R80" s="15"/>
      <c r="S80" s="15"/>
      <c r="T80" s="15" t="s">
        <v>492</v>
      </c>
      <c r="U80" s="15"/>
      <c r="V80" s="16" t="s">
        <v>981</v>
      </c>
      <c r="W80" s="35" t="s">
        <v>1463</v>
      </c>
      <c r="X80" s="15" t="s">
        <v>565</v>
      </c>
      <c r="Y80" s="15" t="s">
        <v>473</v>
      </c>
      <c r="Z80" s="30"/>
      <c r="AA80" s="15" t="s">
        <v>474</v>
      </c>
      <c r="AB80" s="15" t="s">
        <v>473</v>
      </c>
      <c r="AC80" s="30"/>
      <c r="AD80" s="15"/>
      <c r="AE80" s="30"/>
      <c r="AF80" s="15"/>
      <c r="AG80" s="30"/>
      <c r="AH80" s="15" t="s">
        <v>476</v>
      </c>
      <c r="AI80" s="30" t="s">
        <v>476</v>
      </c>
      <c r="AJ80" s="15" t="s">
        <v>558</v>
      </c>
      <c r="AK80" s="15" t="s">
        <v>673</v>
      </c>
      <c r="AL80" s="1" t="s">
        <v>1064</v>
      </c>
      <c r="AM80" s="23" t="s">
        <v>1091</v>
      </c>
      <c r="AO80" s="7" t="s">
        <v>1045</v>
      </c>
      <c r="AP80" s="1" t="b">
        <f>A80='[1]35千伏-750千伏电网基建'!A77</f>
        <v>1</v>
      </c>
      <c r="AQ80" s="1" t="b">
        <f>B80='[1]35千伏-750千伏电网基建'!B77</f>
        <v>1</v>
      </c>
      <c r="AR80" s="1" t="b">
        <f>C80='[1]35千伏-750千伏电网基建'!C77</f>
        <v>1</v>
      </c>
      <c r="AS80" s="1" t="b">
        <f>D80='[1]35千伏-750千伏电网基建'!D77</f>
        <v>1</v>
      </c>
      <c r="AT80" s="1" t="b">
        <f>E80='[1]35千伏-750千伏电网基建'!E77</f>
        <v>1</v>
      </c>
      <c r="AU80" s="1" t="b">
        <f>F80='[1]35千伏-750千伏电网基建'!F77</f>
        <v>1</v>
      </c>
      <c r="AV80" s="1" t="b">
        <f>G80='[1]35千伏-750千伏电网基建'!G77</f>
        <v>1</v>
      </c>
      <c r="AW80" s="1" t="b">
        <f>H80='[1]35千伏-750千伏电网基建'!H77</f>
        <v>1</v>
      </c>
      <c r="AX80" s="1" t="b">
        <f>I80='[1]35千伏-750千伏电网基建'!I77</f>
        <v>1</v>
      </c>
      <c r="AY80" s="1" t="b">
        <f>J80='[1]35千伏-750千伏电网基建'!J77</f>
        <v>1</v>
      </c>
      <c r="AZ80" s="1" t="b">
        <f>K80='[1]35千伏-750千伏电网基建'!K77</f>
        <v>1</v>
      </c>
      <c r="BA80" s="1" t="b">
        <f>L80='[1]35千伏-750千伏电网基建'!L77</f>
        <v>1</v>
      </c>
      <c r="BB80" s="1" t="b">
        <f>M80='[1]35千伏-750千伏电网基建'!M77</f>
        <v>1</v>
      </c>
      <c r="BC80" s="1" t="b">
        <f>N80='[1]35千伏-750千伏电网基建'!N77</f>
        <v>1</v>
      </c>
      <c r="BD80" s="1" t="b">
        <f>O80='[1]35千伏-750千伏电网基建'!O77</f>
        <v>1</v>
      </c>
      <c r="BE80" s="1" t="b">
        <f>P80='[1]35千伏-750千伏电网基建'!P77</f>
        <v>1</v>
      </c>
      <c r="BF80" s="1" t="b">
        <f>Q80='[1]35千伏-750千伏电网基建'!Q77</f>
        <v>1</v>
      </c>
      <c r="BG80" s="1" t="b">
        <f>R80='[1]35千伏-750千伏电网基建'!R77</f>
        <v>1</v>
      </c>
      <c r="BH80" s="1" t="b">
        <f>S80='[1]35千伏-750千伏电网基建'!S77</f>
        <v>1</v>
      </c>
      <c r="BI80" s="1" t="b">
        <f>T80='[1]35千伏-750千伏电网基建'!T77</f>
        <v>1</v>
      </c>
      <c r="BJ80" s="1" t="b">
        <f>U80='[1]35千伏-750千伏电网基建'!U77</f>
        <v>1</v>
      </c>
      <c r="BK80" s="1" t="b">
        <f>V80='[1]35千伏-750千伏电网基建'!V77</f>
        <v>1</v>
      </c>
      <c r="BL80" s="8" t="b">
        <f>W80='[1]35千伏-750千伏电网基建'!W77</f>
        <v>0</v>
      </c>
      <c r="BM80" s="1" t="b">
        <f>X80='[1]35千伏-750千伏电网基建'!X77</f>
        <v>1</v>
      </c>
      <c r="BN80" s="1" t="b">
        <f>Y80='[1]35千伏-750千伏电网基建'!Y77</f>
        <v>1</v>
      </c>
      <c r="BO80" s="1" t="b">
        <f>Z80='[1]35千伏-750千伏电网基建'!Z77</f>
        <v>1</v>
      </c>
      <c r="BP80" s="1" t="b">
        <f>AA80='[1]35千伏-750千伏电网基建'!AA77</f>
        <v>1</v>
      </c>
      <c r="BQ80" s="1" t="b">
        <f>AB80='[1]35千伏-750千伏电网基建'!AB77</f>
        <v>1</v>
      </c>
      <c r="BR80" s="1" t="b">
        <f>AC80='[1]35千伏-750千伏电网基建'!AC77</f>
        <v>1</v>
      </c>
      <c r="BS80" s="1" t="b">
        <f>AD80='[1]35千伏-750千伏电网基建'!AD77</f>
        <v>1</v>
      </c>
      <c r="BT80" s="1" t="b">
        <f>AE80='[1]35千伏-750千伏电网基建'!AE77</f>
        <v>1</v>
      </c>
      <c r="BU80" s="1" t="b">
        <f>AF80='[1]35千伏-750千伏电网基建'!AF77</f>
        <v>1</v>
      </c>
      <c r="BV80" s="1" t="b">
        <f>AG80='[1]35千伏-750千伏电网基建'!AG77</f>
        <v>1</v>
      </c>
      <c r="BW80" s="1" t="b">
        <f>AH80='[1]35千伏-750千伏电网基建'!AH77</f>
        <v>1</v>
      </c>
      <c r="BX80" s="1" t="b">
        <f>AI80='[1]35千伏-750千伏电网基建'!AI77</f>
        <v>1</v>
      </c>
      <c r="BY80" s="1" t="b">
        <f>AJ80='[1]35千伏-750千伏电网基建'!AJ77</f>
        <v>1</v>
      </c>
      <c r="BZ80" s="1" t="b">
        <f>AK80='[1]35千伏-750千伏电网基建'!AK77</f>
        <v>1</v>
      </c>
    </row>
    <row r="81" s="1" customFormat="1" ht="75" customHeight="1" spans="1:78">
      <c r="A81" s="14"/>
      <c r="B81" s="14"/>
      <c r="C81" s="15"/>
      <c r="D81" s="15"/>
      <c r="E81" s="16"/>
      <c r="F81" s="24"/>
      <c r="G81" s="15"/>
      <c r="H81" s="16"/>
      <c r="I81" s="23" t="s">
        <v>1277</v>
      </c>
      <c r="J81" s="16" t="s">
        <v>1278</v>
      </c>
      <c r="K81" s="15"/>
      <c r="L81" s="15"/>
      <c r="M81" s="15"/>
      <c r="N81" s="15"/>
      <c r="O81" s="15" t="s">
        <v>36</v>
      </c>
      <c r="P81" s="15" t="s">
        <v>36</v>
      </c>
      <c r="Q81" s="15" t="s">
        <v>36</v>
      </c>
      <c r="R81" s="15"/>
      <c r="S81" s="15"/>
      <c r="T81" s="15" t="s">
        <v>550</v>
      </c>
      <c r="U81" s="15" t="s">
        <v>985</v>
      </c>
      <c r="V81" s="16" t="s">
        <v>986</v>
      </c>
      <c r="W81" s="35" t="s">
        <v>1431</v>
      </c>
      <c r="X81" s="15" t="s">
        <v>565</v>
      </c>
      <c r="Y81" s="15" t="s">
        <v>473</v>
      </c>
      <c r="Z81" s="30"/>
      <c r="AA81" s="15" t="s">
        <v>474</v>
      </c>
      <c r="AB81" s="15" t="s">
        <v>473</v>
      </c>
      <c r="AC81" s="30"/>
      <c r="AD81" s="15"/>
      <c r="AE81" s="30"/>
      <c r="AF81" s="15"/>
      <c r="AG81" s="30"/>
      <c r="AH81" s="15" t="s">
        <v>476</v>
      </c>
      <c r="AI81" s="30" t="s">
        <v>610</v>
      </c>
      <c r="AJ81" s="15" t="s">
        <v>558</v>
      </c>
      <c r="AK81" s="15"/>
      <c r="AL81" s="1" t="s">
        <v>1064</v>
      </c>
      <c r="AM81" s="23" t="s">
        <v>470</v>
      </c>
      <c r="AO81" s="7" t="s">
        <v>1045</v>
      </c>
      <c r="AP81" s="1" t="b">
        <f>A81='[1]35千伏-750千伏电网基建'!A78</f>
        <v>1</v>
      </c>
      <c r="AQ81" s="1" t="b">
        <f>B81='[1]35千伏-750千伏电网基建'!B78</f>
        <v>1</v>
      </c>
      <c r="AR81" s="1" t="b">
        <f>C81='[1]35千伏-750千伏电网基建'!C78</f>
        <v>1</v>
      </c>
      <c r="AS81" s="1" t="b">
        <f>D81='[1]35千伏-750千伏电网基建'!D78</f>
        <v>1</v>
      </c>
      <c r="AT81" s="1" t="b">
        <f>E81='[1]35千伏-750千伏电网基建'!E78</f>
        <v>1</v>
      </c>
      <c r="AU81" s="1" t="b">
        <f>F81='[1]35千伏-750千伏电网基建'!F78</f>
        <v>1</v>
      </c>
      <c r="AV81" s="1" t="b">
        <f>G81='[1]35千伏-750千伏电网基建'!G78</f>
        <v>1</v>
      </c>
      <c r="AW81" s="1" t="b">
        <f>H81='[1]35千伏-750千伏电网基建'!H78</f>
        <v>1</v>
      </c>
      <c r="AX81" s="1" t="b">
        <f>I81='[1]35千伏-750千伏电网基建'!I78</f>
        <v>1</v>
      </c>
      <c r="AY81" s="1" t="b">
        <f>J81='[1]35千伏-750千伏电网基建'!J78</f>
        <v>1</v>
      </c>
      <c r="AZ81" s="1" t="b">
        <f>K81='[1]35千伏-750千伏电网基建'!K78</f>
        <v>1</v>
      </c>
      <c r="BA81" s="1" t="b">
        <f>L81='[1]35千伏-750千伏电网基建'!L78</f>
        <v>1</v>
      </c>
      <c r="BB81" s="1" t="b">
        <f>M81='[1]35千伏-750千伏电网基建'!M78</f>
        <v>1</v>
      </c>
      <c r="BC81" s="1" t="b">
        <f>N81='[1]35千伏-750千伏电网基建'!N78</f>
        <v>1</v>
      </c>
      <c r="BD81" s="1" t="b">
        <f>O81='[1]35千伏-750千伏电网基建'!O78</f>
        <v>1</v>
      </c>
      <c r="BE81" s="1" t="b">
        <f>P81='[1]35千伏-750千伏电网基建'!P78</f>
        <v>1</v>
      </c>
      <c r="BF81" s="1" t="b">
        <f>Q81='[1]35千伏-750千伏电网基建'!Q78</f>
        <v>1</v>
      </c>
      <c r="BG81" s="1" t="b">
        <f>R81='[1]35千伏-750千伏电网基建'!R78</f>
        <v>1</v>
      </c>
      <c r="BH81" s="1" t="b">
        <f>S81='[1]35千伏-750千伏电网基建'!S78</f>
        <v>1</v>
      </c>
      <c r="BI81" s="1" t="b">
        <f>T81='[1]35千伏-750千伏电网基建'!T78</f>
        <v>1</v>
      </c>
      <c r="BJ81" s="1" t="b">
        <f>U81='[1]35千伏-750千伏电网基建'!U78</f>
        <v>1</v>
      </c>
      <c r="BK81" s="1" t="b">
        <f>V81='[1]35千伏-750千伏电网基建'!V78</f>
        <v>1</v>
      </c>
      <c r="BL81" s="8" t="b">
        <f>W81='[1]35千伏-750千伏电网基建'!W78</f>
        <v>0</v>
      </c>
      <c r="BM81" s="1" t="b">
        <f>X81='[1]35千伏-750千伏电网基建'!X78</f>
        <v>1</v>
      </c>
      <c r="BN81" s="1" t="b">
        <f>Y81='[1]35千伏-750千伏电网基建'!Y78</f>
        <v>1</v>
      </c>
      <c r="BO81" s="1" t="b">
        <f>Z81='[1]35千伏-750千伏电网基建'!Z78</f>
        <v>1</v>
      </c>
      <c r="BP81" s="1" t="b">
        <f>AA81='[1]35千伏-750千伏电网基建'!AA78</f>
        <v>1</v>
      </c>
      <c r="BQ81" s="1" t="b">
        <f>AB81='[1]35千伏-750千伏电网基建'!AB78</f>
        <v>1</v>
      </c>
      <c r="BR81" s="1" t="b">
        <f>AC81='[1]35千伏-750千伏电网基建'!AC78</f>
        <v>1</v>
      </c>
      <c r="BS81" s="1" t="b">
        <f>AD81='[1]35千伏-750千伏电网基建'!AD78</f>
        <v>1</v>
      </c>
      <c r="BT81" s="1" t="b">
        <f>AE81='[1]35千伏-750千伏电网基建'!AE78</f>
        <v>1</v>
      </c>
      <c r="BU81" s="1" t="b">
        <f>AF81='[1]35千伏-750千伏电网基建'!AF78</f>
        <v>1</v>
      </c>
      <c r="BV81" s="1" t="b">
        <f>AG81='[1]35千伏-750千伏电网基建'!AG78</f>
        <v>1</v>
      </c>
      <c r="BW81" s="1" t="b">
        <f>AH81='[1]35千伏-750千伏电网基建'!AH78</f>
        <v>1</v>
      </c>
      <c r="BX81" s="1" t="b">
        <f>AI81='[1]35千伏-750千伏电网基建'!AI78</f>
        <v>1</v>
      </c>
      <c r="BY81" s="1" t="b">
        <f>AJ81='[1]35千伏-750千伏电网基建'!AJ78</f>
        <v>1</v>
      </c>
      <c r="BZ81" s="1" t="b">
        <f>AK81='[1]35千伏-750千伏电网基建'!AK78</f>
        <v>1</v>
      </c>
    </row>
    <row r="82" s="1" customFormat="1" ht="80" customHeight="1" spans="1:78">
      <c r="A82" s="14"/>
      <c r="B82" s="14"/>
      <c r="C82" s="15"/>
      <c r="D82" s="15"/>
      <c r="E82" s="16"/>
      <c r="F82" s="24"/>
      <c r="G82" s="15"/>
      <c r="H82" s="16"/>
      <c r="I82" s="23" t="s">
        <v>1279</v>
      </c>
      <c r="J82" s="16" t="s">
        <v>1280</v>
      </c>
      <c r="K82" s="15"/>
      <c r="L82" s="15"/>
      <c r="M82" s="15"/>
      <c r="N82" s="15"/>
      <c r="O82" s="15" t="s">
        <v>36</v>
      </c>
      <c r="P82" s="15"/>
      <c r="Q82" s="15"/>
      <c r="R82" s="15"/>
      <c r="S82" s="15"/>
      <c r="T82" s="15" t="s">
        <v>492</v>
      </c>
      <c r="U82" s="15"/>
      <c r="V82" s="16" t="s">
        <v>989</v>
      </c>
      <c r="W82" s="35" t="s">
        <v>1464</v>
      </c>
      <c r="X82" s="15" t="s">
        <v>565</v>
      </c>
      <c r="Y82" s="15" t="s">
        <v>473</v>
      </c>
      <c r="Z82" s="30"/>
      <c r="AA82" s="15" t="s">
        <v>474</v>
      </c>
      <c r="AB82" s="15" t="s">
        <v>473</v>
      </c>
      <c r="AC82" s="30"/>
      <c r="AD82" s="15"/>
      <c r="AE82" s="30"/>
      <c r="AF82" s="15"/>
      <c r="AG82" s="30"/>
      <c r="AH82" s="15" t="s">
        <v>476</v>
      </c>
      <c r="AI82" s="30" t="s">
        <v>610</v>
      </c>
      <c r="AJ82" s="15" t="s">
        <v>558</v>
      </c>
      <c r="AK82" s="15"/>
      <c r="AL82" s="1" t="s">
        <v>1064</v>
      </c>
      <c r="AM82" s="23" t="s">
        <v>1091</v>
      </c>
      <c r="AO82" s="7" t="s">
        <v>1045</v>
      </c>
      <c r="AP82" s="1" t="b">
        <f>A82='[1]35千伏-750千伏电网基建'!A79</f>
        <v>1</v>
      </c>
      <c r="AQ82" s="1" t="b">
        <f>B82='[1]35千伏-750千伏电网基建'!B79</f>
        <v>1</v>
      </c>
      <c r="AR82" s="1" t="b">
        <f>C82='[1]35千伏-750千伏电网基建'!C79</f>
        <v>1</v>
      </c>
      <c r="AS82" s="1" t="b">
        <f>D82='[1]35千伏-750千伏电网基建'!D79</f>
        <v>1</v>
      </c>
      <c r="AT82" s="1" t="b">
        <f>E82='[1]35千伏-750千伏电网基建'!E79</f>
        <v>1</v>
      </c>
      <c r="AU82" s="1" t="b">
        <f>F82='[1]35千伏-750千伏电网基建'!F79</f>
        <v>1</v>
      </c>
      <c r="AV82" s="1" t="b">
        <f>G82='[1]35千伏-750千伏电网基建'!G79</f>
        <v>1</v>
      </c>
      <c r="AW82" s="1" t="b">
        <f>H82='[1]35千伏-750千伏电网基建'!H79</f>
        <v>1</v>
      </c>
      <c r="AX82" s="1" t="b">
        <f>I82='[1]35千伏-750千伏电网基建'!I79</f>
        <v>1</v>
      </c>
      <c r="AY82" s="1" t="b">
        <f>J82='[1]35千伏-750千伏电网基建'!J79</f>
        <v>1</v>
      </c>
      <c r="AZ82" s="1" t="b">
        <f>K82='[1]35千伏-750千伏电网基建'!K79</f>
        <v>1</v>
      </c>
      <c r="BA82" s="1" t="b">
        <f>L82='[1]35千伏-750千伏电网基建'!L79</f>
        <v>1</v>
      </c>
      <c r="BB82" s="1" t="b">
        <f>M82='[1]35千伏-750千伏电网基建'!M79</f>
        <v>1</v>
      </c>
      <c r="BC82" s="1" t="b">
        <f>N82='[1]35千伏-750千伏电网基建'!N79</f>
        <v>1</v>
      </c>
      <c r="BD82" s="1" t="b">
        <f>O82='[1]35千伏-750千伏电网基建'!O79</f>
        <v>1</v>
      </c>
      <c r="BE82" s="1" t="b">
        <f>P82='[1]35千伏-750千伏电网基建'!P79</f>
        <v>1</v>
      </c>
      <c r="BF82" s="1" t="b">
        <f>Q82='[1]35千伏-750千伏电网基建'!Q79</f>
        <v>1</v>
      </c>
      <c r="BG82" s="1" t="b">
        <f>R82='[1]35千伏-750千伏电网基建'!R79</f>
        <v>1</v>
      </c>
      <c r="BH82" s="1" t="b">
        <f>S82='[1]35千伏-750千伏电网基建'!S79</f>
        <v>1</v>
      </c>
      <c r="BI82" s="1" t="b">
        <f>T82='[1]35千伏-750千伏电网基建'!T79</f>
        <v>1</v>
      </c>
      <c r="BJ82" s="1" t="b">
        <f>U82='[1]35千伏-750千伏电网基建'!U79</f>
        <v>1</v>
      </c>
      <c r="BK82" s="1" t="b">
        <f>V82='[1]35千伏-750千伏电网基建'!V79</f>
        <v>1</v>
      </c>
      <c r="BL82" s="8" t="b">
        <f>W82='[1]35千伏-750千伏电网基建'!W79</f>
        <v>0</v>
      </c>
      <c r="BM82" s="1" t="b">
        <f>X82='[1]35千伏-750千伏电网基建'!X79</f>
        <v>1</v>
      </c>
      <c r="BN82" s="1" t="b">
        <f>Y82='[1]35千伏-750千伏电网基建'!Y79</f>
        <v>1</v>
      </c>
      <c r="BO82" s="1" t="b">
        <f>Z82='[1]35千伏-750千伏电网基建'!Z79</f>
        <v>1</v>
      </c>
      <c r="BP82" s="1" t="b">
        <f>AA82='[1]35千伏-750千伏电网基建'!AA79</f>
        <v>1</v>
      </c>
      <c r="BQ82" s="1" t="b">
        <f>AB82='[1]35千伏-750千伏电网基建'!AB79</f>
        <v>1</v>
      </c>
      <c r="BR82" s="1" t="b">
        <f>AC82='[1]35千伏-750千伏电网基建'!AC79</f>
        <v>1</v>
      </c>
      <c r="BS82" s="1" t="b">
        <f>AD82='[1]35千伏-750千伏电网基建'!AD79</f>
        <v>1</v>
      </c>
      <c r="BT82" s="1" t="b">
        <f>AE82='[1]35千伏-750千伏电网基建'!AE79</f>
        <v>1</v>
      </c>
      <c r="BU82" s="1" t="b">
        <f>AF82='[1]35千伏-750千伏电网基建'!AF79</f>
        <v>1</v>
      </c>
      <c r="BV82" s="1" t="b">
        <f>AG82='[1]35千伏-750千伏电网基建'!AG79</f>
        <v>1</v>
      </c>
      <c r="BW82" s="1" t="b">
        <f>AH82='[1]35千伏-750千伏电网基建'!AH79</f>
        <v>1</v>
      </c>
      <c r="BX82" s="1" t="b">
        <f>AI82='[1]35千伏-750千伏电网基建'!AI79</f>
        <v>1</v>
      </c>
      <c r="BY82" s="1" t="b">
        <f>AJ82='[1]35千伏-750千伏电网基建'!AJ79</f>
        <v>1</v>
      </c>
      <c r="BZ82" s="1" t="b">
        <f>AK82='[1]35千伏-750千伏电网基建'!AK79</f>
        <v>1</v>
      </c>
    </row>
    <row r="83" s="1" customFormat="1" ht="69" customHeight="1" spans="1:78">
      <c r="A83" s="14"/>
      <c r="B83" s="14"/>
      <c r="C83" s="15"/>
      <c r="D83" s="15"/>
      <c r="E83" s="16"/>
      <c r="F83" s="24"/>
      <c r="G83" s="15"/>
      <c r="H83" s="16"/>
      <c r="I83" s="23" t="s">
        <v>1281</v>
      </c>
      <c r="J83" s="16" t="s">
        <v>1282</v>
      </c>
      <c r="K83" s="15"/>
      <c r="L83" s="15"/>
      <c r="M83" s="15"/>
      <c r="N83" s="15"/>
      <c r="O83" s="15" t="s">
        <v>36</v>
      </c>
      <c r="P83" s="15"/>
      <c r="Q83" s="15" t="s">
        <v>36</v>
      </c>
      <c r="R83" s="15"/>
      <c r="S83" s="15"/>
      <c r="T83" s="15" t="s">
        <v>492</v>
      </c>
      <c r="U83" s="15"/>
      <c r="V83" s="16" t="s">
        <v>981</v>
      </c>
      <c r="W83" s="35" t="s">
        <v>1431</v>
      </c>
      <c r="X83" s="15" t="s">
        <v>565</v>
      </c>
      <c r="Y83" s="15" t="s">
        <v>473</v>
      </c>
      <c r="Z83" s="30"/>
      <c r="AA83" s="15" t="s">
        <v>474</v>
      </c>
      <c r="AB83" s="15" t="s">
        <v>473</v>
      </c>
      <c r="AC83" s="30"/>
      <c r="AD83" s="15"/>
      <c r="AE83" s="30"/>
      <c r="AF83" s="15"/>
      <c r="AG83" s="30"/>
      <c r="AH83" s="15" t="s">
        <v>476</v>
      </c>
      <c r="AI83" s="30" t="s">
        <v>610</v>
      </c>
      <c r="AJ83" s="15" t="s">
        <v>558</v>
      </c>
      <c r="AK83" s="15"/>
      <c r="AL83" s="1" t="s">
        <v>1064</v>
      </c>
      <c r="AM83" s="23" t="s">
        <v>470</v>
      </c>
      <c r="AO83" s="7" t="s">
        <v>1045</v>
      </c>
      <c r="AP83" s="1" t="b">
        <f>A83='[1]35千伏-750千伏电网基建'!A80</f>
        <v>1</v>
      </c>
      <c r="AQ83" s="1" t="b">
        <f>B83='[1]35千伏-750千伏电网基建'!B80</f>
        <v>1</v>
      </c>
      <c r="AR83" s="1" t="b">
        <f>C83='[1]35千伏-750千伏电网基建'!C80</f>
        <v>1</v>
      </c>
      <c r="AS83" s="1" t="b">
        <f>D83='[1]35千伏-750千伏电网基建'!D80</f>
        <v>1</v>
      </c>
      <c r="AT83" s="1" t="b">
        <f>E83='[1]35千伏-750千伏电网基建'!E80</f>
        <v>1</v>
      </c>
      <c r="AU83" s="1" t="b">
        <f>F83='[1]35千伏-750千伏电网基建'!F80</f>
        <v>1</v>
      </c>
      <c r="AV83" s="1" t="b">
        <f>G83='[1]35千伏-750千伏电网基建'!G80</f>
        <v>1</v>
      </c>
      <c r="AW83" s="1" t="b">
        <f>H83='[1]35千伏-750千伏电网基建'!H80</f>
        <v>1</v>
      </c>
      <c r="AX83" s="1" t="b">
        <f>I83='[1]35千伏-750千伏电网基建'!I80</f>
        <v>1</v>
      </c>
      <c r="AY83" s="1" t="b">
        <f>J83='[1]35千伏-750千伏电网基建'!J80</f>
        <v>1</v>
      </c>
      <c r="AZ83" s="1" t="b">
        <f>K83='[1]35千伏-750千伏电网基建'!K80</f>
        <v>1</v>
      </c>
      <c r="BA83" s="1" t="b">
        <f>L83='[1]35千伏-750千伏电网基建'!L80</f>
        <v>1</v>
      </c>
      <c r="BB83" s="1" t="b">
        <f>M83='[1]35千伏-750千伏电网基建'!M80</f>
        <v>1</v>
      </c>
      <c r="BC83" s="1" t="b">
        <f>N83='[1]35千伏-750千伏电网基建'!N80</f>
        <v>1</v>
      </c>
      <c r="BD83" s="1" t="b">
        <f>O83='[1]35千伏-750千伏电网基建'!O80</f>
        <v>1</v>
      </c>
      <c r="BE83" s="1" t="b">
        <f>P83='[1]35千伏-750千伏电网基建'!P80</f>
        <v>1</v>
      </c>
      <c r="BF83" s="1" t="b">
        <f>Q83='[1]35千伏-750千伏电网基建'!Q80</f>
        <v>1</v>
      </c>
      <c r="BG83" s="1" t="b">
        <f>R83='[1]35千伏-750千伏电网基建'!R80</f>
        <v>1</v>
      </c>
      <c r="BH83" s="1" t="b">
        <f>S83='[1]35千伏-750千伏电网基建'!S80</f>
        <v>1</v>
      </c>
      <c r="BI83" s="1" t="b">
        <f>T83='[1]35千伏-750千伏电网基建'!T80</f>
        <v>1</v>
      </c>
      <c r="BJ83" s="1" t="b">
        <f>U83='[1]35千伏-750千伏电网基建'!U80</f>
        <v>1</v>
      </c>
      <c r="BK83" s="1" t="b">
        <f>V83='[1]35千伏-750千伏电网基建'!V80</f>
        <v>1</v>
      </c>
      <c r="BL83" s="8" t="b">
        <f>W83='[1]35千伏-750千伏电网基建'!W80</f>
        <v>0</v>
      </c>
      <c r="BM83" s="1" t="b">
        <f>X83='[1]35千伏-750千伏电网基建'!X80</f>
        <v>1</v>
      </c>
      <c r="BN83" s="1" t="b">
        <f>Y83='[1]35千伏-750千伏电网基建'!Y80</f>
        <v>1</v>
      </c>
      <c r="BO83" s="1" t="b">
        <f>Z83='[1]35千伏-750千伏电网基建'!Z80</f>
        <v>1</v>
      </c>
      <c r="BP83" s="1" t="b">
        <f>AA83='[1]35千伏-750千伏电网基建'!AA80</f>
        <v>1</v>
      </c>
      <c r="BQ83" s="1" t="b">
        <f>AB83='[1]35千伏-750千伏电网基建'!AB80</f>
        <v>1</v>
      </c>
      <c r="BR83" s="1" t="b">
        <f>AC83='[1]35千伏-750千伏电网基建'!AC80</f>
        <v>1</v>
      </c>
      <c r="BS83" s="1" t="b">
        <f>AD83='[1]35千伏-750千伏电网基建'!AD80</f>
        <v>1</v>
      </c>
      <c r="BT83" s="1" t="b">
        <f>AE83='[1]35千伏-750千伏电网基建'!AE80</f>
        <v>1</v>
      </c>
      <c r="BU83" s="1" t="b">
        <f>AF83='[1]35千伏-750千伏电网基建'!AF80</f>
        <v>1</v>
      </c>
      <c r="BV83" s="1" t="b">
        <f>AG83='[1]35千伏-750千伏电网基建'!AG80</f>
        <v>1</v>
      </c>
      <c r="BW83" s="1" t="b">
        <f>AH83='[1]35千伏-750千伏电网基建'!AH80</f>
        <v>1</v>
      </c>
      <c r="BX83" s="1" t="b">
        <f>AI83='[1]35千伏-750千伏电网基建'!AI80</f>
        <v>1</v>
      </c>
      <c r="BY83" s="1" t="b">
        <f>AJ83='[1]35千伏-750千伏电网基建'!AJ80</f>
        <v>1</v>
      </c>
      <c r="BZ83" s="1" t="b">
        <f>AK83='[1]35千伏-750千伏电网基建'!AK80</f>
        <v>1</v>
      </c>
    </row>
    <row r="84" s="1" customFormat="1" ht="77" customHeight="1" spans="1:78">
      <c r="A84" s="14"/>
      <c r="B84" s="14"/>
      <c r="C84" s="15"/>
      <c r="D84" s="15"/>
      <c r="E84" s="16"/>
      <c r="F84" s="24"/>
      <c r="G84" s="15"/>
      <c r="H84" s="16"/>
      <c r="I84" s="23" t="s">
        <v>1283</v>
      </c>
      <c r="J84" s="16" t="s">
        <v>1284</v>
      </c>
      <c r="K84" s="15"/>
      <c r="L84" s="15"/>
      <c r="M84" s="15"/>
      <c r="N84" s="15"/>
      <c r="O84" s="15" t="s">
        <v>36</v>
      </c>
      <c r="P84" s="15" t="s">
        <v>36</v>
      </c>
      <c r="Q84" s="15" t="s">
        <v>36</v>
      </c>
      <c r="R84" s="15"/>
      <c r="S84" s="15"/>
      <c r="T84" s="15" t="s">
        <v>492</v>
      </c>
      <c r="U84" s="15"/>
      <c r="V84" s="16" t="s">
        <v>989</v>
      </c>
      <c r="W84" s="35" t="s">
        <v>1431</v>
      </c>
      <c r="X84" s="15" t="s">
        <v>565</v>
      </c>
      <c r="Y84" s="15" t="s">
        <v>473</v>
      </c>
      <c r="Z84" s="30"/>
      <c r="AA84" s="15" t="s">
        <v>474</v>
      </c>
      <c r="AB84" s="15" t="s">
        <v>473</v>
      </c>
      <c r="AC84" s="30"/>
      <c r="AD84" s="15"/>
      <c r="AE84" s="30"/>
      <c r="AF84" s="15"/>
      <c r="AG84" s="30"/>
      <c r="AH84" s="15" t="s">
        <v>476</v>
      </c>
      <c r="AI84" s="30" t="s">
        <v>610</v>
      </c>
      <c r="AJ84" s="15" t="s">
        <v>558</v>
      </c>
      <c r="AK84" s="15"/>
      <c r="AL84" s="1" t="s">
        <v>1064</v>
      </c>
      <c r="AM84" s="23" t="s">
        <v>470</v>
      </c>
      <c r="AO84" s="7" t="s">
        <v>1045</v>
      </c>
      <c r="AP84" s="1" t="b">
        <f>A84='[1]35千伏-750千伏电网基建'!A81</f>
        <v>1</v>
      </c>
      <c r="AQ84" s="1" t="b">
        <f>B84='[1]35千伏-750千伏电网基建'!B81</f>
        <v>1</v>
      </c>
      <c r="AR84" s="1" t="b">
        <f>C84='[1]35千伏-750千伏电网基建'!C81</f>
        <v>1</v>
      </c>
      <c r="AS84" s="1" t="b">
        <f>D84='[1]35千伏-750千伏电网基建'!D81</f>
        <v>1</v>
      </c>
      <c r="AT84" s="1" t="b">
        <f>E84='[1]35千伏-750千伏电网基建'!E81</f>
        <v>1</v>
      </c>
      <c r="AU84" s="1" t="b">
        <f>F84='[1]35千伏-750千伏电网基建'!F81</f>
        <v>1</v>
      </c>
      <c r="AV84" s="1" t="b">
        <f>G84='[1]35千伏-750千伏电网基建'!G81</f>
        <v>1</v>
      </c>
      <c r="AW84" s="1" t="b">
        <f>H84='[1]35千伏-750千伏电网基建'!H81</f>
        <v>1</v>
      </c>
      <c r="AX84" s="1" t="b">
        <f>I84='[1]35千伏-750千伏电网基建'!I81</f>
        <v>1</v>
      </c>
      <c r="AY84" s="1" t="b">
        <f>J84='[1]35千伏-750千伏电网基建'!J81</f>
        <v>1</v>
      </c>
      <c r="AZ84" s="1" t="b">
        <f>K84='[1]35千伏-750千伏电网基建'!K81</f>
        <v>1</v>
      </c>
      <c r="BA84" s="1" t="b">
        <f>L84='[1]35千伏-750千伏电网基建'!L81</f>
        <v>1</v>
      </c>
      <c r="BB84" s="1" t="b">
        <f>M84='[1]35千伏-750千伏电网基建'!M81</f>
        <v>1</v>
      </c>
      <c r="BC84" s="1" t="b">
        <f>N84='[1]35千伏-750千伏电网基建'!N81</f>
        <v>1</v>
      </c>
      <c r="BD84" s="1" t="b">
        <f>O84='[1]35千伏-750千伏电网基建'!O81</f>
        <v>1</v>
      </c>
      <c r="BE84" s="1" t="b">
        <f>P84='[1]35千伏-750千伏电网基建'!P81</f>
        <v>1</v>
      </c>
      <c r="BF84" s="1" t="b">
        <f>Q84='[1]35千伏-750千伏电网基建'!Q81</f>
        <v>1</v>
      </c>
      <c r="BG84" s="1" t="b">
        <f>R84='[1]35千伏-750千伏电网基建'!R81</f>
        <v>1</v>
      </c>
      <c r="BH84" s="1" t="b">
        <f>S84='[1]35千伏-750千伏电网基建'!S81</f>
        <v>1</v>
      </c>
      <c r="BI84" s="1" t="b">
        <f>T84='[1]35千伏-750千伏电网基建'!T81</f>
        <v>1</v>
      </c>
      <c r="BJ84" s="1" t="b">
        <f>U84='[1]35千伏-750千伏电网基建'!U81</f>
        <v>1</v>
      </c>
      <c r="BK84" s="1" t="b">
        <f>V84='[1]35千伏-750千伏电网基建'!V81</f>
        <v>1</v>
      </c>
      <c r="BL84" s="8" t="b">
        <f>W84='[1]35千伏-750千伏电网基建'!W81</f>
        <v>0</v>
      </c>
      <c r="BM84" s="1" t="b">
        <f>X84='[1]35千伏-750千伏电网基建'!X81</f>
        <v>1</v>
      </c>
      <c r="BN84" s="1" t="b">
        <f>Y84='[1]35千伏-750千伏电网基建'!Y81</f>
        <v>1</v>
      </c>
      <c r="BO84" s="1" t="b">
        <f>Z84='[1]35千伏-750千伏电网基建'!Z81</f>
        <v>1</v>
      </c>
      <c r="BP84" s="1" t="b">
        <f>AA84='[1]35千伏-750千伏电网基建'!AA81</f>
        <v>1</v>
      </c>
      <c r="BQ84" s="1" t="b">
        <f>AB84='[1]35千伏-750千伏电网基建'!AB81</f>
        <v>1</v>
      </c>
      <c r="BR84" s="1" t="b">
        <f>AC84='[1]35千伏-750千伏电网基建'!AC81</f>
        <v>1</v>
      </c>
      <c r="BS84" s="1" t="b">
        <f>AD84='[1]35千伏-750千伏电网基建'!AD81</f>
        <v>1</v>
      </c>
      <c r="BT84" s="1" t="b">
        <f>AE84='[1]35千伏-750千伏电网基建'!AE81</f>
        <v>1</v>
      </c>
      <c r="BU84" s="1" t="b">
        <f>AF84='[1]35千伏-750千伏电网基建'!AF81</f>
        <v>1</v>
      </c>
      <c r="BV84" s="1" t="b">
        <f>AG84='[1]35千伏-750千伏电网基建'!AG81</f>
        <v>1</v>
      </c>
      <c r="BW84" s="1" t="b">
        <f>AH84='[1]35千伏-750千伏电网基建'!AH81</f>
        <v>1</v>
      </c>
      <c r="BX84" s="1" t="b">
        <f>AI84='[1]35千伏-750千伏电网基建'!AI81</f>
        <v>1</v>
      </c>
      <c r="BY84" s="1" t="b">
        <f>AJ84='[1]35千伏-750千伏电网基建'!AJ81</f>
        <v>1</v>
      </c>
      <c r="BZ84" s="1" t="b">
        <f>AK84='[1]35千伏-750千伏电网基建'!AK81</f>
        <v>1</v>
      </c>
    </row>
    <row r="85" s="1" customFormat="1" ht="94" customHeight="1" spans="1:78">
      <c r="A85" s="14"/>
      <c r="B85" s="14"/>
      <c r="C85" s="15" t="s">
        <v>536</v>
      </c>
      <c r="D85" s="23" t="s">
        <v>995</v>
      </c>
      <c r="E85" s="16" t="s">
        <v>996</v>
      </c>
      <c r="F85" s="24"/>
      <c r="G85" s="15" t="s">
        <v>1285</v>
      </c>
      <c r="H85" s="45" t="s">
        <v>998</v>
      </c>
      <c r="I85" s="23" t="s">
        <v>1286</v>
      </c>
      <c r="J85" s="16" t="s">
        <v>1287</v>
      </c>
      <c r="K85" s="15"/>
      <c r="L85" s="15"/>
      <c r="M85" s="15"/>
      <c r="N85" s="15"/>
      <c r="O85" s="15"/>
      <c r="P85" s="15"/>
      <c r="Q85" s="15" t="s">
        <v>36</v>
      </c>
      <c r="R85" s="15"/>
      <c r="S85" s="15"/>
      <c r="T85" s="15" t="s">
        <v>465</v>
      </c>
      <c r="U85" s="15" t="s">
        <v>790</v>
      </c>
      <c r="V85" s="16" t="s">
        <v>1001</v>
      </c>
      <c r="W85" s="35" t="s">
        <v>1465</v>
      </c>
      <c r="X85" s="15" t="s">
        <v>511</v>
      </c>
      <c r="Y85" s="15" t="s">
        <v>566</v>
      </c>
      <c r="Z85" s="30"/>
      <c r="AA85" s="15" t="s">
        <v>474</v>
      </c>
      <c r="AB85" s="15" t="s">
        <v>473</v>
      </c>
      <c r="AC85" s="30"/>
      <c r="AD85" s="15" t="s">
        <v>1003</v>
      </c>
      <c r="AE85" s="15" t="s">
        <v>511</v>
      </c>
      <c r="AF85" s="15"/>
      <c r="AG85" s="30"/>
      <c r="AH85" s="15" t="s">
        <v>476</v>
      </c>
      <c r="AI85" s="15" t="s">
        <v>476</v>
      </c>
      <c r="AJ85" s="15" t="s">
        <v>870</v>
      </c>
      <c r="AK85" s="15" t="s">
        <v>532</v>
      </c>
      <c r="AL85" s="1" t="s">
        <v>1064</v>
      </c>
      <c r="AM85" s="23" t="s">
        <v>470</v>
      </c>
      <c r="AO85" s="7" t="s">
        <v>1045</v>
      </c>
      <c r="AP85" s="1" t="b">
        <f>A85='[1]35千伏-750千伏电网基建'!A82</f>
        <v>1</v>
      </c>
      <c r="AQ85" s="1" t="b">
        <f>B85='[1]35千伏-750千伏电网基建'!B82</f>
        <v>1</v>
      </c>
      <c r="AR85" s="1" t="b">
        <f>C85='[1]35千伏-750千伏电网基建'!C82</f>
        <v>1</v>
      </c>
      <c r="AS85" s="1" t="b">
        <f>D85='[1]35千伏-750千伏电网基建'!D82</f>
        <v>1</v>
      </c>
      <c r="AT85" s="1" t="b">
        <f>E85='[1]35千伏-750千伏电网基建'!E82</f>
        <v>1</v>
      </c>
      <c r="AU85" s="1" t="b">
        <f>F85='[1]35千伏-750千伏电网基建'!F82</f>
        <v>1</v>
      </c>
      <c r="AV85" s="1" t="b">
        <f>G85='[1]35千伏-750千伏电网基建'!G82</f>
        <v>1</v>
      </c>
      <c r="AW85" s="1" t="b">
        <f>H85='[1]35千伏-750千伏电网基建'!H82</f>
        <v>1</v>
      </c>
      <c r="AX85" s="1" t="b">
        <f>I85='[1]35千伏-750千伏电网基建'!I82</f>
        <v>1</v>
      </c>
      <c r="AY85" s="1" t="b">
        <f>J85='[1]35千伏-750千伏电网基建'!J82</f>
        <v>1</v>
      </c>
      <c r="AZ85" s="1" t="b">
        <f>K85='[1]35千伏-750千伏电网基建'!K82</f>
        <v>1</v>
      </c>
      <c r="BA85" s="1" t="b">
        <f>L85='[1]35千伏-750千伏电网基建'!L82</f>
        <v>1</v>
      </c>
      <c r="BB85" s="1" t="b">
        <f>M85='[1]35千伏-750千伏电网基建'!M82</f>
        <v>1</v>
      </c>
      <c r="BC85" s="1" t="b">
        <f>N85='[1]35千伏-750千伏电网基建'!N82</f>
        <v>1</v>
      </c>
      <c r="BD85" s="1" t="b">
        <f>O85='[1]35千伏-750千伏电网基建'!O82</f>
        <v>1</v>
      </c>
      <c r="BE85" s="1" t="b">
        <f>P85='[1]35千伏-750千伏电网基建'!P82</f>
        <v>1</v>
      </c>
      <c r="BF85" s="1" t="b">
        <f>Q85='[1]35千伏-750千伏电网基建'!Q82</f>
        <v>1</v>
      </c>
      <c r="BG85" s="1" t="b">
        <f>R85='[1]35千伏-750千伏电网基建'!R82</f>
        <v>1</v>
      </c>
      <c r="BH85" s="1" t="b">
        <f>S85='[1]35千伏-750千伏电网基建'!S82</f>
        <v>1</v>
      </c>
      <c r="BI85" s="1" t="b">
        <f>T85='[1]35千伏-750千伏电网基建'!T82</f>
        <v>1</v>
      </c>
      <c r="BJ85" s="1" t="b">
        <f>U85='[1]35千伏-750千伏电网基建'!U82</f>
        <v>1</v>
      </c>
      <c r="BK85" s="1" t="b">
        <f>V85='[1]35千伏-750千伏电网基建'!V82</f>
        <v>1</v>
      </c>
      <c r="BL85" s="8" t="b">
        <f>W85='[1]35千伏-750千伏电网基建'!W82</f>
        <v>0</v>
      </c>
      <c r="BM85" s="1" t="b">
        <f>X85='[1]35千伏-750千伏电网基建'!X82</f>
        <v>1</v>
      </c>
      <c r="BN85" s="1" t="b">
        <f>Y85='[1]35千伏-750千伏电网基建'!Y82</f>
        <v>1</v>
      </c>
      <c r="BO85" s="1" t="b">
        <f>Z85='[1]35千伏-750千伏电网基建'!Z82</f>
        <v>1</v>
      </c>
      <c r="BP85" s="1" t="b">
        <f>AA85='[1]35千伏-750千伏电网基建'!AA82</f>
        <v>1</v>
      </c>
      <c r="BQ85" s="1" t="b">
        <f>AB85='[1]35千伏-750千伏电网基建'!AB82</f>
        <v>1</v>
      </c>
      <c r="BR85" s="1" t="b">
        <f>AC85='[1]35千伏-750千伏电网基建'!AC82</f>
        <v>1</v>
      </c>
      <c r="BS85" s="1" t="b">
        <f>AD85='[1]35千伏-750千伏电网基建'!AD82</f>
        <v>1</v>
      </c>
      <c r="BT85" s="1" t="b">
        <f>AE85='[1]35千伏-750千伏电网基建'!AE82</f>
        <v>1</v>
      </c>
      <c r="BU85" s="1" t="b">
        <f>AF85='[1]35千伏-750千伏电网基建'!AF82</f>
        <v>1</v>
      </c>
      <c r="BV85" s="1" t="b">
        <f>AG85='[1]35千伏-750千伏电网基建'!AG82</f>
        <v>1</v>
      </c>
      <c r="BW85" s="1" t="b">
        <f>AH85='[1]35千伏-750千伏电网基建'!AH82</f>
        <v>1</v>
      </c>
      <c r="BX85" s="1" t="b">
        <f>AI85='[1]35千伏-750千伏电网基建'!AI82</f>
        <v>1</v>
      </c>
      <c r="BY85" s="1" t="b">
        <f>AJ85='[1]35千伏-750千伏电网基建'!AJ82</f>
        <v>1</v>
      </c>
      <c r="BZ85" s="1" t="b">
        <f>AK85='[1]35千伏-750千伏电网基建'!AK82</f>
        <v>1</v>
      </c>
    </row>
    <row r="86" s="1" customFormat="1" ht="142" customHeight="1" spans="1:78">
      <c r="A86" s="14"/>
      <c r="B86" s="14"/>
      <c r="C86" s="15"/>
      <c r="D86" s="23"/>
      <c r="E86" s="16"/>
      <c r="F86" s="24"/>
      <c r="G86" s="15"/>
      <c r="H86" s="48"/>
      <c r="I86" s="23" t="s">
        <v>1288</v>
      </c>
      <c r="J86" s="16" t="s">
        <v>1289</v>
      </c>
      <c r="K86" s="15"/>
      <c r="L86" s="15"/>
      <c r="M86" s="15"/>
      <c r="N86" s="15"/>
      <c r="O86" s="15"/>
      <c r="P86" s="15"/>
      <c r="Q86" s="15" t="s">
        <v>36</v>
      </c>
      <c r="R86" s="15"/>
      <c r="S86" s="15"/>
      <c r="T86" s="15" t="s">
        <v>465</v>
      </c>
      <c r="U86" s="15" t="s">
        <v>1006</v>
      </c>
      <c r="V86" s="16" t="s">
        <v>1001</v>
      </c>
      <c r="W86" s="35" t="s">
        <v>1465</v>
      </c>
      <c r="X86" s="15" t="s">
        <v>511</v>
      </c>
      <c r="Y86" s="15" t="s">
        <v>566</v>
      </c>
      <c r="Z86" s="30"/>
      <c r="AA86" s="15" t="s">
        <v>474</v>
      </c>
      <c r="AB86" s="15" t="s">
        <v>473</v>
      </c>
      <c r="AC86" s="30"/>
      <c r="AD86" s="15" t="s">
        <v>1003</v>
      </c>
      <c r="AE86" s="15" t="s">
        <v>511</v>
      </c>
      <c r="AF86" s="15"/>
      <c r="AG86" s="30"/>
      <c r="AH86" s="15" t="s">
        <v>476</v>
      </c>
      <c r="AI86" s="15" t="s">
        <v>476</v>
      </c>
      <c r="AJ86" s="15" t="s">
        <v>870</v>
      </c>
      <c r="AK86" s="15"/>
      <c r="AL86" s="1" t="s">
        <v>1064</v>
      </c>
      <c r="AM86" s="23" t="s">
        <v>470</v>
      </c>
      <c r="AO86" s="7" t="s">
        <v>1045</v>
      </c>
      <c r="AP86" s="1" t="b">
        <f>A86='[1]35千伏-750千伏电网基建'!A83</f>
        <v>1</v>
      </c>
      <c r="AQ86" s="1" t="b">
        <f>B86='[1]35千伏-750千伏电网基建'!B83</f>
        <v>1</v>
      </c>
      <c r="AR86" s="1" t="b">
        <f>C86='[1]35千伏-750千伏电网基建'!C83</f>
        <v>1</v>
      </c>
      <c r="AS86" s="1" t="b">
        <f>D86='[1]35千伏-750千伏电网基建'!D83</f>
        <v>1</v>
      </c>
      <c r="AT86" s="1" t="b">
        <f>E86='[1]35千伏-750千伏电网基建'!E83</f>
        <v>1</v>
      </c>
      <c r="AU86" s="1" t="b">
        <f>F86='[1]35千伏-750千伏电网基建'!F83</f>
        <v>1</v>
      </c>
      <c r="AV86" s="1" t="b">
        <f>G86='[1]35千伏-750千伏电网基建'!G83</f>
        <v>1</v>
      </c>
      <c r="AW86" s="1" t="b">
        <f>H86='[1]35千伏-750千伏电网基建'!H83</f>
        <v>1</v>
      </c>
      <c r="AX86" s="1" t="b">
        <f>I86='[1]35千伏-750千伏电网基建'!I83</f>
        <v>1</v>
      </c>
      <c r="AY86" s="1" t="b">
        <f>J86='[1]35千伏-750千伏电网基建'!J83</f>
        <v>1</v>
      </c>
      <c r="AZ86" s="1" t="b">
        <f>K86='[1]35千伏-750千伏电网基建'!K83</f>
        <v>1</v>
      </c>
      <c r="BA86" s="1" t="b">
        <f>L86='[1]35千伏-750千伏电网基建'!L83</f>
        <v>1</v>
      </c>
      <c r="BB86" s="1" t="b">
        <f>M86='[1]35千伏-750千伏电网基建'!M83</f>
        <v>1</v>
      </c>
      <c r="BC86" s="1" t="b">
        <f>N86='[1]35千伏-750千伏电网基建'!N83</f>
        <v>1</v>
      </c>
      <c r="BD86" s="1" t="b">
        <f>O86='[1]35千伏-750千伏电网基建'!O83</f>
        <v>1</v>
      </c>
      <c r="BE86" s="1" t="b">
        <f>P86='[1]35千伏-750千伏电网基建'!P83</f>
        <v>1</v>
      </c>
      <c r="BF86" s="1" t="b">
        <f>Q86='[1]35千伏-750千伏电网基建'!Q83</f>
        <v>1</v>
      </c>
      <c r="BG86" s="1" t="b">
        <f>R86='[1]35千伏-750千伏电网基建'!R83</f>
        <v>1</v>
      </c>
      <c r="BH86" s="1" t="b">
        <f>S86='[1]35千伏-750千伏电网基建'!S83</f>
        <v>1</v>
      </c>
      <c r="BI86" s="1" t="b">
        <f>T86='[1]35千伏-750千伏电网基建'!T83</f>
        <v>1</v>
      </c>
      <c r="BJ86" s="1" t="b">
        <f>U86='[1]35千伏-750千伏电网基建'!U83</f>
        <v>1</v>
      </c>
      <c r="BK86" s="1" t="b">
        <f>V86='[1]35千伏-750千伏电网基建'!V83</f>
        <v>1</v>
      </c>
      <c r="BL86" s="8" t="b">
        <f>W86='[1]35千伏-750千伏电网基建'!W83</f>
        <v>0</v>
      </c>
      <c r="BM86" s="1" t="b">
        <f>X86='[1]35千伏-750千伏电网基建'!X83</f>
        <v>1</v>
      </c>
      <c r="BN86" s="1" t="b">
        <f>Y86='[1]35千伏-750千伏电网基建'!Y83</f>
        <v>1</v>
      </c>
      <c r="BO86" s="1" t="b">
        <f>Z86='[1]35千伏-750千伏电网基建'!Z83</f>
        <v>1</v>
      </c>
      <c r="BP86" s="1" t="b">
        <f>AA86='[1]35千伏-750千伏电网基建'!AA83</f>
        <v>1</v>
      </c>
      <c r="BQ86" s="1" t="b">
        <f>AB86='[1]35千伏-750千伏电网基建'!AB83</f>
        <v>1</v>
      </c>
      <c r="BR86" s="1" t="b">
        <f>AC86='[1]35千伏-750千伏电网基建'!AC83</f>
        <v>1</v>
      </c>
      <c r="BS86" s="1" t="b">
        <f>AD86='[1]35千伏-750千伏电网基建'!AD83</f>
        <v>1</v>
      </c>
      <c r="BT86" s="1" t="b">
        <f>AE86='[1]35千伏-750千伏电网基建'!AE83</f>
        <v>1</v>
      </c>
      <c r="BU86" s="1" t="b">
        <f>AF86='[1]35千伏-750千伏电网基建'!AF83</f>
        <v>1</v>
      </c>
      <c r="BV86" s="1" t="b">
        <f>AG86='[1]35千伏-750千伏电网基建'!AG83</f>
        <v>1</v>
      </c>
      <c r="BW86" s="1" t="b">
        <f>AH86='[1]35千伏-750千伏电网基建'!AH83</f>
        <v>1</v>
      </c>
      <c r="BX86" s="1" t="b">
        <f>AI86='[1]35千伏-750千伏电网基建'!AI83</f>
        <v>1</v>
      </c>
      <c r="BY86" s="1" t="b">
        <f>AJ86='[1]35千伏-750千伏电网基建'!AJ83</f>
        <v>1</v>
      </c>
      <c r="BZ86" s="1" t="b">
        <f>AK86='[1]35千伏-750千伏电网基建'!AK83</f>
        <v>1</v>
      </c>
    </row>
    <row r="87" s="1" customFormat="1" ht="62" customHeight="1" spans="1:78">
      <c r="A87" s="14" t="s">
        <v>483</v>
      </c>
      <c r="B87" s="14" t="s">
        <v>922</v>
      </c>
      <c r="C87" s="15" t="s">
        <v>536</v>
      </c>
      <c r="D87" s="23" t="s">
        <v>995</v>
      </c>
      <c r="E87" s="16" t="s">
        <v>1007</v>
      </c>
      <c r="F87" s="40"/>
      <c r="G87" s="15" t="s">
        <v>1290</v>
      </c>
      <c r="H87" s="16" t="s">
        <v>1009</v>
      </c>
      <c r="I87" s="23" t="s">
        <v>1291</v>
      </c>
      <c r="J87" s="16" t="s">
        <v>1292</v>
      </c>
      <c r="K87" s="15"/>
      <c r="L87" s="15" t="s">
        <v>36</v>
      </c>
      <c r="M87" s="15"/>
      <c r="N87" s="15"/>
      <c r="O87" s="15"/>
      <c r="P87" s="15"/>
      <c r="Q87" s="15" t="s">
        <v>36</v>
      </c>
      <c r="R87" s="15"/>
      <c r="S87" s="15"/>
      <c r="T87" s="15" t="s">
        <v>465</v>
      </c>
      <c r="U87" s="15" t="s">
        <v>467</v>
      </c>
      <c r="V87" s="16" t="s">
        <v>1012</v>
      </c>
      <c r="W87" s="35" t="s">
        <v>1466</v>
      </c>
      <c r="X87" s="15" t="s">
        <v>511</v>
      </c>
      <c r="Y87" s="15" t="s">
        <v>566</v>
      </c>
      <c r="Z87" s="30"/>
      <c r="AA87" s="15" t="s">
        <v>474</v>
      </c>
      <c r="AB87" s="15" t="s">
        <v>473</v>
      </c>
      <c r="AC87" s="30"/>
      <c r="AD87" s="15" t="s">
        <v>1014</v>
      </c>
      <c r="AE87" s="15" t="s">
        <v>511</v>
      </c>
      <c r="AF87" s="15"/>
      <c r="AG87" s="30"/>
      <c r="AH87" s="15" t="s">
        <v>476</v>
      </c>
      <c r="AI87" s="15" t="s">
        <v>476</v>
      </c>
      <c r="AJ87" s="15" t="s">
        <v>870</v>
      </c>
      <c r="AK87" s="15" t="s">
        <v>532</v>
      </c>
      <c r="AL87" s="1" t="s">
        <v>1064</v>
      </c>
      <c r="AM87" s="23" t="s">
        <v>470</v>
      </c>
      <c r="AO87" s="7" t="s">
        <v>1045</v>
      </c>
      <c r="AP87" s="1" t="b">
        <f>A87='[1]35千伏-750千伏电网基建'!A84</f>
        <v>1</v>
      </c>
      <c r="AQ87" s="1" t="b">
        <f>B87='[1]35千伏-750千伏电网基建'!B84</f>
        <v>1</v>
      </c>
      <c r="AR87" s="1" t="b">
        <f>C87='[1]35千伏-750千伏电网基建'!C84</f>
        <v>1</v>
      </c>
      <c r="AS87" s="1" t="b">
        <f>D87='[1]35千伏-750千伏电网基建'!D84</f>
        <v>1</v>
      </c>
      <c r="AT87" s="1" t="b">
        <f>E87='[1]35千伏-750千伏电网基建'!E84</f>
        <v>1</v>
      </c>
      <c r="AU87" s="1" t="b">
        <f>F87='[1]35千伏-750千伏电网基建'!F84</f>
        <v>1</v>
      </c>
      <c r="AV87" s="1" t="b">
        <f>G87='[1]35千伏-750千伏电网基建'!G84</f>
        <v>1</v>
      </c>
      <c r="AW87" s="1" t="b">
        <f>H87='[1]35千伏-750千伏电网基建'!H84</f>
        <v>1</v>
      </c>
      <c r="AX87" s="1" t="b">
        <f>I87='[1]35千伏-750千伏电网基建'!I84</f>
        <v>1</v>
      </c>
      <c r="AY87" s="1" t="b">
        <f>J87='[1]35千伏-750千伏电网基建'!J84</f>
        <v>1</v>
      </c>
      <c r="AZ87" s="1" t="b">
        <f>K87='[1]35千伏-750千伏电网基建'!K84</f>
        <v>1</v>
      </c>
      <c r="BA87" s="1" t="b">
        <f>L87='[1]35千伏-750千伏电网基建'!L84</f>
        <v>1</v>
      </c>
      <c r="BB87" s="1" t="b">
        <f>M87='[1]35千伏-750千伏电网基建'!M84</f>
        <v>1</v>
      </c>
      <c r="BC87" s="1" t="b">
        <f>N87='[1]35千伏-750千伏电网基建'!N84</f>
        <v>1</v>
      </c>
      <c r="BD87" s="1" t="b">
        <f>O87='[1]35千伏-750千伏电网基建'!O84</f>
        <v>1</v>
      </c>
      <c r="BE87" s="1" t="b">
        <f>P87='[1]35千伏-750千伏电网基建'!P84</f>
        <v>1</v>
      </c>
      <c r="BF87" s="1" t="b">
        <f>Q87='[1]35千伏-750千伏电网基建'!Q84</f>
        <v>1</v>
      </c>
      <c r="BG87" s="1" t="b">
        <f>R87='[1]35千伏-750千伏电网基建'!R84</f>
        <v>1</v>
      </c>
      <c r="BH87" s="1" t="b">
        <f>S87='[1]35千伏-750千伏电网基建'!S84</f>
        <v>1</v>
      </c>
      <c r="BI87" s="1" t="b">
        <f>T87='[1]35千伏-750千伏电网基建'!T84</f>
        <v>1</v>
      </c>
      <c r="BJ87" s="1" t="b">
        <f>U87='[1]35千伏-750千伏电网基建'!U84</f>
        <v>1</v>
      </c>
      <c r="BK87" s="1" t="b">
        <f>V87='[1]35千伏-750千伏电网基建'!V84</f>
        <v>1</v>
      </c>
      <c r="BL87" s="8" t="b">
        <f>W87='[1]35千伏-750千伏电网基建'!W84</f>
        <v>0</v>
      </c>
      <c r="BM87" s="1" t="b">
        <f>X87='[1]35千伏-750千伏电网基建'!X84</f>
        <v>1</v>
      </c>
      <c r="BN87" s="1" t="b">
        <f>Y87='[1]35千伏-750千伏电网基建'!Y84</f>
        <v>1</v>
      </c>
      <c r="BO87" s="1" t="b">
        <f>Z87='[1]35千伏-750千伏电网基建'!Z84</f>
        <v>1</v>
      </c>
      <c r="BP87" s="1" t="b">
        <f>AA87='[1]35千伏-750千伏电网基建'!AA84</f>
        <v>1</v>
      </c>
      <c r="BQ87" s="1" t="b">
        <f>AB87='[1]35千伏-750千伏电网基建'!AB84</f>
        <v>1</v>
      </c>
      <c r="BR87" s="1" t="b">
        <f>AC87='[1]35千伏-750千伏电网基建'!AC84</f>
        <v>1</v>
      </c>
      <c r="BS87" s="1" t="b">
        <f>AD87='[1]35千伏-750千伏电网基建'!AD84</f>
        <v>1</v>
      </c>
      <c r="BT87" s="1" t="b">
        <f>AE87='[1]35千伏-750千伏电网基建'!AE84</f>
        <v>1</v>
      </c>
      <c r="BU87" s="1" t="b">
        <f>AF87='[1]35千伏-750千伏电网基建'!AF84</f>
        <v>1</v>
      </c>
      <c r="BV87" s="1" t="b">
        <f>AG87='[1]35千伏-750千伏电网基建'!AG84</f>
        <v>1</v>
      </c>
      <c r="BW87" s="1" t="b">
        <f>AH87='[1]35千伏-750千伏电网基建'!AH84</f>
        <v>1</v>
      </c>
      <c r="BX87" s="1" t="b">
        <f>AI87='[1]35千伏-750千伏电网基建'!AI84</f>
        <v>1</v>
      </c>
      <c r="BY87" s="1" t="b">
        <f>AJ87='[1]35千伏-750千伏电网基建'!AJ84</f>
        <v>1</v>
      </c>
      <c r="BZ87" s="1" t="b">
        <f>AK87='[1]35千伏-750千伏电网基建'!AK84</f>
        <v>1</v>
      </c>
    </row>
    <row r="88" s="1" customFormat="1" ht="77" customHeight="1" spans="1:78">
      <c r="A88" s="14"/>
      <c r="B88" s="14"/>
      <c r="C88" s="15"/>
      <c r="D88" s="23"/>
      <c r="E88" s="16"/>
      <c r="F88" s="40"/>
      <c r="G88" s="15"/>
      <c r="H88" s="16"/>
      <c r="I88" s="23" t="s">
        <v>1293</v>
      </c>
      <c r="J88" s="16" t="s">
        <v>1294</v>
      </c>
      <c r="K88" s="15"/>
      <c r="L88" s="15" t="s">
        <v>36</v>
      </c>
      <c r="M88" s="15"/>
      <c r="N88" s="15"/>
      <c r="O88" s="15"/>
      <c r="P88" s="15"/>
      <c r="Q88" s="15" t="s">
        <v>36</v>
      </c>
      <c r="R88" s="15"/>
      <c r="S88" s="15"/>
      <c r="T88" s="15" t="s">
        <v>465</v>
      </c>
      <c r="U88" s="15" t="s">
        <v>467</v>
      </c>
      <c r="V88" s="16" t="s">
        <v>1017</v>
      </c>
      <c r="W88" s="35" t="s">
        <v>1466</v>
      </c>
      <c r="X88" s="15" t="s">
        <v>511</v>
      </c>
      <c r="Y88" s="15" t="s">
        <v>566</v>
      </c>
      <c r="Z88" s="30"/>
      <c r="AA88" s="15" t="s">
        <v>474</v>
      </c>
      <c r="AB88" s="15" t="s">
        <v>473</v>
      </c>
      <c r="AC88" s="30"/>
      <c r="AD88" s="15" t="s">
        <v>1014</v>
      </c>
      <c r="AE88" s="15" t="s">
        <v>511</v>
      </c>
      <c r="AF88" s="15"/>
      <c r="AG88" s="30"/>
      <c r="AH88" s="15" t="s">
        <v>476</v>
      </c>
      <c r="AI88" s="15" t="s">
        <v>476</v>
      </c>
      <c r="AJ88" s="15" t="s">
        <v>870</v>
      </c>
      <c r="AK88" s="15"/>
      <c r="AL88" s="1" t="s">
        <v>1064</v>
      </c>
      <c r="AM88" s="23" t="s">
        <v>470</v>
      </c>
      <c r="AO88" s="7" t="s">
        <v>1045</v>
      </c>
      <c r="AP88" s="1" t="b">
        <f>A88='[1]35千伏-750千伏电网基建'!A85</f>
        <v>1</v>
      </c>
      <c r="AQ88" s="1" t="b">
        <f>B88='[1]35千伏-750千伏电网基建'!B85</f>
        <v>1</v>
      </c>
      <c r="AR88" s="1" t="b">
        <f>C88='[1]35千伏-750千伏电网基建'!C85</f>
        <v>1</v>
      </c>
      <c r="AS88" s="1" t="b">
        <f>D88='[1]35千伏-750千伏电网基建'!D85</f>
        <v>1</v>
      </c>
      <c r="AT88" s="1" t="b">
        <f>E88='[1]35千伏-750千伏电网基建'!E85</f>
        <v>1</v>
      </c>
      <c r="AU88" s="1" t="b">
        <f>F88='[1]35千伏-750千伏电网基建'!F85</f>
        <v>1</v>
      </c>
      <c r="AV88" s="1" t="b">
        <f>G88='[1]35千伏-750千伏电网基建'!G85</f>
        <v>1</v>
      </c>
      <c r="AW88" s="1" t="b">
        <f>H88='[1]35千伏-750千伏电网基建'!H85</f>
        <v>1</v>
      </c>
      <c r="AX88" s="1" t="b">
        <f>I88='[1]35千伏-750千伏电网基建'!I85</f>
        <v>1</v>
      </c>
      <c r="AY88" s="1" t="b">
        <f>J88='[1]35千伏-750千伏电网基建'!J85</f>
        <v>1</v>
      </c>
      <c r="AZ88" s="1" t="b">
        <f>K88='[1]35千伏-750千伏电网基建'!K85</f>
        <v>1</v>
      </c>
      <c r="BA88" s="1" t="b">
        <f>L88='[1]35千伏-750千伏电网基建'!L85</f>
        <v>1</v>
      </c>
      <c r="BB88" s="1" t="b">
        <f>M88='[1]35千伏-750千伏电网基建'!M85</f>
        <v>1</v>
      </c>
      <c r="BC88" s="1" t="b">
        <f>N88='[1]35千伏-750千伏电网基建'!N85</f>
        <v>1</v>
      </c>
      <c r="BD88" s="1" t="b">
        <f>O88='[1]35千伏-750千伏电网基建'!O85</f>
        <v>1</v>
      </c>
      <c r="BE88" s="1" t="b">
        <f>P88='[1]35千伏-750千伏电网基建'!P85</f>
        <v>1</v>
      </c>
      <c r="BF88" s="1" t="b">
        <f>Q88='[1]35千伏-750千伏电网基建'!Q85</f>
        <v>1</v>
      </c>
      <c r="BG88" s="1" t="b">
        <f>R88='[1]35千伏-750千伏电网基建'!R85</f>
        <v>1</v>
      </c>
      <c r="BH88" s="1" t="b">
        <f>S88='[1]35千伏-750千伏电网基建'!S85</f>
        <v>1</v>
      </c>
      <c r="BI88" s="1" t="b">
        <f>T88='[1]35千伏-750千伏电网基建'!T85</f>
        <v>1</v>
      </c>
      <c r="BJ88" s="1" t="b">
        <f>U88='[1]35千伏-750千伏电网基建'!U85</f>
        <v>1</v>
      </c>
      <c r="BK88" s="1" t="b">
        <f>V88='[1]35千伏-750千伏电网基建'!V85</f>
        <v>1</v>
      </c>
      <c r="BL88" s="8" t="b">
        <f>W88='[1]35千伏-750千伏电网基建'!W85</f>
        <v>0</v>
      </c>
      <c r="BM88" s="1" t="b">
        <f>X88='[1]35千伏-750千伏电网基建'!X85</f>
        <v>1</v>
      </c>
      <c r="BN88" s="1" t="b">
        <f>Y88='[1]35千伏-750千伏电网基建'!Y85</f>
        <v>1</v>
      </c>
      <c r="BO88" s="1" t="b">
        <f>Z88='[1]35千伏-750千伏电网基建'!Z85</f>
        <v>1</v>
      </c>
      <c r="BP88" s="1" t="b">
        <f>AA88='[1]35千伏-750千伏电网基建'!AA85</f>
        <v>1</v>
      </c>
      <c r="BQ88" s="1" t="b">
        <f>AB88='[1]35千伏-750千伏电网基建'!AB85</f>
        <v>1</v>
      </c>
      <c r="BR88" s="1" t="b">
        <f>AC88='[1]35千伏-750千伏电网基建'!AC85</f>
        <v>1</v>
      </c>
      <c r="BS88" s="1" t="b">
        <f>AD88='[1]35千伏-750千伏电网基建'!AD85</f>
        <v>1</v>
      </c>
      <c r="BT88" s="1" t="b">
        <f>AE88='[1]35千伏-750千伏电网基建'!AE85</f>
        <v>1</v>
      </c>
      <c r="BU88" s="1" t="b">
        <f>AF88='[1]35千伏-750千伏电网基建'!AF85</f>
        <v>1</v>
      </c>
      <c r="BV88" s="1" t="b">
        <f>AG88='[1]35千伏-750千伏电网基建'!AG85</f>
        <v>1</v>
      </c>
      <c r="BW88" s="1" t="b">
        <f>AH88='[1]35千伏-750千伏电网基建'!AH85</f>
        <v>1</v>
      </c>
      <c r="BX88" s="1" t="b">
        <f>AI88='[1]35千伏-750千伏电网基建'!AI85</f>
        <v>1</v>
      </c>
      <c r="BY88" s="1" t="b">
        <f>AJ88='[1]35千伏-750千伏电网基建'!AJ85</f>
        <v>1</v>
      </c>
      <c r="BZ88" s="1" t="b">
        <f>AK88='[1]35千伏-750千伏电网基建'!AK85</f>
        <v>1</v>
      </c>
    </row>
    <row r="89" ht="74" customHeight="1" spans="1:78">
      <c r="A89" s="14"/>
      <c r="B89" s="14"/>
      <c r="C89" s="15"/>
      <c r="D89" s="23"/>
      <c r="E89" s="16"/>
      <c r="F89" s="40"/>
      <c r="G89" s="15"/>
      <c r="H89" s="16"/>
      <c r="I89" s="23" t="s">
        <v>1295</v>
      </c>
      <c r="J89" s="16" t="s">
        <v>1296</v>
      </c>
      <c r="K89" s="15"/>
      <c r="L89" s="15"/>
      <c r="M89" s="15"/>
      <c r="N89" s="15"/>
      <c r="O89" s="15"/>
      <c r="P89" s="15"/>
      <c r="Q89" s="15" t="s">
        <v>36</v>
      </c>
      <c r="R89" s="15"/>
      <c r="S89" s="15"/>
      <c r="T89" s="15" t="s">
        <v>550</v>
      </c>
      <c r="U89" s="15" t="s">
        <v>467</v>
      </c>
      <c r="V89" s="16" t="s">
        <v>1020</v>
      </c>
      <c r="W89" s="35" t="s">
        <v>1465</v>
      </c>
      <c r="X89" s="15" t="s">
        <v>511</v>
      </c>
      <c r="Y89" s="15" t="s">
        <v>566</v>
      </c>
      <c r="Z89" s="30"/>
      <c r="AA89" s="15" t="s">
        <v>474</v>
      </c>
      <c r="AB89" s="15" t="s">
        <v>473</v>
      </c>
      <c r="AC89" s="30"/>
      <c r="AD89" s="15"/>
      <c r="AE89" s="30"/>
      <c r="AF89" s="15"/>
      <c r="AG89" s="30"/>
      <c r="AH89" s="15" t="s">
        <v>476</v>
      </c>
      <c r="AI89" s="15" t="s">
        <v>476</v>
      </c>
      <c r="AJ89" s="15" t="s">
        <v>870</v>
      </c>
      <c r="AK89" s="15"/>
      <c r="AL89" s="1" t="s">
        <v>1064</v>
      </c>
      <c r="AM89" s="23" t="s">
        <v>470</v>
      </c>
      <c r="AN89" s="1"/>
      <c r="AO89" s="7" t="s">
        <v>1045</v>
      </c>
      <c r="AP89" s="1" t="b">
        <f>A89='[1]35千伏-750千伏电网基建'!A86</f>
        <v>1</v>
      </c>
      <c r="AQ89" s="1" t="b">
        <f>B89='[1]35千伏-750千伏电网基建'!B86</f>
        <v>1</v>
      </c>
      <c r="AR89" s="1" t="b">
        <f>C89='[1]35千伏-750千伏电网基建'!C86</f>
        <v>1</v>
      </c>
      <c r="AS89" s="1" t="b">
        <f>D89='[1]35千伏-750千伏电网基建'!D86</f>
        <v>1</v>
      </c>
      <c r="AT89" s="1" t="b">
        <f>E89='[1]35千伏-750千伏电网基建'!E86</f>
        <v>1</v>
      </c>
      <c r="AU89" s="1" t="b">
        <f>F89='[1]35千伏-750千伏电网基建'!F86</f>
        <v>1</v>
      </c>
      <c r="AV89" s="1" t="b">
        <f>G89='[1]35千伏-750千伏电网基建'!G86</f>
        <v>1</v>
      </c>
      <c r="AW89" s="1" t="b">
        <f>H89='[1]35千伏-750千伏电网基建'!H86</f>
        <v>1</v>
      </c>
      <c r="AX89" s="1" t="b">
        <f>I89='[1]35千伏-750千伏电网基建'!I86</f>
        <v>1</v>
      </c>
      <c r="AY89" s="1" t="b">
        <f>J89='[1]35千伏-750千伏电网基建'!J86</f>
        <v>1</v>
      </c>
      <c r="AZ89" s="1" t="b">
        <f>K89='[1]35千伏-750千伏电网基建'!K86</f>
        <v>1</v>
      </c>
      <c r="BA89" s="1" t="b">
        <f>L89='[1]35千伏-750千伏电网基建'!L86</f>
        <v>1</v>
      </c>
      <c r="BB89" s="1" t="b">
        <f>M89='[1]35千伏-750千伏电网基建'!M86</f>
        <v>1</v>
      </c>
      <c r="BC89" s="1" t="b">
        <f>N89='[1]35千伏-750千伏电网基建'!N86</f>
        <v>1</v>
      </c>
      <c r="BD89" s="1" t="b">
        <f>O89='[1]35千伏-750千伏电网基建'!O86</f>
        <v>1</v>
      </c>
      <c r="BE89" s="1" t="b">
        <f>P89='[1]35千伏-750千伏电网基建'!P86</f>
        <v>1</v>
      </c>
      <c r="BF89" s="1" t="b">
        <f>Q89='[1]35千伏-750千伏电网基建'!Q86</f>
        <v>1</v>
      </c>
      <c r="BG89" s="1" t="b">
        <f>R89='[1]35千伏-750千伏电网基建'!R86</f>
        <v>1</v>
      </c>
      <c r="BH89" s="1" t="b">
        <f>S89='[1]35千伏-750千伏电网基建'!S86</f>
        <v>1</v>
      </c>
      <c r="BI89" s="1" t="b">
        <f>T89='[1]35千伏-750千伏电网基建'!T86</f>
        <v>1</v>
      </c>
      <c r="BJ89" s="1" t="b">
        <f>U89='[1]35千伏-750千伏电网基建'!U86</f>
        <v>1</v>
      </c>
      <c r="BK89" s="1" t="b">
        <f>V89='[1]35千伏-750千伏电网基建'!V86</f>
        <v>1</v>
      </c>
      <c r="BL89" s="8" t="b">
        <f>W89='[1]35千伏-750千伏电网基建'!W86</f>
        <v>0</v>
      </c>
      <c r="BM89" s="1" t="b">
        <f>X89='[1]35千伏-750千伏电网基建'!X86</f>
        <v>1</v>
      </c>
      <c r="BN89" s="1" t="b">
        <f>Y89='[1]35千伏-750千伏电网基建'!Y86</f>
        <v>1</v>
      </c>
      <c r="BO89" s="1" t="b">
        <f>Z89='[1]35千伏-750千伏电网基建'!Z86</f>
        <v>1</v>
      </c>
      <c r="BP89" s="1" t="b">
        <f>AA89='[1]35千伏-750千伏电网基建'!AA86</f>
        <v>1</v>
      </c>
      <c r="BQ89" s="1" t="b">
        <f>AB89='[1]35千伏-750千伏电网基建'!AB86</f>
        <v>1</v>
      </c>
      <c r="BR89" s="1" t="b">
        <f>AC89='[1]35千伏-750千伏电网基建'!AC86</f>
        <v>1</v>
      </c>
      <c r="BS89" s="1" t="b">
        <f>AD89='[1]35千伏-750千伏电网基建'!AD86</f>
        <v>1</v>
      </c>
      <c r="BT89" s="1" t="b">
        <f>AE89='[1]35千伏-750千伏电网基建'!AE86</f>
        <v>1</v>
      </c>
      <c r="BU89" s="1" t="b">
        <f>AF89='[1]35千伏-750千伏电网基建'!AF86</f>
        <v>1</v>
      </c>
      <c r="BV89" s="1" t="b">
        <f>AG89='[1]35千伏-750千伏电网基建'!AG86</f>
        <v>1</v>
      </c>
      <c r="BW89" s="1" t="b">
        <f>AH89='[1]35千伏-750千伏电网基建'!AH86</f>
        <v>1</v>
      </c>
      <c r="BX89" s="1" t="b">
        <f>AI89='[1]35千伏-750千伏电网基建'!AI86</f>
        <v>1</v>
      </c>
      <c r="BY89" s="1" t="b">
        <f>AJ89='[1]35千伏-750千伏电网基建'!AJ86</f>
        <v>1</v>
      </c>
      <c r="BZ89" s="1" t="b">
        <f>AK89='[1]35千伏-750千伏电网基建'!AK86</f>
        <v>1</v>
      </c>
    </row>
    <row r="90" ht="69" customHeight="1" spans="1:78">
      <c r="A90" s="14"/>
      <c r="B90" s="14"/>
      <c r="C90" s="15" t="s">
        <v>536</v>
      </c>
      <c r="D90" s="15" t="s">
        <v>1021</v>
      </c>
      <c r="E90" s="16" t="s">
        <v>1022</v>
      </c>
      <c r="F90" s="16"/>
      <c r="G90" s="15" t="s">
        <v>1297</v>
      </c>
      <c r="H90" s="45" t="s">
        <v>1024</v>
      </c>
      <c r="I90" s="23" t="s">
        <v>1298</v>
      </c>
      <c r="J90" s="16" t="s">
        <v>1299</v>
      </c>
      <c r="K90" s="15"/>
      <c r="L90" s="15" t="s">
        <v>36</v>
      </c>
      <c r="M90" s="15"/>
      <c r="N90" s="15"/>
      <c r="O90" s="15"/>
      <c r="P90" s="15"/>
      <c r="Q90" s="15"/>
      <c r="R90" s="15"/>
      <c r="S90" s="15" t="s">
        <v>36</v>
      </c>
      <c r="T90" s="15" t="s">
        <v>492</v>
      </c>
      <c r="U90" s="15"/>
      <c r="V90" s="16" t="s">
        <v>1027</v>
      </c>
      <c r="W90" s="29" t="s">
        <v>1300</v>
      </c>
      <c r="X90" s="85" t="s">
        <v>474</v>
      </c>
      <c r="Y90" s="85" t="s">
        <v>473</v>
      </c>
      <c r="Z90" s="85"/>
      <c r="AA90" s="85" t="s">
        <v>474</v>
      </c>
      <c r="AB90" s="85" t="s">
        <v>473</v>
      </c>
      <c r="AC90" s="85"/>
      <c r="AD90" s="85"/>
      <c r="AE90" s="86"/>
      <c r="AF90" s="85"/>
      <c r="AG90" s="85"/>
      <c r="AH90" s="85" t="s">
        <v>476</v>
      </c>
      <c r="AI90" s="15" t="s">
        <v>476</v>
      </c>
      <c r="AJ90" s="15" t="s">
        <v>1028</v>
      </c>
      <c r="AK90" s="15" t="s">
        <v>497</v>
      </c>
      <c r="AL90" s="22" t="s">
        <v>1043</v>
      </c>
      <c r="AM90" s="4" t="s">
        <v>1407</v>
      </c>
      <c r="AN90" s="1"/>
      <c r="AO90" s="7" t="s">
        <v>1045</v>
      </c>
      <c r="AP90" s="1" t="b">
        <f>A90='[1]35千伏-750千伏电网基建'!A87</f>
        <v>1</v>
      </c>
      <c r="AQ90" s="1" t="b">
        <f>B90='[1]35千伏-750千伏电网基建'!B87</f>
        <v>1</v>
      </c>
      <c r="AR90" s="1" t="b">
        <f>C90='[1]35千伏-750千伏电网基建'!C87</f>
        <v>1</v>
      </c>
      <c r="AS90" s="1" t="b">
        <f>D90='[1]35千伏-750千伏电网基建'!D87</f>
        <v>1</v>
      </c>
      <c r="AT90" s="1" t="b">
        <f>E90='[1]35千伏-750千伏电网基建'!E87</f>
        <v>1</v>
      </c>
      <c r="AU90" s="1" t="b">
        <f>F90='[1]35千伏-750千伏电网基建'!F87</f>
        <v>1</v>
      </c>
      <c r="AV90" s="1" t="b">
        <f>G90='[1]35千伏-750千伏电网基建'!G87</f>
        <v>1</v>
      </c>
      <c r="AW90" s="1" t="b">
        <f>H90='[1]35千伏-750千伏电网基建'!H87</f>
        <v>1</v>
      </c>
      <c r="AX90" s="1" t="b">
        <f>I90='[1]35千伏-750千伏电网基建'!I87</f>
        <v>1</v>
      </c>
      <c r="AY90" s="1" t="b">
        <f>J90='[1]35千伏-750千伏电网基建'!J87</f>
        <v>1</v>
      </c>
      <c r="AZ90" s="1" t="b">
        <f>K90='[1]35千伏-750千伏电网基建'!K87</f>
        <v>1</v>
      </c>
      <c r="BA90" s="1" t="b">
        <f>L90='[1]35千伏-750千伏电网基建'!L87</f>
        <v>1</v>
      </c>
      <c r="BB90" s="1" t="b">
        <f>M90='[1]35千伏-750千伏电网基建'!M87</f>
        <v>1</v>
      </c>
      <c r="BC90" s="1" t="b">
        <f>N90='[1]35千伏-750千伏电网基建'!N87</f>
        <v>1</v>
      </c>
      <c r="BD90" s="1" t="b">
        <f>O90='[1]35千伏-750千伏电网基建'!O87</f>
        <v>1</v>
      </c>
      <c r="BE90" s="1" t="b">
        <f>P90='[1]35千伏-750千伏电网基建'!P87</f>
        <v>1</v>
      </c>
      <c r="BF90" s="1" t="b">
        <f>Q90='[1]35千伏-750千伏电网基建'!Q87</f>
        <v>1</v>
      </c>
      <c r="BG90" s="1" t="b">
        <f>R90='[1]35千伏-750千伏电网基建'!R87</f>
        <v>1</v>
      </c>
      <c r="BH90" s="1" t="b">
        <f>S90='[1]35千伏-750千伏电网基建'!S87</f>
        <v>1</v>
      </c>
      <c r="BI90" s="1" t="b">
        <f>T90='[1]35千伏-750千伏电网基建'!T87</f>
        <v>1</v>
      </c>
      <c r="BJ90" s="1" t="b">
        <f>U90='[1]35千伏-750千伏电网基建'!U87</f>
        <v>1</v>
      </c>
      <c r="BK90" s="1" t="b">
        <f>V90='[1]35千伏-750千伏电网基建'!V87</f>
        <v>1</v>
      </c>
      <c r="BL90" s="8" t="b">
        <f>W90='[1]35千伏-750千伏电网基建'!W87</f>
        <v>0</v>
      </c>
      <c r="BM90" s="1" t="b">
        <f>X90='[1]35千伏-750千伏电网基建'!X87</f>
        <v>1</v>
      </c>
      <c r="BN90" s="1" t="b">
        <f>Y90='[1]35千伏-750千伏电网基建'!Y87</f>
        <v>1</v>
      </c>
      <c r="BO90" s="1" t="b">
        <f>Z90='[1]35千伏-750千伏电网基建'!Z87</f>
        <v>1</v>
      </c>
      <c r="BP90" s="1" t="b">
        <f>AA90='[1]35千伏-750千伏电网基建'!AA87</f>
        <v>1</v>
      </c>
      <c r="BQ90" s="1" t="b">
        <f>AB90='[1]35千伏-750千伏电网基建'!AB87</f>
        <v>1</v>
      </c>
      <c r="BR90" s="1" t="b">
        <f>AC90='[1]35千伏-750千伏电网基建'!AC87</f>
        <v>1</v>
      </c>
      <c r="BS90" s="1" t="b">
        <f>AD90='[1]35千伏-750千伏电网基建'!AD87</f>
        <v>1</v>
      </c>
      <c r="BT90" s="1" t="b">
        <f>AE90='[1]35千伏-750千伏电网基建'!AE87</f>
        <v>1</v>
      </c>
      <c r="BU90" s="1" t="b">
        <f>AF90='[1]35千伏-750千伏电网基建'!AF87</f>
        <v>1</v>
      </c>
      <c r="BV90" s="1" t="b">
        <f>AG90='[1]35千伏-750千伏电网基建'!AG87</f>
        <v>1</v>
      </c>
      <c r="BW90" s="1" t="b">
        <f>AH90='[1]35千伏-750千伏电网基建'!AH87</f>
        <v>1</v>
      </c>
      <c r="BX90" s="1" t="b">
        <f>AI90='[1]35千伏-750千伏电网基建'!AI87</f>
        <v>1</v>
      </c>
      <c r="BY90" s="1" t="b">
        <f>AJ90='[1]35千伏-750千伏电网基建'!AJ87</f>
        <v>1</v>
      </c>
      <c r="BZ90" s="1" t="b">
        <f>AK90='[1]35千伏-750千伏电网基建'!AK87</f>
        <v>1</v>
      </c>
    </row>
    <row r="91" ht="73" customHeight="1" spans="1:78">
      <c r="A91" s="14"/>
      <c r="B91" s="14"/>
      <c r="C91" s="15"/>
      <c r="D91" s="15"/>
      <c r="E91" s="16"/>
      <c r="F91" s="16"/>
      <c r="G91" s="15"/>
      <c r="H91" s="47"/>
      <c r="I91" s="23" t="s">
        <v>1301</v>
      </c>
      <c r="J91" s="16" t="s">
        <v>1302</v>
      </c>
      <c r="K91" s="15"/>
      <c r="L91" s="15" t="s">
        <v>36</v>
      </c>
      <c r="M91" s="15"/>
      <c r="N91" s="15"/>
      <c r="O91" s="15"/>
      <c r="P91" s="15"/>
      <c r="Q91" s="15"/>
      <c r="R91" s="15"/>
      <c r="S91" s="15" t="s">
        <v>36</v>
      </c>
      <c r="T91" s="15" t="s">
        <v>492</v>
      </c>
      <c r="U91" s="15"/>
      <c r="V91" s="16" t="s">
        <v>1031</v>
      </c>
      <c r="W91" s="29" t="s">
        <v>1300</v>
      </c>
      <c r="X91" s="85" t="s">
        <v>474</v>
      </c>
      <c r="Y91" s="85" t="s">
        <v>473</v>
      </c>
      <c r="Z91" s="85"/>
      <c r="AA91" s="85" t="s">
        <v>474</v>
      </c>
      <c r="AB91" s="85" t="s">
        <v>473</v>
      </c>
      <c r="AC91" s="85"/>
      <c r="AD91" s="85"/>
      <c r="AE91" s="86"/>
      <c r="AF91" s="85"/>
      <c r="AG91" s="85"/>
      <c r="AH91" s="85" t="s">
        <v>476</v>
      </c>
      <c r="AI91" s="15" t="s">
        <v>476</v>
      </c>
      <c r="AJ91" s="15" t="s">
        <v>1028</v>
      </c>
      <c r="AK91" s="15"/>
      <c r="AL91" s="22" t="s">
        <v>1043</v>
      </c>
      <c r="AM91" s="4" t="s">
        <v>1407</v>
      </c>
      <c r="AN91" s="1"/>
      <c r="AO91" s="7" t="s">
        <v>1045</v>
      </c>
      <c r="AP91" s="1" t="b">
        <f>A91='[1]35千伏-750千伏电网基建'!A88</f>
        <v>1</v>
      </c>
      <c r="AQ91" s="1" t="b">
        <f>B91='[1]35千伏-750千伏电网基建'!B88</f>
        <v>1</v>
      </c>
      <c r="AR91" s="1" t="b">
        <f>C91='[1]35千伏-750千伏电网基建'!C88</f>
        <v>1</v>
      </c>
      <c r="AS91" s="1" t="b">
        <f>D91='[1]35千伏-750千伏电网基建'!D88</f>
        <v>1</v>
      </c>
      <c r="AT91" s="1" t="b">
        <f>E91='[1]35千伏-750千伏电网基建'!E88</f>
        <v>1</v>
      </c>
      <c r="AU91" s="1" t="b">
        <f>F91='[1]35千伏-750千伏电网基建'!F88</f>
        <v>1</v>
      </c>
      <c r="AV91" s="1" t="b">
        <f>G91='[1]35千伏-750千伏电网基建'!G88</f>
        <v>1</v>
      </c>
      <c r="AW91" s="1" t="b">
        <f>H91='[1]35千伏-750千伏电网基建'!H88</f>
        <v>1</v>
      </c>
      <c r="AX91" s="1" t="b">
        <f>I91='[1]35千伏-750千伏电网基建'!I88</f>
        <v>1</v>
      </c>
      <c r="AY91" s="1" t="b">
        <f>J91='[1]35千伏-750千伏电网基建'!J88</f>
        <v>1</v>
      </c>
      <c r="AZ91" s="1" t="b">
        <f>K91='[1]35千伏-750千伏电网基建'!K88</f>
        <v>1</v>
      </c>
      <c r="BA91" s="1" t="b">
        <f>L91='[1]35千伏-750千伏电网基建'!L88</f>
        <v>1</v>
      </c>
      <c r="BB91" s="1" t="b">
        <f>M91='[1]35千伏-750千伏电网基建'!M88</f>
        <v>1</v>
      </c>
      <c r="BC91" s="1" t="b">
        <f>N91='[1]35千伏-750千伏电网基建'!N88</f>
        <v>1</v>
      </c>
      <c r="BD91" s="1" t="b">
        <f>O91='[1]35千伏-750千伏电网基建'!O88</f>
        <v>1</v>
      </c>
      <c r="BE91" s="1" t="b">
        <f>P91='[1]35千伏-750千伏电网基建'!P88</f>
        <v>1</v>
      </c>
      <c r="BF91" s="1" t="b">
        <f>Q91='[1]35千伏-750千伏电网基建'!Q88</f>
        <v>1</v>
      </c>
      <c r="BG91" s="1" t="b">
        <f>R91='[1]35千伏-750千伏电网基建'!R88</f>
        <v>1</v>
      </c>
      <c r="BH91" s="1" t="b">
        <f>S91='[1]35千伏-750千伏电网基建'!S88</f>
        <v>1</v>
      </c>
      <c r="BI91" s="1" t="b">
        <f>T91='[1]35千伏-750千伏电网基建'!T88</f>
        <v>1</v>
      </c>
      <c r="BJ91" s="1" t="b">
        <f>U91='[1]35千伏-750千伏电网基建'!U88</f>
        <v>1</v>
      </c>
      <c r="BK91" s="1" t="b">
        <f>V91='[1]35千伏-750千伏电网基建'!V88</f>
        <v>1</v>
      </c>
      <c r="BL91" s="8" t="b">
        <f>W91='[1]35千伏-750千伏电网基建'!W88</f>
        <v>0</v>
      </c>
      <c r="BM91" s="1" t="b">
        <f>X91='[1]35千伏-750千伏电网基建'!X88</f>
        <v>1</v>
      </c>
      <c r="BN91" s="1" t="b">
        <f>Y91='[1]35千伏-750千伏电网基建'!Y88</f>
        <v>1</v>
      </c>
      <c r="BO91" s="1" t="b">
        <f>Z91='[1]35千伏-750千伏电网基建'!Z88</f>
        <v>1</v>
      </c>
      <c r="BP91" s="1" t="b">
        <f>AA91='[1]35千伏-750千伏电网基建'!AA88</f>
        <v>1</v>
      </c>
      <c r="BQ91" s="1" t="b">
        <f>AB91='[1]35千伏-750千伏电网基建'!AB88</f>
        <v>1</v>
      </c>
      <c r="BR91" s="1" t="b">
        <f>AC91='[1]35千伏-750千伏电网基建'!AC88</f>
        <v>1</v>
      </c>
      <c r="BS91" s="1" t="b">
        <f>AD91='[1]35千伏-750千伏电网基建'!AD88</f>
        <v>1</v>
      </c>
      <c r="BT91" s="1" t="b">
        <f>AE91='[1]35千伏-750千伏电网基建'!AE88</f>
        <v>1</v>
      </c>
      <c r="BU91" s="1" t="b">
        <f>AF91='[1]35千伏-750千伏电网基建'!AF88</f>
        <v>1</v>
      </c>
      <c r="BV91" s="1" t="b">
        <f>AG91='[1]35千伏-750千伏电网基建'!AG88</f>
        <v>1</v>
      </c>
      <c r="BW91" s="1" t="b">
        <f>AH91='[1]35千伏-750千伏电网基建'!AH88</f>
        <v>1</v>
      </c>
      <c r="BX91" s="1" t="b">
        <f>AI91='[1]35千伏-750千伏电网基建'!AI88</f>
        <v>1</v>
      </c>
      <c r="BY91" s="1" t="b">
        <f>AJ91='[1]35千伏-750千伏电网基建'!AJ88</f>
        <v>1</v>
      </c>
      <c r="BZ91" s="1" t="b">
        <f>AK91='[1]35千伏-750千伏电网基建'!AK88</f>
        <v>1</v>
      </c>
    </row>
    <row r="92" ht="67" customHeight="1" spans="1:78">
      <c r="A92" s="14"/>
      <c r="B92" s="14"/>
      <c r="C92" s="15"/>
      <c r="D92" s="15"/>
      <c r="E92" s="16"/>
      <c r="F92" s="16"/>
      <c r="G92" s="15"/>
      <c r="H92" s="47"/>
      <c r="I92" s="23" t="s">
        <v>1303</v>
      </c>
      <c r="J92" s="16" t="s">
        <v>1304</v>
      </c>
      <c r="K92" s="15"/>
      <c r="L92" s="15" t="s">
        <v>36</v>
      </c>
      <c r="M92" s="15"/>
      <c r="N92" s="15"/>
      <c r="O92" s="15"/>
      <c r="P92" s="15"/>
      <c r="Q92" s="15"/>
      <c r="R92" s="15"/>
      <c r="S92" s="15" t="s">
        <v>36</v>
      </c>
      <c r="T92" s="15" t="s">
        <v>492</v>
      </c>
      <c r="U92" s="15"/>
      <c r="V92" s="16" t="s">
        <v>1034</v>
      </c>
      <c r="W92" s="29" t="s">
        <v>1300</v>
      </c>
      <c r="X92" s="85" t="s">
        <v>474</v>
      </c>
      <c r="Y92" s="85" t="s">
        <v>473</v>
      </c>
      <c r="Z92" s="85"/>
      <c r="AA92" s="85" t="s">
        <v>474</v>
      </c>
      <c r="AB92" s="85" t="s">
        <v>473</v>
      </c>
      <c r="AC92" s="85"/>
      <c r="AD92" s="85"/>
      <c r="AE92" s="86"/>
      <c r="AF92" s="85"/>
      <c r="AG92" s="85"/>
      <c r="AH92" s="85" t="s">
        <v>476</v>
      </c>
      <c r="AI92" s="15" t="s">
        <v>476</v>
      </c>
      <c r="AJ92" s="15" t="s">
        <v>1028</v>
      </c>
      <c r="AK92" s="15"/>
      <c r="AL92" s="22" t="s">
        <v>1043</v>
      </c>
      <c r="AM92" s="4" t="s">
        <v>1407</v>
      </c>
      <c r="AN92" s="1"/>
      <c r="AO92" s="7" t="s">
        <v>1045</v>
      </c>
      <c r="AP92" s="1" t="b">
        <f>A92='[1]35千伏-750千伏电网基建'!A89</f>
        <v>1</v>
      </c>
      <c r="AQ92" s="1" t="b">
        <f>B92='[1]35千伏-750千伏电网基建'!B89</f>
        <v>1</v>
      </c>
      <c r="AR92" s="1" t="b">
        <f>C92='[1]35千伏-750千伏电网基建'!C89</f>
        <v>1</v>
      </c>
      <c r="AS92" s="1" t="b">
        <f>D92='[1]35千伏-750千伏电网基建'!D89</f>
        <v>1</v>
      </c>
      <c r="AT92" s="1" t="b">
        <f>E92='[1]35千伏-750千伏电网基建'!E89</f>
        <v>1</v>
      </c>
      <c r="AU92" s="1" t="b">
        <f>F92='[1]35千伏-750千伏电网基建'!F89</f>
        <v>1</v>
      </c>
      <c r="AV92" s="1" t="b">
        <f>G92='[1]35千伏-750千伏电网基建'!G89</f>
        <v>1</v>
      </c>
      <c r="AW92" s="1" t="b">
        <f>H92='[1]35千伏-750千伏电网基建'!H89</f>
        <v>1</v>
      </c>
      <c r="AX92" s="1" t="b">
        <f>I92='[1]35千伏-750千伏电网基建'!I89</f>
        <v>1</v>
      </c>
      <c r="AY92" s="1" t="b">
        <f>J92='[1]35千伏-750千伏电网基建'!J89</f>
        <v>1</v>
      </c>
      <c r="AZ92" s="1" t="b">
        <f>K92='[1]35千伏-750千伏电网基建'!K89</f>
        <v>1</v>
      </c>
      <c r="BA92" s="1" t="b">
        <f>L92='[1]35千伏-750千伏电网基建'!L89</f>
        <v>1</v>
      </c>
      <c r="BB92" s="1" t="b">
        <f>M92='[1]35千伏-750千伏电网基建'!M89</f>
        <v>1</v>
      </c>
      <c r="BC92" s="1" t="b">
        <f>N92='[1]35千伏-750千伏电网基建'!N89</f>
        <v>1</v>
      </c>
      <c r="BD92" s="1" t="b">
        <f>O92='[1]35千伏-750千伏电网基建'!O89</f>
        <v>1</v>
      </c>
      <c r="BE92" s="1" t="b">
        <f>P92='[1]35千伏-750千伏电网基建'!P89</f>
        <v>1</v>
      </c>
      <c r="BF92" s="1" t="b">
        <f>Q92='[1]35千伏-750千伏电网基建'!Q89</f>
        <v>1</v>
      </c>
      <c r="BG92" s="1" t="b">
        <f>R92='[1]35千伏-750千伏电网基建'!R89</f>
        <v>1</v>
      </c>
      <c r="BH92" s="1" t="b">
        <f>S92='[1]35千伏-750千伏电网基建'!S89</f>
        <v>1</v>
      </c>
      <c r="BI92" s="1" t="b">
        <f>T92='[1]35千伏-750千伏电网基建'!T89</f>
        <v>1</v>
      </c>
      <c r="BJ92" s="1" t="b">
        <f>U92='[1]35千伏-750千伏电网基建'!U89</f>
        <v>1</v>
      </c>
      <c r="BK92" s="1" t="b">
        <f>V92='[1]35千伏-750千伏电网基建'!V89</f>
        <v>1</v>
      </c>
      <c r="BL92" s="8" t="b">
        <f>W92='[1]35千伏-750千伏电网基建'!W89</f>
        <v>0</v>
      </c>
      <c r="BM92" s="1" t="b">
        <f>X92='[1]35千伏-750千伏电网基建'!X89</f>
        <v>1</v>
      </c>
      <c r="BN92" s="1" t="b">
        <f>Y92='[1]35千伏-750千伏电网基建'!Y89</f>
        <v>1</v>
      </c>
      <c r="BO92" s="1" t="b">
        <f>Z92='[1]35千伏-750千伏电网基建'!Z89</f>
        <v>1</v>
      </c>
      <c r="BP92" s="1" t="b">
        <f>AA92='[1]35千伏-750千伏电网基建'!AA89</f>
        <v>1</v>
      </c>
      <c r="BQ92" s="1" t="b">
        <f>AB92='[1]35千伏-750千伏电网基建'!AB89</f>
        <v>1</v>
      </c>
      <c r="BR92" s="1" t="b">
        <f>AC92='[1]35千伏-750千伏电网基建'!AC89</f>
        <v>1</v>
      </c>
      <c r="BS92" s="1" t="b">
        <f>AD92='[1]35千伏-750千伏电网基建'!AD89</f>
        <v>1</v>
      </c>
      <c r="BT92" s="1" t="b">
        <f>AE92='[1]35千伏-750千伏电网基建'!AE89</f>
        <v>1</v>
      </c>
      <c r="BU92" s="1" t="b">
        <f>AF92='[1]35千伏-750千伏电网基建'!AF89</f>
        <v>1</v>
      </c>
      <c r="BV92" s="1" t="b">
        <f>AG92='[1]35千伏-750千伏电网基建'!AG89</f>
        <v>1</v>
      </c>
      <c r="BW92" s="1" t="b">
        <f>AH92='[1]35千伏-750千伏电网基建'!AH89</f>
        <v>1</v>
      </c>
      <c r="BX92" s="1" t="b">
        <f>AI92='[1]35千伏-750千伏电网基建'!AI89</f>
        <v>1</v>
      </c>
      <c r="BY92" s="1" t="b">
        <f>AJ92='[1]35千伏-750千伏电网基建'!AJ89</f>
        <v>1</v>
      </c>
      <c r="BZ92" s="1" t="b">
        <f>AK92='[1]35千伏-750千伏电网基建'!AK89</f>
        <v>1</v>
      </c>
    </row>
    <row r="93" ht="76" customHeight="1" spans="1:78">
      <c r="A93" s="14"/>
      <c r="B93" s="14"/>
      <c r="C93" s="15"/>
      <c r="D93" s="15"/>
      <c r="E93" s="16"/>
      <c r="F93" s="16"/>
      <c r="G93" s="15"/>
      <c r="H93" s="48"/>
      <c r="I93" s="23" t="s">
        <v>1305</v>
      </c>
      <c r="J93" s="16" t="s">
        <v>1306</v>
      </c>
      <c r="K93" s="15"/>
      <c r="L93" s="15" t="s">
        <v>36</v>
      </c>
      <c r="M93" s="15"/>
      <c r="N93" s="15"/>
      <c r="O93" s="15"/>
      <c r="P93" s="15"/>
      <c r="Q93" s="15"/>
      <c r="R93" s="15"/>
      <c r="S93" s="15" t="s">
        <v>36</v>
      </c>
      <c r="T93" s="15" t="s">
        <v>492</v>
      </c>
      <c r="U93" s="15"/>
      <c r="V93" s="16" t="s">
        <v>1037</v>
      </c>
      <c r="W93" s="29" t="s">
        <v>1300</v>
      </c>
      <c r="X93" s="85" t="s">
        <v>474</v>
      </c>
      <c r="Y93" s="85" t="s">
        <v>473</v>
      </c>
      <c r="Z93" s="85"/>
      <c r="AA93" s="85" t="s">
        <v>474</v>
      </c>
      <c r="AB93" s="85" t="s">
        <v>473</v>
      </c>
      <c r="AC93" s="85"/>
      <c r="AD93" s="85"/>
      <c r="AE93" s="86"/>
      <c r="AF93" s="85"/>
      <c r="AG93" s="85"/>
      <c r="AH93" s="85" t="s">
        <v>476</v>
      </c>
      <c r="AI93" s="15" t="s">
        <v>476</v>
      </c>
      <c r="AJ93" s="15" t="s">
        <v>1028</v>
      </c>
      <c r="AK93" s="15"/>
      <c r="AL93" s="22" t="s">
        <v>1043</v>
      </c>
      <c r="AM93" s="4" t="s">
        <v>1407</v>
      </c>
      <c r="AN93" s="1"/>
      <c r="AO93" s="7" t="s">
        <v>1045</v>
      </c>
      <c r="AP93" s="1" t="b">
        <f>A93='[1]35千伏-750千伏电网基建'!A90</f>
        <v>1</v>
      </c>
      <c r="AQ93" s="1" t="b">
        <f>B93='[1]35千伏-750千伏电网基建'!B90</f>
        <v>1</v>
      </c>
      <c r="AR93" s="1" t="b">
        <f>C93='[1]35千伏-750千伏电网基建'!C90</f>
        <v>1</v>
      </c>
      <c r="AS93" s="1" t="b">
        <f>D93='[1]35千伏-750千伏电网基建'!D90</f>
        <v>1</v>
      </c>
      <c r="AT93" s="1" t="b">
        <f>E93='[1]35千伏-750千伏电网基建'!E90</f>
        <v>1</v>
      </c>
      <c r="AU93" s="1" t="b">
        <f>F93='[1]35千伏-750千伏电网基建'!F90</f>
        <v>1</v>
      </c>
      <c r="AV93" s="1" t="b">
        <f>G93='[1]35千伏-750千伏电网基建'!G90</f>
        <v>1</v>
      </c>
      <c r="AW93" s="1" t="b">
        <f>H93='[1]35千伏-750千伏电网基建'!H90</f>
        <v>1</v>
      </c>
      <c r="AX93" s="1" t="b">
        <f>I93='[1]35千伏-750千伏电网基建'!I90</f>
        <v>1</v>
      </c>
      <c r="AY93" s="1" t="b">
        <f>J93='[1]35千伏-750千伏电网基建'!J90</f>
        <v>1</v>
      </c>
      <c r="AZ93" s="1" t="b">
        <f>K93='[1]35千伏-750千伏电网基建'!K90</f>
        <v>1</v>
      </c>
      <c r="BA93" s="1" t="b">
        <f>L93='[1]35千伏-750千伏电网基建'!L90</f>
        <v>1</v>
      </c>
      <c r="BB93" s="1" t="b">
        <f>M93='[1]35千伏-750千伏电网基建'!M90</f>
        <v>1</v>
      </c>
      <c r="BC93" s="1" t="b">
        <f>N93='[1]35千伏-750千伏电网基建'!N90</f>
        <v>1</v>
      </c>
      <c r="BD93" s="1" t="b">
        <f>O93='[1]35千伏-750千伏电网基建'!O90</f>
        <v>1</v>
      </c>
      <c r="BE93" s="1" t="b">
        <f>P93='[1]35千伏-750千伏电网基建'!P90</f>
        <v>1</v>
      </c>
      <c r="BF93" s="1" t="b">
        <f>Q93='[1]35千伏-750千伏电网基建'!Q90</f>
        <v>1</v>
      </c>
      <c r="BG93" s="1" t="b">
        <f>R93='[1]35千伏-750千伏电网基建'!R90</f>
        <v>1</v>
      </c>
      <c r="BH93" s="1" t="b">
        <f>S93='[1]35千伏-750千伏电网基建'!S90</f>
        <v>1</v>
      </c>
      <c r="BI93" s="1" t="b">
        <f>T93='[1]35千伏-750千伏电网基建'!T90</f>
        <v>1</v>
      </c>
      <c r="BJ93" s="1" t="b">
        <f>U93='[1]35千伏-750千伏电网基建'!U90</f>
        <v>1</v>
      </c>
      <c r="BK93" s="1" t="b">
        <f>V93='[1]35千伏-750千伏电网基建'!V90</f>
        <v>1</v>
      </c>
      <c r="BL93" s="8" t="b">
        <f>W93='[1]35千伏-750千伏电网基建'!W90</f>
        <v>0</v>
      </c>
      <c r="BM93" s="1" t="b">
        <f>X93='[1]35千伏-750千伏电网基建'!X90</f>
        <v>1</v>
      </c>
      <c r="BN93" s="1" t="b">
        <f>Y93='[1]35千伏-750千伏电网基建'!Y90</f>
        <v>1</v>
      </c>
      <c r="BO93" s="1" t="b">
        <f>Z93='[1]35千伏-750千伏电网基建'!Z90</f>
        <v>1</v>
      </c>
      <c r="BP93" s="1" t="b">
        <f>AA93='[1]35千伏-750千伏电网基建'!AA90</f>
        <v>1</v>
      </c>
      <c r="BQ93" s="1" t="b">
        <f>AB93='[1]35千伏-750千伏电网基建'!AB90</f>
        <v>1</v>
      </c>
      <c r="BR93" s="1" t="b">
        <f>AC93='[1]35千伏-750千伏电网基建'!AC90</f>
        <v>1</v>
      </c>
      <c r="BS93" s="1" t="b">
        <f>AD93='[1]35千伏-750千伏电网基建'!AD90</f>
        <v>1</v>
      </c>
      <c r="BT93" s="1" t="b">
        <f>AE93='[1]35千伏-750千伏电网基建'!AE90</f>
        <v>1</v>
      </c>
      <c r="BU93" s="1" t="b">
        <f>AF93='[1]35千伏-750千伏电网基建'!AF90</f>
        <v>1</v>
      </c>
      <c r="BV93" s="1" t="b">
        <f>AG93='[1]35千伏-750千伏电网基建'!AG90</f>
        <v>1</v>
      </c>
      <c r="BW93" s="1" t="b">
        <f>AH93='[1]35千伏-750千伏电网基建'!AH90</f>
        <v>1</v>
      </c>
      <c r="BX93" s="1" t="b">
        <f>AI93='[1]35千伏-750千伏电网基建'!AI90</f>
        <v>1</v>
      </c>
      <c r="BY93" s="1" t="b">
        <f>AJ93='[1]35千伏-750千伏电网基建'!AJ90</f>
        <v>1</v>
      </c>
      <c r="BZ93" s="1" t="b">
        <f>AK93='[1]35千伏-750千伏电网基建'!AK90</f>
        <v>1</v>
      </c>
    </row>
    <row r="94" s="3" customFormat="1" ht="379" customHeight="1" spans="1:78">
      <c r="A94" s="87"/>
      <c r="B94" s="87"/>
      <c r="C94" s="46" t="s">
        <v>485</v>
      </c>
      <c r="D94" s="46" t="s">
        <v>1467</v>
      </c>
      <c r="E94" s="52" t="s">
        <v>1468</v>
      </c>
      <c r="F94" s="68"/>
      <c r="G94" s="46" t="s">
        <v>1469</v>
      </c>
      <c r="H94" s="52" t="s">
        <v>1470</v>
      </c>
      <c r="I94" s="54" t="s">
        <v>1308</v>
      </c>
      <c r="J94" s="52" t="s">
        <v>1471</v>
      </c>
      <c r="K94" s="46" t="s">
        <v>36</v>
      </c>
      <c r="L94" s="46" t="s">
        <v>36</v>
      </c>
      <c r="M94" s="46"/>
      <c r="N94" s="46" t="s">
        <v>36</v>
      </c>
      <c r="O94" s="46" t="s">
        <v>36</v>
      </c>
      <c r="P94" s="46"/>
      <c r="Q94" s="46" t="s">
        <v>36</v>
      </c>
      <c r="R94" s="46"/>
      <c r="S94" s="46" t="s">
        <v>36</v>
      </c>
      <c r="T94" s="46" t="s">
        <v>492</v>
      </c>
      <c r="U94" s="46"/>
      <c r="V94" s="52" t="s">
        <v>1363</v>
      </c>
      <c r="W94" s="46" t="s">
        <v>1364</v>
      </c>
      <c r="X94" s="46" t="s">
        <v>474</v>
      </c>
      <c r="Y94" s="46" t="s">
        <v>473</v>
      </c>
      <c r="Z94" s="70"/>
      <c r="AA94" s="46" t="s">
        <v>474</v>
      </c>
      <c r="AB94" s="46" t="s">
        <v>473</v>
      </c>
      <c r="AC94" s="70"/>
      <c r="AD94" s="46" t="s">
        <v>792</v>
      </c>
      <c r="AE94" s="46" t="s">
        <v>511</v>
      </c>
      <c r="AF94" s="46"/>
      <c r="AG94" s="70"/>
      <c r="AH94" s="46" t="s">
        <v>476</v>
      </c>
      <c r="AI94" s="46" t="s">
        <v>476</v>
      </c>
      <c r="AJ94" s="46" t="s">
        <v>1365</v>
      </c>
      <c r="AK94" s="46" t="s">
        <v>470</v>
      </c>
      <c r="AL94" s="46" t="s">
        <v>1366</v>
      </c>
      <c r="AM94" s="46" t="s">
        <v>1141</v>
      </c>
      <c r="AN94" s="88" t="s">
        <v>1472</v>
      </c>
      <c r="AO94" s="89" t="s">
        <v>1143</v>
      </c>
      <c r="AP94" s="1"/>
      <c r="AQ94" s="1"/>
      <c r="AR94" s="1"/>
      <c r="AS94" s="1"/>
      <c r="AT94" s="1"/>
      <c r="AU94" s="1"/>
      <c r="AV94" s="1"/>
      <c r="AW94" s="1"/>
      <c r="AX94" s="1"/>
      <c r="AY94" s="1"/>
      <c r="AZ94" s="1"/>
      <c r="BA94" s="1"/>
      <c r="BB94" s="1"/>
      <c r="BC94" s="1"/>
      <c r="BD94" s="1"/>
      <c r="BE94" s="1"/>
      <c r="BF94" s="1"/>
      <c r="BG94" s="1"/>
      <c r="BH94" s="1"/>
      <c r="BI94" s="1"/>
      <c r="BJ94" s="1"/>
      <c r="BK94" s="1"/>
      <c r="BL94" s="8"/>
      <c r="BM94" s="1"/>
      <c r="BN94" s="1"/>
      <c r="BO94" s="1"/>
      <c r="BP94" s="1"/>
      <c r="BQ94" s="1"/>
      <c r="BR94" s="1"/>
      <c r="BS94" s="1"/>
      <c r="BT94" s="1"/>
      <c r="BU94" s="1"/>
      <c r="BV94" s="1"/>
      <c r="BW94" s="1"/>
      <c r="BX94" s="1"/>
      <c r="BY94" s="1"/>
      <c r="BZ94" s="1"/>
    </row>
    <row r="95" s="3" customFormat="1" ht="115" customHeight="1" spans="1:78">
      <c r="A95" s="75"/>
      <c r="B95" s="90" t="s">
        <v>662</v>
      </c>
      <c r="C95" s="46" t="s">
        <v>485</v>
      </c>
      <c r="D95" s="46" t="s">
        <v>625</v>
      </c>
      <c r="E95" s="52" t="s">
        <v>626</v>
      </c>
      <c r="F95" s="68"/>
      <c r="G95" s="46" t="s">
        <v>1307</v>
      </c>
      <c r="H95" s="52" t="s">
        <v>628</v>
      </c>
      <c r="I95" s="54" t="s">
        <v>1308</v>
      </c>
      <c r="J95" s="52" t="s">
        <v>1378</v>
      </c>
      <c r="K95" s="46"/>
      <c r="L95" s="46" t="s">
        <v>36</v>
      </c>
      <c r="M95" s="46"/>
      <c r="N95" s="46"/>
      <c r="O95" s="46" t="s">
        <v>36</v>
      </c>
      <c r="P95" s="46"/>
      <c r="Q95" s="46"/>
      <c r="R95" s="46" t="s">
        <v>36</v>
      </c>
      <c r="S95" s="46"/>
      <c r="T95" s="46" t="s">
        <v>492</v>
      </c>
      <c r="U95" s="46" t="s">
        <v>631</v>
      </c>
      <c r="V95" s="91" t="s">
        <v>632</v>
      </c>
      <c r="W95" s="52" t="s">
        <v>1309</v>
      </c>
      <c r="X95" s="46" t="s">
        <v>474</v>
      </c>
      <c r="Y95" s="46" t="s">
        <v>473</v>
      </c>
      <c r="Z95" s="70"/>
      <c r="AA95" s="46" t="s">
        <v>474</v>
      </c>
      <c r="AB95" s="46" t="s">
        <v>473</v>
      </c>
      <c r="AC95" s="70"/>
      <c r="AD95" s="46"/>
      <c r="AE95" s="46"/>
      <c r="AF95" s="46"/>
      <c r="AG95" s="46"/>
      <c r="AH95" s="46" t="s">
        <v>476</v>
      </c>
      <c r="AI95" s="46" t="s">
        <v>476</v>
      </c>
      <c r="AJ95" s="52" t="s">
        <v>634</v>
      </c>
      <c r="AK95" s="46" t="s">
        <v>635</v>
      </c>
      <c r="AL95" s="54" t="s">
        <v>1310</v>
      </c>
      <c r="AM95" s="46"/>
      <c r="AN95" s="88" t="s">
        <v>1473</v>
      </c>
      <c r="AO95" s="89" t="s">
        <v>1143</v>
      </c>
      <c r="AP95" s="1"/>
      <c r="AQ95" s="1"/>
      <c r="AR95" s="1"/>
      <c r="AS95" s="1"/>
      <c r="AT95" s="1"/>
      <c r="AU95" s="1"/>
      <c r="AV95" s="1"/>
      <c r="AW95" s="1"/>
      <c r="AX95" s="1"/>
      <c r="AY95" s="1"/>
      <c r="AZ95" s="1"/>
      <c r="BA95" s="1"/>
      <c r="BB95" s="1"/>
      <c r="BC95" s="1"/>
      <c r="BD95" s="1"/>
      <c r="BE95" s="1"/>
      <c r="BF95" s="1"/>
      <c r="BG95" s="1"/>
      <c r="BH95" s="1"/>
      <c r="BI95" s="1"/>
      <c r="BJ95" s="1"/>
      <c r="BK95" s="1"/>
      <c r="BL95" s="8"/>
      <c r="BM95" s="1"/>
      <c r="BN95" s="1"/>
      <c r="BO95" s="1"/>
      <c r="BP95" s="1"/>
      <c r="BQ95" s="1"/>
      <c r="BR95" s="1"/>
      <c r="BS95" s="1"/>
      <c r="BT95" s="1"/>
      <c r="BU95" s="1"/>
      <c r="BV95" s="1"/>
      <c r="BW95" s="1"/>
      <c r="BX95" s="1"/>
      <c r="BY95" s="1"/>
      <c r="BZ95" s="1"/>
    </row>
    <row r="96" s="3" customFormat="1" ht="115" customHeight="1" spans="1:78">
      <c r="A96" s="75"/>
      <c r="B96" s="74"/>
      <c r="C96" s="46" t="s">
        <v>536</v>
      </c>
      <c r="D96" s="46" t="s">
        <v>779</v>
      </c>
      <c r="E96" s="52" t="s">
        <v>1313</v>
      </c>
      <c r="F96" s="68" t="s">
        <v>801</v>
      </c>
      <c r="G96" s="46" t="s">
        <v>802</v>
      </c>
      <c r="H96" s="52" t="s">
        <v>803</v>
      </c>
      <c r="I96" s="54" t="s">
        <v>802</v>
      </c>
      <c r="J96" s="52" t="s">
        <v>805</v>
      </c>
      <c r="K96" s="46"/>
      <c r="L96" s="46"/>
      <c r="M96" s="46" t="s">
        <v>36</v>
      </c>
      <c r="N96" s="46" t="s">
        <v>36</v>
      </c>
      <c r="O96" s="46" t="s">
        <v>36</v>
      </c>
      <c r="P96" s="46"/>
      <c r="Q96" s="46"/>
      <c r="R96" s="46"/>
      <c r="S96" s="46"/>
      <c r="T96" s="46" t="s">
        <v>465</v>
      </c>
      <c r="U96" s="46" t="s">
        <v>1314</v>
      </c>
      <c r="V96" s="91" t="s">
        <v>1315</v>
      </c>
      <c r="W96" s="52" t="s">
        <v>1379</v>
      </c>
      <c r="X96" s="46" t="s">
        <v>474</v>
      </c>
      <c r="Y96" s="46" t="s">
        <v>473</v>
      </c>
      <c r="Z96" s="46"/>
      <c r="AA96" s="46" t="s">
        <v>474</v>
      </c>
      <c r="AB96" s="46" t="s">
        <v>473</v>
      </c>
      <c r="AC96" s="46"/>
      <c r="AD96" s="46"/>
      <c r="AE96" s="46"/>
      <c r="AF96" s="46"/>
      <c r="AG96" s="46"/>
      <c r="AH96" s="46" t="s">
        <v>476</v>
      </c>
      <c r="AI96" s="46" t="s">
        <v>476</v>
      </c>
      <c r="AJ96" s="52" t="s">
        <v>808</v>
      </c>
      <c r="AK96" s="46" t="s">
        <v>470</v>
      </c>
      <c r="AL96" s="54" t="s">
        <v>1317</v>
      </c>
      <c r="AM96" s="46" t="s">
        <v>1318</v>
      </c>
      <c r="AN96" s="88"/>
      <c r="AO96" s="89" t="s">
        <v>1143</v>
      </c>
      <c r="AP96" s="1"/>
      <c r="AQ96" s="1"/>
      <c r="AR96" s="1"/>
      <c r="AS96" s="1"/>
      <c r="AT96" s="1"/>
      <c r="AU96" s="1"/>
      <c r="AV96" s="1"/>
      <c r="AW96" s="1"/>
      <c r="AX96" s="1"/>
      <c r="AY96" s="1"/>
      <c r="AZ96" s="1"/>
      <c r="BA96" s="1"/>
      <c r="BB96" s="1"/>
      <c r="BC96" s="1"/>
      <c r="BD96" s="1"/>
      <c r="BE96" s="1"/>
      <c r="BF96" s="1"/>
      <c r="BG96" s="1"/>
      <c r="BH96" s="1"/>
      <c r="BI96" s="1"/>
      <c r="BJ96" s="1"/>
      <c r="BK96" s="1"/>
      <c r="BL96" s="8"/>
      <c r="BM96" s="1"/>
      <c r="BN96" s="1"/>
      <c r="BO96" s="1"/>
      <c r="BP96" s="1"/>
      <c r="BQ96" s="1"/>
      <c r="BR96" s="1"/>
      <c r="BS96" s="1"/>
      <c r="BT96" s="1"/>
      <c r="BU96" s="1"/>
      <c r="BV96" s="1"/>
      <c r="BW96" s="1"/>
      <c r="BX96" s="1"/>
      <c r="BY96" s="1"/>
      <c r="BZ96" s="1"/>
    </row>
    <row r="97" s="3" customFormat="1" ht="101" customHeight="1" spans="1:78">
      <c r="A97" s="87"/>
      <c r="B97" s="46" t="s">
        <v>1474</v>
      </c>
      <c r="C97" s="92" t="s">
        <v>485</v>
      </c>
      <c r="D97" s="46"/>
      <c r="E97" s="52" t="s">
        <v>1381</v>
      </c>
      <c r="F97" s="53"/>
      <c r="G97" s="46" t="s">
        <v>1382</v>
      </c>
      <c r="H97" s="52" t="s">
        <v>1383</v>
      </c>
      <c r="I97" s="54" t="s">
        <v>1475</v>
      </c>
      <c r="J97" s="52" t="s">
        <v>1385</v>
      </c>
      <c r="K97" s="46"/>
      <c r="L97" s="46"/>
      <c r="M97" s="46"/>
      <c r="N97" s="46"/>
      <c r="O97" s="46"/>
      <c r="P97" s="46"/>
      <c r="Q97" s="46"/>
      <c r="R97" s="46"/>
      <c r="S97" s="46"/>
      <c r="T97" s="46" t="s">
        <v>492</v>
      </c>
      <c r="U97" s="46"/>
      <c r="V97" s="52" t="s">
        <v>1386</v>
      </c>
      <c r="W97" s="55" t="s">
        <v>1476</v>
      </c>
      <c r="X97" s="54"/>
      <c r="Y97" s="54"/>
      <c r="Z97" s="55"/>
      <c r="AA97" s="55"/>
      <c r="AB97" s="55"/>
      <c r="AC97" s="93"/>
      <c r="AD97" s="55"/>
      <c r="AE97" s="55"/>
      <c r="AF97" s="55"/>
      <c r="AG97" s="93"/>
      <c r="AH97" s="46"/>
      <c r="AI97" s="46"/>
      <c r="AJ97" s="46" t="s">
        <v>1388</v>
      </c>
      <c r="AK97" s="54" t="s">
        <v>470</v>
      </c>
      <c r="AL97" s="1" t="s">
        <v>1064</v>
      </c>
      <c r="AM97" s="54" t="s">
        <v>1141</v>
      </c>
      <c r="AO97" s="89" t="s">
        <v>1143</v>
      </c>
      <c r="AP97" s="1"/>
      <c r="AQ97" s="1"/>
      <c r="AR97" s="1"/>
      <c r="AS97" s="1"/>
      <c r="AT97" s="1"/>
      <c r="AU97" s="1"/>
      <c r="AV97" s="1"/>
      <c r="AW97" s="1"/>
      <c r="AX97" s="1"/>
      <c r="AY97" s="1"/>
      <c r="AZ97" s="1"/>
      <c r="BA97" s="1"/>
      <c r="BB97" s="1"/>
      <c r="BC97" s="1"/>
      <c r="BD97" s="1"/>
      <c r="BE97" s="1"/>
      <c r="BF97" s="1"/>
      <c r="BG97" s="1"/>
      <c r="BH97" s="1"/>
      <c r="BI97" s="1"/>
      <c r="BJ97" s="1"/>
      <c r="BK97" s="1"/>
      <c r="BL97" s="8"/>
      <c r="BM97" s="1"/>
      <c r="BN97" s="1"/>
      <c r="BO97" s="1"/>
      <c r="BP97" s="1"/>
      <c r="BQ97" s="1"/>
      <c r="BR97" s="1"/>
      <c r="BS97" s="1"/>
      <c r="BT97" s="1"/>
      <c r="BU97" s="1"/>
      <c r="BV97" s="1"/>
      <c r="BW97" s="1"/>
      <c r="BX97" s="1"/>
      <c r="BY97" s="1"/>
      <c r="BZ97" s="1"/>
    </row>
    <row r="98" s="3" customFormat="1" ht="131" customHeight="1" spans="1:78">
      <c r="A98" s="87"/>
      <c r="B98" s="46" t="s">
        <v>1477</v>
      </c>
      <c r="C98" s="94"/>
      <c r="D98" s="46"/>
      <c r="E98" s="52" t="s">
        <v>1390</v>
      </c>
      <c r="F98" s="53"/>
      <c r="G98" s="46" t="s">
        <v>1391</v>
      </c>
      <c r="H98" s="52" t="s">
        <v>1392</v>
      </c>
      <c r="I98" s="54" t="s">
        <v>1478</v>
      </c>
      <c r="J98" s="52" t="s">
        <v>1394</v>
      </c>
      <c r="K98" s="46"/>
      <c r="L98" s="46"/>
      <c r="M98" s="46"/>
      <c r="N98" s="46"/>
      <c r="O98" s="46"/>
      <c r="P98" s="46"/>
      <c r="Q98" s="46"/>
      <c r="R98" s="46"/>
      <c r="S98" s="46"/>
      <c r="T98" s="46" t="s">
        <v>492</v>
      </c>
      <c r="U98" s="46"/>
      <c r="V98" s="52" t="s">
        <v>1395</v>
      </c>
      <c r="W98" s="55" t="s">
        <v>1476</v>
      </c>
      <c r="X98" s="54"/>
      <c r="Y98" s="54"/>
      <c r="Z98" s="55"/>
      <c r="AA98" s="55"/>
      <c r="AB98" s="55"/>
      <c r="AC98" s="93"/>
      <c r="AD98" s="55"/>
      <c r="AE98" s="55"/>
      <c r="AF98" s="55"/>
      <c r="AG98" s="93"/>
      <c r="AH98" s="46"/>
      <c r="AI98" s="46"/>
      <c r="AJ98" s="46" t="s">
        <v>1396</v>
      </c>
      <c r="AK98" s="54" t="s">
        <v>1397</v>
      </c>
      <c r="AL98" s="1" t="s">
        <v>1064</v>
      </c>
      <c r="AM98" s="54" t="s">
        <v>1141</v>
      </c>
      <c r="AO98" s="89"/>
      <c r="AP98" s="1"/>
      <c r="AQ98" s="1"/>
      <c r="AR98" s="1"/>
      <c r="AS98" s="1"/>
      <c r="AT98" s="1"/>
      <c r="AU98" s="1"/>
      <c r="AV98" s="1"/>
      <c r="AW98" s="1"/>
      <c r="AX98" s="1"/>
      <c r="AY98" s="1"/>
      <c r="AZ98" s="1"/>
      <c r="BA98" s="1"/>
      <c r="BB98" s="1"/>
      <c r="BC98" s="1"/>
      <c r="BD98" s="1"/>
      <c r="BE98" s="1"/>
      <c r="BF98" s="1"/>
      <c r="BG98" s="1"/>
      <c r="BH98" s="1"/>
      <c r="BI98" s="1"/>
      <c r="BJ98" s="1"/>
      <c r="BK98" s="1"/>
      <c r="BL98" s="8"/>
      <c r="BM98" s="1"/>
      <c r="BN98" s="1"/>
      <c r="BO98" s="1"/>
      <c r="BP98" s="1"/>
      <c r="BQ98" s="1"/>
      <c r="BR98" s="1"/>
      <c r="BS98" s="1"/>
      <c r="BT98" s="1"/>
      <c r="BU98" s="1"/>
      <c r="BV98" s="1"/>
      <c r="BW98" s="1"/>
      <c r="BX98" s="1"/>
      <c r="BY98" s="1"/>
      <c r="BZ98" s="1"/>
    </row>
    <row r="99" s="1" customFormat="1" ht="409.5" spans="1:78">
      <c r="A99" s="14"/>
      <c r="B99" s="46" t="s">
        <v>1479</v>
      </c>
      <c r="C99" s="73"/>
      <c r="D99" s="46"/>
      <c r="E99" s="52" t="s">
        <v>1398</v>
      </c>
      <c r="F99" s="53"/>
      <c r="G99" s="46" t="s">
        <v>1399</v>
      </c>
      <c r="H99" s="52" t="s">
        <v>1400</v>
      </c>
      <c r="I99" s="54" t="s">
        <v>1480</v>
      </c>
      <c r="J99" s="52" t="s">
        <v>1402</v>
      </c>
      <c r="K99" s="46"/>
      <c r="L99" s="46"/>
      <c r="M99" s="46"/>
      <c r="N99" s="46"/>
      <c r="O99" s="46"/>
      <c r="P99" s="46"/>
      <c r="Q99" s="46"/>
      <c r="R99" s="46"/>
      <c r="S99" s="46"/>
      <c r="T99" s="46" t="s">
        <v>492</v>
      </c>
      <c r="U99" s="46"/>
      <c r="V99" s="52" t="s">
        <v>1403</v>
      </c>
      <c r="W99" s="55" t="s">
        <v>1476</v>
      </c>
      <c r="X99" s="54"/>
      <c r="Y99" s="54"/>
      <c r="Z99" s="55"/>
      <c r="AA99" s="55"/>
      <c r="AB99" s="55"/>
      <c r="AC99" s="93"/>
      <c r="AD99" s="55"/>
      <c r="AE99" s="55"/>
      <c r="AF99" s="55"/>
      <c r="AG99" s="93"/>
      <c r="AH99" s="46"/>
      <c r="AI99" s="46"/>
      <c r="AJ99" s="46" t="s">
        <v>1404</v>
      </c>
      <c r="AK99" s="54" t="s">
        <v>470</v>
      </c>
      <c r="AL99" s="1" t="s">
        <v>1064</v>
      </c>
      <c r="AM99" s="54" t="s">
        <v>1141</v>
      </c>
      <c r="AO99" s="7"/>
      <c r="BL99" s="8"/>
    </row>
  </sheetData>
  <sheetProtection formatCells="0" formatColumns="0" formatRows="0" insertRows="0" insertColumns="0" insertHyperlinks="0" deleteColumns="0" deleteRows="0" sort="0" autoFilter="0" pivotTables="0"/>
  <mergeCells count="245">
    <mergeCell ref="A1:AK1"/>
    <mergeCell ref="K2:S2"/>
    <mergeCell ref="X2:Z2"/>
    <mergeCell ref="AA2:AC2"/>
    <mergeCell ref="AD2:AG2"/>
    <mergeCell ref="AH2:AJ2"/>
    <mergeCell ref="A2:A3"/>
    <mergeCell ref="A4:A11"/>
    <mergeCell ref="A12:A18"/>
    <mergeCell ref="A19:A27"/>
    <mergeCell ref="A28:A33"/>
    <mergeCell ref="A34:A39"/>
    <mergeCell ref="A41:A47"/>
    <mergeCell ref="A56:A63"/>
    <mergeCell ref="A64:A71"/>
    <mergeCell ref="A72:A79"/>
    <mergeCell ref="A80:A86"/>
    <mergeCell ref="A87:A93"/>
    <mergeCell ref="B2:B3"/>
    <mergeCell ref="B4:B11"/>
    <mergeCell ref="B12:B16"/>
    <mergeCell ref="B17:B18"/>
    <mergeCell ref="B19:B23"/>
    <mergeCell ref="B24:B27"/>
    <mergeCell ref="B28:B33"/>
    <mergeCell ref="B34:B39"/>
    <mergeCell ref="B41:B47"/>
    <mergeCell ref="B48:B55"/>
    <mergeCell ref="B56:B63"/>
    <mergeCell ref="B64:B68"/>
    <mergeCell ref="B69:B71"/>
    <mergeCell ref="B72:B79"/>
    <mergeCell ref="B80:B86"/>
    <mergeCell ref="B87:B93"/>
    <mergeCell ref="C2:C3"/>
    <mergeCell ref="C4:C5"/>
    <mergeCell ref="C6:C11"/>
    <mergeCell ref="C12:C16"/>
    <mergeCell ref="C17:C18"/>
    <mergeCell ref="C19:C21"/>
    <mergeCell ref="C22:C23"/>
    <mergeCell ref="C24:C27"/>
    <mergeCell ref="C28:C32"/>
    <mergeCell ref="C34:C38"/>
    <mergeCell ref="C41:C44"/>
    <mergeCell ref="C45:C47"/>
    <mergeCell ref="C49:C50"/>
    <mergeCell ref="C51:C52"/>
    <mergeCell ref="C53:C55"/>
    <mergeCell ref="C57:C58"/>
    <mergeCell ref="C59:C60"/>
    <mergeCell ref="C61:C63"/>
    <mergeCell ref="C64:C66"/>
    <mergeCell ref="C67:C68"/>
    <mergeCell ref="C69:C71"/>
    <mergeCell ref="C72:C79"/>
    <mergeCell ref="C80:C84"/>
    <mergeCell ref="C85:C86"/>
    <mergeCell ref="C87:C89"/>
    <mergeCell ref="C90:C93"/>
    <mergeCell ref="C97:C99"/>
    <mergeCell ref="D2:D3"/>
    <mergeCell ref="D4:D5"/>
    <mergeCell ref="D6:D11"/>
    <mergeCell ref="D12:D16"/>
    <mergeCell ref="D17:D18"/>
    <mergeCell ref="D19:D21"/>
    <mergeCell ref="D22:D23"/>
    <mergeCell ref="D24:D27"/>
    <mergeCell ref="D28:D32"/>
    <mergeCell ref="D34:D38"/>
    <mergeCell ref="D41:D44"/>
    <mergeCell ref="D45:D47"/>
    <mergeCell ref="D49:D50"/>
    <mergeCell ref="D53:D55"/>
    <mergeCell ref="D57:D58"/>
    <mergeCell ref="D59:D60"/>
    <mergeCell ref="D61:D63"/>
    <mergeCell ref="D64:D66"/>
    <mergeCell ref="D67:D68"/>
    <mergeCell ref="D69:D71"/>
    <mergeCell ref="D72:D79"/>
    <mergeCell ref="D80:D84"/>
    <mergeCell ref="D85:D86"/>
    <mergeCell ref="D87:D89"/>
    <mergeCell ref="D90:D93"/>
    <mergeCell ref="E2:E3"/>
    <mergeCell ref="E4:E5"/>
    <mergeCell ref="E6:E8"/>
    <mergeCell ref="E9:E11"/>
    <mergeCell ref="E12:E14"/>
    <mergeCell ref="E15:E16"/>
    <mergeCell ref="E17:E18"/>
    <mergeCell ref="E19:E21"/>
    <mergeCell ref="E22:E23"/>
    <mergeCell ref="E24:E27"/>
    <mergeCell ref="E28:E32"/>
    <mergeCell ref="E34:E38"/>
    <mergeCell ref="E41:E44"/>
    <mergeCell ref="E45:E47"/>
    <mergeCell ref="E49:E50"/>
    <mergeCell ref="E53:E55"/>
    <mergeCell ref="E57:E58"/>
    <mergeCell ref="E59:E60"/>
    <mergeCell ref="E61:E63"/>
    <mergeCell ref="E64:E66"/>
    <mergeCell ref="E67:E68"/>
    <mergeCell ref="E69:E71"/>
    <mergeCell ref="E72:E73"/>
    <mergeCell ref="E74:E75"/>
    <mergeCell ref="E76:E79"/>
    <mergeCell ref="E80:E84"/>
    <mergeCell ref="E85:E86"/>
    <mergeCell ref="E87:E89"/>
    <mergeCell ref="E90:E93"/>
    <mergeCell ref="F2:F3"/>
    <mergeCell ref="F4:F5"/>
    <mergeCell ref="F6:F8"/>
    <mergeCell ref="F9:F11"/>
    <mergeCell ref="F12:F14"/>
    <mergeCell ref="F15:F16"/>
    <mergeCell ref="F17:F18"/>
    <mergeCell ref="F19:F21"/>
    <mergeCell ref="F22:F23"/>
    <mergeCell ref="F24:F27"/>
    <mergeCell ref="F28:F32"/>
    <mergeCell ref="F34:F38"/>
    <mergeCell ref="F41:F44"/>
    <mergeCell ref="F45:F47"/>
    <mergeCell ref="F49:F50"/>
    <mergeCell ref="F53:F55"/>
    <mergeCell ref="F57:F58"/>
    <mergeCell ref="F59:F60"/>
    <mergeCell ref="F61:F63"/>
    <mergeCell ref="F64:F66"/>
    <mergeCell ref="F67:F68"/>
    <mergeCell ref="F69:F71"/>
    <mergeCell ref="F72:F73"/>
    <mergeCell ref="F74:F75"/>
    <mergeCell ref="F76:F79"/>
    <mergeCell ref="F80:F84"/>
    <mergeCell ref="F85:F86"/>
    <mergeCell ref="F87:F89"/>
    <mergeCell ref="F90:F93"/>
    <mergeCell ref="G2:G3"/>
    <mergeCell ref="G4:G5"/>
    <mergeCell ref="G6:G8"/>
    <mergeCell ref="G9:G11"/>
    <mergeCell ref="G12:G14"/>
    <mergeCell ref="G15:G16"/>
    <mergeCell ref="G17:G18"/>
    <mergeCell ref="G19:G21"/>
    <mergeCell ref="G22:G23"/>
    <mergeCell ref="G24:G27"/>
    <mergeCell ref="G28:G32"/>
    <mergeCell ref="G34:G38"/>
    <mergeCell ref="G41:G44"/>
    <mergeCell ref="G45:G47"/>
    <mergeCell ref="G49:G50"/>
    <mergeCell ref="G53:G55"/>
    <mergeCell ref="G57:G58"/>
    <mergeCell ref="G59:G60"/>
    <mergeCell ref="G61:G63"/>
    <mergeCell ref="G64:G66"/>
    <mergeCell ref="G67:G68"/>
    <mergeCell ref="G69:G71"/>
    <mergeCell ref="G72:G73"/>
    <mergeCell ref="G74:G75"/>
    <mergeCell ref="G76:G79"/>
    <mergeCell ref="G80:G84"/>
    <mergeCell ref="G85:G86"/>
    <mergeCell ref="G87:G89"/>
    <mergeCell ref="G90:G93"/>
    <mergeCell ref="H2:H3"/>
    <mergeCell ref="H4:H5"/>
    <mergeCell ref="H6:H8"/>
    <mergeCell ref="H9:H11"/>
    <mergeCell ref="H12:H14"/>
    <mergeCell ref="H15:H16"/>
    <mergeCell ref="H17:H18"/>
    <mergeCell ref="H19:H21"/>
    <mergeCell ref="H22:H23"/>
    <mergeCell ref="H24:H27"/>
    <mergeCell ref="H28:H32"/>
    <mergeCell ref="H34:H38"/>
    <mergeCell ref="H41:H44"/>
    <mergeCell ref="H45:H47"/>
    <mergeCell ref="H49:H50"/>
    <mergeCell ref="H53:H55"/>
    <mergeCell ref="H57:H58"/>
    <mergeCell ref="H59:H60"/>
    <mergeCell ref="H61:H63"/>
    <mergeCell ref="H64:H66"/>
    <mergeCell ref="H67:H68"/>
    <mergeCell ref="H69:H71"/>
    <mergeCell ref="H72:H73"/>
    <mergeCell ref="H74:H75"/>
    <mergeCell ref="H76:H79"/>
    <mergeCell ref="H80:H84"/>
    <mergeCell ref="H85:H86"/>
    <mergeCell ref="H87:H89"/>
    <mergeCell ref="H90:H93"/>
    <mergeCell ref="I2:I3"/>
    <mergeCell ref="J2:J3"/>
    <mergeCell ref="T2:T3"/>
    <mergeCell ref="U2:U3"/>
    <mergeCell ref="V2:V3"/>
    <mergeCell ref="W2:W3"/>
    <mergeCell ref="X67:X68"/>
    <mergeCell ref="Y67:Y68"/>
    <mergeCell ref="Z67:Z68"/>
    <mergeCell ref="AA67:AA68"/>
    <mergeCell ref="AB67:AB68"/>
    <mergeCell ref="AC67:AC68"/>
    <mergeCell ref="AD67:AD68"/>
    <mergeCell ref="AE67:AE68"/>
    <mergeCell ref="AF67:AF68"/>
    <mergeCell ref="AG67:AG68"/>
    <mergeCell ref="AH67:AH68"/>
    <mergeCell ref="AI67:AI68"/>
    <mergeCell ref="AJ64:AJ65"/>
    <mergeCell ref="AJ67:AJ68"/>
    <mergeCell ref="AK2:AK3"/>
    <mergeCell ref="AK4:AK5"/>
    <mergeCell ref="AK13:AK14"/>
    <mergeCell ref="AK22:AK23"/>
    <mergeCell ref="AK25:AK27"/>
    <mergeCell ref="AK28:AK32"/>
    <mergeCell ref="AK35:AK38"/>
    <mergeCell ref="AK41:AK44"/>
    <mergeCell ref="AK46:AK47"/>
    <mergeCell ref="AK53:AK55"/>
    <mergeCell ref="AK64:AK66"/>
    <mergeCell ref="AK67:AK68"/>
    <mergeCell ref="AK69:AK71"/>
    <mergeCell ref="AK72:AK73"/>
    <mergeCell ref="AK74:AK75"/>
    <mergeCell ref="AK76:AK78"/>
    <mergeCell ref="AK80:AK84"/>
    <mergeCell ref="AK85:AK86"/>
    <mergeCell ref="AK87:AK89"/>
    <mergeCell ref="AK90:AK93"/>
    <mergeCell ref="AL2:AL3"/>
    <mergeCell ref="AL45:AL48"/>
    <mergeCell ref="AM2:AM3"/>
  </mergeCells>
  <dataValidations count="2">
    <dataValidation allowBlank="1" showInputMessage="1" showErrorMessage="1" sqref="V3 W27 U35 U43 U79 U81 H4:H33 H35:H51 H53:H99 J92:J93 U25:U30 U38:U40 U45:U47 U49:U50 U53:U59 U62:U76 U85:U87 U95:U99"/>
    <dataValidation type="list" allowBlank="1" showInputMessage="1" showErrorMessage="1" sqref="T2:T35 T38:T51 T53:T94 T97:T1048576">
      <formula1>#REF!</formula1>
    </dataValidation>
  </dataValidations>
  <pageMargins left="0.444444444444444" right="0.236111111111111" top="0.590277777777778" bottom="0.393055555555556" header="0.298611111111111" footer="0.298611111111111"/>
  <pageSetup paperSize="8" scale="54" fitToHeight="0" orientation="landscape" horizontalDpi="600"/>
  <headerFooter>
    <oddFooter>&amp;C第 &amp;P 页，共 &amp;N 页</oddFooter>
  </headerFooter>
  <rowBreaks count="11" manualBreakCount="11">
    <brk id="11" max="36" man="1"/>
    <brk id="18" max="36" man="1"/>
    <brk id="27" max="36" man="1"/>
    <brk id="33" max="36" man="1"/>
    <brk id="39" max="36" man="1"/>
    <brk id="47" max="36" man="1"/>
    <brk id="55" max="36" man="1"/>
    <brk id="63" max="36" man="1"/>
    <brk id="71" max="36" man="1"/>
    <brk id="79" max="36" man="1"/>
    <brk id="86" max="36"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8"/>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 WWO_wpscloud_20231121085606-3490c7c8be</Application>
  <HeadingPairs>
    <vt:vector size="2" baseType="variant">
      <vt:variant>
        <vt:lpstr>工作表</vt:lpstr>
      </vt:variant>
      <vt:variant>
        <vt:i4>9</vt:i4>
      </vt:variant>
    </vt:vector>
  </HeadingPairs>
  <TitlesOfParts>
    <vt:vector size="9" baseType="lpstr">
      <vt:lpstr>业务流程</vt:lpstr>
      <vt:lpstr>流程图</vt:lpstr>
      <vt:lpstr>意见建议</vt:lpstr>
      <vt:lpstr>500千伏-750千伏电网基建</vt:lpstr>
      <vt:lpstr>500千伏-750千伏电网基建 (核对过程7.29)</vt:lpstr>
      <vt:lpstr>Sheet1</vt:lpstr>
      <vt:lpstr>500千伏-750千伏电网基建（核对过程7.27） (2)</vt:lpstr>
      <vt:lpstr>35千伏-750千伏电网基建（核对过程） (2)</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fxzsb</cp:lastModifiedBy>
  <dcterms:created xsi:type="dcterms:W3CDTF">2015-06-08T18:19:00Z</dcterms:created>
  <cp:lastPrinted>2025-11-06T08:56:00Z</cp:lastPrinted>
  <dcterms:modified xsi:type="dcterms:W3CDTF">2026-09-14T03:50:46Z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383729078E974023819A81E6DC90BA41</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