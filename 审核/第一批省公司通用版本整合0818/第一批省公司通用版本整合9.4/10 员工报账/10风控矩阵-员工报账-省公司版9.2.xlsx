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10 员工报账\"/>
    </mc:Choice>
  </mc:AlternateContent>
  <bookViews>
    <workbookView windowWidth="23040" windowHeight="8615" tabRatio="830" firstSheet="4" activeTab="4"/>
  </bookViews>
  <sheets>
    <sheet name="业务流程" sheetId="3" state="hidden" r:id="rId1"/>
    <sheet name="流程图" sheetId="19" state="hidden" r:id="rId2"/>
    <sheet name="员工报账（核对过程7.23）" sheetId="24" state="hidden" r:id="rId3"/>
    <sheet name="员工报账（确认三清单版本核对过程7.30）" sheetId="26" state="hidden" r:id="rId4"/>
    <sheet name="员工报账（9.2）" sheetId="28" r:id="rId5"/>
    <sheet name="Sheet2" sheetId="29" state="hidden" r:id="rId6"/>
    <sheet name="Sheet1" sheetId="27" state="hidden" r:id="rId7"/>
    <sheet name="意见建议" sheetId="25" state="hidden" r:id="rId8"/>
    <sheet name="WpsReserved_CellImgList" sheetId="21" state="veryHidden" r:id="rId9"/>
  </sheets>
  <externalReferences>
    <externalReference r:id="rId10"/>
    <externalReference r:id="rId11"/>
    <externalReference r:id="rId12"/>
  </externalReferences>
  <definedNames>
    <definedName name="_xlnm._FilterDatabase" localSheetId="4" hidden="1">'员工报账（9.2）'!$A$3:$AM$105</definedName>
    <definedName name="_xlnm._FilterDatabase" localSheetId="7" hidden="1">意见建议!$A$2:$AN$3</definedName>
    <definedName name="_xlnm._FilterDatabase" localSheetId="3" hidden="1">'员工报账（确认三清单版本核对过程7.30）'!$A$3:$AN$105</definedName>
    <definedName name="_xlnm._FilterDatabase" localSheetId="2" hidden="1">'员工报账（核对过程7.23）'!$A$3:$AM$99</definedName>
    <definedName name="_xlnm.Print_Area" localSheetId="7">意见建议!$A$1:$AR$3</definedName>
    <definedName name="_xlnm.Print_Area" localSheetId="2">'员工报账（核对过程7.23）'!$A$1:$AK$80</definedName>
    <definedName name="_xlnm.Print_Titles" localSheetId="7">意见建议!$1:$2</definedName>
    <definedName name="_xlnm.Print_Titles" localSheetId="2">'员工报账（核对过程7.23）'!$2:$3</definedName>
    <definedName name="_xlnm.Print_Area" localSheetId="3">'员工报账（确认三清单版本核对过程7.30）'!$A$1:$AK$80</definedName>
    <definedName name="_xlnm.Print_Titles" localSheetId="3">'员工报账（确认三清单版本核对过程7.30）'!$2:$3</definedName>
    <definedName name="_xlnm.Print_Area" localSheetId="4">'员工报账（9.2）'!$A$1:$AK$80</definedName>
    <definedName name="_xlnm.Print_Titles" localSheetId="4">'员工报账（9.2）'!$2:$3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<sst xmlns="http://schemas.openxmlformats.org/spreadsheetml/2006/main" count="7381" uniqueCount="1165">
  <si>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</si>
  <si>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</si>
  <si>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</si>
  <si>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</si>
  <si>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</si>
  <si>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</si>
  <si>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</si>
  <si>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</si>
  <si>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</si>
  <si>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</si>
  <si>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</si>
  <si>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</si>
  <si>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</si>
  <si>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</si>
  <si>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</si>
  <si>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</si>
  <si>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</si>
  <si>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</si>
  <si>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</si>
  <si>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</si>
  <si>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</si>
  <si>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</si>
  <si>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</si>
  <si>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</si>
  <si>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</si>
  <si>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</si>
  <si>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</si>
  <si>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</si>
  <si>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</si>
  <si>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</si>
  <si>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</si>
  <si>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</si>
  <si>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</si>
  <si>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</si>
  <si>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</si>
  <si>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</si>
  <si>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</si>
  <si>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</si>
  <si>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</si>
  <si>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</si>
  <si>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</si>
  <si>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</si>
  <si>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</si>
  <si>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</si>
  <si>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</si>
  <si>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</si>
  <si>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</si>
  <si>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</si>
  <si>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</si>
  <si>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</si>
  <si>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</si>
  <si>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</si>
  <si>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</si>
  <si>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</si>
  <si>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</si>
  <si>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</si>
  <si>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</si>
  <si>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</si>
  <si>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</si>
  <si>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</si>
  <si>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</si>
  <si>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</si>
  <si>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</si>
  <si>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</si>
  <si>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</si>
  <si>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</si>
  <si>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</si>
  <si>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</si>
  <si>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</si>
  <si>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</si>
  <si>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</si>
  <si>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</si>
  <si>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</si>
  <si>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</si>
  <si>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</si>
  <si>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</si>
  <si>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</si>
  <si>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</si>
  <si>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</si>
  <si>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</si>
  <si>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</si>
  <si>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</si>
  <si>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</si>
  <si>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</si>
  <si>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</si>
  <si>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</si>
  <si>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</si>
  <si>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</si>
  <si>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</si>
  <si>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</si>
  <si>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</si>
  <si>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</si>
  <si>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</si>
  <si>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</si>
  <si>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</si>
  <si>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</si>
  <si>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</si>
  <si>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</si>
  <si>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</si>
  <si>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</si>
  <si>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</si>
  <si>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</si>
  <si>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</si>
  <si>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</si>
  <si>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</si>
  <si>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</si>
  <si>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</si>
  <si>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</si>
  <si>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</si>
  <si>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</si>
  <si>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</si>
  <si>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</si>
  <si>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</si>
  <si>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</si>
  <si>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</si>
  <si>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</si>
  <si>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</si>
  <si>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</si>
  <si>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</si>
  <si>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</si>
  <si>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</si>
  <si>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</si>
  <si>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</si>
  <si>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</si>
  <si>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</si>
  <si>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</si>
  <si>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</si>
  <si>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</si>
  <si>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</si>
  <si>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</si>
  <si>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</si>
  <si>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</si>
  <si>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</si>
  <si>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</si>
  <si>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</si>
  <si>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</si>
  <si>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</si>
  <si>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</si>
  <si>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</si>
  <si>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</si>
  <si>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</si>
  <si>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</si>
  <si>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</si>
  <si>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</si>
  <si>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</si>
  <si>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</si>
  <si>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</si>
  <si>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</si>
  <si>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</si>
  <si>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</si>
  <si>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</si>
  <si>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</si>
  <si>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</si>
  <si>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</si>
  <si>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</si>
  <si>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</si>
  <si>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</si>
  <si>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</si>
  <si>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</si>
  <si>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</si>
  <si>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</si>
  <si>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</si>
  <si>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</si>
  <si>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</si>
  <si>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</si>
  <si>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</si>
  <si>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</si>
  <si>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</si>
  <si>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</si>
  <si>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</si>
  <si>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</si>
  <si>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</si>
  <si>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</si>
  <si>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</si>
  <si>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</si>
  <si>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</si>
  <si>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</si>
  <si>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</si>
  <si>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</si>
  <si>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</si>
  <si>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</si>
  <si>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</si>
  <si>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</si>
  <si>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</si>
  <si>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</si>
  <si>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</si>
  <si>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</si>
  <si>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</si>
  <si>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</si>
  <si>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</si>
  <si>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</si>
  <si>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</si>
  <si>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</si>
  <si>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</si>
  <si>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</si>
  <si>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</si>
  <si>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</si>
  <si>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</si>
  <si>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</si>
  <si>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</si>
  <si>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</si>
  <si>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</si>
  <si>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</si>
  <si>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</si>
  <si>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</si>
  <si>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</si>
  <si>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</si>
  <si>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</si>
  <si>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</si>
  <si>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</si>
  <si>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</si>
  <si>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</si>
  <si>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</si>
  <si>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</si>
  <si>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</si>
  <si>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</si>
  <si>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</si>
  <si>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</si>
  <si>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</si>
  <si>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</si>
  <si>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</si>
  <si>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</si>
  <si>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</si>
  <si>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</si>
  <si>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</si>
  <si>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</si>
  <si>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</si>
  <si>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</si>
  <si>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</si>
  <si>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</si>
  <si>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</si>
  <si>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</si>
  <si>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</si>
  <si>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</si>
  <si>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</si>
  <si>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</si>
  <si>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</si>
  <si>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</si>
  <si>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</si>
  <si>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</si>
  <si>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</si>
  <si>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</si>
  <si>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</si>
  <si>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</si>
  <si>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</si>
  <si>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</si>
  <si>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</si>
  <si>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</si>
  <si>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</si>
  <si>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</si>
  <si>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</si>
  <si>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</si>
  <si>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</si>
  <si>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</si>
  <si>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</si>
  <si>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</si>
  <si>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</si>
  <si>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</si>
  <si>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</si>
  <si>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</si>
  <si>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</si>
  <si>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</si>
  <si>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</si>
  <si>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</si>
  <si>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</si>
  <si>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</si>
  <si>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</si>
  <si>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</si>
  <si>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</si>
  <si>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</si>
  <si>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</si>
  <si>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</si>
  <si>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</si>
  <si>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</si>
  <si>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</si>
  <si>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</si>
  <si>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</si>
  <si>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</si>
  <si>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</si>
  <si>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</si>
  <si>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</si>
  <si>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</si>
  <si>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</si>
  <si>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</si>
  <si>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</si>
  <si>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</si>
  <si>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</si>
  <si>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</si>
  <si>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</si>
  <si>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</si>
  <si>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</si>
  <si>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</si>
  <si>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</si>
  <si>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</si>
  <si>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</si>
  <si>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</si>
  <si>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</si>
  <si>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</si>
  <si>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</si>
  <si>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</si>
  <si>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</si>
  <si>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</si>
  <si>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</si>
  <si>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</si>
  <si>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</si>
  <si>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</si>
  <si>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</si>
  <si>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</si>
  <si>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</si>
  <si>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</si>
  <si>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</si>
  <si>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</si>
  <si>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</si>
  <si>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</si>
  <si>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</si>
  <si>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</si>
  <si>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</si>
  <si>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</si>
  <si>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</si>
  <si>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</si>
  <si>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</si>
  <si>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</si>
  <si>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</si>
  <si>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</si>
  <si>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</si>
  <si>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</si>
  <si>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</si>
  <si>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</si>
  <si>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</si>
  <si>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</si>
  <si>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</si>
  <si>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</si>
  <si>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</si>
  <si>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</si>
  <si>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</si>
  <si>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</si>
  <si>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</si>
  <si>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</si>
  <si>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</si>
  <si>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</si>
  <si>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</si>
  <si>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</si>
  <si>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</si>
  <si>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</si>
  <si>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</si>
  <si>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</si>
  <si>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</si>
  <si>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</si>
  <si>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</si>
  <si>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</si>
  <si>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</si>
  <si>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</si>
  <si>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</si>
  <si>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</si>
  <si>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</si>
  <si>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</si>
  <si>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</si>
  <si>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</si>
  <si>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</si>
  <si>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</si>
  <si>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</si>
  <si>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</si>
  <si>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</si>
  <si>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</si>
  <si>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</si>
  <si>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</si>
  <si>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</si>
  <si>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</si>
  <si>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</si>
  <si>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</si>
  <si>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</si>
  <si>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</si>
  <si>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</si>
  <si>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</si>
  <si>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</si>
  <si>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</si>
  <si>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</si>
  <si>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</si>
  <si>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</si>
  <si>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</si>
  <si>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</si>
  <si>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</si>
  <si>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</si>
  <si>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</si>
  <si>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</si>
  <si>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</si>
  <si>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</si>
  <si>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</si>
  <si>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</si>
  <si>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</si>
  <si>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</si>
  <si>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</si>
  <si>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</si>
  <si>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</si>
  <si>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</si>
  <si>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</si>
  <si>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</si>
  <si>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</si>
  <si>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</si>
  <si>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</si>
  <si>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</si>
  <si>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</si>
  <si>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</si>
  <si>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</si>
  <si>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</si>
  <si>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</si>
  <si>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</si>
  <si>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</si>
  <si>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</si>
  <si>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</si>
  <si>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</si>
  <si>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</si>
  <si>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</si>
  <si>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</si>
  <si>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</si>
  <si>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风控矩阵-员工报账</t>
  </si>
  <si>
    <t>业务条线</t>
  </si>
  <si>
    <t>业务领域</t>
  </si>
  <si>
    <t>控制目标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</si>
  <si>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</si>
  <si>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</si>
  <si>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</si>
  <si>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</si>
  <si>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</si>
  <si>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</si>
  <si>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</si>
  <si>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</si>
  <si>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</si>
  <si>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</si>
  <si>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</si>
  <si>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</si>
  <si>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t>业务自评价</t>
  </si>
  <si>
    <t>集团监督
评价</t>
  </si>
  <si>
    <t>数字化监督场景</t>
  </si>
  <si>
    <t>现有制度及文件落实情况</t>
  </si>
  <si>
    <t>总部审核部门</t>
  </si>
  <si>
    <t>湖南公司审核部门</t>
  </si>
  <si>
    <t>其他备注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</si>
  <si>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</si>
  <si>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</si>
  <si>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</si>
  <si>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</si>
  <si>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</si>
  <si>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</si>
  <si>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</si>
  <si>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</si>
  <si>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</si>
  <si>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</si>
  <si>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</si>
  <si>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</si>
  <si>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</si>
  <si>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</si>
  <si>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</si>
  <si>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员工报账</t>
  </si>
  <si>
    <t>一、员工差旅</t>
  </si>
  <si>
    <t>资金资产安全</t>
  </si>
  <si>
    <t>出差申请</t>
  </si>
  <si>
    <t>出差事项不真实，出差无实质内容，无明确公务目的，虚列套取费用，导致资金安全风险。</t>
  </si>
  <si>
    <r>
      <rPr>
        <b/>
        <sz val="10"/>
        <rFont val="方正仿宋_GBK"/>
        <charset val="134"/>
      </rPr>
      <t>87.违规发放津贴补贴</t>
    </r>
    <r>
      <rPr>
        <sz val="10"/>
        <rFont val="方正仿宋_GBK"/>
        <charset val="134"/>
      </rPr>
      <t>：存在多报差旅补贴、虚报差旅补贴等问题。</t>
    </r>
  </si>
  <si>
    <t>1.出差申请发起</t>
  </si>
  <si>
    <t>出差有明确公务目的，出差时间、地点、人员与出差通知一致。</t>
  </si>
  <si>
    <t>员工报账业务-1.出差申请发起-控制措施01</t>
  </si>
  <si>
    <t>出差员工部门负责人对员工出差内容的复核，重点审查出差申请单人员、地点、事由等信息。</t>
  </si>
  <si>
    <t>系统已建</t>
  </si>
  <si>
    <t>国网商旅</t>
  </si>
  <si>
    <t>1.出差通知、培训通知等出差缘由证明材料。</t>
  </si>
  <si>
    <t>各级单位-各部门-出差人员、各级单位-各部门-负责人、商旅云公司</t>
  </si>
  <si>
    <t>每日</t>
  </si>
  <si>
    <t>全量检查</t>
  </si>
  <si>
    <t>每年</t>
  </si>
  <si>
    <t>抽查</t>
  </si>
  <si>
    <t>员工差旅出差申请监督场景</t>
  </si>
  <si>
    <t>每月</t>
  </si>
  <si>
    <t>是</t>
  </si>
  <si>
    <r>
      <rPr>
        <sz val="10"/>
        <rFont val="方正仿宋_GBK"/>
        <charset val="134"/>
      </rPr>
      <t>《国家电网有限公司差旅费管理办法》（国家电网企管〔2026〕101号）第四条、第二十四条</t>
    </r>
    <r>
      <rPr>
        <sz val="10"/>
        <color rgb="FFFF0000"/>
        <rFont val="方正仿宋_GBK"/>
        <charset val="134"/>
      </rPr>
      <t>、《国网湖南省电力有限公司关于印发加强差旅费管理有关规定的通知》第二条、第三条</t>
    </r>
  </si>
  <si>
    <t>国网财务部</t>
  </si>
  <si>
    <t>各级单位财务部</t>
  </si>
  <si>
    <t>补充制度</t>
  </si>
  <si>
    <t>员工报账业务-1.出差申请发起-控制措施02</t>
  </si>
  <si>
    <t>健全“申请-预订-报销”数据联动校验规则，落实预算控制，系统自动比对出差事项与出差产生的票据的逻辑一致性。</t>
  </si>
  <si>
    <t>1.出差审批单。</t>
  </si>
  <si>
    <t>各级单位-各部门-出差人员、商旅云公司</t>
  </si>
  <si>
    <t>员工报账业务-1.出差申请发起-控制措施03</t>
  </si>
  <si>
    <t>健全差旅费成本中心校验机制，赴异地挂职、按照规定探亲在途期间出差申请选择原单位成本中心，挂职期间出差申请选择挂职单位成本中心。</t>
  </si>
  <si>
    <t>1.系统出差申请单校验记录等。</t>
  </si>
  <si>
    <t>2.出差申请审批</t>
  </si>
  <si>
    <t>按规定执行出差审批制度。</t>
  </si>
  <si>
    <t>员工报账业务-2.出差申请审批-控制措施01</t>
  </si>
  <si>
    <t>流程固化与防逆向控制，商旅云公司固化“审批-预订-报销”流程，严格限制并需特殊授权才能“取消审批”等逆向操作。</t>
  </si>
  <si>
    <t>1.出差通知、培训通知等出差缘由证明材料；
2.出差审批单；
3.系统出差申请单审批轨迹。</t>
  </si>
  <si>
    <t>《国家电网有限公司差旅费管理办法》（国家电网企管〔2026〕101号）第二十二条</t>
  </si>
  <si>
    <t>员工报账业务-2.出差申请审批-控制措施02</t>
  </si>
  <si>
    <t>全链条强制关联控制，系统强制将“审批单号”作为商旅预订及费用报销的唯一前提。</t>
  </si>
  <si>
    <t>1.出差通知、培训通知等出差缘由证明材料；
2.出差审批单。</t>
  </si>
  <si>
    <t>《国家电网有限公司差旅费管理办法》（国家电网企管〔2026〕101号）第四条、第二十四条、第二十六条</t>
  </si>
  <si>
    <t>员工报账业务-2.出差申请审批-控制措施03</t>
  </si>
  <si>
    <t>商旅云公司严禁后台“绿色通道”操作，禁止平台通过电话申请取消审批行为。</t>
  </si>
  <si>
    <t>系统待建</t>
  </si>
  <si>
    <t>税务合规</t>
  </si>
  <si>
    <t>商旅平台违规取消事前审批流程，导致出现“先出差后申请”的情况，引发舞弊及合规管理风险。</t>
  </si>
  <si>
    <r>
      <rPr>
        <b/>
        <sz val="10"/>
        <rFont val="方正仿宋_GBK"/>
        <charset val="134"/>
      </rPr>
      <t>87.违规发放津贴补贴：</t>
    </r>
    <r>
      <rPr>
        <sz val="10"/>
        <rFont val="方正仿宋_GBK"/>
        <charset val="134"/>
      </rPr>
      <t>存在多报差旅补贴、虚报差旅补贴等问题。</t>
    </r>
  </si>
  <si>
    <t>3.出差申请流程控制</t>
  </si>
  <si>
    <t>出差申请日期早于出差日期。</t>
  </si>
  <si>
    <t>员工报账业务-3.出差申请流程控制-控制措施01</t>
  </si>
  <si>
    <t>审批要素完整性校验，系统强制校验审批单的必备要素，对缺少出差事由等关键要素的申请单不予通过。</t>
  </si>
  <si>
    <t>1.系统出差申请单审批轨迹；
2.系统记录的申请单提交时间和出差时间。</t>
  </si>
  <si>
    <r>
      <rPr>
        <sz val="10"/>
        <color rgb="FFFF0000"/>
        <rFont val="方正仿宋_GBK"/>
        <charset val="134"/>
      </rPr>
      <t>各级单位-各部门-出差人员、各级单位-各部门-负责人、</t>
    </r>
    <r>
      <rPr>
        <sz val="10"/>
        <rFont val="方正仿宋_GBK"/>
        <charset val="134"/>
      </rPr>
      <t>商旅云公司</t>
    </r>
  </si>
  <si>
    <t>员工差旅流程配置监督场景</t>
  </si>
  <si>
    <t>《国家电网有限公司差旅费管理办法》（国家电网企管〔2026〕101号）第五条</t>
  </si>
  <si>
    <t>修改责任主体</t>
  </si>
  <si>
    <t>员工报账业务-3.出差申请流程控制-控制措施02</t>
  </si>
  <si>
    <t>严格执行不相容控制，系统根据组织架构与授权清单自动匹配并校验审批人权限，防范越权审批</t>
  </si>
  <si>
    <t>1.系统记录的申请单提交时间和出差时间。</t>
  </si>
  <si>
    <t>商旅云公司、各级单位-各部门-出差人员、各级单位-各部门-负责人</t>
  </si>
  <si>
    <t>员工报账业务-3.出差申请流程控制-控制措施03</t>
  </si>
  <si>
    <t>建立定期分析、评价与问责机制，各部门对审批时效、驳回率、特批事项进行专项分析，审计部门、纪检部门等监督部门对违规审批、补批行为依规问责。</t>
  </si>
  <si>
    <t>线下管控</t>
  </si>
  <si>
    <r>
      <rPr>
        <sz val="10"/>
        <rFont val="方正仿宋_GBK"/>
        <charset val="134"/>
      </rPr>
      <t>商旅云公司</t>
    </r>
    <r>
      <rPr>
        <sz val="10"/>
        <color rgb="FFFF0000"/>
        <rFont val="方正仿宋_GBK"/>
        <charset val="134"/>
      </rPr>
      <t>、各级单位-审计部门、纪检部门等监督部门-监督、纪检管理人员</t>
    </r>
  </si>
  <si>
    <t>差旅预订</t>
  </si>
  <si>
    <t>商旅平台酒店存在棋牌、麻将、电竞等敏感字眼，商旅平台违规上架引发合规风险。</t>
  </si>
  <si>
    <t>4.酒店入驻上架控制</t>
  </si>
  <si>
    <t>酒店资源上架流程合规，且履行必要的审批手续。</t>
  </si>
  <si>
    <t>员工报账业务-4.酒店入驻上架控制-控制措施01</t>
  </si>
  <si>
    <t>商旅云公司强化供应商准入审核，对新签约酒店的的资质有效性、服务适配性以及风险可控性等信息进行事前审核。</t>
  </si>
  <si>
    <t>1.酒店资质、营业执照、房型清单。</t>
  </si>
  <si>
    <t>商旅云公司</t>
  </si>
  <si>
    <t>员工差旅预订监督场景</t>
  </si>
  <si>
    <t>员工报账业务-4.酒店入驻上架控制-控制措施02</t>
  </si>
  <si>
    <t>商旅云公司建立并动态更新《敏感词库与酒店属性负面清单》，系统自动拦截负面清单内容并转人工复核。</t>
  </si>
  <si>
    <t>1.系统敏感词库与酒店属性负面清单。</t>
  </si>
  <si>
    <t>员工报账业务-4.酒店入驻上架控制-控制措施03</t>
  </si>
  <si>
    <t>追回违规上架酒店产生的资金浪费，并对相关负责人按规定给予处分处理。</t>
  </si>
  <si>
    <t>1.问责证明材料。</t>
  </si>
  <si>
    <t>酒店价格虚高易引发套取资金，引发廉政风险。</t>
  </si>
  <si>
    <t>5.单体酒店上架及价格定价管控</t>
  </si>
  <si>
    <t>商旅平台酒店资源价格真实合理。</t>
  </si>
  <si>
    <t>员工报账业务-5.单体酒店上架及价格定价管控-控制措施01</t>
  </si>
  <si>
    <t>增加单体酒店上架申请审批流程，由各单位办公室汇总审核本单位酒店需求，向商旅云公司提交上架。</t>
  </si>
  <si>
    <t>1.协议单体酒店推荐表单。</t>
  </si>
  <si>
    <r>
      <rPr>
        <sz val="10"/>
        <rFont val="方正仿宋_GBK"/>
        <charset val="134"/>
      </rPr>
      <t>商旅云公司、各级单位-</t>
    </r>
    <r>
      <rPr>
        <strike/>
        <sz val="10"/>
        <rFont val="方正仿宋_GBK"/>
        <charset val="134"/>
      </rPr>
      <t>办公室</t>
    </r>
    <r>
      <rPr>
        <sz val="10"/>
        <color rgb="FFFF0000"/>
        <rFont val="方正仿宋_GBK"/>
        <charset val="134"/>
      </rPr>
      <t>财务部</t>
    </r>
  </si>
  <si>
    <t>员工报账业务-5.单体酒店上架及价格定价管控-控制措施02</t>
  </si>
  <si>
    <t>商旅云公司强化协议签订管控，严格审核酒店资质，严控无理由上架，防范舞弊行为。</t>
  </si>
  <si>
    <t xml:space="preserve">1.酒单违规风险清单；
2.采购协议酒店清单；
3.酒店上架评审报告。 </t>
  </si>
  <si>
    <t>员工报账业务-5.单体酒店上架及价格定价管控-控制措施03</t>
  </si>
  <si>
    <t>加强员工行为管控，商旅云公司强化酒店订单在线监督，防范员工违规套取资金。</t>
  </si>
  <si>
    <t>1.酒店合作协议。</t>
  </si>
  <si>
    <t>员工报账业务-5.单体酒店上架及价格定价管控-控制措施04</t>
  </si>
  <si>
    <t>建立负面清单，及时清退违规酒店。</t>
  </si>
  <si>
    <t>1.酒店风险识别机制；
2.员工体验反馈。</t>
  </si>
  <si>
    <t>员工在同一时间段内重复预订酒店资源，存在套取资金风险。</t>
  </si>
  <si>
    <t>6.酒店预订</t>
  </si>
  <si>
    <t>同一员工在同一时间段内，就同一出差行程，仅能生成一个有效住宿订单。</t>
  </si>
  <si>
    <t>员工报账业务-6.酒店预订-控制措施01</t>
  </si>
  <si>
    <t>商旅云公司完善重复订单系统校验规则，自动拦截并预警同一人员、时段重叠的酒店订单申请。</t>
  </si>
  <si>
    <t>1.商旅订单；
2.出差通知、培训通知等出差缘由证明材料。</t>
  </si>
  <si>
    <t>《国家电网有限公司差旅费管理办法》（国家电网企管〔2026〕101号）第二十四条</t>
  </si>
  <si>
    <t>员工报账业务-6.酒店预订-控制措施02</t>
  </si>
  <si>
    <t>商旅云公司健全入住轨迹验证与反馈机制，自动识别入住轨迹异常情况，即时预警有关责任人。</t>
  </si>
  <si>
    <t>1.系统拦截记录。</t>
  </si>
  <si>
    <t>员工报账业务-6.酒店预订-控制措施03</t>
  </si>
  <si>
    <t>财务部门加强出差申请与酒店订单的交叉复核，校验人员、时间、订单的合理性与唯一性。</t>
  </si>
  <si>
    <t>1.出差报销单；
2.入住轨迹与异常情况反馈。</t>
  </si>
  <si>
    <r>
      <rPr>
        <sz val="10"/>
        <rFont val="方正仿宋_GBK"/>
        <charset val="134"/>
      </rPr>
      <t>各级单位-各部门-出差人员、</t>
    </r>
    <r>
      <rPr>
        <sz val="10"/>
        <color rgb="FFFF0000"/>
        <rFont val="方正仿宋_GBK"/>
        <charset val="134"/>
      </rPr>
      <t>各级单位-财务部门-成本管理人员、</t>
    </r>
    <r>
      <rPr>
        <sz val="10"/>
        <rFont val="方正仿宋_GBK"/>
        <charset val="134"/>
      </rPr>
      <t>商旅云公司</t>
    </r>
  </si>
  <si>
    <t>差旅报销</t>
  </si>
  <si>
    <t>擅自扩大差旅费开支范围，提高差旅费开支标准，增加差旅出行成本。</t>
  </si>
  <si>
    <t>7.差旅标准执行</t>
  </si>
  <si>
    <t>差旅费开支标准、开支范围符合本单位差旅费标准。</t>
  </si>
  <si>
    <t>员工报账业务-7.差旅标准执行-控制措施01</t>
  </si>
  <si>
    <t>商旅云公司完善差旅费超标刚性管控功能，系统对超标申请酒店、交通工具和差旅补助进行自动隐藏。</t>
  </si>
  <si>
    <t>1.差旅标准系统校验规则库；
2.出差通知、培训通知等出差缘由证明材料；
3.出差审批单；
4.出差报销单。</t>
  </si>
  <si>
    <t>各级单位-财务部门-预算管理人员、各级单位-各部门-出差人员、各级单位-各部门-负责人、各级单位-财务部门-成本管理人员、商旅云公司</t>
  </si>
  <si>
    <t>员工差旅费用标准监督场景</t>
  </si>
  <si>
    <t>《国家电网有限公司差旅费管理办法》（国家电网企管〔2026〕101号）第八条、第十一条至第十九条</t>
  </si>
  <si>
    <t>员工报账业务-7.差旅标准执行-控制措施02</t>
  </si>
  <si>
    <t>财务部门加强出差类别与出差性质审核，重点关注评标、培训等特殊出差事项政策执行情况。</t>
  </si>
  <si>
    <t>各级单位-财务部门-预算管理人员、各级单位-各部门-负责人、各级单位-财务部门-成本管理人员、商旅云公司</t>
  </si>
  <si>
    <t>员工报账业务-7.差旅标准执行-控制措施03</t>
  </si>
  <si>
    <t>纪检部门推动退赔与整改机制，对超标报销行为依规严肃问责。</t>
  </si>
  <si>
    <t>各级单位-财务部门-预算管理人员、各级单位-各部门-出差人员、各级单位-各部门-负责人、各级单位-财务部门-成本管理人员、商旅云公司、各级单位-纪检部门-纪检管理人员</t>
  </si>
  <si>
    <r>
      <rPr>
        <sz val="10"/>
        <rFont val="方正仿宋_GBK"/>
        <charset val="134"/>
      </rPr>
      <t>《国家电网有限公司差旅费管理办法》（国家电网企管〔2026〕101号）第八条、第十一条至第十九条</t>
    </r>
    <r>
      <rPr>
        <sz val="10"/>
        <color rgb="FFFF0000"/>
        <rFont val="方正仿宋_GBK"/>
        <charset val="134"/>
      </rPr>
      <t>、《国网湖南省电力有限公司关于印发加强差旅费管理有关规定的通知》第一条</t>
    </r>
  </si>
  <si>
    <t>虚报冒领差旅费，虚列套取费用，导致资金安全风险。</t>
  </si>
  <si>
    <t>8.差旅报销合规性控制</t>
  </si>
  <si>
    <t>交通费、公杂费、住宿费等报销真实发生，差旅费报销准确。</t>
  </si>
  <si>
    <t>员工报账业务-8.差旅报销合规性控制-控制措施01</t>
  </si>
  <si>
    <t>建立业务部门费用报销前置审核机制，对机票、酒店、火车、补助等金额准确性复核。</t>
  </si>
  <si>
    <t>1.出差通知、培训通知等出差缘由证明材料；
2.出差审批单；
3.预订的商旅订单；
4.发票；
5.考勤记录。</t>
  </si>
  <si>
    <t>各级单位-各部门-出差人员、各级单位-各部门-出差报销审核人、各级单位-财务部门-成本管理人员、商旅云公司</t>
  </si>
  <si>
    <t>员工差旅报销监督场景</t>
  </si>
  <si>
    <t>《国网财务部、后勤部关于进一步规范差旅伙食费和交通费收交管理有关事项的通知》第三条、第四条
《国家电网有限公司差旅费管理办法》（国家电网企管〔2026〕101号）第十二条、第十三条、第十七条、第二十四条</t>
  </si>
  <si>
    <t>员工报账业务-8.差旅报销合规性控制-控制措施02</t>
  </si>
  <si>
    <t>商旅云公司强化时空逻辑系统校验，对“出差时间-住宿时间-车票时间”进行自动校验，拦截或预警重叠数据。</t>
  </si>
  <si>
    <t>《国网财务部、后勤部关于进一步规范差旅伙食费和交通费收交管理有关事项的通知》第三条、第四条
《国家电网有限公司差旅费管理办法》（国家电网企管〔2026〕101号第十二条、第十三条、第十七条、第二十四条</t>
  </si>
  <si>
    <t>员工报账业务-8.差旅报销合规性控制-控制措施03</t>
  </si>
  <si>
    <t>商旅云公司健全票据使用状态规则，重点筛查“未使用”的交通票据，防范员工利用废票虚报费用或重复报销。</t>
  </si>
  <si>
    <t>《国网财务部、后勤部关于进一步规范差旅伙食费和交通费收交管理有关事项的通知》第三条、第四条
《国家电网有限公司差旅费管理办法》（国家电网企管〔2026〕101号）第十七条、第二十四条</t>
  </si>
  <si>
    <t>员工报账业务-8.差旅报销合规性控制-控制措施04</t>
  </si>
  <si>
    <t>财务部门加强差旅报销审核力度，对同一时段连续出差公杂费、伙食补助费进行复核，避免重复计算。</t>
  </si>
  <si>
    <t>员工报账业务-8.差旅报销合规性控制-控制措施05</t>
  </si>
  <si>
    <t>纪检部门完善违规问责与闭环管理机制，对未缴纳伙食费用套取各类补助和虚报行为进行问责，追回资金，并纳入个人诚信记录。</t>
  </si>
  <si>
    <t>各级单位-各部门-出差人员、各级单位-各部门-出差报销审核人、各级单位-财务部门-成本管理人员、商旅云公司、各级单位-纪检部门-纪检管理人员</t>
  </si>
  <si>
    <r>
      <rPr>
        <sz val="10"/>
        <rFont val="方正仿宋_GBK"/>
        <charset val="134"/>
      </rPr>
      <t>《国网财务部、后勤部关于进一步规范差旅伙食费和交通费收交管理有关事项的通知》第三条、第四条
《国家电网有限公司差旅费管理办法》（国家电网企管〔2026〕101号）第十七条、第二十四条</t>
    </r>
    <r>
      <rPr>
        <sz val="10"/>
        <color rgb="FFFF0000"/>
        <rFont val="方正仿宋_GBK"/>
        <charset val="134"/>
      </rPr>
      <t>、《国网湖南省电力有限公司关于印发加强差旅费管理有关规定的通知》第一条</t>
    </r>
  </si>
  <si>
    <t>员工自付单据中的人员、时间与地点未在出差范围内，虚报支出，套取资金，导致公司经济利益受损。</t>
  </si>
  <si>
    <t>9.自付单据审核</t>
  </si>
  <si>
    <t>自付单据中人员、时间、地点与出差申请单一致，自付交通费、住宿费符合差旅费标准。</t>
  </si>
  <si>
    <t>员工报账业务-9.自付单据审核-控制措施01</t>
  </si>
  <si>
    <t>商旅云公司健全“单轨控制”，系统强制关联“已完成审批单”与“线上支付订单”，并推动与税务平台直连，减少发票人工上传环节。</t>
  </si>
  <si>
    <t>1.发票；  
2.差旅费标准；
3.出差通知、培训通知等出差缘由证明材料；
4.出差审批单；
5.出差报销单。</t>
  </si>
  <si>
    <t>《国家电网有限公司差旅费管理办法》（国家电网企管〔2026〕101号）第八条、第十一条、第二十四条</t>
  </si>
  <si>
    <t>员工报账业务-9.自付单据审核-控制措施02</t>
  </si>
  <si>
    <t>强化线下报销验证，未实现系统“单轨控制”的单位强化事前审批，强制“行程轨迹佐证”，同时借助第三方工具“建立发票真伪与重复报销”校验机制。</t>
  </si>
  <si>
    <r>
      <rPr>
        <sz val="10"/>
        <rFont val="方正仿宋_GBK"/>
        <charset val="134"/>
      </rPr>
      <t>各级单位-各部门-出差人员、</t>
    </r>
    <r>
      <rPr>
        <sz val="10"/>
        <color rgb="FFFF0000"/>
        <rFont val="方正仿宋_GBK"/>
        <charset val="134"/>
      </rPr>
      <t>各级单位-各部门-负责人、</t>
    </r>
    <r>
      <rPr>
        <sz val="10"/>
        <rFont val="方正仿宋_GBK"/>
        <charset val="134"/>
      </rPr>
      <t>商旅云公司</t>
    </r>
  </si>
  <si>
    <t>员工报账业务-9.自付单据审核-控制措施03</t>
  </si>
  <si>
    <t>财务部门规范自付单据与标准审核流程，逐一核对自付单据人员、时间、地点，并审核费用标准是否符合公司规定。</t>
  </si>
  <si>
    <t>各级单位-各部门-出差人员、商旅云公司、各级单位-财务部门-成本管理人员</t>
  </si>
  <si>
    <t>员工报账业务-9.自付单据审核-控制措施04</t>
  </si>
  <si>
    <t>纪检部门严肃查处违规行为，追回资金损失，严肃查处并予以通报。</t>
  </si>
  <si>
    <t>1.商旅平台数据线上预订率、电子票据抓取率。</t>
  </si>
  <si>
    <t>各级单位-各部门-出差人员、商旅云公司、各级单位-纪检部门-纪检管理人员</t>
  </si>
  <si>
    <r>
      <rPr>
        <sz val="10"/>
        <rFont val="方正仿宋_GBK"/>
        <charset val="134"/>
      </rPr>
      <t>《国家电网有限公司差旅费管理办法》（国家电网企管〔2026〕101号）第八条、第十一条、第二十四条</t>
    </r>
    <r>
      <rPr>
        <sz val="10"/>
        <color rgb="FFFF0000"/>
        <rFont val="方正仿宋_GBK"/>
        <charset val="134"/>
      </rPr>
      <t>、《国网湖南省电力有限公司关于印发加强差旅费管理有关规定的通知》第一条</t>
    </r>
  </si>
  <si>
    <t>税务合规、资金资产安全</t>
  </si>
  <si>
    <t>报销申请</t>
  </si>
  <si>
    <t>成本费用报销事项不真实、审批流程不规范，导致成本入账科目错误、虚列成本费用、套取资金私设“小金库”。</t>
  </si>
  <si>
    <t>10.报销事项合规性控制</t>
  </si>
  <si>
    <t>在规定列支范围内，以真实发生的事项发起报销申请，履行规范审批流程。</t>
  </si>
  <si>
    <t>员工报账业务-10.报销事项合规性控制-控制措施01</t>
  </si>
  <si>
    <t>费用报销部门履行费用报销分级授权审批流程，对报销申请事项的真实性进行人工复核，复核报销审批单、费用明细清单、发票或收据、合同或协议等附件的完整性。</t>
  </si>
  <si>
    <t>1.成本费用报销审批单；
2.费用明细清单；  
3.发票或收据；
4.合同或协议；
5.系统审批记录。</t>
  </si>
  <si>
    <t>各级单位-各部门-报账人员、各级单位-各部门-负责人、各级单位-财务部门-成本管理人员</t>
  </si>
  <si>
    <t>每季度</t>
  </si>
  <si>
    <t>报销真实性监督场景</t>
  </si>
  <si>
    <r>
      <rPr>
        <sz val="10"/>
        <rFont val="方正仿宋_GBK"/>
        <charset val="134"/>
      </rPr>
      <t>《国家电网有限公司会计基础管理办法》（国家电网企管〔2019〕132号）第八条、第五十四条
《关于加强中央企业资金内部控制管理有关事项的通知》（国资发监督〔2021〕19 号）第十三条</t>
    </r>
    <r>
      <rPr>
        <sz val="10"/>
        <color rgb="FFFF0000"/>
        <rFont val="方正仿宋_GBK"/>
        <charset val="134"/>
      </rPr>
      <t>、《国网湖南省电力有限公司关于印发加强差旅费管理有关规定的通知》第一条</t>
    </r>
  </si>
  <si>
    <t>国网财务部、国网企管部、国网后勤部、国网国际部</t>
  </si>
  <si>
    <t>各级单位财务部、各级单位企管部（人资部）、各级单位后勤部、</t>
  </si>
  <si>
    <t>员工报账业务-10.报销事项合规性控制-控制措施02</t>
  </si>
  <si>
    <t>加强挂职人员费用报销成本中心校验，挂职期间费用报销申请需选择挂职单位成本中心。</t>
  </si>
  <si>
    <t>智慧共享财务平台</t>
  </si>
  <si>
    <r>
      <rPr>
        <sz val="10"/>
        <rFont val="方正仿宋_GBK"/>
        <charset val="134"/>
      </rPr>
      <t>《国家电网有限公司会计基础管理办法》（国家电网企管〔2019〕132号）第八条、第五十四条
《关于加强中央企业资金内部控制管理有关事项的通知》（国资发监督〔2021〕19 号）第十三条</t>
    </r>
    <r>
      <rPr>
        <sz val="10"/>
        <color rgb="FFFF0000"/>
        <rFont val="方正仿宋_GBK"/>
        <charset val="134"/>
      </rPr>
      <t>、《国网湖南省电力有限公司关于印发加强差旅费管理有关规定的通知》第三条</t>
    </r>
  </si>
  <si>
    <t>员工报账业务-10.报销事项合规性控制-控制措施03</t>
  </si>
  <si>
    <t>财务部门对费用报销选择业务事项准确性进行复核，校验报销流程和成本中心准确性。</t>
  </si>
  <si>
    <t>《国家电网有限公司会计基础管理办法》（国家电网企管〔2019〕132号）第八条、第五十四条
《关于加强中央企业资金内部控制管理有关事项的通知》（国资发监督〔2021〕19 号）第十三条</t>
  </si>
  <si>
    <t>员工报账业务-10.报销事项合规性控制-控制措施04</t>
  </si>
  <si>
    <t>进行违规责任追究，对虚列成本费用、套取资金私设“小金库”的人员根据相关规定进行违规责任追究。</t>
  </si>
  <si>
    <t>1.责任追究证明材料。</t>
  </si>
  <si>
    <t>各级单位-各部门-报账人员、各级单位-各部门-负责人、各级单位-财务部门-成本管理人员、各级单位-纪检部门-纪检管理人员</t>
  </si>
  <si>
    <t>二、通用报账</t>
  </si>
  <si>
    <t>费用报销</t>
  </si>
  <si>
    <t>发票信息不准确、不完整，与报销业务不一致导致税务风险</t>
  </si>
  <si>
    <t>11.报销发票审核</t>
  </si>
  <si>
    <t>报销发票真实、准确、完整</t>
  </si>
  <si>
    <t>员工报账业务-11.报销发票审核-控制措施01</t>
  </si>
  <si>
    <t>归口管理部门对报销发票、入库单、采购订单物品对应关系进行复核，确认购物清单通过税务防伪系统开具。</t>
  </si>
  <si>
    <t>1.成本费用报销申请单；
2.费用明细清单；
3.发票或收据、购物清单；
4.合同或协议。</t>
  </si>
  <si>
    <t>发票审核管理监督场景</t>
  </si>
  <si>
    <t>国家电网企管〔2019〕132号《国家电网有限公司会计基础管理办法》第五十条</t>
  </si>
  <si>
    <t>员工报账业务-11.报销发票审核-控制措施02</t>
  </si>
  <si>
    <t>各部门建立发票“谁提交、谁审核、谁负责”闭环管理机制,发票提交人落实发票验真责任。</t>
  </si>
  <si>
    <t>各级单位-各部门-报账人员、各级单位-各部门-负责人</t>
  </si>
  <si>
    <t>国网企管部、国网后勤部、国网国际部</t>
  </si>
  <si>
    <t>各级单位财务部、各级单位企管部（人资部）、各级单位后勤部</t>
  </si>
  <si>
    <t>员工报账业务-11.报销发票审核-控制措施03</t>
  </si>
  <si>
    <t>发票提交人对增值税发票税率与合同条款进行复核，确认货物及应税劳务名称准确、金额及税率与合同一致，确认发票项目名称中不包含“茶叶、烟、酒水、门票、景区”等敏感字眼，确认销售方名称中不包含“会所、健身房、俱乐部、KTV、景区、洗浴中心”等敏感字眼。</t>
  </si>
  <si>
    <r>
      <rPr>
        <strike/>
        <sz val="10"/>
        <rFont val="方正仿宋_GBK"/>
        <charset val="134"/>
      </rPr>
      <t xml:space="preserve">系统已建
</t>
    </r>
    <r>
      <rPr>
        <sz val="10"/>
        <color rgb="FFFF0000"/>
        <rFont val="方正仿宋_GBK"/>
        <charset val="134"/>
      </rPr>
      <t>线下管控</t>
    </r>
  </si>
  <si>
    <t>修改控制方式，线上改为线下</t>
  </si>
  <si>
    <t>员工报账业务-11.报销发票审核-控制措施04</t>
  </si>
  <si>
    <t>财务部门对发票开具的完整性、合规性进行复核，检查发票名目是否包含固定资产目录所列资产，福利费增值税进项税不得抵扣。</t>
  </si>
  <si>
    <t>员工报账业务-11.报销发票审核-控制措施05</t>
  </si>
  <si>
    <t>财务人员对开具虚假发票套取资金等问题进行复核。</t>
  </si>
  <si>
    <r>
      <rPr>
        <sz val="10"/>
        <rFont val="方正仿宋_GBK"/>
        <charset val="134"/>
      </rPr>
      <t>各级单位-各部门-报账人员、各级单位-各部门-负责人、各级单位-财务部门-成本管理人员、</t>
    </r>
    <r>
      <rPr>
        <sz val="10"/>
        <color rgb="FFFF0000"/>
        <rFont val="方正仿宋_GBK"/>
        <charset val="134"/>
      </rPr>
      <t>各级单位-财务部门-税务管理人员</t>
    </r>
  </si>
  <si>
    <t>公务接待活动</t>
  </si>
  <si>
    <t>未严格执行公务接待制度，虚列公务接待清单套取公务接待费用，引发资金支出及合规风险。</t>
  </si>
  <si>
    <t>12.公务接待范围、执行制度、费用报销</t>
  </si>
  <si>
    <t>严格执行公务接待制度，确保公务接待费支出规范。</t>
  </si>
  <si>
    <t>员工报账业务-12.公务接待范围、执行制度、费用报销-控制措施01</t>
  </si>
  <si>
    <t>接待部门做好公务接待过程管控。①严格公务接待审批。按照《国家电网有限公司公务接待管理办法》要求，根据公函内容中来访对象、人数等，报相应公司（或部门）领导审批。②规范公务接待组织。承办部门公务接待要严格按照本单位贯彻落实中央八项规定实施细则有关规定执行。严控陪同人数，不得层层多人陪同等。③严格执行清单制度。按照《国家电网有限公司公务接待管理办法》要求，公务活动结束后，接待部门应当如实填写接待清单，包括接待对象的单位、姓名、职务和接待项目、时间、场所、费用等内容，经本部门负责同志审签。④规范做好报销。接待费用应当及时结算，不得用公款报销或者支付应当由个人负担的费用。禁止借公务接待名义列支其他支出等。</t>
  </si>
  <si>
    <t>1.派出单位公函(或通知)；
2.公务接待清单；
3.财务票据。</t>
  </si>
  <si>
    <t>各级单位-接待承办部门-报账人员、各级单位-接待承办部门-负责人、各级单位-接待管理部门-接待管理人员、各级单位-接待管理部门-负责人</t>
  </si>
  <si>
    <t>公务接待费列支范围监督场景</t>
  </si>
  <si>
    <t>《国家电网有限公司厉行节约反对浪费实施办法》（国家电网企管〔2025〕421号）第二十四条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t>
  </si>
  <si>
    <t>国网办公室</t>
  </si>
  <si>
    <t>各级单位办公室</t>
  </si>
  <si>
    <t>员工报账业务-12.公务接待范围、执行制度、费用报销-控制措施02</t>
  </si>
  <si>
    <t>归口管理部门做好复核。对接待部门提交的接待清单中人员、住宿安排、用车安排、费用等进行复核。</t>
  </si>
  <si>
    <t>《国家电网有限公司厉行节约反对浪费实施办法》（国家电网企管〔2025〕421号）第二十四条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第五至十九条</t>
  </si>
  <si>
    <t>员工报账业务-12.公务接待范围、执行制度、费用报销-控制措施03</t>
  </si>
  <si>
    <t>财务部门做好报销审核。按照财务业务流程要求，做好报销审核、检查材料完备。</t>
  </si>
  <si>
    <t>各级单位-接待承办部门-报账人员、各级单位-接待承办部门-负责人、各级单位-接待管理部门-接待管理人员、各级单位-接待管理部门-负责人、各级单位-财务部门-成本管理人员</t>
  </si>
  <si>
    <t>公务车辆单车核算</t>
  </si>
  <si>
    <t>员工未严格执行公务车辆单车核算要求，通过伪造票据、虚报里程、费用金额、虚构用车场景等方式套取企业资金，导致企业成本虚增、资金流失风险。</t>
  </si>
  <si>
    <r>
      <rPr>
        <b/>
        <sz val="10"/>
        <rFont val="方正仿宋_GBK"/>
        <charset val="134"/>
      </rPr>
      <t>82.公务用车管控不严：</t>
    </r>
    <r>
      <rPr>
        <sz val="10"/>
        <rFont val="方正仿宋_GBK"/>
        <charset val="134"/>
      </rPr>
      <t>存在新购置及长租公务用车未及时接入统一车辆管理平台过程监督管理；在公务用车维修等费用中虚列名目、处理其他无关费用或费用依据不足；超编超标超范围配置公务用车等问题。</t>
    </r>
  </si>
  <si>
    <t>13.公务车辆单车核算管理</t>
  </si>
  <si>
    <t>严格执行公务车辆单车核算管理要求，据实报销车辆使用费。</t>
  </si>
  <si>
    <t>员工报账业务-13.公务车辆单车核算管理-控制措施01</t>
  </si>
  <si>
    <t>通过统一车辆平台进行系统控制，自动比对用车时间、目的地与车辆通行费发票时间、行程轨迹的匹配性，规避虚列费用。</t>
  </si>
  <si>
    <t>统一车辆平台</t>
  </si>
  <si>
    <t>1.公务车辆管理台账；
2.车辆单车核算台账；
3.ETC通行费明细清单；
4.费用明细清单；
5.发票或收据；
6.合同或协议。</t>
  </si>
  <si>
    <t>各级单位-公务车辆管理部门-车辆管理人员、各级单位-公务车辆管理部门-负责人</t>
  </si>
  <si>
    <t>车辆使用费监督场景</t>
  </si>
  <si>
    <t>《国家电网有限公司公务用车管理办法》（规章制度编号:国网(后勤/2)724-2025）第十一至十九条、第二十一条、第三十二条.</t>
  </si>
  <si>
    <t>国网后勤部</t>
  </si>
  <si>
    <t>各级单位后勤部</t>
  </si>
  <si>
    <t>员工报账业务-13.公务车辆单车核算管理-控制措施02</t>
  </si>
  <si>
    <t>系统直联控制，通过智慧共享财务平台直联统一车辆平台对单车核算台账明细进行系统控制，严禁列支保养、维修、年检、燃油等范围外费用，增加“车辆费用类型白名单”控制，超出范围的费用类型系统自动拒绝，并推送异常报告。</t>
  </si>
  <si>
    <t>员工报账业务-13.公务车辆单车核算管理-控制措施03</t>
  </si>
  <si>
    <t>未实现系统直联控制的单位应加强线下审核，车辆管理部门对单车费用明细（油费、过路费、停车费、维修费等）与用车申请单（事前提交，注明用车时间、事由、目的地）、车辆行驶里程记录（行车记录、起止日期）进行复核，严禁套取费用。</t>
  </si>
  <si>
    <t>各级单位-公务车辆管理部门-车辆管理人员、各级单位-公务车辆管理部门-负责人、各级单位-财务部门-成本管理人员</t>
  </si>
  <si>
    <t>因公出国（境）管理</t>
  </si>
  <si>
    <t>超标准列支因公出国（境）经费，引发合规风险。</t>
  </si>
  <si>
    <t>14.因公出国（境）经费使用</t>
  </si>
  <si>
    <t>因公出国（境）经费标准使用符合规定，在规定范围内报销。</t>
  </si>
  <si>
    <t>员工报账业务-14.因公出国（境）经费使用-控制措施01</t>
  </si>
  <si>
    <t>归口管理部门对经批准的计划申请表进行复核，确认外事服务机构的收费标准不高于同业收费平均水平，落实预算控制要求。</t>
  </si>
  <si>
    <t>1.计划申请表及年度预算；
2.住宿费和伙食费发票；
3.费用报销审批单；
4.因公出国（境）费用计划申请；
5.因公出国（境）费用结算表。</t>
  </si>
  <si>
    <t>各级单位-各部门-报账人员、各级单位-各部门-负责人、各级单位-因公出国（境）经费归口管理部门-负责人、各级单位-财务部门-成本管理人员</t>
  </si>
  <si>
    <t>因公出国（境）经费监督场景</t>
  </si>
  <si>
    <t>《国家电网有限公司因公出国（境）经费管理办法》（国家电网企管〔2019〕715号）第八至十四条</t>
  </si>
  <si>
    <t>国网国际部</t>
  </si>
  <si>
    <t>员工报账业务-14.因公出国（境）经费使用-控制措施02</t>
  </si>
  <si>
    <t>归口管理部门对因公出国（境）经费列支范围进行复核，确认赠送礼品、安排宴请等均按照国务院、财政部、外交部有关规定执行。</t>
  </si>
  <si>
    <t>各级单位-各部门-报账人员、各级单位-各部门-负责人、各级单位-因公出国（境）经费归口管理部门-负责人</t>
  </si>
  <si>
    <t>员工报账业务-14.因公出国（境）经费使用-控制措施03</t>
  </si>
  <si>
    <t>财务部门加强审核，按照科学预算、厉行节约的原则对因公出国（境）经费列支住宿费、伙食费、公杂费使用标准进行复核。</t>
  </si>
  <si>
    <t>会议费用报销（三公经费）</t>
  </si>
  <si>
    <t>超期、超规模、超标准组织会议，计划外会议未规范履行报批程序，会议开支金额超会议费用预算，引发资金安全及合规管理风险。</t>
  </si>
  <si>
    <t>15.会议规模、费用报销</t>
  </si>
  <si>
    <t>合理确定会议规格，严格控制会议费预算规模。</t>
  </si>
  <si>
    <t>员工报账业务-15.会议规模、费用报销-控制措施01</t>
  </si>
  <si>
    <t>主办部门做好会议过程管控。① 做好会议筹备。按照会议类别，确定会议规模、会期、人数、会场、预算等。② 严格会议审批。按照《国家电网有限公司会议管理办法》要求，由主办部门履行内部审批流程，填写计划内会议费用申请表，提出申请，经本部门主要负责人签字。③ 规范会议组织。不得到豪华酒店、度假村和党中央、国务院明令禁止的风景名胜区召开会议，精简会务安排、严肃会议纪律。④ 规范会议报销。按照《国家电网有限公司会议管理办法》要求，会议费用报销应严格执行公司报销管理规定，由主办部门提出申请，经本部门主要负责人签字。严禁借会议名义列支或报销与会议无关的费用等。</t>
  </si>
  <si>
    <t>1.年度会议计划表；
2.计划内会议费用申请表；
3.会议通知、会议议程、参会名单；
4.发票或电子结算单；
5.计划外会议审批表。</t>
  </si>
  <si>
    <t>各级单位-会议承办部门-报账人员、各级单位-会议承办部门-负责人、各级单位-会议管理部门-会议管理人员、各级单位-会议管理部门-负责人</t>
  </si>
  <si>
    <t>会议费监督场景</t>
  </si>
  <si>
    <t>《国家电网有限公司会议管理办法》（国家电网企管〔2025〕267号）第七至十二条、第二十一至二十二条、第二十七至三十二条、第三十四至三十九条等。
《关于做好会议、接待管理相关事项报备报批工作的通知》（办值通〔2025〕55号）</t>
  </si>
  <si>
    <t>员工报账业务-15.会议规模、费用报销-控制措施02</t>
  </si>
  <si>
    <t>归口管理部门做好复核。对主办部门提交的计划内会议费用申请表、计划外会议审批表中会议计划、时间、地点、规模、预算、标准审批等进行复核。</t>
  </si>
  <si>
    <t>员工报账业务-15.会议规模、费用报销-控制措施03</t>
  </si>
  <si>
    <t>各级单位-会议承办部门-报账人员、各级单位-会议承办部门-负责人、各级单位-会议管理部门-会议管理人员、各级单位-会议管理部门-负责人、各级单位-财务部门-成本管理人员</t>
  </si>
  <si>
    <t>办公费管理</t>
  </si>
  <si>
    <t>虚列、套取办公费，引发合规风险。</t>
  </si>
  <si>
    <t>16.办公费使用</t>
  </si>
  <si>
    <t>办公费在规定范围内据实报销。办公费报销中的结算依据充分，完整，有效，结算依据审核轨迹完整。</t>
  </si>
  <si>
    <t>员工报账业务-16.办公费使用-控制措施01</t>
  </si>
  <si>
    <t>归口管理部门对办公费用使用范围进行复核，确保不包含党报党刊费、营销业务电费发票印制费、护肤膏、防晒霜、牙膏、工作服、多功能一体机、打印机、投影仪、礼品、食堂餐座椅等费用，禁止虚列、套取办公费行为。</t>
  </si>
  <si>
    <t>1.成本费用报销审批单；
2.发票；
3.入库单或到货验收单；
4.购置审批表；
5.采购合同；
6.办公用品领用清单；
7.费用结算清单。</t>
  </si>
  <si>
    <t>各级单位-各部门-报账人员、各级单位-各部门-负责人、各级单位-办公用品管理部门-办公用品管理人员、各级单位-办公用品管理部门-负责人</t>
  </si>
  <si>
    <t>办公费监督场景</t>
  </si>
  <si>
    <t>《国家电网有限公司会计基础管理办法》（国家电网企管〔2019〕132号）第五十四条</t>
  </si>
  <si>
    <t>员工报账业务-16.办公费使用-控制措施02</t>
  </si>
  <si>
    <t>财务人员加强规范性审核，对照审批轨迹、费用结算清单、办公用品领用清单复核业务规范性。</t>
  </si>
  <si>
    <t>各级单位-各部门-报账人员、各级单位-各部门-负责人、各级单位-办公用品管理部门-办公用品管理人员、各级单位-办公用品管理部门-负责人、各级单位-财务部门-成本管理人员</t>
  </si>
  <si>
    <t>办公用品选购</t>
  </si>
  <si>
    <t>办公用品到货商品与采购清单不一致，“私下换货”，引发合规风险。</t>
  </si>
  <si>
    <t>17.办公用品采购、发放</t>
  </si>
  <si>
    <t>办公用品采购、发放规范有序。</t>
  </si>
  <si>
    <t>员工报账业务-17.办公用品采购、发放-控制措施01</t>
  </si>
  <si>
    <t>物资部门对国网商城上架商品与物流信息一致性进行校验，规避换货舞弊行为。</t>
  </si>
  <si>
    <t>1.办公用品采购申请单；
2.发票；
3.入库单或货物交接单；
4.购置审批表。</t>
  </si>
  <si>
    <t>各级单位-办公用品管理部门-办公用品管理人员、各级单位-办公用品管理部门-负责人、各级单位-物资部门-电商采购执行与监督人员、各级单位-物资部门-负责人</t>
  </si>
  <si>
    <t>办公费列支范围监督场景</t>
  </si>
  <si>
    <t>《国家电网有限公司零星物资及办公用品选购专区管理细则》（国家电网企管〔2024〕301 号）第二十八条、第二十九条</t>
  </si>
  <si>
    <t>国网后勤部、国网物资部</t>
  </si>
  <si>
    <t>各级单位后勤部（办公室）、各级单位物资部</t>
  </si>
  <si>
    <t>员工报账业务-17.办公用品采购、发放-控制措施02</t>
  </si>
  <si>
    <t>归口管理部门建立需求、审批、选购等关键角色不相容控制，实现权力分散与监督。</t>
  </si>
  <si>
    <t>员工报账业务-17.办公用品采购、发放-控制措施03</t>
  </si>
  <si>
    <t>物资部门建立办公用品由物资部门和办公用品保管人员共同验收工作机制，双方均在货物交接单据上签字确认。</t>
  </si>
  <si>
    <t>员工报账业务-17.办公用品采购、发放-控制措施04</t>
  </si>
  <si>
    <t>办公用品管理部门确保办公用品发放规范有序。</t>
  </si>
  <si>
    <t>1.办公用品领用清单。</t>
  </si>
  <si>
    <t>各级单位-办公用品管理部门-办公用品管理人员、各级单位-办公用品管理部门-负责人</t>
  </si>
  <si>
    <t>各级单位后勤部（办公室）</t>
  </si>
  <si>
    <t>党组织工作经费使用</t>
  </si>
  <si>
    <t>超范围、超标准列支党组织工作经费，导致成本不实，引发合规风险。</t>
  </si>
  <si>
    <t>18.党组织工作经费报销</t>
  </si>
  <si>
    <t>党组织工作经费在规定范围内报销。</t>
  </si>
  <si>
    <t>员工报账业务-18.党组织工作经费报销-控制措施01</t>
  </si>
  <si>
    <t>归口管理部门对党组织工作经费清单进行复核，确保费用用于党内开支教育、宣传思想、主题实践活动及党内评选表彰等与党（团）的建设直接相关的工作和活动。</t>
  </si>
  <si>
    <t>1.成本费用报销审批单；
2.费用明细清单；
3.发票或收据。</t>
  </si>
  <si>
    <t>各级单位-各部门-报账人员、各级单位-各部门-负责人、各级单位-党建部门-负责人</t>
  </si>
  <si>
    <t>党组织工作经列支范围监督场景</t>
  </si>
  <si>
    <t>《国家电网有限公司党组织工作经费管理办法（试行）》（国家电网党〔2018〕96号）第八条、第九条、第十三条、第十四条</t>
  </si>
  <si>
    <t>党组党建部</t>
  </si>
  <si>
    <t>各级单位党建部</t>
  </si>
  <si>
    <t>员工报账业务-18.党组织工作经费报销-控制措施02</t>
  </si>
  <si>
    <t>财务部门对报销费用超范围开支情况进行校验，严禁列支豪华酒店、度假村等场所费用。</t>
  </si>
  <si>
    <t>各级单位-各部门-报账人员、各级单位-各部门-负责人、各级单位-党建部门-负责人、各级单位-财务部门-成本管理人员</t>
  </si>
  <si>
    <t>安全费使用</t>
  </si>
  <si>
    <t>超范围列支安全费，虚列挤占安全专项费用，导致合规风险。</t>
  </si>
  <si>
    <t>19.安全费报销</t>
  </si>
  <si>
    <t>安全费在规定范围内报销。</t>
  </si>
  <si>
    <t>员工报账业务-19.安全费报销-控制措施01</t>
  </si>
  <si>
    <t>实物管理部门规范建立资产卡片，针对使用安全费用形成固定资产、无形资产的规范建立资产卡片，确保相关资产折旧准确计入安全费。</t>
  </si>
  <si>
    <t>ERP</t>
  </si>
  <si>
    <t>1.成本费用报销审批单；
2.费用明细清单；
3.发票或收据；
4.建设合同。</t>
  </si>
  <si>
    <t>各级单位-各部门-报账人员、各级单位-各部门-负责人、各级单位-安监部门-消防与安保管理人员、各级单位-安监部门-负责人</t>
  </si>
  <si>
    <t>安全费列支范围监督场景</t>
  </si>
  <si>
    <t>《国家电网有限公司安全生产费用提取和使用管理办法》（国家电网企管〔2023〕399号）第十条、第十三条、第二十五条</t>
  </si>
  <si>
    <t>国网安监部</t>
  </si>
  <si>
    <t>各级单位安监部</t>
  </si>
  <si>
    <t>员工报账业务-19.安全费报销-控制措施02</t>
  </si>
  <si>
    <t>建设单位及时支付安全费用，应当在合同中单独约定并于工程开工日一个月内向承包单位至少支付 50%安全费用。</t>
  </si>
  <si>
    <t>《国家电网有限公司安全生产费用提取和使用管理办法》（国家电网企管〔2023〕399号）第十条、第十三条、第二十条、第二十五条</t>
  </si>
  <si>
    <t>员工报账业务-19.安全费报销-控制措施03</t>
  </si>
  <si>
    <t>总包单位及时支付安全费用，总包单位应当在合同中单独约定并于分包工程开工日一个月内将至少50%安全费用直接支付分包单位并监督使用，分包单位不再重复提取。</t>
  </si>
  <si>
    <t>员工报账业务-19.安全费报销-控制措施04</t>
  </si>
  <si>
    <t>归口管理部门对安全工器具领用、保管进行监督，确保不发生安全工器具过期等问题。</t>
  </si>
  <si>
    <r>
      <rPr>
        <strike/>
        <sz val="10"/>
        <rFont val="方正仿宋_GBK"/>
        <charset val="134"/>
      </rPr>
      <t xml:space="preserve">线下管控
</t>
    </r>
    <r>
      <rPr>
        <sz val="10"/>
        <color rgb="FFFF0000"/>
        <rFont val="方正仿宋_GBK"/>
        <charset val="134"/>
      </rPr>
      <t>系统已建</t>
    </r>
  </si>
  <si>
    <t>安全风险管控监督平台</t>
  </si>
  <si>
    <t>修改控制方式，修改控制载体</t>
  </si>
  <si>
    <t>员工报账业务-19.安全费报销-控制措施05</t>
  </si>
  <si>
    <t>财务部门对安全费列支情况进行复核，禁止列支职工薪酬福利、治安服务费等无关费用。</t>
  </si>
  <si>
    <t>各级单位-各部门-报账人员、各级单位-各部门-负责人、各级单位-安监部门-消防与安保管理人员、各级单位-安监部门-负责人、各级单位-财务部门-成本管理人员</t>
  </si>
  <si>
    <t>青苗赔偿现场核定</t>
  </si>
  <si>
    <t>与现场标准、数量不一致导致青苗赔偿有误，造成青苗赔偿费重复计、多付。</t>
  </si>
  <si>
    <t>21.现场青苗赔偿类型、数量的确定</t>
  </si>
  <si>
    <t>青苗赔付类型、数量与现场一致。</t>
  </si>
  <si>
    <t>员工报账业务-21.现场青苗赔偿类型、数量的确定-控制措施01</t>
  </si>
  <si>
    <t>归口管理部门对赔偿真实性进行复核，确保进行了三方（赔偿方、受偿方、监理或基层组织）现场联合勘测清点并签字确认。</t>
  </si>
  <si>
    <t>1.用地批复文件；
2.地方补偿标准文件；
3.联合现场勘测记录；
4.地上附着物和青苗调查登记表、补偿结果确认表；
5.被补偿人身份证明；
6.青苗及地上附着物权属证明；
7.青苗补偿协议。</t>
  </si>
  <si>
    <t>各级单位-各部门-报账人员、各级单位-各部门-负责人、各级单位-归口管理部门-负责人</t>
  </si>
  <si>
    <t>青苗赔偿费监督场景</t>
  </si>
  <si>
    <t>《国家电网有限公司会计基础管理办法》（国家电网企管〔2019〕132号）附件：电网企业经济业务审核手册</t>
  </si>
  <si>
    <t>员工报账业务-21.现场青苗赔偿类型、数量的确定-控制措施02</t>
  </si>
  <si>
    <t>归口管理部门对补偿协仪进行复核，确保协议包括标的物位置、权属、地类、面积、附着物种类与数量等关键信息。</t>
  </si>
  <si>
    <t>员工报账业务-21.现场青苗赔偿类型、数量的确定-控制措施03</t>
  </si>
  <si>
    <t>财务部门对赔偿单价与地方政府指导标准进行校验。</t>
  </si>
  <si>
    <t>各级单位-各部门-报账人员、各级单位-各部门-负责人、各级单位-归口管理部门-负责人、各级单位-财务部门-工程财务管理人员</t>
  </si>
  <si>
    <t>青苗赔偿资金申
请支付</t>
  </si>
  <si>
    <t>与赔付人实际不一致，虚列套取资金，造成青苗赔偿费多付、错付。</t>
  </si>
  <si>
    <t>22.青苗赔偿支付对象的确定</t>
  </si>
  <si>
    <t>青苗赔付资金支付对象与现场一致。</t>
  </si>
  <si>
    <t>员工报账业务-22.青苗赔偿支付对象的确定-控制措施01</t>
  </si>
  <si>
    <t>归口管理部门对资金支付与补偿协议支付条款进行校验。</t>
  </si>
  <si>
    <t>员工报账业务-22.青苗赔偿支付对象的确定-控制措施02</t>
  </si>
  <si>
    <t>财务部门对赔偿资金安全、足额、直达权利人情况进行复核。</t>
  </si>
  <si>
    <t>资金支付</t>
  </si>
  <si>
    <t>未按合同约定付款、无预算、超越权限办理支付审批业务，引发资金安全风险。</t>
  </si>
  <si>
    <r>
      <rPr>
        <b/>
        <sz val="10"/>
        <rFont val="方正仿宋_GBK"/>
        <charset val="134"/>
      </rPr>
      <t>06.债权债务清理不及时：</t>
    </r>
    <r>
      <rPr>
        <sz val="10"/>
        <rFont val="方正仿宋_GBK"/>
        <charset val="134"/>
      </rPr>
      <t xml:space="preserve">存在应收账款长期未收回、应收款项核销依据不充分、客户工程款清理不及时，存在潜亏风险、长期应付款未及时清理、款项未及时结算形成隐性债权债务等问题。
</t>
    </r>
    <r>
      <rPr>
        <b/>
        <sz val="10"/>
        <rFont val="方正仿宋_GBK"/>
        <charset val="134"/>
      </rPr>
      <t>04.超期未支付民营及中小企业款项：</t>
    </r>
    <r>
      <rPr>
        <sz val="10"/>
        <rFont val="方正仿宋_GBK"/>
        <charset val="134"/>
      </rPr>
      <t>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t>
    </r>
  </si>
  <si>
    <t>23.资金支付管理</t>
  </si>
  <si>
    <t>资金支付规范安全。</t>
  </si>
  <si>
    <t>员工报账业务-23.资金支付管理-控制措施01</t>
  </si>
  <si>
    <t>资金支付发起部门对资金支付与合同约定付款条款进行复核。</t>
  </si>
  <si>
    <t>1.到货验收单；
2.费用明细清单；
3.发票或收据；
4.合同或协议；
5.付款申请单。</t>
  </si>
  <si>
    <t>各级单位-资金支付发起部门-报账人员、各级单位-资金支付发起部门-负责人、各级单位-财务部门-成本管理人员、各级单位-财务部门-资金管理人员、各级单位-财务部门-负责人</t>
  </si>
  <si>
    <t>资金支付管理监督场景</t>
  </si>
  <si>
    <t>《保障中小企业款项支付条例》第九条、第十条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t>
  </si>
  <si>
    <t>员工报账业务-23.资金支付管理-控制措施02</t>
  </si>
  <si>
    <t>资金支付发起部门对付款信息与合同约定进行校验，确保使用合同约定账户支付。</t>
  </si>
  <si>
    <t>员工报账业务-23.资金支付管理-控制措施03</t>
  </si>
  <si>
    <t>财务部门对资金分级授权审批流程和预算批准的付款额度进行复核，确认无误后进行付款。</t>
  </si>
  <si>
    <t>员工报账业务-23.资金支付管理-控制措施04</t>
  </si>
  <si>
    <t>财务部门对未履行“三重一大”决策程序和联签制度等特殊支付事项进行复核，禁止出现化整为零规避大额资金支付集体决策程序等问题。</t>
  </si>
  <si>
    <t>员工报账业务-23.资金支付管理-控制措施05</t>
  </si>
  <si>
    <t>财务部门对大额资金对私支付进行校验，严控大额资金对私支付问题发生。</t>
  </si>
  <si>
    <t>管理咨询费使用</t>
  </si>
  <si>
    <t>超范围列支管理咨询费引发引发合规风险。</t>
  </si>
  <si>
    <t>24.管理咨询费报销</t>
  </si>
  <si>
    <t>管理咨询费在规定范围内报销。</t>
  </si>
  <si>
    <t>员工报账业务-24.管理咨询费报销-控制措施01</t>
  </si>
  <si>
    <t>归口管理部门对管理咨询费进行复核，不得用于电网规划研究、工程前期咨询、信息系统建设等技术咨询与开发，不得用于法律、税务、审计、会计等常规性的中介机构服务开支。</t>
  </si>
  <si>
    <t>1.成本费用报销审批单；
2.费用明细清单；
3.发票或收据；
4.合同或协议。</t>
  </si>
  <si>
    <t>各级单位-各部门-报账人员、各级单位-各部门-负责人、各级单位-办公室-负责人</t>
  </si>
  <si>
    <t>管理咨询费列支范围监督场景</t>
  </si>
  <si>
    <t>国家电网公司管理咨询项目管理办法》第二条、第十五条</t>
  </si>
  <si>
    <t>员工报账业务-24.管理咨询费报销-控制措施02</t>
  </si>
  <si>
    <t>规范管理咨询费列支间接费用和支付进度。项目经费需至少分两次进行支付，两次支付时，最后一笔经费支出不得低于合同总额的30%；三次及以上支付时，最后一笔经费支出不得低于合同总额的10%。</t>
  </si>
  <si>
    <t>1.付款申请单；
2.合同或协议。</t>
  </si>
  <si>
    <t>各级单位-各部门-报账人员、各级单位-各部门-负责人、各级单位-办公室-负责人、各级单位-财务部门-成本管理人员</t>
  </si>
  <si>
    <t>《国家电网公司管理咨询项目管理办法》第十四条、第三十八条</t>
  </si>
  <si>
    <t>税务合规、成本精益管理</t>
  </si>
  <si>
    <t>生产车辆使用费管理</t>
  </si>
  <si>
    <t>各单位生产用车较多，车辆使用费存在管控不严，通过伪造票据、虚报里程、费用等方式套取企业资金，导致企业成本虚增、资金流失风险。</t>
  </si>
  <si>
    <t>生产用车管控不严：“一车一卡”加油落实不到位，造成平均油耗异常，在车辆维修等费用中虚列名目、处理其他无关费用或费用依据不足。</t>
  </si>
  <si>
    <t>25.生产车辆使用费管控</t>
  </si>
  <si>
    <t>费用管控，车费使用费按单车实行台账管理，加强车辆燃油、充电、修理费用管控，节约成本费用，防范廉政风险。</t>
  </si>
  <si>
    <t>员工报账业务-25.生产车辆使用费管控-控制措施01</t>
  </si>
  <si>
    <t>生产车辆加油执行“一车一卡”，一张油卡固定一个车牌号码。</t>
  </si>
  <si>
    <t xml:space="preserve">1.加油卡；
2.车辆百公里油耗定额表
</t>
  </si>
  <si>
    <t>各级单位-后勤部门（生产用车管理部门）-车辆管理人员</t>
  </si>
  <si>
    <t>各级单位后勤部（生产用车管理部门）</t>
  </si>
  <si>
    <t>新增关键控制点“生产车辆使用费管控”</t>
  </si>
  <si>
    <t>员工报账业务-25.生产车辆使用费管控-控制措施02</t>
  </si>
  <si>
    <t>各单位车辆运行管理部门应加强车辆维修真实性控制，按照维修申请、审批、验收结算分离原则控制车辆维修。</t>
  </si>
  <si>
    <t xml:space="preserve">1.车辆维保合同；
2.车辆维修与保养通知单；
</t>
  </si>
  <si>
    <t>各级单位-后勤部门（生产用车管理部门）-车辆管理人员、各级单位-后勤部门（生产用车管理部门）-负责人、各级单位-财务部门-成本管理人员</t>
  </si>
  <si>
    <t>员工报账业务-25.生产车辆使用费管控-控制措施03</t>
  </si>
  <si>
    <t>各单位车辆运行管理部门应加强车辆使用费台账管理，对单车费用明细（油费、过路费、停车费、维修费等）与用车申请单（事前提交，注明用车时间、事由、目的地）、车辆行驶里程记录（行车记录、起止日期）进行复核，严禁套取费用。</t>
  </si>
  <si>
    <t>1.车辆维保合同；
2.生产车辆使用费管理台账</t>
  </si>
  <si>
    <t>国网湖南省电力有限公司关于印发《生产服务用车管理实施细则》的通知（湘电公司设备〔2025〕372号）</t>
  </si>
  <si>
    <t>员工报账业务-25.生产车辆使用费管控-控制措施04</t>
  </si>
  <si>
    <t>各单位财务部门应严格审核车辆使用费用各类发票与明细清单的一致性、审核合同折扣率、合同税率的执行情况，车辆保险费应归口核算至财产保险费。</t>
  </si>
  <si>
    <t>1.车辆维保合同；
2.车辆维修与保养通知单；
3.车辆维修费用清单；
4.加油清单；
5.发票</t>
  </si>
  <si>
    <t>各级单位-后勤部门（生产用车管理部门）-车辆管理人员、各级单位-后勤部门（生产用车管理部门）-负责人、各级单位-财务部门-成本管理人员、各级单位-财务部门-成本管理人员</t>
  </si>
  <si>
    <t>国网湖南电力财务部关于印发支出类经济业务财务报销审核指引的通知（财〔2022〕22 号）</t>
  </si>
  <si>
    <t>税务合规、降本增效</t>
  </si>
  <si>
    <t>零星租车与运输服务</t>
  </si>
  <si>
    <t>零星租车不规范，存在虚列套取风险。</t>
  </si>
  <si>
    <t>1.零星租车管控不严在自有车辆充足的情况下仍然租赁外部车辆。
2.报销环节存在重复报销，虚假报销套取费用。</t>
  </si>
  <si>
    <t>26.零星租车与运输服务报销</t>
  </si>
  <si>
    <t>后勤管理部门加强零星租车管控，自有车辆充足的情况下不允许租用外部车辆。</t>
  </si>
  <si>
    <t>员工报账业务-26.零星租车与运输服务报销-控制措施01</t>
  </si>
  <si>
    <t>零星车辆租赁（运输服务）需求，按照就近响应、统筹优化原则，实施车辆运输服务框架采购。</t>
  </si>
  <si>
    <t xml:space="preserve">1.零星租车合同；
2.租用车辆行驶证、驾驶证；
</t>
  </si>
  <si>
    <t>各级单位-后勤管理部门-车辆管理人员</t>
  </si>
  <si>
    <t>国网湖南省电力有限公司关于印发《国网湖南省电力有限公司车辆租赁及车辆运输服务管理办法》的通知（湘电公司后勤〔2025〕356 号）第二十五条</t>
  </si>
  <si>
    <t>新增关键控制点“零星租车与运输服务报销”</t>
  </si>
  <si>
    <t>员工报账业务-26.零星租车与运输服务报销-控制措施02</t>
  </si>
  <si>
    <t>各单位有关部门（班组）提出零星租车申请后，需经本单位后勤管理部门审批，后勤管理部门结合本单位现有车辆情况判断是否同意租赁，审批租赁车辆的必要性。自营项目租用吊车等特种车辆应经本单位电网技术部等生产管理部门审批。</t>
  </si>
  <si>
    <t xml:space="preserve">1.零星租车合同；
2.租用车辆行驶证、驾驶证；
3.零星租车申请单、审批单。
</t>
  </si>
  <si>
    <t>各级单位-后勤管理部门-车辆管理人员、各级单位-电网技术部门-负责人</t>
  </si>
  <si>
    <t>国网湖南省电力有限公司关于印发《国网湖南省电力有限公司车辆租赁及车辆运输服务管理办法》的通知（湘电公司后勤〔2025〕356 号）第六条、第七条</t>
  </si>
  <si>
    <t>员工报账业务-26.零星租车与运输服务-控制措施03</t>
  </si>
  <si>
    <t>各单位后勤管理部门应加强租车结算管理，建立租赁车辆运行费用台账，严格按照实际次数、里程和合同价格结算。自营项目租用吊车、挖机等机械由生产管理部门建立台账，严格按照实际作业台班和合同价格结算。</t>
  </si>
  <si>
    <t xml:space="preserve">1.零星租车合同；
2.零星租车申请单；
3.零星租车台账（清单）；
4.零星租车发票。
</t>
  </si>
  <si>
    <t>各级单位-后勤管理部门-车辆管理人员、各级单位-电网技术部门-项目管理人员</t>
  </si>
  <si>
    <t>国网湖南省电力有限公司关于印发《国网湖南省电力有限公司车辆租赁及车辆运输服务管理办法》的通知（湘电公司后勤〔2025〕356 号）第二十一条</t>
  </si>
  <si>
    <t>员工报账业务-26.零星租车与运输服务-控制措施04</t>
  </si>
  <si>
    <t>各单位财务部门审核零星租车报销发票金额与租车明细的一致性，审核合同折扣率、合同税率的执行情况。</t>
  </si>
  <si>
    <t>各级单位-后勤管理部门-车辆管理人员、各级单位-电网技术部门-项目管理人员、各级单位-财务部门-成本管理人员</t>
  </si>
  <si>
    <t>零星劳务</t>
  </si>
  <si>
    <t>自营项目零星劳务管理不规范，各类检查虚列套取现象频发。</t>
  </si>
  <si>
    <t>零星劳务员工管理不规范，存在重复报销，虚假用工套取费用。</t>
  </si>
  <si>
    <t>27.零星劳务管控</t>
  </si>
  <si>
    <t>加强零星用工管理，明确零星用工范围，实行利用自营用工系统实行台账管理，避免重负报销、虚假报销。</t>
  </si>
  <si>
    <t>员工报账业务-27.零星劳务管控-控制措施01</t>
  </si>
  <si>
    <t>自营项目的专业主管部门明确采取劳务外包的范围，不得从事核心业务或涉密工作。零星劳务人员应通过合规的招标方式，确定固定的服务商，实际需要用工时从签订合同的服务商范围内选用不得直接与个人签订用工协议。</t>
  </si>
  <si>
    <t>1.零星用工合同；
2.零星用工服务商中标通知书。</t>
  </si>
  <si>
    <t>各级单位-运检、配网、营销部门-项目管理人员、各级单位-运检、配网、营销部门-负责人</t>
  </si>
  <si>
    <t xml:space="preserve">国网湖南省电力有限公司关于印发自营模式下规范使用零星劳务人员指导意见的通知（湘电公司人资〔2022〕13号）
</t>
  </si>
  <si>
    <t>各级单位零星用工使用部门</t>
  </si>
  <si>
    <t>新增关键控制点“零星劳务管控”</t>
  </si>
  <si>
    <t>员工报账业务-27.零星劳务管控-控制措施02</t>
  </si>
  <si>
    <t>各单位自营项目主管部门制定零星用指导价，用工指导价包含服务商税费、管理费、食宿费、交通费、劳务人员工资等费用。各单位与服务商签订的劳务合同不得超过最高限价。</t>
  </si>
  <si>
    <t>员工报账业务-27.零星劳务管控-控制措施03</t>
  </si>
  <si>
    <t>各单位零星劳务使用部门、财务部门要严格审核用工的真实性、合理性，对同一身份证号码在同一时段不同班组或供电所用工的不予结算。</t>
  </si>
  <si>
    <t>1.零星用工合同；
2.零星用工服务商中标通知书。
3.零星用工申请单；
4.零星用工结算单；
5.零星用工发票。</t>
  </si>
  <si>
    <t>各级单位-运检、配网、营销部门-项目管理人员、各级单位-运检、配网、营销部门-报销审核人、各级单位-财务部门-会计核算人员</t>
  </si>
  <si>
    <t>合规政策</t>
  </si>
  <si>
    <t>物业管理费</t>
  </si>
  <si>
    <t>超范围、标准、重复列支物业管理费引发引发合规稽查风险和资金支付风险。</t>
  </si>
  <si>
    <r>
      <rPr>
        <b/>
        <sz val="10"/>
        <color rgb="FFFF0000"/>
        <rFont val="方正仿宋_GBK"/>
        <charset val="134"/>
      </rPr>
      <t xml:space="preserve">物业管理费报销全流程存在资料缺失、支付不合规等多项问题：
</t>
    </r>
    <r>
      <rPr>
        <sz val="10"/>
        <color rgb="FFFF0000"/>
        <rFont val="方正仿宋_GBK"/>
        <charset val="134"/>
      </rPr>
      <t>1.报销无完整产权租赁依据，无物业租赁服务合同。                       
2.报销中出现同一物业点重复申报物业费、申报金额超出合同业务收费标准。                            3.未按合同约定计费周期申报费用，提前列支尚未发生的物业管理费。                                       4.未区分自用、外租场地费用，虚增物业管理费，导致资金无依据流出。
5.房屋维修项目结算不实，铝合金中空玻璃窗、墙面墙砖等多结算面积，多计多结维修费用。
6.物业合同中已包含城区办公楼绿植租摆特约服务，又重复向花卉园艺场采购绿植租摆业务，重复结算物业管理费。</t>
    </r>
  </si>
  <si>
    <t>28.物业管理费报销</t>
  </si>
  <si>
    <t>物业管理费在规定范围内报销</t>
  </si>
  <si>
    <t>员工报账业务-28.物业管理费管控-控制措施01</t>
  </si>
  <si>
    <t>归口管理部门对物业管理费用的数量、质量进行复核评价；核对计费周期、收费标准后再发起报销流程。</t>
  </si>
  <si>
    <t>1.报销 ( 资金支付 )  审批单；              2.增值税专用发票；                        3.合同；                      4.费用清单</t>
  </si>
  <si>
    <t>各级单位-后勤部（综合服务中心）-报账人员、各级单位-后勤部（综合服务中心）-负责人</t>
  </si>
  <si>
    <t>管理物业管理费监督场景</t>
  </si>
  <si>
    <t>《国家电网有限公司会计基础管理办法 》（国网（财/2） 350-2018） （国家电网企管〔2019〕 132号） 、 《国家电网有限公司会计核算办法2021》（国网（财/2） 469-2020）</t>
  </si>
  <si>
    <t>各级单位后勤部（综合服务中心）</t>
  </si>
  <si>
    <t>需补充业务部门流程存在的风险控制点和控制措施，并同步补充业务相关的对应制度及文件，要求超输公司7.23日反馈</t>
  </si>
  <si>
    <t>新增关键控制点“物业管理费报销”</t>
  </si>
  <si>
    <t>员工报账业务-28.物业管理费管控-控制措施02</t>
  </si>
  <si>
    <t>财务审核环节核查票据、附件完整度，校验申报金额、缴费周期与合同条款一致性；对无依据、超额、超前和重复支付物业费予以驳回。</t>
  </si>
  <si>
    <t>各级单位-后勤部（综合服务中心）-报账人员、各级单位-后勤部（综合服务中心）-负责人、各级单位-财务部门-成本管理人员</t>
  </si>
  <si>
    <t>各级单位后勤部（综合服务中心）、各级单位财务部</t>
  </si>
  <si>
    <t>超范围、超额重复列支水电费引发引发合规风险和资金支付风险。</t>
  </si>
  <si>
    <r>
      <rPr>
        <b/>
        <sz val="10"/>
        <color rgb="FFFF0000"/>
        <rFont val="方正仿宋_GBK"/>
        <charset val="134"/>
      </rPr>
      <t>办公场地水电费报销存在费用公私不明确，垫付套取资金风险。
1.</t>
    </r>
    <r>
      <rPr>
        <sz val="10"/>
        <color rgb="FFFF0000"/>
        <rFont val="方正仿宋_GBK"/>
        <charset val="134"/>
      </rPr>
      <t>存在办公区无单独抄表计量，需员工先垫付给第三方后取得电费发票再报销，存在私下串通私套费用列支。
2.存在超期，超额和重复报销情况，缺少缴费明细，费用难以追源核对。</t>
    </r>
  </si>
  <si>
    <t>29.水电费报销</t>
  </si>
  <si>
    <t>水电费在规定范围内报销</t>
  </si>
  <si>
    <t>员工报账业务-29.水电费管控-控制措施01</t>
  </si>
  <si>
    <t>归口部门把控费用真实、合规性，按期及时报销，留存水电费抄表台账，全过程监管支出真实性。</t>
  </si>
  <si>
    <t>1.报销 ( 资金支付 )  审批单；      2.增值税发票或收据</t>
  </si>
  <si>
    <t>各级单位-后勤部（综合服务中心）-报账人员、各级单位-后勤部（综合服务中心）-负责人、各级单位-运维检修部-报账人员、各级单位-运维检修部-负责人</t>
  </si>
  <si>
    <t>管理水电费监督场景</t>
  </si>
  <si>
    <t>各级单位后勤部（综合服务中心）、各级单位-运维检修部</t>
  </si>
  <si>
    <t>新增关键控制点“水电费报销”</t>
  </si>
  <si>
    <t>员工报账业务-29.水电费管控-控制措施02</t>
  </si>
  <si>
    <t>财务部门审核发票、收据金额的准确性，按实际发生据实报账，提供垫付支付凭证。</t>
  </si>
  <si>
    <t>各级单位-后勤部（综合服务中心）-报账人员、各级单位-后勤部（综合服务中心）-负责人、各级单位-运维检修部-报账人员、各级单位-运维检修部-负责人各级单位-财务部门-成本管理人员</t>
  </si>
  <si>
    <t>各级单位后勤部（综合服务中心）、各级单位-运维检修部、各级单位财务部</t>
  </si>
  <si>
    <t>房屋修理费</t>
  </si>
  <si>
    <t>超额、高套虚列房屋修理费引发引发合规风险和资金支付风险。</t>
  </si>
  <si>
    <r>
      <rPr>
        <b/>
        <sz val="10"/>
        <color rgb="FFFF0000"/>
        <rFont val="方正仿宋_GBK"/>
        <charset val="134"/>
      </rPr>
      <t>后勤项目高套材料单价，多计多结资金。
1.</t>
    </r>
    <r>
      <rPr>
        <sz val="10"/>
        <color rgb="FFFF0000"/>
        <rFont val="方正仿宋_GBK"/>
        <charset val="134"/>
      </rPr>
      <t>房屋零星维修项目，与施工方签订施工合同，其中某些施工材料价格偏高，劳务分包施工，上下游管控监督不力，其中材料结算价格高套单价，超过市场普遍价格。导致多计多结导致审计整改。
2.房屋维修项目超预算，增补项目未经上级单位批准，擅自扩大后勤项目预算安排。</t>
    </r>
  </si>
  <si>
    <t>30.房屋修理费报销</t>
  </si>
  <si>
    <t>房屋修理费在规定范围内报销</t>
  </si>
  <si>
    <t>员工报账业务-30.房屋修理费管控-控制措施01</t>
  </si>
  <si>
    <t>归口部门对工程施行全过程过程结果监督。 1.房屋维修立项前执行多方比价机制，严格建材、人工单价，杜绝高于市场价签约；2.项目负责人对工程实际用量，留存现场照片，施工台账进行合规审核；3.完工后对工程量签单、竣工验收报告真实性进行把控，无验收资料不允发起报账。</t>
  </si>
  <si>
    <t>1.报销 ( 资金支付 )  审批单；          2.增值税发票或收据；                    3.合同；                 4.开工报告；               5.工程量签证单； 6.竣工验收报告； 7.项目结算表 、审计报告 ( 审定表签章页 )</t>
  </si>
  <si>
    <t>管理房屋维修费监督场景</t>
  </si>
  <si>
    <t>《国家电网有限公司会计基础管理办法 》（国网（财/2） 350-2018） （国家电网企管〔2019〕 132号） 、 《国家电网有限公司会计核算办法2021》 （国网（财/2） 469-2022）</t>
  </si>
  <si>
    <t>新增关键控制点“房屋修理费报销”</t>
  </si>
  <si>
    <t>员工报账业务-30.房屋修理费管控-控制措施02</t>
  </si>
  <si>
    <t>财务审核对合理性和资金安全做把控1.着重审核发票、结算清单金额 ，核对计价标准、工程量与验收资料是否匹配。2.严格规范报销附件要求，工程结算清单，施工合同和签证单缺一不可，对资料不全、单价异常的单据驳回，不予付款。</t>
  </si>
  <si>
    <t>租赁费</t>
  </si>
  <si>
    <t>未规范区分租赁类型，合同管理滞后、超标准列支租金形成资金浪费带来审计、税务稽查合规风险，</t>
  </si>
  <si>
    <r>
      <rPr>
        <b/>
        <sz val="10"/>
        <color rgb="FFFF0000"/>
        <rFont val="方正仿宋_GBK"/>
        <charset val="134"/>
      </rPr>
      <t>租赁业务从合同签订到资金保险全流程存在多项管控漏洞。</t>
    </r>
    <r>
      <rPr>
        <sz val="10"/>
        <color rgb="FFFF0000"/>
        <rFont val="方正仿宋_GBK"/>
        <charset val="134"/>
      </rPr>
      <t>1.报销时未区区分经营租赁、融资租赁导致账务核算分类错误；                                      2.合同签订滞后导致租赁起始入账时间与实际使用期间不一致，容易造成使用纠纷；                                          3.支付租金时，出租方开票的计费周期、金额与合同条款约定不一致。</t>
    </r>
  </si>
  <si>
    <t>31.租赁费报销</t>
  </si>
  <si>
    <t>租赁费在规定范围内报销</t>
  </si>
  <si>
    <t>员工报账业务-31.租赁费管控-控制措施01</t>
  </si>
  <si>
    <t>落实租赁事前审批、合同管控、财务多层复核，规范租赁费保险全流程，业务端建立合同分级审批机制，大额的租赁签订要全流程监控</t>
  </si>
  <si>
    <t>1.报销 ( 资金支付 )  审批单；              2.增值税发票或收据；                      3.合同或协议；                4产权证明材料；       5.完税证明；         6.个人身份证、银行卡复印件</t>
  </si>
  <si>
    <t>各级单位-各部门-报账人员、各级单位-各部门-负责人、</t>
  </si>
  <si>
    <t>管理租赁费监督场景</t>
  </si>
  <si>
    <t>《国家电网有限公司会计基础管理办法 》( 国网 ( 财/2) 350-2018)   ( 国家电网企管〔2019〕  132号 )  、《 国家电网有限公司会 计核算办法2021》 ( 国网 (财/2) 469- 2020)  、《国网湖南省电力有限公司关于进 一步加强资金支付安全管理的通知 》( 湘电 公司财〔2018〕940号 )</t>
  </si>
  <si>
    <t>各级单位后勤部（综合服务中心）、各级单位设备部、各级单位财务部</t>
  </si>
  <si>
    <t>新增关键控制点“租赁费报销”</t>
  </si>
  <si>
    <t>员工报账业务-31.租赁费管控-控制措施02</t>
  </si>
  <si>
    <t>财务审核时核验附件完整性和合规性，需有产权证明和个税完税证明；租赁个人房屋时，根据合同签订时间判断租赁类别，严格确保开票金额、租期与租赁合同保持一致，资料不符不允报销付款。</t>
  </si>
  <si>
    <r>
      <rPr>
        <sz val="10"/>
        <rFont val="方正仿宋_GBK"/>
        <charset val="134"/>
      </rPr>
      <t>发票提交人对增值税发票税率与合同条款进行复核，确认货物及应税劳务名称准确、金额及税率与合同一致，确认</t>
    </r>
    <r>
      <rPr>
        <strike/>
        <sz val="10"/>
        <rFont val="方正仿宋_GBK"/>
        <charset val="134"/>
      </rPr>
      <t>发票项目</t>
    </r>
    <r>
      <rPr>
        <sz val="10"/>
        <color rgb="FFFF0000"/>
        <rFont val="方正仿宋_GBK"/>
        <charset val="134"/>
      </rPr>
      <t>开票明细【开票方信息】</t>
    </r>
    <r>
      <rPr>
        <sz val="10"/>
        <rFont val="方正仿宋_GBK"/>
        <charset val="134"/>
      </rPr>
      <t>名称中不包含“茶叶、烟、酒水、门票、景区”等敏感字眼，确认销售方名称中不包含“会所、健身房、俱乐部、KTV、景区、洗浴中心”等敏感字眼。</t>
    </r>
  </si>
  <si>
    <t>修改控制方式，修改控制系统，线上改为线下</t>
  </si>
  <si>
    <t>修改控制措施</t>
  </si>
  <si>
    <t>修改控制方式，修改控制系统</t>
  </si>
  <si>
    <r>
      <rPr>
        <b/>
        <sz val="10"/>
        <color rgb="FFFF0000"/>
        <rFont val="方正仿宋_GBK"/>
        <charset val="134"/>
      </rPr>
      <t xml:space="preserve">物业管理费缺失全流程资料、虚报列支不合规等多项问题：        
</t>
    </r>
    <r>
      <rPr>
        <sz val="10"/>
        <color rgb="FFFF0000"/>
        <rFont val="方正仿宋_GBK"/>
        <charset val="134"/>
      </rPr>
      <t xml:space="preserve">1.合同签订前核定物业费使用范围不严，办公面积存在错误和虚假列支服务事项等。
2.费用开支无完整产权租赁依据，无物业租赁服务合同。                                    3.同一物业点重复申报物业费、申报金额超出合同业务收费标准。                                     4.部分经办人未按合同约定计费周期申报费用，提前列支尚未发生的物业管理费。                                       5.未区分自用、外租场地费用，虚增物业管理费，导致资金无依据流出。 </t>
    </r>
  </si>
  <si>
    <t>业务部门签合同前核定物业费范围，对办公面积审核，特约服务界定把关。</t>
  </si>
  <si>
    <t>后勤〔2024〕31号《国网湖南电力后勤部关于加强办公用房物业服务项目规范化管理的通知》、《 国家电网有限公司会计基础管理办法 》（国网（财/2） 350-2018） （国家电网企管〔2019〕 132号） 、 《国家电网有限公司会计核算办法2021》 （国网（财/2） 469-2020）</t>
  </si>
  <si>
    <t>员工报账业务-28.物业管理费管控-控制措施03</t>
  </si>
  <si>
    <t>经手部门需定期及时报销，归口管理部门留存水电费抄表台账，全过程监管支出真实性。非自来水公司的供水单位提供用水，需要乡或村一级出具的供水证明。</t>
  </si>
  <si>
    <t>归口部门对工程施行全过程及结果监督，严格需求审核各单位提交的含维修内容、紧急程度的任务单，审核是否属于零星维修范围。</t>
  </si>
  <si>
    <t>要求施工单位及时提交含施工照片、工程量明细的签证单，由需求单位与归口部门共同核对确认，避免工程量数据失真、台账不清。汇总整理任务单、签证单等全套台账资料，提交结算单位开展单价专项审核，规范资金使用，严控单价风险。</t>
  </si>
  <si>
    <t>员工报账业务-30.房屋修理费管控-控制措施03</t>
  </si>
  <si>
    <r>
      <rPr>
        <b/>
        <sz val="10"/>
        <color rgb="FFFF0000"/>
        <rFont val="方正仿宋_GBK"/>
        <charset val="134"/>
      </rPr>
      <t xml:space="preserve">租赁业务从合同签订到资金保险全流程存在多项管控漏洞。             </t>
    </r>
    <r>
      <rPr>
        <sz val="10"/>
        <color rgb="FFFF0000"/>
        <rFont val="方正仿宋_GBK"/>
        <charset val="134"/>
      </rPr>
      <t>1.未按规定履行决策和审批程序或超越权限范围租赁资产。
2.资产租赁未履行评估备案和审批程序，导致公司利益损失；                                      3.违反资产评估相关规定，故意隐匿评估范围资产，或向评估机构提供虚假会计资料，导致评估结果失真，造成经济损失；                                          4.违反公平交易原则，以不合理价格出租资产，或低于租赁价转租资产；
5.因管理不善或人为故意等原因造成租赁资产盘亏、毁损等，造成资产损失。</t>
    </r>
  </si>
  <si>
    <t>实物资产管理部门负责提出资产承租、出租需求；负责承租、出租资产验收、盘点和移交，签订经营租赁合同；负责承租、出租资产实物账管理，做好经营性租赁合同的租金催收和支付。严格实行分类管理、分级审批管理，不得超范围出租或私自办理资产出租业务，不得无偿占有、使用公司资产。</t>
  </si>
  <si>
    <t xml:space="preserve">1.需求审批单            2.资产评估报告                                    3.合同或协议；                4产权证明材料；       </t>
  </si>
  <si>
    <t>《国家电网有限公司会计基础管理办法 》( 国网 ( 财/2) 350-2018)   ( 国家电网企管〔2019〕  132号 )  、《 国家电网有限公司会 计核算办法2021》 ( 国网 (财/2) 469- 2020)  、</t>
  </si>
  <si>
    <t>各级单位后勤部（综合服务中心）、各级单位设备部</t>
  </si>
  <si>
    <t>财务部门负责审核业务部门租赁业务需求，负责按要求开展租赁资产评估；协同业务部门做好租赁资产设备创建、变更、报废等联动管理；负责建立租赁资产帐簿和卡片。</t>
  </si>
  <si>
    <t xml:space="preserve">1.合同或协议.           2产权证明材料 </t>
  </si>
  <si>
    <t>各级单位-各部门-报账人员、各级单位-各部门-负责人、各级单位-费用归口管理部门-负责人、各级单位-财务部门-资产管理人员</t>
  </si>
  <si>
    <t>租赁费监督场景</t>
  </si>
  <si>
    <t>《国家电网有限公司会计基础管理办法 》( 国网 ( 财/2) 350-2018)   ( 国家电网企管〔2019〕  132号 )  、《 国家电网有限公司会 计核算办法2021》 ( 国网 (财/2) 469-2020)  、国网湖南电力财务部关于进一步明确资产评估管理有关工作要求的通知</t>
  </si>
  <si>
    <t>员工报账业务-31.租赁费管控-控制措施03</t>
  </si>
  <si>
    <t>业务费</t>
  </si>
  <si>
    <t>超范围列支业务费引发合规风险。</t>
  </si>
  <si>
    <t>1.超预算开支。
2.礼品违规发放至员工个人。
3.票据真实合规。
4.发放产品置换。</t>
  </si>
  <si>
    <t>32.业务费</t>
  </si>
  <si>
    <t>业务费在规定范围内报销</t>
  </si>
  <si>
    <t>员工报账业务-25.业务费报销01</t>
  </si>
  <si>
    <t xml:space="preserve">
规范商品采购。通过电商平台或框架合同采购，设置礼品单价最高限额。避免分批采购商品，规避礼品单价限额，发放价格贵重的礼品。
</t>
  </si>
  <si>
    <t xml:space="preserve">1.合同或协议；
2.收料单；
3.领料单；
4.发票；
5.费用结算单
</t>
  </si>
  <si>
    <t>各级单位-营销部（供电服务指挥中心）-报账人员、各级单位-营销部（供电服务指挥中心）-负责人</t>
  </si>
  <si>
    <t>《国家电网有限公司会计基础管理办法》（国网（财/2）350-2018）（国家电网企管〔2019〕132号）、《国家电网有限公司会计核算办法2021》（国网（财/2）469-2020）</t>
  </si>
  <si>
    <t>各级单位营销部</t>
  </si>
  <si>
    <t>新增关键控制点“业务费”</t>
  </si>
  <si>
    <t>员工报账业务-25.业务费报销02</t>
  </si>
  <si>
    <t>归口管理部门对营销业务费进行复核，特别是用于推广业务的费用复核，其中礼品发放必须发放到个人。
1.检查礼品发放对象，排查内部员工。
2.核查发放礼品是否存在合理外部推广理由。
3.业务部门建立礼品出入库登记及发放台账，完整保存外部领取人员信息（姓名和电话），照片等其他活动佐证资料。</t>
  </si>
  <si>
    <t xml:space="preserve">1.合同或协议；
2.收料单；
3.领料单；
4.发票；
5.礼品出入库台账
</t>
  </si>
  <si>
    <t>员工报账业务-25.业务费报销03</t>
  </si>
  <si>
    <t xml:space="preserve">财务人员审核发票和业务佐证资料齐全，确保完整性和合规性。
</t>
  </si>
  <si>
    <t>各级单位-营销部（供电服务指挥中心）-报账人员、各级单位-营销部（供电服务指挥中心）-负责人、各级单位-财务部门-成本管理人员</t>
  </si>
  <si>
    <t>各级单位营销部、各级单位财务部</t>
  </si>
  <si>
    <t>是否适用</t>
  </si>
  <si>
    <r>
      <rPr>
        <strike/>
        <sz val="10"/>
        <color rgb="FF0070C0"/>
        <rFont val="方正仿宋_GBK"/>
        <charset val="134"/>
      </rPr>
      <t>各级单位-各部门-出差人员</t>
    </r>
    <r>
      <rPr>
        <sz val="10"/>
        <rFont val="方正仿宋_GBK"/>
        <charset val="134"/>
      </rPr>
      <t>、各级单位-各部门-负责人、商旅云公司</t>
    </r>
  </si>
  <si>
    <r>
      <rPr>
        <strike/>
        <sz val="10"/>
        <rFont val="方正仿宋_GBK"/>
        <charset val="134"/>
      </rPr>
      <t>各级单位-各部门-出差人员、</t>
    </r>
    <r>
      <rPr>
        <sz val="10"/>
        <rFont val="方正仿宋_GBK"/>
        <charset val="134"/>
      </rPr>
      <t>商旅云公司</t>
    </r>
  </si>
  <si>
    <t>否</t>
  </si>
  <si>
    <r>
      <rPr>
        <sz val="10"/>
        <rFont val="方正仿宋_GBK"/>
        <charset val="134"/>
      </rPr>
      <t>商旅云公司</t>
    </r>
    <r>
      <rPr>
        <strike/>
        <sz val="10"/>
        <rFont val="方正仿宋_GBK"/>
        <charset val="134"/>
      </rPr>
      <t>、各级单位-各部门-出差人员、各级单位-各部门-负责人</t>
    </r>
  </si>
  <si>
    <r>
      <rPr>
        <sz val="10"/>
        <rFont val="方正仿宋_GBK"/>
        <charset val="134"/>
      </rPr>
      <t>商旅云公司、各级单位-</t>
    </r>
    <r>
      <rPr>
        <strike/>
        <sz val="10"/>
        <rFont val="方正仿宋_GBK"/>
        <charset val="134"/>
      </rPr>
      <t>办公室</t>
    </r>
    <r>
      <rPr>
        <sz val="10"/>
        <color rgb="FFFF0000"/>
        <rFont val="方正仿宋_GBK"/>
        <charset val="134"/>
      </rPr>
      <t>财务部、省公司-财务部</t>
    </r>
  </si>
  <si>
    <r>
      <rPr>
        <strike/>
        <sz val="10"/>
        <color rgb="FF0070C0"/>
        <rFont val="方正仿宋_GBK"/>
        <charset val="134"/>
      </rPr>
      <t>各级单位-各部门-出差人员、</t>
    </r>
    <r>
      <rPr>
        <sz val="10"/>
        <color rgb="FFFF0000"/>
        <rFont val="方正仿宋_GBK"/>
        <charset val="134"/>
      </rPr>
      <t>各级单位-财务部门-成本管理人员、</t>
    </r>
    <r>
      <rPr>
        <sz val="10"/>
        <rFont val="方正仿宋_GBK"/>
        <charset val="134"/>
      </rPr>
      <t>商旅云公司</t>
    </r>
  </si>
  <si>
    <r>
      <rPr>
        <strike/>
        <sz val="10"/>
        <rFont val="方正仿宋_GBK"/>
        <charset val="134"/>
      </rPr>
      <t>各级单位-财务部门-预算管理人员、各级单位-各部门-出差人员、各级单位-各部门-负责人、各级单位-财务部门-成本管理人员、</t>
    </r>
    <r>
      <rPr>
        <sz val="10"/>
        <rFont val="方正仿宋_GBK"/>
        <charset val="134"/>
      </rPr>
      <t>商旅云公司</t>
    </r>
  </si>
  <si>
    <r>
      <rPr>
        <strike/>
        <sz val="10"/>
        <color rgb="FF0070C0"/>
        <rFont val="方正仿宋_GBK"/>
        <charset val="134"/>
      </rPr>
      <t>各级单位-财务部门-预算管理人员、各级单位-各部门-负责人、</t>
    </r>
    <r>
      <rPr>
        <sz val="10"/>
        <rFont val="方正仿宋_GBK"/>
        <charset val="134"/>
      </rPr>
      <t>各级单位-财务部门-成本管理人员、商旅云公司</t>
    </r>
  </si>
  <si>
    <r>
      <rPr>
        <strike/>
        <sz val="10"/>
        <color rgb="FF0070C0"/>
        <rFont val="方正仿宋_GBK"/>
        <charset val="134"/>
      </rPr>
      <t>各级单位-财务部门-预算管理人员、各级单位-各部门-出差人员、各级单位-各部门-负责人、各级单位-财务部门-成本管理人员、</t>
    </r>
    <r>
      <rPr>
        <sz val="10"/>
        <rFont val="方正仿宋_GBK"/>
        <charset val="134"/>
      </rPr>
      <t>商旅云公司、各级单位-纪检部门-纪检管理人员</t>
    </r>
  </si>
  <si>
    <r>
      <rPr>
        <strike/>
        <sz val="10"/>
        <rFont val="方正仿宋_GBK"/>
        <charset val="134"/>
      </rPr>
      <t>各级单位-各部门-出差人员、</t>
    </r>
    <r>
      <rPr>
        <sz val="10"/>
        <rFont val="方正仿宋_GBK"/>
        <charset val="134"/>
      </rPr>
      <t>各级单位-各部门-出差报销审核人、</t>
    </r>
    <r>
      <rPr>
        <strike/>
        <sz val="10"/>
        <color rgb="FF0070C0"/>
        <rFont val="方正仿宋_GBK"/>
        <charset val="134"/>
      </rPr>
      <t>各级单位-财务部门-成本管理人员</t>
    </r>
    <r>
      <rPr>
        <sz val="10"/>
        <rFont val="方正仿宋_GBK"/>
        <charset val="134"/>
      </rPr>
      <t>、商旅云公司</t>
    </r>
  </si>
  <si>
    <r>
      <rPr>
        <strike/>
        <sz val="10"/>
        <rFont val="方正仿宋_GBK"/>
        <charset val="134"/>
      </rPr>
      <t>各级单位-各部门-出差人员、各级单位-各部门-出差报销审核人、各级单位-财务部门-成本管理人员、</t>
    </r>
    <r>
      <rPr>
        <sz val="10"/>
        <rFont val="方正仿宋_GBK"/>
        <charset val="134"/>
      </rPr>
      <t>商旅云公司</t>
    </r>
  </si>
  <si>
    <r>
      <rPr>
        <strike/>
        <sz val="10"/>
        <color rgb="FF0070C0"/>
        <rFont val="方正仿宋_GBK"/>
        <charset val="134"/>
      </rPr>
      <t>各级单位-各部门-出差人员、各级单位-各部门-出差报销审核人、</t>
    </r>
    <r>
      <rPr>
        <sz val="10"/>
        <rFont val="方正仿宋_GBK"/>
        <charset val="134"/>
      </rPr>
      <t>各级单位-财务部门-成本管理人员、商旅云公司</t>
    </r>
  </si>
  <si>
    <r>
      <rPr>
        <strike/>
        <sz val="10"/>
        <color rgb="FF0070C0"/>
        <rFont val="方正仿宋_GBK"/>
        <charset val="134"/>
      </rPr>
      <t>各级单位-各部门-出差人员、各级单位-各部门-出差报销审核人、各级单位-财务部门-成本管理人员、</t>
    </r>
    <r>
      <rPr>
        <sz val="10"/>
        <rFont val="方正仿宋_GBK"/>
        <charset val="134"/>
      </rPr>
      <t>商旅云公司、各级单位-纪检部门-纪检管理人员</t>
    </r>
  </si>
  <si>
    <r>
      <rPr>
        <strike/>
        <sz val="10"/>
        <color rgb="FF0070C0"/>
        <rFont val="方正仿宋_GBK"/>
        <charset val="134"/>
      </rPr>
      <t>各级单位-各部门-出差人员、各级单位-各部门-负责人、</t>
    </r>
    <r>
      <rPr>
        <sz val="10"/>
        <rFont val="方正仿宋_GBK"/>
        <charset val="134"/>
      </rPr>
      <t>商旅云公司</t>
    </r>
  </si>
  <si>
    <r>
      <rPr>
        <strike/>
        <sz val="10"/>
        <color rgb="FF0070C0"/>
        <rFont val="方正仿宋_GBK"/>
        <charset val="134"/>
      </rPr>
      <t>各级单位-各部门-出差人员、</t>
    </r>
    <r>
      <rPr>
        <sz val="10"/>
        <rFont val="方正仿宋_GBK"/>
        <charset val="134"/>
      </rPr>
      <t>商旅云公司、各级单位-财务部门-成本管理人员</t>
    </r>
  </si>
  <si>
    <r>
      <rPr>
        <strike/>
        <sz val="10"/>
        <color rgb="FF0070C0"/>
        <rFont val="方正仿宋_GBK"/>
        <charset val="134"/>
      </rPr>
      <t>各级单位-各部门-出差人员、</t>
    </r>
    <r>
      <rPr>
        <sz val="10"/>
        <rFont val="方正仿宋_GBK"/>
        <charset val="134"/>
      </rPr>
      <t>商旅云公司、各级单位-纪检部门-纪检管理人员</t>
    </r>
  </si>
  <si>
    <r>
      <rPr>
        <strike/>
        <sz val="10"/>
        <color rgb="FF0070C0"/>
        <rFont val="方正仿宋_GBK"/>
        <charset val="134"/>
      </rPr>
      <t>各级单位-各部门-报账人员、</t>
    </r>
    <r>
      <rPr>
        <sz val="10"/>
        <rFont val="方正仿宋_GBK"/>
        <charset val="134"/>
      </rPr>
      <t>各级单位-各部门-负责人、</t>
    </r>
    <r>
      <rPr>
        <strike/>
        <sz val="10"/>
        <color rgb="FF0070C0"/>
        <rFont val="方正仿宋_GBK"/>
        <charset val="134"/>
      </rPr>
      <t>各级单位-财务部门-成本管理人员</t>
    </r>
  </si>
  <si>
    <r>
      <rPr>
        <strike/>
        <sz val="10"/>
        <color rgb="FF0070C0"/>
        <rFont val="方正仿宋_GBK"/>
        <charset val="134"/>
      </rPr>
      <t>各级单位-各部门-报账人员、各级单位-各部门-负责人、</t>
    </r>
    <r>
      <rPr>
        <sz val="10"/>
        <rFont val="方正仿宋_GBK"/>
        <charset val="134"/>
      </rPr>
      <t>各级单位-财务部门-成本管理人员</t>
    </r>
  </si>
  <si>
    <r>
      <rPr>
        <strike/>
        <sz val="10"/>
        <color rgb="FF0070C0"/>
        <rFont val="方正仿宋_GBK"/>
        <charset val="134"/>
      </rPr>
      <t>各级单位-各部门-报账人员、各级单位-各部门-负责人、各级单位-财务部门-成本管理人员、</t>
    </r>
    <r>
      <rPr>
        <sz val="10"/>
        <rFont val="方正仿宋_GBK"/>
        <charset val="134"/>
      </rPr>
      <t>各级单位-纪检部门-纪检管理人员</t>
    </r>
  </si>
  <si>
    <r>
      <rPr>
        <sz val="10"/>
        <rFont val="方正仿宋_GBK"/>
        <charset val="134"/>
      </rPr>
      <t>各级单位-各部门-报账人员、各级单位-各部门-负责人、</t>
    </r>
    <r>
      <rPr>
        <strike/>
        <sz val="10"/>
        <color rgb="FF0070C0"/>
        <rFont val="方正仿宋_GBK"/>
        <charset val="134"/>
      </rPr>
      <t>各级单位-财务部门-成本管理人员</t>
    </r>
  </si>
  <si>
    <r>
      <rPr>
        <sz val="10"/>
        <rFont val="方正仿宋_GBK"/>
        <charset val="134"/>
      </rPr>
      <t>各级单位-各部门-报账人员、</t>
    </r>
    <r>
      <rPr>
        <strike/>
        <sz val="10"/>
        <color rgb="FF0070C0"/>
        <rFont val="方正仿宋_GBK"/>
        <charset val="134"/>
      </rPr>
      <t>各级单位-各部门-负责人</t>
    </r>
  </si>
  <si>
    <r>
      <rPr>
        <sz val="10"/>
        <rFont val="方正仿宋_GBK"/>
        <charset val="134"/>
      </rPr>
      <t>各级单位-各部门-报账人员</t>
    </r>
    <r>
      <rPr>
        <strike/>
        <sz val="10"/>
        <color rgb="FF0070C0"/>
        <rFont val="方正仿宋_GBK"/>
        <charset val="134"/>
      </rPr>
      <t>、各级单位-各部门-负责人</t>
    </r>
  </si>
  <si>
    <r>
      <rPr>
        <strike/>
        <sz val="10"/>
        <color rgb="FF0070C0"/>
        <rFont val="方正仿宋_GBK"/>
        <charset val="134"/>
      </rPr>
      <t>各级单位-接待承办部门-报账人员、各级单位-接待承办部门-负责人、</t>
    </r>
    <r>
      <rPr>
        <sz val="10"/>
        <rFont val="方正仿宋_GBK"/>
        <charset val="134"/>
      </rPr>
      <t>各级单位-接待管理部门-接待管理人员、各级单位-接待管理部门-负责人</t>
    </r>
  </si>
  <si>
    <r>
      <rPr>
        <strike/>
        <sz val="10"/>
        <color rgb="FF0070C0"/>
        <rFont val="方正仿宋_GBK"/>
        <charset val="134"/>
      </rPr>
      <t>各级单位-接待承办部门-报账人员、各级单位-接待承办部门-负责人、各级单位-接待管理部门-接待管理人员、各级单位-接待管理部门-负责人、</t>
    </r>
    <r>
      <rPr>
        <sz val="10"/>
        <rFont val="方正仿宋_GBK"/>
        <charset val="134"/>
      </rPr>
      <t>各级单位-财务部门-成本管理人员</t>
    </r>
  </si>
  <si>
    <r>
      <rPr>
        <sz val="10"/>
        <rFont val="方正仿宋_GBK"/>
        <charset val="134"/>
      </rPr>
      <t>各级单位-公务车辆管理部门-车辆管理人员、各级单位-公务车辆管理部门-负责人、</t>
    </r>
    <r>
      <rPr>
        <strike/>
        <sz val="10"/>
        <color rgb="FF0070C0"/>
        <rFont val="方正仿宋_GBK"/>
        <charset val="134"/>
      </rPr>
      <t>各级单位-财务部门-成本管理人员</t>
    </r>
  </si>
  <si>
    <r>
      <rPr>
        <strike/>
        <sz val="10"/>
        <color rgb="FF0070C0"/>
        <rFont val="方正仿宋_GBK"/>
        <charset val="134"/>
      </rPr>
      <t>各级单位-各部门-报账人员、各级单位-各部门-负责人、</t>
    </r>
    <r>
      <rPr>
        <sz val="10"/>
        <rFont val="方正仿宋_GBK"/>
        <charset val="134"/>
      </rPr>
      <t>各级单位-因公出国（境）经费归口管理部门-负责人</t>
    </r>
    <r>
      <rPr>
        <strike/>
        <sz val="10"/>
        <color rgb="FF0070C0"/>
        <rFont val="方正仿宋_GBK"/>
        <charset val="134"/>
      </rPr>
      <t>、各级单位-财务部门-成本管理人员</t>
    </r>
  </si>
  <si>
    <r>
      <rPr>
        <strike/>
        <sz val="10"/>
        <color rgb="FF0070C0"/>
        <rFont val="方正仿宋_GBK"/>
        <charset val="134"/>
      </rPr>
      <t>各级单位-各部门-报账人员、各级单位-各部门-负责人、</t>
    </r>
    <r>
      <rPr>
        <sz val="10"/>
        <rFont val="方正仿宋_GBK"/>
        <charset val="134"/>
      </rPr>
      <t>各级单位-因公出国（境）经费归口管理部门-负责人</t>
    </r>
  </si>
  <si>
    <r>
      <rPr>
        <strike/>
        <sz val="10"/>
        <color rgb="FF0070C0"/>
        <rFont val="方正仿宋_GBK"/>
        <charset val="134"/>
      </rPr>
      <t>各级单位-各部门-报账人员、各级单位-各部门-负责人、各级单位-因公出国（境）经费归口管理部门-负责人、</t>
    </r>
    <r>
      <rPr>
        <sz val="10"/>
        <rFont val="方正仿宋_GBK"/>
        <charset val="134"/>
      </rPr>
      <t>各级单位-财务部门-成本管理人员</t>
    </r>
  </si>
  <si>
    <r>
      <rPr>
        <sz val="10"/>
        <rFont val="方正仿宋_GBK"/>
        <charset val="134"/>
      </rPr>
      <t>各级单位-会议承办部门-报账人员、各级单位-会议承办部门-负责人、</t>
    </r>
    <r>
      <rPr>
        <strike/>
        <sz val="10"/>
        <color rgb="FF0070C0"/>
        <rFont val="方正仿宋_GBK"/>
        <charset val="134"/>
      </rPr>
      <t>各级单位-会议管理部门-会议管理人员、各级单位-会议管理部门-负责人</t>
    </r>
  </si>
  <si>
    <r>
      <rPr>
        <strike/>
        <sz val="10"/>
        <color rgb="FF0070C0"/>
        <rFont val="方正仿宋_GBK"/>
        <charset val="134"/>
      </rPr>
      <t>各级单位-会议承办部门-报账人员、各级单位-会议承办部门-负责人、</t>
    </r>
    <r>
      <rPr>
        <sz val="10"/>
        <rFont val="方正仿宋_GBK"/>
        <charset val="134"/>
      </rPr>
      <t>各级单位-会议管理部门-会议管理人员、各级单位-会议管理部门-负责人</t>
    </r>
  </si>
  <si>
    <r>
      <rPr>
        <strike/>
        <sz val="10"/>
        <color rgb="FF0070C0"/>
        <rFont val="方正仿宋_GBK"/>
        <charset val="134"/>
      </rPr>
      <t>各级单位-会议承办部门-报账人员、各级单位-会议承办部门-负责人、各级单位-会议管理部门-会议管理人员、各级单位-会议管理部门-负责人、</t>
    </r>
    <r>
      <rPr>
        <sz val="10"/>
        <rFont val="方正仿宋_GBK"/>
        <charset val="134"/>
      </rPr>
      <t>各级单位-财务部门-成本管理人员</t>
    </r>
  </si>
  <si>
    <r>
      <rPr>
        <strike/>
        <sz val="10"/>
        <color rgb="FF0070C0"/>
        <rFont val="方正仿宋_GBK"/>
        <charset val="134"/>
      </rPr>
      <t>各级单位-各部门-报账人员、各级单位-各部门-负责人、</t>
    </r>
    <r>
      <rPr>
        <sz val="10"/>
        <rFont val="方正仿宋_GBK"/>
        <charset val="134"/>
      </rPr>
      <t>各级单位-办公用品管理部门-办公用品管理人员、各级单位-办公用品管理部门-负责人</t>
    </r>
  </si>
  <si>
    <r>
      <rPr>
        <strike/>
        <sz val="10"/>
        <color rgb="FF0070C0"/>
        <rFont val="方正仿宋_GBK"/>
        <charset val="134"/>
      </rPr>
      <t>各级单位-各部门-报账人员、各级单位-各部门-负责人、各级单位-办公用品管理部门-办公用品管理人员、各级单位-办公用品管理部门-负责人、</t>
    </r>
    <r>
      <rPr>
        <sz val="10"/>
        <rFont val="方正仿宋_GBK"/>
        <charset val="134"/>
      </rPr>
      <t>各级单位-财务部门-成本管理人员</t>
    </r>
  </si>
  <si>
    <r>
      <rPr>
        <strike/>
        <sz val="10"/>
        <color rgb="FF0070C0"/>
        <rFont val="方正仿宋_GBK"/>
        <charset val="134"/>
      </rPr>
      <t>各级单位-办公用品管理部门-办公用品管理人员、各级单位-办公用品管理部门-负责人、</t>
    </r>
    <r>
      <rPr>
        <sz val="10"/>
        <rFont val="方正仿宋_GBK"/>
        <charset val="134"/>
      </rPr>
      <t>各级单位-物资部门-电商采购执行与监督人员、各级单位-物资部门-负责人</t>
    </r>
  </si>
  <si>
    <r>
      <rPr>
        <strike/>
        <sz val="10"/>
        <color rgb="FF0070C0"/>
        <rFont val="方正仿宋_GBK"/>
        <charset val="134"/>
      </rPr>
      <t>各级单位-办公用品管理部门-办公用品管理人员、</t>
    </r>
    <r>
      <rPr>
        <sz val="10"/>
        <rFont val="方正仿宋_GBK"/>
        <charset val="134"/>
      </rPr>
      <t>各级单位-办公用品管理部门-负责人</t>
    </r>
    <r>
      <rPr>
        <strike/>
        <sz val="10"/>
        <color rgb="FF0070C0"/>
        <rFont val="方正仿宋_GBK"/>
        <charset val="134"/>
      </rPr>
      <t>、各级单位-物资部门-电商采购执行与监督人员、各级单位-物资部门-负责人</t>
    </r>
  </si>
  <si>
    <r>
      <rPr>
        <strike/>
        <sz val="10"/>
        <color rgb="FF0070C0"/>
        <rFont val="方正仿宋_GBK"/>
        <charset val="134"/>
      </rPr>
      <t>各级单位-办公用品管理部门-办公用品管理人员、各级单位-办公用品管理部门-负责人、各级单位-物资部门-电商采购执行与监督人员、</t>
    </r>
    <r>
      <rPr>
        <sz val="10"/>
        <rFont val="方正仿宋_GBK"/>
        <charset val="134"/>
      </rPr>
      <t>各级单位-物资部门-负责人</t>
    </r>
  </si>
  <si>
    <r>
      <rPr>
        <sz val="10"/>
        <rFont val="方正仿宋_GBK"/>
        <charset val="134"/>
      </rPr>
      <t>各级单位-办公用品管理部门-办公用品管理人员</t>
    </r>
    <r>
      <rPr>
        <strike/>
        <sz val="10"/>
        <color rgb="FF0070C0"/>
        <rFont val="方正仿宋_GBK"/>
        <charset val="134"/>
      </rPr>
      <t>、各级单位-办公用品管理部门-负责人</t>
    </r>
  </si>
  <si>
    <r>
      <rPr>
        <strike/>
        <sz val="10"/>
        <color rgb="FF0070C0"/>
        <rFont val="方正仿宋_GBK"/>
        <charset val="134"/>
      </rPr>
      <t>各级单位-各部门-报账人员、各级单位-各部门-负责人</t>
    </r>
    <r>
      <rPr>
        <sz val="10"/>
        <rFont val="方正仿宋_GBK"/>
        <charset val="134"/>
      </rPr>
      <t>、</t>
    </r>
    <r>
      <rPr>
        <sz val="10"/>
        <color rgb="FFFF0000"/>
        <rFont val="方正仿宋_GBK"/>
        <charset val="134"/>
      </rPr>
      <t>各级单位-党建部门-组织建设与党员管理专责、</t>
    </r>
    <r>
      <rPr>
        <sz val="10"/>
        <rFont val="方正仿宋_GBK"/>
        <charset val="134"/>
      </rPr>
      <t>各级单位-党建部门-负责人</t>
    </r>
  </si>
  <si>
    <r>
      <rPr>
        <strike/>
        <sz val="10"/>
        <color rgb="FF0070C0"/>
        <rFont val="方正仿宋_GBK"/>
        <charset val="134"/>
      </rPr>
      <t>各级单位-各部门-报账人员、各级单位-各部门-负责人、各级单位-党建部门-负责人、</t>
    </r>
    <r>
      <rPr>
        <sz val="10"/>
        <rFont val="方正仿宋_GBK"/>
        <charset val="134"/>
      </rPr>
      <t>各级单位-财务部门-成本管理人员</t>
    </r>
  </si>
  <si>
    <r>
      <rPr>
        <sz val="10"/>
        <rFont val="方正仿宋_GBK"/>
        <charset val="134"/>
      </rPr>
      <t>各级单位-各部门-报账人员、各级单位-各部门-负责人、各级单位-安监部门-消防与安保管理人员、</t>
    </r>
    <r>
      <rPr>
        <strike/>
        <sz val="10"/>
        <color rgb="FF0070C0"/>
        <rFont val="方正仿宋_GBK"/>
        <charset val="134"/>
      </rPr>
      <t>各级单位-安监部门-负责人</t>
    </r>
  </si>
  <si>
    <r>
      <rPr>
        <strike/>
        <sz val="10"/>
        <color rgb="FF0070C0"/>
        <rFont val="方正仿宋_GBK"/>
        <charset val="134"/>
      </rPr>
      <t>各级单位-各部门-报账人员、各级单位-各部门-负责人、各级单位-安监部门-消防与安保管理人员、各级单位-安监部门-负责人、</t>
    </r>
    <r>
      <rPr>
        <sz val="10"/>
        <color rgb="FF0070C0"/>
        <rFont val="方正仿宋_GBK"/>
        <charset val="134"/>
      </rPr>
      <t>各级单位-建设部门-项目经理</t>
    </r>
  </si>
  <si>
    <r>
      <rPr>
        <strike/>
        <sz val="10"/>
        <color rgb="FF0070C0"/>
        <rFont val="方正仿宋_GBK"/>
        <charset val="134"/>
      </rPr>
      <t>各级单位-各部门-报账人员、各级单位-各部门-负责人、各级单位-安监部门-消防与安保管理人员、各级单位-安监部门-负责人、</t>
    </r>
    <r>
      <rPr>
        <sz val="10"/>
        <color rgb="FF0070C0"/>
        <rFont val="方正仿宋_GBK"/>
        <charset val="134"/>
      </rPr>
      <t>各总包单位-项目经理</t>
    </r>
  </si>
  <si>
    <r>
      <rPr>
        <strike/>
        <sz val="10"/>
        <color rgb="FF0070C0"/>
        <rFont val="方正仿宋_GBK"/>
        <charset val="134"/>
      </rPr>
      <t>各级单位-各部门-报账人员、各级单位-各部门-负责人、</t>
    </r>
    <r>
      <rPr>
        <sz val="10"/>
        <rFont val="方正仿宋_GBK"/>
        <charset val="134"/>
      </rPr>
      <t>各级单位-安监部门-消防与安保管理人员</t>
    </r>
    <r>
      <rPr>
        <strike/>
        <sz val="10"/>
        <color rgb="FF0070C0"/>
        <rFont val="方正仿宋_GBK"/>
        <charset val="134"/>
      </rPr>
      <t>、各级单位-安监部门-负责人</t>
    </r>
  </si>
  <si>
    <r>
      <rPr>
        <strike/>
        <sz val="10"/>
        <color rgb="FF0070C0"/>
        <rFont val="方正仿宋_GBK"/>
        <charset val="134"/>
      </rPr>
      <t>各级单位-各部门-报账人员、各级单位-各部门-负责人、各级单位-安监部门-消防与安保管理人员、各级单位-安监部门-负责人、</t>
    </r>
    <r>
      <rPr>
        <sz val="10"/>
        <rFont val="方正仿宋_GBK"/>
        <charset val="134"/>
      </rPr>
      <t>各级单位-财务部门-成本管理人员</t>
    </r>
  </si>
  <si>
    <r>
      <rPr>
        <sz val="10"/>
        <rFont val="方正仿宋_GBK"/>
        <charset val="134"/>
      </rPr>
      <t>各级单位-各部门-项目管理</t>
    </r>
    <r>
      <rPr>
        <sz val="10"/>
        <color rgb="FFFF0000"/>
        <rFont val="方正仿宋_GBK"/>
        <charset val="134"/>
      </rPr>
      <t>或报账</t>
    </r>
    <r>
      <rPr>
        <sz val="10"/>
        <rFont val="方正仿宋_GBK"/>
        <charset val="134"/>
      </rPr>
      <t>人员、各级单位-各部门-负责人、</t>
    </r>
    <r>
      <rPr>
        <strike/>
        <sz val="10"/>
        <rFont val="方正仿宋_GBK"/>
        <charset val="134"/>
      </rPr>
      <t>各级单位-归口管理部门-负责人</t>
    </r>
  </si>
  <si>
    <r>
      <rPr>
        <sz val="10"/>
        <rFont val="方正仿宋_GBK"/>
        <charset val="134"/>
      </rPr>
      <t>各级单位-各部门-项目管理或报账人员、各级单位-各部门-负责人、</t>
    </r>
    <r>
      <rPr>
        <strike/>
        <sz val="10"/>
        <rFont val="方正仿宋_GBK"/>
        <charset val="134"/>
      </rPr>
      <t>各级单位-归口管理部门-负责人</t>
    </r>
  </si>
  <si>
    <r>
      <rPr>
        <strike/>
        <sz val="10"/>
        <color rgb="FF0070C0"/>
        <rFont val="方正仿宋_GBK"/>
        <charset val="134"/>
      </rPr>
      <t>各级单位-各部门-项目管理或报账人员、各级单位-各部门-负责人、</t>
    </r>
    <r>
      <rPr>
        <strike/>
        <sz val="10"/>
        <rFont val="方正仿宋_GBK"/>
        <charset val="134"/>
      </rPr>
      <t>各级单位-归口管理部门-负责人、</t>
    </r>
    <r>
      <rPr>
        <sz val="10"/>
        <rFont val="方正仿宋_GBK"/>
        <charset val="134"/>
      </rPr>
      <t>各级单位-财务部门-工程财务管理人员</t>
    </r>
  </si>
  <si>
    <r>
      <rPr>
        <sz val="10"/>
        <rFont val="方正仿宋_GBK"/>
        <charset val="134"/>
      </rPr>
      <t>各级单位-各部门-项目管理或报账人员、</t>
    </r>
    <r>
      <rPr>
        <strike/>
        <sz val="10"/>
        <color rgb="FF0070C0"/>
        <rFont val="方正仿宋_GBK"/>
        <charset val="134"/>
      </rPr>
      <t>各级单位-各部门-负责人、</t>
    </r>
    <r>
      <rPr>
        <strike/>
        <sz val="10"/>
        <rFont val="方正仿宋_GBK"/>
        <charset val="134"/>
      </rPr>
      <t>各级单位-归口管理部门-负责人</t>
    </r>
  </si>
  <si>
    <r>
      <rPr>
        <strike/>
        <sz val="10"/>
        <color rgb="FF0070C0"/>
        <rFont val="方正仿宋_GBK"/>
        <charset val="134"/>
      </rPr>
      <t>各级单位-各部门-项目管理或报账人员、各级单位-各部门-负责人</t>
    </r>
    <r>
      <rPr>
        <strike/>
        <sz val="10"/>
        <rFont val="方正仿宋_GBK"/>
        <charset val="134"/>
      </rPr>
      <t>、各级单位-归口管理部门-负责人</t>
    </r>
    <r>
      <rPr>
        <sz val="10"/>
        <rFont val="方正仿宋_GBK"/>
        <charset val="134"/>
      </rPr>
      <t>、各级单位-财务部门-工程财务管理人员</t>
    </r>
  </si>
  <si>
    <r>
      <rPr>
        <sz val="10"/>
        <rFont val="方正仿宋_GBK"/>
        <charset val="134"/>
      </rPr>
      <t>各级单位-资金支付发起部门-报账人员、各级单位-资金支付发起部门-负责人、</t>
    </r>
    <r>
      <rPr>
        <strike/>
        <sz val="10"/>
        <color rgb="FF0070C0"/>
        <rFont val="方正仿宋_GBK"/>
        <charset val="134"/>
      </rPr>
      <t>各级单位-财务部门-成本管理人员、各级单位-财务部门-资金管理人员、各级单位-财务部门-负责人</t>
    </r>
  </si>
  <si>
    <r>
      <rPr>
        <sz val="10"/>
        <rFont val="方正仿宋_GBK"/>
        <charset val="134"/>
      </rPr>
      <t>各级单位-资金支付发起部门-报账人员、各级单位-资金支付发起部门-负责人</t>
    </r>
    <r>
      <rPr>
        <strike/>
        <sz val="10"/>
        <color rgb="FF0070C0"/>
        <rFont val="方正仿宋_GBK"/>
        <charset val="134"/>
      </rPr>
      <t>、各级单位-财务部门-成本管理人员、各级单位-财务部门-资金管理人员、各级单位-财务部门-负责人</t>
    </r>
  </si>
  <si>
    <r>
      <rPr>
        <strike/>
        <sz val="10"/>
        <color rgb="FF0070C0"/>
        <rFont val="方正仿宋_GBK"/>
        <charset val="134"/>
      </rPr>
      <t>各级单位-资金支付发起部门-报账人员、各级单位-资金支付发起部门-负责人、各级单位-财务部门-成本管理人员、</t>
    </r>
    <r>
      <rPr>
        <sz val="10"/>
        <rFont val="方正仿宋_GBK"/>
        <charset val="134"/>
      </rPr>
      <t>各级单位-财务部门-资金管理人员、</t>
    </r>
    <r>
      <rPr>
        <strike/>
        <sz val="10"/>
        <color rgb="FF0070C0"/>
        <rFont val="方正仿宋_GBK"/>
        <charset val="134"/>
      </rPr>
      <t>各级单位-财务部门-负责人</t>
    </r>
  </si>
  <si>
    <r>
      <rPr>
        <strike/>
        <sz val="10"/>
        <color rgb="FF0070C0"/>
        <rFont val="方正仿宋_GBK"/>
        <charset val="134"/>
      </rPr>
      <t>各级单位-资金支付发起部门-报账人员、各级单位-资金支付发起部门-负责人、各级单位-财务部门-成本管理人员、各级单位-财务部门-资金管理人员、</t>
    </r>
    <r>
      <rPr>
        <sz val="10"/>
        <rFont val="方正仿宋_GBK"/>
        <charset val="134"/>
      </rPr>
      <t>各级单位-财务部门-负责人</t>
    </r>
  </si>
  <si>
    <r>
      <rPr>
        <strike/>
        <sz val="10"/>
        <color rgb="FF0070C0"/>
        <rFont val="方正仿宋_GBK"/>
        <charset val="134"/>
      </rPr>
      <t>各级单位-各部门-报账人员、各级单位-各部门-负责人、</t>
    </r>
    <r>
      <rPr>
        <sz val="10"/>
        <rFont val="方正仿宋_GBK"/>
        <charset val="134"/>
      </rPr>
      <t>各级单位-</t>
    </r>
    <r>
      <rPr>
        <strike/>
        <sz val="10"/>
        <rFont val="方正仿宋_GBK"/>
        <charset val="134"/>
      </rPr>
      <t>办公室</t>
    </r>
    <r>
      <rPr>
        <sz val="10"/>
        <color rgb="FFFF0000"/>
        <rFont val="方正仿宋_GBK"/>
        <charset val="134"/>
      </rPr>
      <t>归口管理部门</t>
    </r>
    <r>
      <rPr>
        <sz val="10"/>
        <rFont val="方正仿宋_GBK"/>
        <charset val="134"/>
      </rPr>
      <t>-负责人</t>
    </r>
  </si>
  <si>
    <r>
      <rPr>
        <sz val="10"/>
        <rFont val="方正仿宋_GBK"/>
        <charset val="134"/>
      </rPr>
      <t>各级单位-各部门-报账人员、各级单位-各部门-负责人、各级单位-</t>
    </r>
    <r>
      <rPr>
        <strike/>
        <sz val="10"/>
        <rFont val="方正仿宋_GBK"/>
        <charset val="134"/>
      </rPr>
      <t>办公室</t>
    </r>
    <r>
      <rPr>
        <sz val="10"/>
        <color rgb="FFFF0000"/>
        <rFont val="方正仿宋_GBK"/>
        <charset val="134"/>
      </rPr>
      <t>归口管理部门</t>
    </r>
    <r>
      <rPr>
        <sz val="10"/>
        <rFont val="方正仿宋_GBK"/>
        <charset val="134"/>
      </rPr>
      <t>-负责人、各级单位-财务部门-成本管理人员</t>
    </r>
  </si>
  <si>
    <t>各级单位-后勤部门（生产用车管理部门）-车辆管理人员、各级单位-后勤部门（生产用车管理部门）-负责人</t>
  </si>
  <si>
    <t>企业车辆管理手册（国家电网后勤部编）第二节第三点运行费用（三）燃油费</t>
  </si>
  <si>
    <t>企业车辆管理手册（国家电网后勤部编）</t>
  </si>
  <si>
    <r>
      <rPr>
        <sz val="10"/>
        <color rgb="FFFF0000"/>
        <rFont val="方正仿宋_GBK"/>
        <charset val="134"/>
      </rPr>
      <t>各级单位-后勤部门（生产用车管理部门）-车辆管理人员、各级单位-后勤部门（生产用车管理部门）-负责人、</t>
    </r>
    <r>
      <rPr>
        <strike/>
        <sz val="10"/>
        <color rgb="FF0070C0"/>
        <rFont val="方正仿宋_GBK"/>
        <charset val="134"/>
      </rPr>
      <t>各级单位-财务部门-成本管理人员</t>
    </r>
  </si>
  <si>
    <r>
      <rPr>
        <strike/>
        <sz val="10"/>
        <color rgb="FF0070C0"/>
        <rFont val="方正仿宋_GBK"/>
        <charset val="134"/>
      </rPr>
      <t>各级单位-后勤部门（生产用车管理部门）-车辆管理人员、各级单位-后勤部门（生产用车管理部门）-负责人、</t>
    </r>
    <r>
      <rPr>
        <sz val="10"/>
        <color rgb="FFFF0000"/>
        <rFont val="方正仿宋_GBK"/>
        <charset val="134"/>
      </rPr>
      <t>各级单位-财务部门-成本管理人员</t>
    </r>
  </si>
  <si>
    <t>各级单位-各部门-车辆需求提报人员、各级单位-各部门-负责人、各级单位-后勤管理部门-车辆管理人员、各级单位-电网技术或其他生产管理部门-车辆管理人员、各级单位-电网技术或其他生产管理部门-负责人</t>
  </si>
  <si>
    <t>员工报账业务-26.零星租车与运输服务报销-控制措施03</t>
  </si>
  <si>
    <t>员工报账业务-26.零星租车与运输服务报销-控制措施04</t>
  </si>
  <si>
    <t>各级单位-各部门-车辆需求提报人员、各级单位-各部门-负责人、各级单位-后勤管理部门-车辆管理人员、各级单位-电网技术或其他生产管理部门-项目管理人员、各级单位-财务部门-成本管理人员</t>
  </si>
  <si>
    <t>各级单位-各部门-项目管理人员、各级单位-各部门-负责人</t>
  </si>
  <si>
    <t>各级单位-各部门-项目管理人员、各级单位-各部门-报销审核人、各级单位-财务部门-会计核算人员</t>
  </si>
  <si>
    <r>
      <rPr>
        <sz val="10"/>
        <color rgb="FFFF0000"/>
        <rFont val="方正仿宋_GBK"/>
        <charset val="134"/>
      </rPr>
      <t>归口管理部门签合同前核定物业费范围，对办公面积审核，特约服务界定把关。</t>
    </r>
    <r>
      <rPr>
        <b/>
        <sz val="10"/>
        <color rgb="FF00B0F0"/>
        <rFont val="方正仿宋_GBK"/>
        <charset val="134"/>
      </rPr>
      <t>（一会业务部门，一会归口管理部门，建议统一）</t>
    </r>
  </si>
  <si>
    <r>
      <rPr>
        <sz val="10"/>
        <color rgb="FFFF0000"/>
        <rFont val="方正仿宋_GBK"/>
        <charset val="134"/>
      </rPr>
      <t>归口管理部门对物业管理费用的数量、质量进行复核评价；核对计费周期、收费标准后再发起报销流程。</t>
    </r>
    <r>
      <rPr>
        <b/>
        <sz val="10"/>
        <color rgb="FF00B0F0"/>
        <rFont val="方正仿宋_GBK"/>
        <charset val="134"/>
      </rPr>
      <t>（一会业务部门，一会归口管理部门，建议统一）</t>
    </r>
  </si>
  <si>
    <t>《国家电网有限公司会计基础管理办法 》（国网（财/2） 350-2018） （国家电网企管〔2019〕 132号） 、 《国家电网有限公司会计核算办法2026》（国网（财/2） 469-2025）</t>
  </si>
  <si>
    <t>各级单位-后勤部（综合服务中心）-报账人员、各级单位-后勤部（综合服务中心）-负责人、各级单位-运维检修部-报账人员、各级单位-运维检修部-负责人、各级单位-财务部门-成本管理人员</t>
  </si>
  <si>
    <r>
      <rPr>
        <strike/>
        <sz val="10"/>
        <color rgb="FFFF0000"/>
        <rFont val="方正仿宋_GBK"/>
        <charset val="134"/>
      </rPr>
      <t>各级单位-后勤部（综合服务中心）-报账人员、各级单位-后勤部（综合服务中心）-负责人、各级单位-运维检修部-报账人员、各级单位-运维检修部-负责人、</t>
    </r>
    <r>
      <rPr>
        <sz val="10"/>
        <color rgb="FFFF0000"/>
        <rFont val="方正仿宋_GBK"/>
        <charset val="134"/>
      </rPr>
      <t>各级单位-财务部门-成本管理人员</t>
    </r>
  </si>
  <si>
    <t>《国家电网有限公司会计基础管理办法 》( 国网 ( 财/2) 350-2018)   ( 国家电网企管〔2019〕  132号 )  、《国家电网有限公司会计核算办法2026》（国网（财/2） 469-2025）</t>
  </si>
  <si>
    <r>
      <rPr>
        <strike/>
        <sz val="10"/>
        <color rgb="FF0070C0"/>
        <rFont val="方正仿宋_GBK"/>
        <charset val="134"/>
      </rPr>
      <t>各级单位-各部门-报账人员、各级单位-各部门-负责人、</t>
    </r>
    <r>
      <rPr>
        <sz val="10"/>
        <color rgb="FFFF0000"/>
        <rFont val="方正仿宋_GBK"/>
        <charset val="134"/>
      </rPr>
      <t>各级单位-财务部门-成本管理人员</t>
    </r>
  </si>
  <si>
    <t>《国家电网有限公司会计基础管理办法 》( 国网 ( 财/2) 350-2018)   ( 国家电网企管〔2019〕  132号 )  、《国家电网有限公司会计核算办法2026》（国网（财/2） 469-2025） 、《国网湖南省电力有限公司关于进 一步加强资金支付安全管理的通知 》( 湘电 公司财〔2018〕940号 )</t>
  </si>
  <si>
    <t>员工报账业务-32.业务费报销-控制措施01</t>
  </si>
  <si>
    <t>《国家电网有限公司会计基础管理办法》（国网（财/2）350-2018）（国家电网企管〔2019〕132号）、《国家电网有限公司会计核算办法2026》（国网（财/2） 469-2025）</t>
  </si>
  <si>
    <t>员工报账业务-32.业务费报销-控制措施02</t>
  </si>
  <si>
    <t>员工报账业务-32.业务费报销-控制措施03</t>
  </si>
  <si>
    <r>
      <rPr>
        <strike/>
        <sz val="10"/>
        <color rgb="FFFF0000"/>
        <rFont val="方正仿宋_GBK"/>
        <charset val="134"/>
      </rPr>
      <t>各级单位-营销部（供电服务指挥中心）-报账人员、各级单位-营销部（供电服务指挥中心）-负责人、</t>
    </r>
    <r>
      <rPr>
        <sz val="10"/>
        <color rgb="FFFF0000"/>
        <rFont val="方正仿宋_GBK"/>
        <charset val="134"/>
      </rPr>
      <t>各级单位-财务部门-成本管理人员</t>
    </r>
  </si>
  <si>
    <t>1、</t>
  </si>
  <si>
    <t>1、员工报账业务-25.生产车辆使用费管控-控制措施01生产车辆加油执行“一车一卡”，一张油卡固定一个车牌号码。
2、员工报账业务-25.生产车辆使用费管控-控制措施02各单位车辆运行管理部门应加强车辆维修真实性控制，按照维修申请、审批、验收结算分离原则控制车辆维修。
3、员工报账业务-25.生产车辆使用费管控-控制措施03各单位车辆运行管理部门应加强车辆使用费台账管理，对单车费用明细（油费、过路费、停车费、维修费等）与用车申请单（事前提交，注明用车时间、事由、目的地）、车辆行驶里程记录（行车记录、起止日期）进行复核，严禁套取费用。
4、员工报账业务-25.生产车辆使用费管控-控制措施04各单位财务部门应严格审核车辆使用费用各类发票与明细清单的一致性、审核合同折扣率、合同税率的执行情况，车辆保险费应归口核算至财产保险费。
5、员工报账业务-26.零星租车与运输服务报销-控制措施01零星车辆租赁（运输服务）需求，按照就近响应、统筹优化原则，实施车辆运输服务框架采购。
6、员工报账业务-26.零星租车与运输服务报销-控制措施02各单位有关部门（班组）提出零星租车申请后，需经本单位后勤管理部门审批，后勤管理部门结合本单位现有车辆情况判断是否同意租赁，审批租赁车辆的必要性。自营项目租用吊车等特种车辆应经本单位电网技术部等生产管理部门审批。
7、员工报账业务-26.零星租车与运输服务-控制措施03各单位后勤管理部门应加强租车结算管理，建立租赁车辆运行费用台账，严格按照实际次数、里程和合同价格结算。自营项目租用吊车、挖机等机械由生产管理部门建立台账，严格按照实际作业台班和合同价格结算。
8、员工报账业务-26.零星租车与运输服务-控制措施04各单位财务部门审核零星租车报销发票金额与租车明细的一致性，审核合同折扣率、合同税率的执行情况。
9、员工报账业务-27.零星劳务管控-控制措施01自营项目的专业主管部门明确采取劳务外包的范围，不得从事核心业务或涉密工作。零星劳务人员应通过合规的招标方式，确定固定的服务商，实际需要用工时从签订合同的服务商范围内选用不得直接与个人签订用工协议。
10、员工报账业务-27.零星劳务管控-控制措施02各单位自营项目主管部门制定零星用指导价，用工指导价包含服务商税费、管理费、食宿费、交通费、劳务人员工资等费用。各单位与服务商签订的劳务合同不得超过最高限价。
11、员工报账业务-27.零星劳务管控-控制措施03各单位零星劳务使用部门、财务部门要严格审核用工的真实性、合理性，对同一身份证号码在同一时段不同班组或供电所用工的不予结算。
12、员工报账业务-28.物业管理费管控-控制措施01归口管理部门对物业管理费用的数量、质量进行复核评价；核对计费周期、收费标准后再发起报销流程。
13、员工报账业务-28.物业管理费管控-控制措施02财务审核环节核查票据、附件完整度，校验申报金额、缴费周期与合同条款一致性；对无依据、超额、超前和重复支付物业费予以驳回。
14、员工报账业务-29.水电费管控-控制措施01归口部门把控费用真实、合规性，按期及时报销，留存水电费抄表台账，全过程监管支出真实性。
15、员工报账业务-29.水电费管控-控制措施02财务部门审核发票、收据金额的准确性，按实际发生据实报账，提供垫付支付凭证。
16、员工报账业务-30.房屋修理费管控-控制措施01归口部门对工程施行全过程过程结果监督。 1.房屋维修立项前执行多方比价机制，严格建材、人工单价，杜绝高于市场价签约；2.项目负责人对工程实际用量，留存现场照片，施工台账进行合规审核；3.完工后对工程量签单、竣工验收报告真实性进行把控，无验收资料不允发起报账。
17、员工报账业务-30.房屋修理费管控-控制措施02财务审核对合理性和资金安全做把控1.着重审核发票、结算清单金额 ，核对计价标准、工程量与验收资料是否匹配。2.严格规范报销附件要求，工程结算清单，施工合同和签证单缺一不可，对资料不全、单价异常的单据驳回，不予付款。
18、员工报账业务-31.租赁费管控-控制措施01落实租赁事前审批、合同管控、财务多层复核，规范租赁费保险全流程，业务端建立合同分级审批机制，大额的租赁签订要全流程监控
19、员工报账业务-31.租赁费管控-控制措施02财务审核时核验附件完整性和合规性，需有产权证明和个税完税证明；租赁个人房屋时，根据合同签订时间判断租赁类别，严格确保开票金额、租期与租赁合同保持一致，资料不符不允报销付款。</t>
  </si>
  <si>
    <t>2、</t>
  </si>
  <si>
    <t>3、</t>
  </si>
  <si>
    <t>4、</t>
  </si>
  <si>
    <t>5、</t>
  </si>
  <si>
    <t>6、</t>
  </si>
  <si>
    <t>7、</t>
  </si>
  <si>
    <t>8、</t>
  </si>
  <si>
    <t>9、</t>
  </si>
  <si>
    <t>10、</t>
  </si>
  <si>
    <t>11、</t>
  </si>
  <si>
    <t>12、</t>
  </si>
  <si>
    <t>13、</t>
  </si>
  <si>
    <t>14、</t>
  </si>
  <si>
    <t>15、</t>
  </si>
  <si>
    <t>16、</t>
  </si>
  <si>
    <t>17、</t>
  </si>
  <si>
    <t>18、</t>
  </si>
  <si>
    <t>19、</t>
  </si>
  <si>
    <t>《国网湖南省电力有限公司关于印发加强差旅费管理有关规定的通知》第二条、第三条</t>
  </si>
  <si>
    <t>《国网湖南省电力有限公司关于印发加强差旅费管理有关规定的通知》第一条</t>
  </si>
  <si>
    <t>《国网湖南省电力有限公司关于印发加强差旅费管理有关规定的通知》第三条</t>
  </si>
  <si>
    <t>1、员工报账业务-11.报销发票审核-控制措施03系统已建
线下管控
2、员工报账业务-19.安全费报销-控制措施04线下管控
系统已建</t>
  </si>
  <si>
    <t>1、员工报账业务-11.报销发票审核-控制措施03智慧共享财务平台
2、员工报账业务-19.安全费报销-控制措施04安全风险管控监督平台</t>
  </si>
  <si>
    <t>1、员工报账业务-3.出差申请流程控制-控制措施01各级单位-各部门-出差人员、各级单位-各部门-负责人、商旅云公司
2、员工报账业务-3.出差申请流程控制-控制措施03商旅云公司、各级单位-审计部门、纪检部门等监督部门-监督、纪检管理人员
3、员工报账业务-5.单体酒店上架及价格定价管控-控制措施01商旅云公司、各级单位-办公室财务部
4、员工报账业务-6.酒店预订-控制措施03各级单位-各部门-出差人员、各级单位-财务部门-成本管理人员、商旅云公司
5、员工报账业务-9.自付单据审核-控制措施02各级单位-各部门-出差人员、各级单位-各部门-负责人、商旅云公司
6、员工报账业务-11.报销发票审核-控制措施05各级单位-各部门-报账人员、各级单位-各部门-负责人、各级单位-财务部门-成本管理人员、各级单位-财务部门-税务管理人员</t>
  </si>
  <si>
    <t>对应典型问题</t>
  </si>
  <si>
    <t>控制措施编号</t>
  </si>
  <si>
    <t>控制方式（枚举值）</t>
  </si>
  <si>
    <t>内控载体</t>
  </si>
  <si>
    <t>系统控制层次</t>
  </si>
  <si>
    <t>集团监督评价</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</si>
  <si>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</si>
  <si>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</si>
  <si>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</si>
  <si>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</si>
  <si>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</si>
  <si>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</si>
  <si>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随便列举：8.违规发放薪酬：存在企业负责人违规发放薪酬；员工惩处结果执行不到位,未扣减相应薪酬等问题。</t>
  </si>
  <si>
    <t>1.归口管理部门对资金支付与补偿协议支付条款进行校验；</t>
  </si>
  <si>
    <t>营销售电业务-1.系统客户信息创建-控制措施01</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</si>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</sst>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2">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color rgb="FFFF0000"/>
      <name val="方正仿宋_GBK"/>
      <charset val="134"/>
    </font>
    <font>
      <sz val="10"/>
      <name val="方正仿宋_GBK"/>
      <charset val="134"/>
    </font>
    <font>
      <strike/>
      <sz val="10"/>
      <name val="方正仿宋_GBK"/>
      <charset val="134"/>
    </font>
    <font>
      <b/>
      <sz val="10"/>
      <name val="方正仿宋_GBK"/>
      <charset val="134"/>
    </font>
    <font>
      <sz val="16"/>
      <color rgb="FFFF0000"/>
      <name val="方正仿宋_GBK"/>
      <charset val="134"/>
    </font>
    <font>
      <strike/>
      <sz val="10"/>
      <color rgb="FF0070C0"/>
      <name val="方正仿宋_GBK"/>
      <charset val="134"/>
    </font>
    <font>
      <b/>
      <sz val="10"/>
      <color rgb="FFFF0000"/>
      <name val="方正仿宋_GBK"/>
      <charset val="134"/>
    </font>
    <font>
      <b/>
      <sz val="16"/>
      <color rgb="FFFF0000"/>
      <name val="方正仿宋_GBK"/>
      <charset val="134"/>
    </font>
    <font>
      <strike/>
      <sz val="10"/>
      <color rgb="FFFF000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70C0"/>
      <name val="方正仿宋_GBK"/>
      <charset val="134"/>
    </font>
    <font>
      <b/>
      <sz val="10"/>
      <color rgb="FF00B0F0"/>
      <name val="方正仿宋_GBK"/>
      <charset val="134"/>
    </font>
    <font>
      <sz val="14"/>
      <color rgb="FF2D529F"/>
      <name val="微软雅黑"/>
      <charset val="134"/>
    </font>
    <font>
      <b/>
      <sz val="9"/>
      <name val="宋体"/>
      <charset val="134"/>
    </font>
    <font>
      <sz val="9"/>
      <name val="宋体"/>
      <charset val="134"/>
    </font>
  </fonts>
  <fills count="38">
    <fill>
      <patternFill patternType="none"/>
    </fill>
    <fill>
      <patternFill patternType="gray125"/>
    </fill>
    <fill>
      <patternFill patternType="solid">
        <fgColor theme="9" tint="0.599993896298105"/>
        <bgColor indexed="64"/>
      </patternFill>
    </fill>
    <fill>
      <patternFill patternType="solid">
        <fgColor theme="9" tint="0.399945066682943"/>
        <bgColor indexed="64"/>
      </patternFill>
    </fill>
    <fill>
      <patternFill patternType="solid">
        <fgColor rgb="FFFFC000"/>
        <bgColor indexed="64"/>
      </patternFill>
    </fill>
    <fill>
      <patternFill patternType="solid">
        <fgColor rgb="FF92D050"/>
        <bgColor indexed="64"/>
      </patternFill>
    </fill>
    <fill>
      <patternFill patternType="solid">
        <fgColor theme="4" tint="0.8"/>
        <bgColor indexed="64"/>
      </patternFill>
    </fill>
    <fill>
      <patternFill patternType="solid">
        <fgColor theme="4" tint="0.7994933927426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8" borderId="1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2" applyNumberFormat="0" applyFill="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5" fillId="0" borderId="0" applyNumberFormat="0" applyFill="0" applyBorder="0" applyAlignment="0" applyProtection="0">
      <alignment vertical="center"/>
    </xf>
    <xf numFmtId="0" fontId="26" fillId="9" borderId="14" applyNumberFormat="0" applyAlignment="0" applyProtection="0">
      <alignment vertical="center"/>
    </xf>
    <xf numFmtId="0" fontId="27" fillId="10" borderId="15" applyNumberFormat="0" applyAlignment="0" applyProtection="0">
      <alignment vertical="center"/>
    </xf>
    <xf numFmtId="0" fontId="28" fillId="10" borderId="14" applyNumberFormat="0" applyAlignment="0" applyProtection="0">
      <alignment vertical="center"/>
    </xf>
    <xf numFmtId="0" fontId="29" fillId="11" borderId="16" applyNumberFormat="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2" borderId="0" applyNumberFormat="0" applyBorder="0" applyAlignment="0" applyProtection="0">
      <alignment vertical="center"/>
    </xf>
    <xf numFmtId="0" fontId="35" fillId="37" borderId="0" applyNumberFormat="0" applyBorder="0" applyAlignment="0" applyProtection="0">
      <alignment vertical="center"/>
    </xf>
    <xf numFmtId="0" fontId="0" fillId="0" borderId="0"/>
  </cellStyleXfs>
  <cellXfs count="116">
    <xf numFmtId="0" fontId="0" fillId="0" borderId="0" xfId="0"/>
    <xf numFmtId="0" fontId="1" fillId="0" borderId="0" xfId="49" applyFont="1" applyFill="1" applyBorder="1" applyAlignment="1">
      <alignment horizontal="center" vertical="center" wrapText="1"/>
    </xf>
    <xf numFmtId="0" fontId="2" fillId="0" borderId="0" xfId="49" applyFont="1" applyFill="1" applyBorder="1" applyAlignment="1">
      <alignment horizontal="center" vertical="center" wrapText="1"/>
    </xf>
    <xf numFmtId="0" fontId="1" fillId="0" borderId="0" xfId="49" applyFont="1" applyFill="1" applyBorder="1" applyAlignment="1">
      <alignment horizontal="center" vertical="center"/>
    </xf>
    <xf numFmtId="0" fontId="1" fillId="0" borderId="0" xfId="49" applyFont="1" applyFill="1" applyBorder="1" applyAlignment="1">
      <alignment horizontal="left" vertical="center"/>
    </xf>
    <xf numFmtId="0" fontId="1" fillId="0" borderId="0" xfId="49" applyFont="1" applyFill="1" applyBorder="1" applyAlignment="1">
      <alignment horizontal="left" vertical="center" wrapText="1"/>
    </xf>
    <xf numFmtId="0" fontId="1" fillId="0" borderId="0" xfId="49" applyFont="1" applyFill="1" applyBorder="1" applyAlignment="1">
      <alignment vertical="center"/>
    </xf>
    <xf numFmtId="0" fontId="1" fillId="2" borderId="0" xfId="49" applyFont="1" applyFill="1" applyBorder="1" applyAlignment="1">
      <alignment vertical="center"/>
    </xf>
    <xf numFmtId="0" fontId="2" fillId="0" borderId="1" xfId="49" applyFont="1" applyFill="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49" applyFont="1" applyFill="1" applyBorder="1" applyAlignment="1">
      <alignment horizontal="center" vertical="center" wrapText="1"/>
    </xf>
    <xf numFmtId="0" fontId="1" fillId="0" borderId="1" xfId="49"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xf>
    <xf numFmtId="0" fontId="2"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0" fontId="1" fillId="0" borderId="1" xfId="49"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0" fillId="0" borderId="0" xfId="0" applyAlignment="1">
      <alignment horizontal="left" vertical="center"/>
    </xf>
    <xf numFmtId="0" fontId="5" fillId="0" borderId="1" xfId="49" applyFont="1" applyFill="1" applyBorder="1" applyAlignment="1">
      <alignment horizontal="left" vertical="center" wrapText="1"/>
    </xf>
    <xf numFmtId="0" fontId="5" fillId="0" borderId="8" xfId="49" applyFont="1" applyFill="1" applyBorder="1" applyAlignment="1">
      <alignment horizontal="left" vertical="center" wrapText="1"/>
    </xf>
    <xf numFmtId="0" fontId="0" fillId="0" borderId="0" xfId="0" applyAlignment="1">
      <alignment horizontal="left" vertical="center" wrapText="1"/>
    </xf>
    <xf numFmtId="0" fontId="6" fillId="0" borderId="1" xfId="49" applyFont="1" applyFill="1" applyBorder="1" applyAlignment="1">
      <alignment horizontal="center" vertical="center" wrapText="1"/>
    </xf>
    <xf numFmtId="0" fontId="5" fillId="0"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6" fillId="0" borderId="8" xfId="49" applyFont="1" applyFill="1" applyBorder="1" applyAlignment="1">
      <alignment horizontal="center" vertical="center" wrapText="1"/>
    </xf>
    <xf numFmtId="0" fontId="7" fillId="0" borderId="1" xfId="49" applyFont="1" applyFill="1" applyBorder="1" applyAlignment="1">
      <alignment horizontal="center" vertical="center" wrapText="1"/>
    </xf>
    <xf numFmtId="0" fontId="7" fillId="4" borderId="1" xfId="49"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49" applyFont="1" applyFill="1" applyBorder="1" applyAlignment="1">
      <alignment horizontal="left" vertical="center" wrapText="1"/>
    </xf>
    <xf numFmtId="0" fontId="6" fillId="0" borderId="1" xfId="0" applyFont="1" applyFill="1" applyBorder="1" applyAlignment="1">
      <alignment horizontal="center" vertical="center" wrapText="1"/>
    </xf>
    <xf numFmtId="0" fontId="0" fillId="0" borderId="0" xfId="0" applyAlignment="1">
      <alignment wrapText="1"/>
    </xf>
    <xf numFmtId="0" fontId="5" fillId="0" borderId="1" xfId="49" applyFont="1" applyFill="1" applyBorder="1" applyAlignment="1">
      <alignment horizontal="center" vertical="center" wrapText="1"/>
    </xf>
    <xf numFmtId="0" fontId="5" fillId="0" borderId="1" xfId="49" applyFont="1" applyFill="1" applyBorder="1" applyAlignment="1">
      <alignment vertical="center" wrapText="1"/>
    </xf>
    <xf numFmtId="0" fontId="8" fillId="0" borderId="0" xfId="49" applyFont="1" applyFill="1" applyBorder="1" applyAlignment="1">
      <alignment horizontal="center" vertical="center"/>
    </xf>
    <xf numFmtId="0" fontId="6" fillId="0" borderId="0" xfId="49" applyFont="1" applyFill="1" applyAlignment="1">
      <alignment horizontal="left" vertical="center"/>
    </xf>
    <xf numFmtId="0" fontId="9" fillId="0" borderId="0" xfId="49" applyFont="1" applyFill="1" applyBorder="1" applyAlignment="1">
      <alignment horizontal="center" vertical="center"/>
    </xf>
    <xf numFmtId="0" fontId="2" fillId="0" borderId="0" xfId="49" applyFont="1" applyFill="1" applyBorder="1" applyAlignment="1">
      <alignment horizontal="left" vertical="center" wrapText="1"/>
    </xf>
    <xf numFmtId="0" fontId="2" fillId="0" borderId="0" xfId="49" applyFont="1" applyFill="1" applyAlignment="1">
      <alignment horizontal="center" vertical="center" wrapText="1"/>
    </xf>
    <xf numFmtId="0" fontId="2" fillId="0" borderId="0" xfId="49" applyFont="1" applyFill="1" applyAlignment="1">
      <alignment horizontal="left" vertical="center" wrapText="1"/>
    </xf>
    <xf numFmtId="0" fontId="1" fillId="0" borderId="0" xfId="49" applyFont="1" applyFill="1" applyAlignment="1">
      <alignment horizontal="center" vertical="center" wrapText="1"/>
    </xf>
    <xf numFmtId="0" fontId="1" fillId="0" borderId="0" xfId="49" applyFont="1" applyFill="1" applyAlignment="1">
      <alignment horizontal="center" vertical="center"/>
    </xf>
    <xf numFmtId="0" fontId="8" fillId="0" borderId="1" xfId="49" applyFont="1" applyFill="1" applyBorder="1" applyAlignment="1">
      <alignment horizontal="center" vertical="center" wrapText="1"/>
    </xf>
    <xf numFmtId="0" fontId="8" fillId="0" borderId="2"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2" xfId="49" applyFont="1" applyFill="1" applyBorder="1" applyAlignment="1">
      <alignment horizontal="left" vertical="center" wrapText="1"/>
    </xf>
    <xf numFmtId="0" fontId="8" fillId="0" borderId="2" xfId="49" applyFont="1" applyFill="1" applyBorder="1" applyAlignment="1">
      <alignment horizontal="left" vertical="center" wrapText="1"/>
    </xf>
    <xf numFmtId="0" fontId="10" fillId="0" borderId="1" xfId="0" applyFont="1" applyFill="1" applyBorder="1" applyAlignment="1">
      <alignment horizontal="left" vertical="center" wrapText="1"/>
    </xf>
    <xf numFmtId="0" fontId="6" fillId="0" borderId="1" xfId="49" applyFont="1" applyFill="1" applyBorder="1" applyAlignment="1">
      <alignment horizontal="left" vertical="center"/>
    </xf>
    <xf numFmtId="0" fontId="8" fillId="0" borderId="10" xfId="49" applyFont="1" applyFill="1" applyBorder="1" applyAlignment="1">
      <alignment horizontal="center" vertical="center" wrapText="1"/>
    </xf>
    <xf numFmtId="0" fontId="6" fillId="0" borderId="10" xfId="49" applyFont="1" applyFill="1" applyBorder="1" applyAlignment="1">
      <alignment horizontal="center" vertical="center" wrapText="1"/>
    </xf>
    <xf numFmtId="0" fontId="6" fillId="0" borderId="10" xfId="49"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0" borderId="8" xfId="49" applyFont="1" applyFill="1" applyBorder="1" applyAlignment="1">
      <alignment horizontal="left" vertical="center" wrapText="1"/>
    </xf>
    <xf numFmtId="0" fontId="8" fillId="0" borderId="8" xfId="49" applyFont="1" applyFill="1" applyBorder="1" applyAlignment="1">
      <alignment horizontal="center" vertical="center" wrapText="1"/>
    </xf>
    <xf numFmtId="0" fontId="6" fillId="4" borderId="1" xfId="0" applyFont="1" applyFill="1" applyBorder="1" applyAlignment="1">
      <alignment horizontal="left" vertical="center" wrapText="1"/>
    </xf>
    <xf numFmtId="0" fontId="8" fillId="0" borderId="10" xfId="49" applyFont="1" applyFill="1" applyBorder="1" applyAlignment="1">
      <alignment horizontal="left" vertical="center" wrapText="1"/>
    </xf>
    <xf numFmtId="0" fontId="8" fillId="0" borderId="8" xfId="49" applyFont="1" applyFill="1" applyBorder="1" applyAlignment="1">
      <alignment horizontal="left" vertical="center" wrapText="1"/>
    </xf>
    <xf numFmtId="0" fontId="7" fillId="4" borderId="1" xfId="49" applyFont="1" applyFill="1" applyBorder="1" applyAlignment="1">
      <alignment horizontal="left" vertical="center" wrapText="1"/>
    </xf>
    <xf numFmtId="0" fontId="10" fillId="0" borderId="1" xfId="49" applyFont="1" applyFill="1" applyBorder="1" applyAlignment="1">
      <alignment horizontal="left" vertical="center" wrapText="1"/>
    </xf>
    <xf numFmtId="0" fontId="8" fillId="0" borderId="1" xfId="49" applyFont="1" applyFill="1" applyBorder="1" applyAlignment="1">
      <alignment horizontal="left" vertical="center" wrapText="1"/>
    </xf>
    <xf numFmtId="0" fontId="6" fillId="4" borderId="1" xfId="49" applyFont="1" applyFill="1" applyBorder="1" applyAlignment="1">
      <alignment horizontal="left" vertical="center" wrapText="1"/>
    </xf>
    <xf numFmtId="0" fontId="6" fillId="0" borderId="8" xfId="49" applyFont="1" applyFill="1" applyBorder="1" applyAlignment="1">
      <alignment vertical="center" wrapText="1"/>
    </xf>
    <xf numFmtId="0" fontId="6" fillId="0" borderId="2" xfId="49" applyFont="1" applyFill="1" applyBorder="1" applyAlignment="1">
      <alignment vertical="center" wrapText="1"/>
    </xf>
    <xf numFmtId="0" fontId="6" fillId="5" borderId="1" xfId="49" applyFont="1" applyFill="1" applyBorder="1" applyAlignment="1">
      <alignment horizontal="left" vertical="center" wrapText="1"/>
    </xf>
    <xf numFmtId="0" fontId="10" fillId="5" borderId="1" xfId="49" applyFont="1" applyFill="1" applyBorder="1" applyAlignment="1">
      <alignment horizontal="left" vertical="center" wrapText="1"/>
    </xf>
    <xf numFmtId="0" fontId="11" fillId="0" borderId="1" xfId="49" applyFont="1" applyFill="1" applyBorder="1" applyAlignment="1">
      <alignment horizontal="center" vertical="center" wrapText="1"/>
    </xf>
    <xf numFmtId="0" fontId="11" fillId="0" borderId="2" xfId="49" applyFont="1" applyFill="1" applyBorder="1" applyAlignment="1">
      <alignment horizontal="center" vertical="center" wrapText="1"/>
    </xf>
    <xf numFmtId="0" fontId="5" fillId="0" borderId="2" xfId="49" applyFont="1" applyFill="1" applyBorder="1" applyAlignment="1">
      <alignment horizontal="center" vertical="center" wrapText="1"/>
    </xf>
    <xf numFmtId="0" fontId="5" fillId="0" borderId="2" xfId="49" applyFont="1" applyFill="1" applyBorder="1" applyAlignment="1">
      <alignment horizontal="left" vertical="center" wrapText="1"/>
    </xf>
    <xf numFmtId="0" fontId="5" fillId="0" borderId="8" xfId="49" applyFont="1" applyFill="1" applyBorder="1" applyAlignment="1">
      <alignment horizontal="center" vertical="center" wrapText="1"/>
    </xf>
    <xf numFmtId="0" fontId="11" fillId="0" borderId="10" xfId="49" applyFont="1" applyFill="1" applyBorder="1" applyAlignment="1">
      <alignment horizontal="center" vertical="center" wrapText="1"/>
    </xf>
    <xf numFmtId="0" fontId="5" fillId="0" borderId="10" xfId="49" applyFont="1" applyFill="1" applyBorder="1" applyAlignment="1">
      <alignment horizontal="center" vertical="center" wrapText="1"/>
    </xf>
    <xf numFmtId="0" fontId="5" fillId="0" borderId="10" xfId="49" applyFont="1" applyFill="1" applyBorder="1" applyAlignment="1">
      <alignment horizontal="left" vertical="center" wrapText="1"/>
    </xf>
    <xf numFmtId="0" fontId="5" fillId="5" borderId="1" xfId="49" applyFont="1" applyFill="1" applyBorder="1" applyAlignment="1">
      <alignment horizontal="left" vertical="center" wrapText="1"/>
    </xf>
    <xf numFmtId="0" fontId="11" fillId="0" borderId="8" xfId="49" applyFont="1" applyFill="1" applyBorder="1" applyAlignment="1">
      <alignment horizontal="center" vertical="center" wrapText="1"/>
    </xf>
    <xf numFmtId="0" fontId="11" fillId="0" borderId="1" xfId="49" applyFont="1" applyFill="1" applyBorder="1" applyAlignment="1">
      <alignment horizontal="left" vertical="center" wrapText="1"/>
    </xf>
    <xf numFmtId="0" fontId="5" fillId="5" borderId="1" xfId="49" applyFont="1" applyFill="1" applyBorder="1" applyAlignment="1">
      <alignment horizontal="center" vertical="center" wrapText="1"/>
    </xf>
    <xf numFmtId="0" fontId="12" fillId="0" borderId="1" xfId="49" applyFont="1" applyFill="1" applyBorder="1" applyAlignment="1">
      <alignment horizontal="center" vertical="center" wrapText="1"/>
    </xf>
    <xf numFmtId="0" fontId="9" fillId="0" borderId="1" xfId="49" applyFont="1" applyFill="1" applyBorder="1" applyAlignment="1">
      <alignment horizontal="center" vertical="center" wrapText="1"/>
    </xf>
    <xf numFmtId="0" fontId="13" fillId="0" borderId="1" xfId="49" applyFont="1" applyFill="1" applyBorder="1" applyAlignment="1">
      <alignment horizontal="left" vertical="center" wrapText="1"/>
    </xf>
    <xf numFmtId="0" fontId="10" fillId="0" borderId="1" xfId="49" applyFont="1" applyFill="1" applyBorder="1" applyAlignment="1">
      <alignment horizontal="center" vertical="center" wrapText="1"/>
    </xf>
    <xf numFmtId="176" fontId="8" fillId="0" borderId="2" xfId="49" applyNumberFormat="1" applyFont="1" applyFill="1" applyBorder="1" applyAlignment="1">
      <alignment horizontal="center" vertical="center" wrapText="1"/>
    </xf>
    <xf numFmtId="176" fontId="8" fillId="0" borderId="8" xfId="49" applyNumberFormat="1" applyFont="1" applyFill="1" applyBorder="1" applyAlignment="1">
      <alignment horizontal="center" vertical="center" wrapText="1"/>
    </xf>
    <xf numFmtId="0" fontId="6" fillId="0" borderId="0" xfId="49" applyFont="1" applyFill="1" applyAlignment="1">
      <alignment horizontal="left" vertical="center" wrapText="1"/>
    </xf>
    <xf numFmtId="0" fontId="6" fillId="4" borderId="0" xfId="49" applyFont="1" applyFill="1" applyAlignment="1">
      <alignment horizontal="left" vertical="center" wrapText="1"/>
    </xf>
    <xf numFmtId="0" fontId="6" fillId="0" borderId="0" xfId="49" applyFont="1" applyFill="1" applyAlignment="1">
      <alignment horizontal="center" vertical="center" wrapText="1"/>
    </xf>
    <xf numFmtId="0" fontId="5" fillId="6" borderId="0" xfId="49" applyFont="1" applyFill="1" applyAlignment="1">
      <alignment horizontal="left" vertical="center"/>
    </xf>
    <xf numFmtId="0" fontId="5" fillId="4" borderId="0" xfId="49" applyFont="1" applyFill="1" applyAlignment="1">
      <alignment horizontal="left" vertical="center"/>
    </xf>
    <xf numFmtId="0" fontId="8" fillId="0" borderId="0" xfId="49" applyFont="1" applyFill="1" applyBorder="1" applyAlignment="1">
      <alignment horizontal="center" vertical="center" wrapText="1"/>
    </xf>
    <xf numFmtId="0" fontId="0" fillId="0" borderId="0" xfId="0" applyAlignment="1">
      <alignment horizont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center"/>
    </xf>
    <xf numFmtId="0" fontId="15" fillId="7" borderId="2"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6" fillId="7" borderId="2" xfId="0" applyFont="1" applyFill="1" applyBorder="1" applyAlignment="1">
      <alignment horizontal="center" vertical="center"/>
    </xf>
    <xf numFmtId="0" fontId="15" fillId="7" borderId="8" xfId="0" applyFont="1" applyFill="1" applyBorder="1" applyAlignment="1">
      <alignment horizontal="center" vertical="center" wrapText="1"/>
    </xf>
    <xf numFmtId="0" fontId="16" fillId="7" borderId="8" xfId="0" applyFont="1" applyFill="1" applyBorder="1" applyAlignment="1">
      <alignment horizontal="center" vertical="center"/>
    </xf>
    <xf numFmtId="0" fontId="15" fillId="7"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0" fontId="16" fillId="7" borderId="1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color rgb="00FF0000"/>
      <color rgb="00FFC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0517505" cy="40957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2585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47215"/>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8326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851660" y="1847215"/>
          <a:ext cx="12395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191760" y="1847215"/>
          <a:ext cx="14922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6944995"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234440" y="1843405"/>
          <a:ext cx="29972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354445" y="184340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145780"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420745" y="1847215"/>
          <a:ext cx="151066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2835910" y="184340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14015"/>
          <a:ext cx="137477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0863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55600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835785" y="2914015"/>
          <a:ext cx="1306195" cy="64198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851660" y="2997835"/>
          <a:ext cx="123444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170170" y="2914015"/>
          <a:ext cx="16192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223510" y="29978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223510" y="3268980"/>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223510" y="35439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223510" y="3815715"/>
          <a:ext cx="151828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528445" y="2322195"/>
          <a:ext cx="3232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091815" y="232219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4931410"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6684645"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7950835" y="2322195"/>
          <a:ext cx="194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6705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9375775" y="1847215"/>
          <a:ext cx="100520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9151620" y="2322195"/>
          <a:ext cx="223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21030" y="1582420"/>
          <a:ext cx="539750" cy="55118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267585" y="1582420"/>
          <a:ext cx="471170" cy="55118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753735" y="1582420"/>
          <a:ext cx="471170" cy="55118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859155" y="273748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468880" y="273367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5982335" y="272923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9224010" y="3816350"/>
          <a:ext cx="1268730" cy="55118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68261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03975"/>
          <a:ext cx="16617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24002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360295" y="6403975"/>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462145" y="6403975"/>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6632575" y="6403975"/>
          <a:ext cx="16668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5791835" y="640016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3693160" y="640016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345690" y="7470775"/>
          <a:ext cx="1609090"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413000" y="7565390"/>
          <a:ext cx="14795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487545" y="747077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4540885" y="7565390"/>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851660" y="687895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395414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12457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2381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8734425" y="6403975"/>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8299450" y="6878955"/>
          <a:ext cx="43434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49575" y="6139180"/>
          <a:ext cx="471170" cy="55118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027295" y="6139180"/>
          <a:ext cx="527685" cy="55118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119755" y="7290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288915"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6654800" y="7470775"/>
          <a:ext cx="163004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6707505" y="7565390"/>
          <a:ext cx="152209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7406640"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023860" y="6400165"/>
          <a:ext cx="2679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228840" y="6139180"/>
          <a:ext cx="471170" cy="55118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9224010" y="8373110"/>
          <a:ext cx="1268730" cy="55118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847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568940"/>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404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1985645" y="10568940"/>
          <a:ext cx="184594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381500" y="1056894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6562725" y="1056894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5711190" y="10564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56870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047240" y="11635740"/>
          <a:ext cx="173799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114550" y="11726545"/>
          <a:ext cx="159385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374515" y="11635740"/>
          <a:ext cx="166243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427855" y="11726545"/>
          <a:ext cx="155448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459230" y="11043920"/>
          <a:ext cx="5264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3832225" y="11043920"/>
          <a:ext cx="5492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044565" y="11043920"/>
          <a:ext cx="518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288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8664575" y="10568940"/>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8157210" y="11043920"/>
          <a:ext cx="50736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706370" y="10300335"/>
          <a:ext cx="471170" cy="55118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0300335"/>
          <a:ext cx="539750" cy="55118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2955290" y="11455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198110"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114550" y="12272010"/>
          <a:ext cx="15938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427855" y="12272010"/>
          <a:ext cx="155448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6574155" y="1163574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6627495" y="11726545"/>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7375525"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6627495" y="12272010"/>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790194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7400" y="10300335"/>
          <a:ext cx="471170" cy="55118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9154795" y="12538075"/>
          <a:ext cx="1286510" cy="55118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053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611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273300" y="14775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6456045" y="14775180"/>
          <a:ext cx="16713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358640"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783080"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3867785"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021070" y="15250160"/>
          <a:ext cx="434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495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8669655" y="14775180"/>
          <a:ext cx="15754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8128000" y="15250160"/>
          <a:ext cx="5416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584198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592199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24535" y="14506575"/>
          <a:ext cx="509905" cy="55118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95377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445260" y="1477073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6518275" y="1584198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6570980" y="15921990"/>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01205" y="14506575"/>
          <a:ext cx="471170" cy="55118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736346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7876540" y="14770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6570980" y="16483965"/>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9154795" y="16744315"/>
          <a:ext cx="1286510" cy="55118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26006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781746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273300"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6511925"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358640"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601720" y="1897697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285365" y="20048220"/>
          <a:ext cx="1555115" cy="13042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337435" y="201282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385310" y="2004822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438650" y="2012823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78308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3867785"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02107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70126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8641080" y="18981420"/>
          <a:ext cx="161798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105775" y="19456400"/>
          <a:ext cx="53530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36545" y="18712815"/>
          <a:ext cx="471170" cy="55118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8712815"/>
          <a:ext cx="539750" cy="55118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082290" y="1986788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198110" y="19863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337435" y="2040318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337435" y="206743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337435" y="20949920"/>
          <a:ext cx="1449705" cy="3314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5678805" y="1897697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9154795" y="20950555"/>
          <a:ext cx="1286510" cy="55118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301875" y="24836755"/>
          <a:ext cx="155765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354580" y="249205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354580" y="2519172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354580" y="254666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354580" y="25738455"/>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28269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385020"/>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29044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656272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39229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623310"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407535" y="2483675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460240" y="24920575"/>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783080" y="2424493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268180"/>
          <a:ext cx="10492740" cy="41814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69565" y="23505160"/>
          <a:ext cx="471170" cy="55118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46650" y="23505160"/>
          <a:ext cx="539750" cy="55118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086100" y="2465641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219700"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8664575" y="23769955"/>
          <a:ext cx="1646555" cy="94869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5722620" y="2376614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6592570" y="24836755"/>
          <a:ext cx="155765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6645910" y="24920575"/>
          <a:ext cx="144970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2320" y="23505160"/>
          <a:ext cx="471170" cy="55118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7404735"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7907655"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6600190" y="20882610"/>
          <a:ext cx="3810" cy="577088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7683500" y="21965285"/>
          <a:ext cx="3810" cy="360362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8753475" y="23035260"/>
          <a:ext cx="3810" cy="146431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9154795" y="25775920"/>
          <a:ext cx="1286510" cy="55118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373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6930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3684905" y="28094940"/>
          <a:ext cx="13061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234440" y="28090495"/>
          <a:ext cx="260985"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494790" y="28569920"/>
          <a:ext cx="3727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4991100"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6814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8929370" y="28094940"/>
          <a:ext cx="14103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8555990" y="28569920"/>
          <a:ext cx="3727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17220" y="27826335"/>
          <a:ext cx="481965" cy="55118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241750"/>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2966021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772160" y="28981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433060" y="28094940"/>
          <a:ext cx="135636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6789420" y="2856992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1812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07550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3660140" y="29161740"/>
          <a:ext cx="13779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3703320" y="29241750"/>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398770" y="29161740"/>
          <a:ext cx="13906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3703320" y="2966021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3703320" y="3007550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1868170"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1851660" y="29161740"/>
          <a:ext cx="143129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1889760"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1889760"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322195" y="27826335"/>
          <a:ext cx="471170" cy="55118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2977515"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52603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16661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849620" y="27826335"/>
          <a:ext cx="471170" cy="55118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6483350" y="28090495"/>
          <a:ext cx="3060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07885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117340" y="27826335"/>
          <a:ext cx="471170" cy="55118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4729480"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32054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242945"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5456555" y="29241750"/>
          <a:ext cx="1332865"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5456555" y="29891355"/>
          <a:ext cx="1332865"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219315"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219315"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607300" y="27826335"/>
          <a:ext cx="471170" cy="55118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8241030" y="28090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783653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9154795" y="30064075"/>
          <a:ext cx="1286510" cy="55118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1579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301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137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2991485" y="32301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5793740" y="32301180"/>
          <a:ext cx="161290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316730" y="32296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783080"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4585335"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021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8379460" y="32301180"/>
          <a:ext cx="186563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7406640" y="32776160"/>
          <a:ext cx="97218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595370" y="32032575"/>
          <a:ext cx="471170" cy="55118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09690" y="32032575"/>
          <a:ext cx="471170" cy="55118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131050" y="32296735"/>
          <a:ext cx="27559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008630" y="33367980"/>
          <a:ext cx="15938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061970" y="33447990"/>
          <a:ext cx="147066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061970" y="34097595"/>
          <a:ext cx="147066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379349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5796280" y="33367980"/>
          <a:ext cx="161036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5849620" y="33447990"/>
          <a:ext cx="153924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5849620" y="34097595"/>
          <a:ext cx="153924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664972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9154795" y="34270315"/>
          <a:ext cx="1286510" cy="55118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10&#39118;&#25511;&#30697;&#38453;-&#21592;&#24037;&#25253;&#3613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ZHUOMIANWENJIAN\&#35885;&#25935;20260427%20%20%20%20%201708\20260611&#28246;&#21335;&#30465;&#20844;&#21496;&#39118;&#38505;&#30697;&#38453;&#22521;&#35757;&#26448;&#26009;-&#26032;\1.&#39118;&#25511;&#30697;&#38453;-&#21556;6.28&#21457;\1.&#39118;&#25511;&#30697;&#38453;\&#30697;&#38453;&#39564;&#25910;\&#31532;&#19968;&#25209;&#65288;&#33258;&#24314;&#65289;\&#31532;&#19968;&#25209;&#30697;&#38453;&#21508;&#21333;&#20301;&#36739;&#20856;&#35774;&#30697;&#38453;&#30340;&#21464;&#21270;0717\&#30830;&#35748;&#30465;&#20844;&#21496;&#29256;&#26412;&#19979;&#21457;&#21508;&#35797;&#28857;&#21333;&#20301;\10&#39118;&#25511;&#30697;&#38453;-&#21592;&#24037;&#25253;&#36134;&#65288;&#36130;&#21153;&#37096;&#30465;&#20844;&#21496;&#29256;&#26412;--&#26631;&#35760;&#29256;&#26412;7.24&#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istrator\appdata\roaming\360ent\User%20Data\Default\DirectOpenDownloadCache\&#26356;&#26032;-&#8220;&#19977;&#28165;&#21333;&#8221;&#27169;&#26495;-10&#21592;&#24037;&#25253;&#36134;&#65288;&#28246;&#21335;&#20844;&#21496;-0729&#26631;&#35760;&#29256;&#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员工报账"/>
      <sheetName val="意见建议"/>
      <sheetName val="WpsReserved_CellImgList"/>
    </sheetNames>
    <sheetDataSet>
      <sheetData sheetId="0"/>
      <sheetData sheetId="1"/>
      <sheetData sheetId="2">
        <row r="4">
          <cell r="A4" t="str">
            <v>员工报账</v>
          </cell>
          <cell r="B4" t="str">
            <v>一、员工差旅</v>
          </cell>
          <cell r="C4" t="str">
            <v>资金资产安全</v>
          </cell>
          <cell r="D4" t="str">
            <v>出差申请</v>
          </cell>
          <cell r="E4" t="str">
            <v>出差事项不真实，出差无实质内容，无明确公务目的，虚列套取费用，导致资金安全风险。</v>
          </cell>
          <cell r="F4" t="str">
            <v>87.违规发放津贴补贴：存在多报差旅补贴、虚报差旅补贴等问题。</v>
          </cell>
          <cell r="G4" t="str">
            <v>1.出差申请发起</v>
          </cell>
          <cell r="H4" t="str">
            <v>出差有明确公务目的，出差时间、地点、人员与出差通知一致。</v>
          </cell>
          <cell r="I4" t="str">
            <v>员工报账业务-1.出差申请发起-控制措施01</v>
          </cell>
          <cell r="J4" t="str">
            <v>出差员工部门负责人对员工出差内容的复核，重点审查出差申请单人员、地点、事由等信息。</v>
          </cell>
        </row>
        <row r="4">
          <cell r="M4" t="str">
            <v>√</v>
          </cell>
        </row>
        <row r="4">
          <cell r="T4" t="str">
            <v>系统已建</v>
          </cell>
          <cell r="U4" t="str">
            <v>国网商旅</v>
          </cell>
          <cell r="V4" t="str">
            <v>1.出差通知、培训通知等出差缘由证明材料。</v>
          </cell>
          <cell r="W4" t="str">
            <v>各级单位-各部门-出差人员、各级单位-各部门-负责人、商旅云公司</v>
          </cell>
          <cell r="X4" t="str">
            <v>每日</v>
          </cell>
          <cell r="Y4" t="str">
            <v>全量检查</v>
          </cell>
        </row>
        <row r="4">
          <cell r="AA4" t="str">
            <v>每年</v>
          </cell>
          <cell r="AB4" t="str">
            <v>抽查</v>
          </cell>
        </row>
        <row r="4">
          <cell r="AD4" t="str">
            <v>员工差旅出差申请监督场景</v>
          </cell>
          <cell r="AE4" t="str">
            <v>每月</v>
          </cell>
          <cell r="AF4" t="str">
            <v>抽查</v>
          </cell>
        </row>
        <row r="4">
          <cell r="AH4" t="str">
            <v>是</v>
          </cell>
          <cell r="AI4" t="str">
            <v>是</v>
          </cell>
          <cell r="AJ4" t="str">
            <v>《国家电网有限公司差旅费管理办法》（国家电网企管〔2026〕101号）第四条、第二十四条</v>
          </cell>
        </row>
        <row r="5">
          <cell r="I5" t="str">
            <v>员工报账业务-1.出差申请发起-控制措施02</v>
          </cell>
          <cell r="J5" t="str">
            <v>健全“申请-预订-报销”数据联动校验规则，落实预算控制，系统自动比对出差事项与出差产生的票据的逻辑一致性。</v>
          </cell>
        </row>
        <row r="5">
          <cell r="M5" t="str">
            <v>√</v>
          </cell>
          <cell r="N5" t="str">
            <v>√</v>
          </cell>
        </row>
        <row r="5">
          <cell r="T5" t="str">
            <v>系统已建</v>
          </cell>
          <cell r="U5" t="str">
            <v>国网商旅</v>
          </cell>
          <cell r="V5" t="str">
            <v>1.出差审批单。</v>
          </cell>
          <cell r="W5" t="str">
            <v>各级单位-各部门-出差人员、商旅云公司</v>
          </cell>
          <cell r="X5" t="str">
            <v>每日</v>
          </cell>
          <cell r="Y5" t="str">
            <v>全量检查</v>
          </cell>
        </row>
        <row r="5">
          <cell r="AA5" t="str">
            <v>每年</v>
          </cell>
          <cell r="AB5" t="str">
            <v>抽查</v>
          </cell>
        </row>
        <row r="5">
          <cell r="AD5" t="str">
            <v>员工差旅出差申请监督场景</v>
          </cell>
          <cell r="AE5" t="str">
            <v>每月</v>
          </cell>
          <cell r="AF5" t="str">
            <v>抽查</v>
          </cell>
        </row>
        <row r="5">
          <cell r="AH5" t="str">
            <v>是</v>
          </cell>
          <cell r="AI5" t="str">
            <v>是</v>
          </cell>
          <cell r="AJ5" t="str">
            <v>《国家电网有限公司差旅费管理办法》（国家电网企管〔2026〕101号）第四条、第二十四条</v>
          </cell>
        </row>
        <row r="6">
          <cell r="I6" t="str">
            <v>员工报账业务-1.出差申请发起-控制措施03</v>
          </cell>
          <cell r="J6" t="str">
            <v>健全差旅费成本中心校验机制，赴异地挂职、按照规定探亲在途期间出差申请选择原单位成本中心，挂职期间出差申请选择挂职单位成本中心。</v>
          </cell>
        </row>
        <row r="6">
          <cell r="N6" t="str">
            <v>√</v>
          </cell>
        </row>
        <row r="6">
          <cell r="Q6" t="str">
            <v>√</v>
          </cell>
        </row>
        <row r="6">
          <cell r="T6" t="str">
            <v>系统已建</v>
          </cell>
          <cell r="U6" t="str">
            <v>国网商旅</v>
          </cell>
          <cell r="V6" t="str">
            <v>1.系统出差申请单校验记录等。</v>
          </cell>
          <cell r="W6" t="str">
            <v>各级单位-各部门-出差人员、商旅云公司</v>
          </cell>
          <cell r="X6" t="str">
            <v>每日</v>
          </cell>
          <cell r="Y6" t="str">
            <v>全量检查</v>
          </cell>
        </row>
        <row r="6">
          <cell r="AA6" t="str">
            <v>每年</v>
          </cell>
          <cell r="AB6" t="str">
            <v>抽查</v>
          </cell>
        </row>
        <row r="6">
          <cell r="AD6" t="str">
            <v>员工差旅出差申请监督场景</v>
          </cell>
          <cell r="AE6" t="str">
            <v>每月</v>
          </cell>
          <cell r="AF6" t="str">
            <v>抽查</v>
          </cell>
        </row>
        <row r="6">
          <cell r="AH6" t="str">
            <v>是</v>
          </cell>
          <cell r="AI6" t="str">
            <v>是</v>
          </cell>
          <cell r="AJ6" t="str">
            <v>《国家电网有限公司差旅费管理办法》（国家电网企管〔2026〕101号）第四条、第二十四条</v>
          </cell>
        </row>
        <row r="7">
          <cell r="G7" t="str">
            <v>2.出差申请审批</v>
          </cell>
          <cell r="H7" t="str">
            <v>按规定执行出差审批制度。</v>
          </cell>
          <cell r="I7" t="str">
            <v>员工报账业务-2.出差申请审批-控制措施01</v>
          </cell>
          <cell r="J7" t="str">
            <v>流程固化与防逆向控制，商旅云公司固化“审批-预订-报销”流程，严格限制并需特殊授权才能“取消审批”等逆向操作。</v>
          </cell>
        </row>
        <row r="7">
          <cell r="L7" t="str">
            <v>√</v>
          </cell>
        </row>
        <row r="7">
          <cell r="Q7" t="str">
            <v>√</v>
          </cell>
        </row>
        <row r="7">
          <cell r="T7" t="str">
            <v>系统已建</v>
          </cell>
          <cell r="U7" t="str">
            <v>国网商旅</v>
          </cell>
          <cell r="V7" t="str">
            <v>1.出差通知、培训通知等出差缘由证明材料；
2.出差审批单；
3.系统出差申请单审批轨迹。</v>
          </cell>
          <cell r="W7" t="str">
            <v>各级单位-各部门-出差人员、商旅云公司</v>
          </cell>
          <cell r="X7" t="str">
            <v>每日</v>
          </cell>
          <cell r="Y7" t="str">
            <v>全量检查</v>
          </cell>
        </row>
        <row r="7">
          <cell r="AA7" t="str">
            <v>每年</v>
          </cell>
          <cell r="AB7" t="str">
            <v>抽查</v>
          </cell>
        </row>
        <row r="7">
          <cell r="AD7" t="str">
            <v>员工差旅出差申请监督场景</v>
          </cell>
          <cell r="AE7" t="str">
            <v>每月</v>
          </cell>
          <cell r="AF7" t="str">
            <v>抽查</v>
          </cell>
        </row>
        <row r="7">
          <cell r="AH7" t="str">
            <v>是</v>
          </cell>
          <cell r="AI7" t="str">
            <v>是</v>
          </cell>
          <cell r="AJ7" t="str">
            <v>《国家电网有限公司差旅费管理办法》（国家电网企管〔2026〕101号）第二十二条</v>
          </cell>
        </row>
        <row r="8">
          <cell r="I8" t="str">
            <v>员工报账业务-2.出差申请审批-控制措施02</v>
          </cell>
          <cell r="J8" t="str">
            <v>全链条强制关联控制，系统强制将“审批单号”作为商旅预订及费用报销的唯一前提。</v>
          </cell>
        </row>
        <row r="8">
          <cell r="Q8" t="str">
            <v>√</v>
          </cell>
        </row>
        <row r="8">
          <cell r="T8" t="str">
            <v>系统已建</v>
          </cell>
          <cell r="U8" t="str">
            <v>国网商旅</v>
          </cell>
          <cell r="V8" t="str">
            <v>1.出差通知、培训通知等出差缘由证明材料；
2.出差审批单。</v>
          </cell>
          <cell r="W8" t="str">
            <v>各级单位-各部门-出差人员、商旅云公司</v>
          </cell>
          <cell r="X8" t="str">
            <v>每日</v>
          </cell>
          <cell r="Y8" t="str">
            <v>全量检查</v>
          </cell>
        </row>
        <row r="8">
          <cell r="AA8" t="str">
            <v>每年</v>
          </cell>
          <cell r="AB8" t="str">
            <v>抽查</v>
          </cell>
        </row>
        <row r="8">
          <cell r="AD8" t="str">
            <v>员工差旅出差申请监督场景</v>
          </cell>
          <cell r="AE8" t="str">
            <v>每月</v>
          </cell>
          <cell r="AF8" t="str">
            <v>抽查</v>
          </cell>
        </row>
        <row r="8">
          <cell r="AH8" t="str">
            <v>是</v>
          </cell>
          <cell r="AI8" t="str">
            <v>是</v>
          </cell>
          <cell r="AJ8" t="str">
            <v>《国家电网有限公司差旅费管理办法》（国家电网企管〔2026〕101号）第四条、第二十四条、第二十六条</v>
          </cell>
        </row>
        <row r="9">
          <cell r="I9" t="str">
            <v>员工报账业务-2.出差申请审批-控制措施03</v>
          </cell>
          <cell r="J9" t="str">
            <v>商旅云公司严禁后台“绿色通道”操作，禁止平台通过电话申请取消审批行为。</v>
          </cell>
        </row>
        <row r="9">
          <cell r="M9" t="str">
            <v>√</v>
          </cell>
        </row>
        <row r="9">
          <cell r="T9" t="str">
            <v>系统待建</v>
          </cell>
          <cell r="U9" t="str">
            <v>国网商旅</v>
          </cell>
          <cell r="V9" t="str">
            <v>1.出差通知、培训通知等出差缘由证明材料；
2.出差审批单；
3.系统出差申请单审批轨迹。</v>
          </cell>
          <cell r="W9" t="str">
            <v>各级单位-各部门-出差人员、商旅云公司</v>
          </cell>
          <cell r="X9" t="str">
            <v>每日</v>
          </cell>
          <cell r="Y9" t="str">
            <v>全量检查</v>
          </cell>
        </row>
        <row r="9">
          <cell r="AA9" t="str">
            <v>每年</v>
          </cell>
          <cell r="AB9" t="str">
            <v>抽查</v>
          </cell>
        </row>
        <row r="9">
          <cell r="AD9" t="str">
            <v>员工差旅出差申请监督场景</v>
          </cell>
          <cell r="AE9" t="str">
            <v>每月</v>
          </cell>
          <cell r="AF9" t="str">
            <v>抽查</v>
          </cell>
        </row>
        <row r="9">
          <cell r="AH9" t="str">
            <v>是</v>
          </cell>
          <cell r="AI9" t="str">
            <v>是</v>
          </cell>
          <cell r="AJ9" t="str">
            <v>《国家电网有限公司差旅费管理办法》（国家电网企管〔2026〕101号）第四条、第二十四条、第二十六条</v>
          </cell>
        </row>
        <row r="10">
          <cell r="A10" t="str">
            <v>员工报账</v>
          </cell>
          <cell r="B10" t="str">
            <v>一、员工差旅</v>
          </cell>
          <cell r="C10" t="str">
            <v>税务合规</v>
          </cell>
          <cell r="D10" t="str">
            <v>出差申请</v>
          </cell>
          <cell r="E10" t="str">
            <v>商旅平台违规取消事前审批流程，导致出现“先出差后申请”的情况，引发舞弊及合规管理风险。</v>
          </cell>
          <cell r="F10" t="str">
            <v>87.违规发放津贴补贴：存在多报差旅补贴、虚报差旅补贴等问题。</v>
          </cell>
          <cell r="G10" t="str">
            <v>3.出差申请流程控制</v>
          </cell>
          <cell r="H10" t="str">
            <v>出差申请日期早于出差日期。</v>
          </cell>
          <cell r="I10" t="str">
            <v>员工报账业务-3.出差申请流程控制-控制措施01</v>
          </cell>
          <cell r="J10" t="str">
            <v>审批要素完整性校验，系统强制校验审批单的必备要素，对缺少出差事由等关键要素的申请单不予通过。</v>
          </cell>
        </row>
        <row r="10">
          <cell r="M10" t="str">
            <v>√</v>
          </cell>
        </row>
        <row r="10">
          <cell r="T10" t="str">
            <v>系统已建</v>
          </cell>
          <cell r="U10" t="str">
            <v>国网商旅</v>
          </cell>
          <cell r="V10" t="str">
            <v>1.系统出差申请单审批轨迹；
2.系统记录的申请单提交时间和出差时间。</v>
          </cell>
          <cell r="W10" t="str">
            <v>商旅云公司</v>
          </cell>
          <cell r="X10" t="str">
            <v>每日</v>
          </cell>
          <cell r="Y10" t="str">
            <v>全量检查</v>
          </cell>
        </row>
        <row r="10">
          <cell r="AA10" t="str">
            <v>每年</v>
          </cell>
          <cell r="AB10" t="str">
            <v>抽查</v>
          </cell>
        </row>
        <row r="10">
          <cell r="AD10" t="str">
            <v>员工差旅流程配置监督场景</v>
          </cell>
          <cell r="AE10" t="str">
            <v>每月</v>
          </cell>
          <cell r="AF10" t="str">
            <v>抽查</v>
          </cell>
        </row>
        <row r="10">
          <cell r="AH10" t="str">
            <v>是</v>
          </cell>
          <cell r="AI10" t="str">
            <v>是</v>
          </cell>
          <cell r="AJ10" t="str">
            <v>《国家电网有限公司差旅费管理办法》（国家电网企管〔2026〕101号）第五条</v>
          </cell>
        </row>
        <row r="11">
          <cell r="I11" t="str">
            <v>员工报账业务-3.出差申请流程控制-控制措施02</v>
          </cell>
          <cell r="J11" t="str">
            <v>严格执行不相容控制，系统根据组织架构与授权清单自动匹配并校验审批人权限，防范越权审批</v>
          </cell>
        </row>
        <row r="11">
          <cell r="R11" t="str">
            <v>√</v>
          </cell>
        </row>
        <row r="11">
          <cell r="T11" t="str">
            <v>系统已建</v>
          </cell>
          <cell r="U11" t="str">
            <v>国网商旅</v>
          </cell>
          <cell r="V11" t="str">
            <v>1.系统记录的申请单提交时间和出差时间。</v>
          </cell>
          <cell r="W11" t="str">
            <v>商旅云公司、各级单位-各部门-出差人员、各级单位-各部门-负责人</v>
          </cell>
          <cell r="X11" t="str">
            <v>每日</v>
          </cell>
          <cell r="Y11" t="str">
            <v>全量检查</v>
          </cell>
        </row>
        <row r="11">
          <cell r="AA11" t="str">
            <v>每年</v>
          </cell>
          <cell r="AB11" t="str">
            <v>抽查</v>
          </cell>
        </row>
        <row r="11">
          <cell r="AD11" t="str">
            <v>员工差旅流程配置监督场景</v>
          </cell>
          <cell r="AE11" t="str">
            <v>每月</v>
          </cell>
          <cell r="AF11" t="str">
            <v>抽查</v>
          </cell>
        </row>
        <row r="11">
          <cell r="AH11" t="str">
            <v>是</v>
          </cell>
          <cell r="AI11" t="str">
            <v>是</v>
          </cell>
          <cell r="AJ11" t="str">
            <v>《国家电网有限公司差旅费管理办法》（国家电网企管〔2026〕101号）第五条</v>
          </cell>
        </row>
        <row r="12">
          <cell r="I12" t="str">
            <v>员工报账业务-3.出差申请流程控制-控制措施03</v>
          </cell>
          <cell r="J12" t="str">
            <v>建立定期分析、评价与问责机制，各部门对审批时效、驳回率、特批事项进行专项分析，审计部门、纪检部门等监督部门对违规审批、补批行为依规问责。</v>
          </cell>
        </row>
        <row r="12">
          <cell r="M12" t="str">
            <v>√</v>
          </cell>
        </row>
        <row r="12">
          <cell r="R12" t="str">
            <v>√</v>
          </cell>
          <cell r="S12" t="str">
            <v>√</v>
          </cell>
          <cell r="T12" t="str">
            <v>线下管控</v>
          </cell>
        </row>
        <row r="12">
          <cell r="V12" t="str">
            <v>1.系统记录的申请单提交时间和出差时间。</v>
          </cell>
          <cell r="W12" t="str">
            <v>商旅云公司</v>
          </cell>
          <cell r="X12" t="str">
            <v>每日</v>
          </cell>
          <cell r="Y12" t="str">
            <v>全量检查</v>
          </cell>
        </row>
        <row r="12">
          <cell r="AA12" t="str">
            <v>每年</v>
          </cell>
          <cell r="AB12" t="str">
            <v>抽查</v>
          </cell>
        </row>
        <row r="12">
          <cell r="AD12" t="str">
            <v>员工差旅流程配置监督场景</v>
          </cell>
          <cell r="AE12" t="str">
            <v>每月</v>
          </cell>
          <cell r="AF12" t="str">
            <v>抽查</v>
          </cell>
        </row>
        <row r="12">
          <cell r="AH12" t="str">
            <v>是</v>
          </cell>
          <cell r="AI12" t="str">
            <v>是</v>
          </cell>
          <cell r="AJ12" t="str">
            <v>《国家电网有限公司差旅费管理办法》（国家电网企管〔2026〕101号）第五条</v>
          </cell>
        </row>
        <row r="13">
          <cell r="C13" t="str">
            <v>税务合规</v>
          </cell>
          <cell r="D13" t="str">
            <v>差旅预订</v>
          </cell>
          <cell r="E13" t="str">
            <v>商旅平台酒店存在棋牌、麻将、电竞等敏感字眼，商旅平台违规上架引发合规风险。</v>
          </cell>
        </row>
        <row r="13">
          <cell r="G13" t="str">
            <v>4.酒店入驻上架控制</v>
          </cell>
          <cell r="H13" t="str">
            <v>酒店资源上架流程合规，且履行必要的审批手续。</v>
          </cell>
          <cell r="I13" t="str">
            <v>员工报账业务-4.酒店入驻上架控制-控制措施01</v>
          </cell>
          <cell r="J13" t="str">
            <v>商旅云公司强化供应商准入审核，对新签约酒店的的资质有效性、服务适配性以及风险可控性等信息进行事前审核。</v>
          </cell>
        </row>
        <row r="13">
          <cell r="O13" t="str">
            <v>√</v>
          </cell>
        </row>
        <row r="13">
          <cell r="T13" t="str">
            <v>系统待建</v>
          </cell>
          <cell r="U13" t="str">
            <v>国网商旅</v>
          </cell>
          <cell r="V13" t="str">
            <v>1.酒店资质、营业执照、房型清单。</v>
          </cell>
          <cell r="W13" t="str">
            <v>商旅云公司</v>
          </cell>
          <cell r="X13" t="str">
            <v>每日</v>
          </cell>
          <cell r="Y13" t="str">
            <v>全量检查</v>
          </cell>
        </row>
        <row r="13">
          <cell r="AA13" t="str">
            <v>每年</v>
          </cell>
          <cell r="AB13" t="str">
            <v>抽查</v>
          </cell>
        </row>
        <row r="13">
          <cell r="AD13" t="str">
            <v>员工差旅预订监督场景</v>
          </cell>
          <cell r="AE13" t="str">
            <v>每月</v>
          </cell>
          <cell r="AF13" t="str">
            <v>抽查</v>
          </cell>
        </row>
        <row r="13">
          <cell r="AH13" t="str">
            <v>是</v>
          </cell>
          <cell r="AI13" t="str">
            <v>是</v>
          </cell>
          <cell r="AJ13" t="str">
            <v>《国家电网有限公司差旅费管理办法》（国家电网企管〔2026〕101号）第五条</v>
          </cell>
        </row>
        <row r="14">
          <cell r="I14" t="str">
            <v>员工报账业务-4.酒店入驻上架控制-控制措施02</v>
          </cell>
          <cell r="J14" t="str">
            <v>商旅云公司建立并动态更新《敏感词库与酒店属性负面清单》，系统自动拦截负面清单内容并转人工复核。</v>
          </cell>
        </row>
        <row r="14">
          <cell r="O14" t="str">
            <v>√</v>
          </cell>
        </row>
        <row r="14">
          <cell r="Q14" t="str">
            <v>√</v>
          </cell>
        </row>
        <row r="14">
          <cell r="S14" t="str">
            <v>√</v>
          </cell>
          <cell r="T14" t="str">
            <v>系统待建</v>
          </cell>
          <cell r="U14" t="str">
            <v>国网商旅</v>
          </cell>
          <cell r="V14" t="str">
            <v>1.系统敏感词库与酒店属性负面清单。</v>
          </cell>
          <cell r="W14" t="str">
            <v>商旅云公司</v>
          </cell>
          <cell r="X14" t="str">
            <v>每日</v>
          </cell>
          <cell r="Y14" t="str">
            <v>全量检查</v>
          </cell>
        </row>
        <row r="14">
          <cell r="AA14" t="str">
            <v>每年</v>
          </cell>
          <cell r="AB14" t="str">
            <v>抽查</v>
          </cell>
        </row>
        <row r="14">
          <cell r="AD14" t="str">
            <v>员工差旅预订监督场景</v>
          </cell>
          <cell r="AE14" t="str">
            <v>每月</v>
          </cell>
          <cell r="AF14" t="str">
            <v>抽查</v>
          </cell>
        </row>
        <row r="14">
          <cell r="AH14" t="str">
            <v>是</v>
          </cell>
          <cell r="AI14" t="str">
            <v>是</v>
          </cell>
          <cell r="AJ14" t="str">
            <v>《国家电网有限公司差旅费管理办法》（国家电网企管〔2026〕101号）第五条</v>
          </cell>
        </row>
        <row r="15">
          <cell r="I15" t="str">
            <v>员工报账业务-4.酒店入驻上架控制-控制措施03</v>
          </cell>
          <cell r="J15" t="str">
            <v>追回违规上架酒店产生的资金浪费，并对相关负责人按规定给予处分处理。</v>
          </cell>
        </row>
        <row r="15">
          <cell r="R15" t="str">
            <v>√</v>
          </cell>
          <cell r="S15" t="str">
            <v>√</v>
          </cell>
          <cell r="T15" t="str">
            <v>线下管控</v>
          </cell>
        </row>
        <row r="15">
          <cell r="V15" t="str">
            <v>1.问责证明材料。</v>
          </cell>
          <cell r="W15" t="str">
            <v>商旅云公司</v>
          </cell>
          <cell r="X15" t="str">
            <v>每日</v>
          </cell>
          <cell r="Y15" t="str">
            <v>全量检查</v>
          </cell>
        </row>
        <row r="15">
          <cell r="AA15" t="str">
            <v>每年</v>
          </cell>
          <cell r="AB15" t="str">
            <v>抽查</v>
          </cell>
        </row>
        <row r="15">
          <cell r="AD15" t="str">
            <v>员工差旅预订监督场景</v>
          </cell>
          <cell r="AE15" t="str">
            <v>每月</v>
          </cell>
          <cell r="AF15" t="str">
            <v>抽查</v>
          </cell>
        </row>
        <row r="15">
          <cell r="AH15" t="str">
            <v>是</v>
          </cell>
          <cell r="AI15" t="str">
            <v>是</v>
          </cell>
          <cell r="AJ15" t="str">
            <v>《国家电网有限公司差旅费管理办法》（国家电网企管〔2026〕101号）第五条</v>
          </cell>
        </row>
        <row r="16">
          <cell r="C16" t="str">
            <v>资金资产安全</v>
          </cell>
          <cell r="D16" t="str">
            <v>差旅预订</v>
          </cell>
          <cell r="E16" t="str">
            <v>酒店价格虚高易引发套取资金，引发廉政风险。</v>
          </cell>
          <cell r="F16" t="str">
            <v>87.违规发放津贴补贴：存在多报差旅补贴、虚报差旅补贴等问题。</v>
          </cell>
          <cell r="G16" t="str">
            <v>5.单体酒店上架及价格定价管控</v>
          </cell>
          <cell r="H16" t="str">
            <v>商旅平台酒店资源价格真实合理。</v>
          </cell>
          <cell r="I16" t="str">
            <v>员工报账业务-5.单体酒店上架及价格定价管控-控制措施01</v>
          </cell>
          <cell r="J16" t="str">
            <v>增加单体酒店上架申请审批流程，由各单位办公室汇总审核本单位酒店需求，向商旅云公司提交上架。</v>
          </cell>
        </row>
        <row r="16">
          <cell r="L16" t="str">
            <v>√</v>
          </cell>
        </row>
        <row r="16">
          <cell r="O16" t="str">
            <v>√</v>
          </cell>
        </row>
        <row r="16">
          <cell r="T16" t="str">
            <v>系统已建</v>
          </cell>
          <cell r="U16" t="str">
            <v>国网商旅</v>
          </cell>
          <cell r="V16" t="str">
            <v>1.协议单体酒店推荐表单。</v>
          </cell>
          <cell r="W16" t="str">
            <v>商旅云公司、各级单位-办公室</v>
          </cell>
          <cell r="X16" t="str">
            <v>每日</v>
          </cell>
          <cell r="Y16" t="str">
            <v>全量检查</v>
          </cell>
        </row>
        <row r="16">
          <cell r="AA16" t="str">
            <v>每年</v>
          </cell>
          <cell r="AB16" t="str">
            <v>抽查</v>
          </cell>
        </row>
        <row r="16">
          <cell r="AD16" t="str">
            <v>员工差旅预订监督场景</v>
          </cell>
          <cell r="AE16" t="str">
            <v>每月</v>
          </cell>
          <cell r="AF16" t="str">
            <v>抽查</v>
          </cell>
        </row>
        <row r="16">
          <cell r="AH16" t="str">
            <v>是</v>
          </cell>
          <cell r="AI16" t="str">
            <v>是</v>
          </cell>
          <cell r="AJ16" t="str">
            <v>《国家电网有限公司差旅费管理办法》（国家电网企管〔2026〕101号）第五条</v>
          </cell>
        </row>
        <row r="17">
          <cell r="I17" t="str">
            <v>员工报账业务-5.单体酒店上架及价格定价管控-控制措施02</v>
          </cell>
          <cell r="J17" t="str">
            <v>商旅云公司强化协议签订管控，严格审核酒店资质，严控无理由上架，防范舞弊行为。</v>
          </cell>
        </row>
        <row r="17">
          <cell r="O17" t="str">
            <v>√</v>
          </cell>
        </row>
        <row r="17">
          <cell r="T17" t="str">
            <v>系统已建</v>
          </cell>
          <cell r="U17" t="str">
            <v>国网商旅</v>
          </cell>
          <cell r="V17" t="str">
            <v>1.酒单违规风险清单；
2.采购协议酒店清单；
3.酒店上架评审报告。 </v>
          </cell>
          <cell r="W17" t="str">
            <v>商旅云公司</v>
          </cell>
          <cell r="X17" t="str">
            <v>每日</v>
          </cell>
          <cell r="Y17" t="str">
            <v>全量检查</v>
          </cell>
        </row>
        <row r="17">
          <cell r="AA17" t="str">
            <v>每年</v>
          </cell>
          <cell r="AB17" t="str">
            <v>抽查</v>
          </cell>
        </row>
        <row r="17">
          <cell r="AD17" t="str">
            <v>员工差旅预订监督场景</v>
          </cell>
          <cell r="AE17" t="str">
            <v>每月</v>
          </cell>
          <cell r="AF17" t="str">
            <v>抽查</v>
          </cell>
        </row>
        <row r="17">
          <cell r="AH17" t="str">
            <v>是</v>
          </cell>
          <cell r="AI17" t="str">
            <v>是</v>
          </cell>
          <cell r="AJ17" t="str">
            <v>《国家电网有限公司差旅费管理办法》（国家电网企管〔2026〕101号）第五条</v>
          </cell>
        </row>
        <row r="18">
          <cell r="I18" t="str">
            <v>员工报账业务-5.单体酒店上架及价格定价管控-控制措施03</v>
          </cell>
          <cell r="J18" t="str">
            <v>加强员工行为管控，商旅云公司强化酒店订单在线监督，防范员工违规套取资金。</v>
          </cell>
        </row>
        <row r="18">
          <cell r="M18" t="str">
            <v>√</v>
          </cell>
        </row>
        <row r="18">
          <cell r="R18" t="str">
            <v>√</v>
          </cell>
        </row>
        <row r="18">
          <cell r="T18" t="str">
            <v>系统已建</v>
          </cell>
          <cell r="U18" t="str">
            <v>国网商旅</v>
          </cell>
          <cell r="V18" t="str">
            <v>1.酒店合作协议。</v>
          </cell>
          <cell r="W18" t="str">
            <v>商旅云公司</v>
          </cell>
          <cell r="X18" t="str">
            <v>每日</v>
          </cell>
          <cell r="Y18" t="str">
            <v>全量检查</v>
          </cell>
        </row>
        <row r="18">
          <cell r="AA18" t="str">
            <v>每年</v>
          </cell>
          <cell r="AB18" t="str">
            <v>抽查</v>
          </cell>
        </row>
        <row r="18">
          <cell r="AD18" t="str">
            <v>员工差旅预订监督场景</v>
          </cell>
          <cell r="AE18" t="str">
            <v>每月</v>
          </cell>
          <cell r="AF18" t="str">
            <v>抽查</v>
          </cell>
        </row>
        <row r="18">
          <cell r="AH18" t="str">
            <v>是</v>
          </cell>
          <cell r="AI18" t="str">
            <v>是</v>
          </cell>
          <cell r="AJ18" t="str">
            <v>《国家电网有限公司差旅费管理办法》（国家电网企管〔2026〕101号）第五条</v>
          </cell>
        </row>
        <row r="19">
          <cell r="A19" t="str">
            <v>员工报账</v>
          </cell>
          <cell r="B19" t="str">
            <v>一、员工差旅</v>
          </cell>
          <cell r="C19" t="str">
            <v>资金资产安全</v>
          </cell>
          <cell r="D19" t="str">
            <v>差旅预订</v>
          </cell>
          <cell r="E19" t="str">
            <v>酒店价格虚高易引发套取资金，引发廉政风险。</v>
          </cell>
          <cell r="F19" t="str">
            <v>87.违规发放津贴补贴：存在多报差旅补贴、虚报差旅补贴等问题。</v>
          </cell>
          <cell r="G19" t="str">
            <v>5.单体酒店上架及价格定价管控</v>
          </cell>
          <cell r="H19" t="str">
            <v>商旅平台酒店资源价格真实合理。</v>
          </cell>
          <cell r="I19" t="str">
            <v>员工报账业务-5.单体酒店上架及价格定价管控-控制措施04</v>
          </cell>
          <cell r="J19" t="str">
            <v>建立负面清单，及时清退违规酒店。</v>
          </cell>
        </row>
        <row r="19">
          <cell r="R19" t="str">
            <v>√</v>
          </cell>
          <cell r="S19" t="str">
            <v>√</v>
          </cell>
          <cell r="T19" t="str">
            <v>线下管控</v>
          </cell>
        </row>
        <row r="19">
          <cell r="V19" t="str">
            <v>1.酒店风险识别机制；
2.员工体验反馈。</v>
          </cell>
          <cell r="W19" t="str">
            <v>商旅云公司</v>
          </cell>
          <cell r="X19" t="str">
            <v>每日</v>
          </cell>
          <cell r="Y19" t="str">
            <v>全量检查</v>
          </cell>
        </row>
        <row r="19">
          <cell r="AA19" t="str">
            <v>每年</v>
          </cell>
          <cell r="AB19" t="str">
            <v>抽查</v>
          </cell>
        </row>
        <row r="19">
          <cell r="AD19" t="str">
            <v>员工差旅预订监督场景</v>
          </cell>
          <cell r="AE19" t="str">
            <v>每月</v>
          </cell>
          <cell r="AF19" t="str">
            <v>抽查</v>
          </cell>
        </row>
        <row r="19">
          <cell r="AH19" t="str">
            <v>是</v>
          </cell>
          <cell r="AI19" t="str">
            <v>是</v>
          </cell>
          <cell r="AJ19" t="str">
            <v>《国家电网有限公司差旅费管理办法》（国家电网企管〔2026〕101号）第五条</v>
          </cell>
        </row>
        <row r="20">
          <cell r="D20" t="str">
            <v>差旅预订</v>
          </cell>
          <cell r="E20" t="str">
            <v>员工在同一时间段内重复预订酒店资源，存在套取资金风险。</v>
          </cell>
          <cell r="F20" t="str">
            <v>87.违规发放津贴补贴：存在多报差旅补贴、虚报差旅补贴等问题。</v>
          </cell>
          <cell r="G20" t="str">
            <v>6.酒店预订</v>
          </cell>
          <cell r="H20" t="str">
            <v>同一员工在同一时间段内，就同一出差行程，仅能生成一个有效住宿订单。</v>
          </cell>
          <cell r="I20" t="str">
            <v>员工报账业务-6.酒店预订-控制措施01</v>
          </cell>
          <cell r="J20" t="str">
            <v>商旅云公司完善重复订单系统校验规则，自动拦截并预警同一人员、时段重叠的酒店订单申请。</v>
          </cell>
        </row>
        <row r="20">
          <cell r="M20" t="str">
            <v>√</v>
          </cell>
        </row>
        <row r="20">
          <cell r="T20" t="str">
            <v>系统已建</v>
          </cell>
          <cell r="U20" t="str">
            <v>国网商旅</v>
          </cell>
          <cell r="V20" t="str">
            <v>1.商旅订单；
2.出差通知、培训通知等出差缘由证明材料。</v>
          </cell>
          <cell r="W20" t="str">
            <v>各级单位-各部门-出差人员、商旅云公司</v>
          </cell>
          <cell r="X20" t="str">
            <v>每日</v>
          </cell>
          <cell r="Y20" t="str">
            <v>全量检查</v>
          </cell>
        </row>
        <row r="20">
          <cell r="AA20" t="str">
            <v>每年</v>
          </cell>
          <cell r="AB20" t="str">
            <v>抽查</v>
          </cell>
        </row>
        <row r="20">
          <cell r="AD20" t="str">
            <v>员工差旅预订监督场景</v>
          </cell>
          <cell r="AE20" t="str">
            <v>每月</v>
          </cell>
          <cell r="AF20" t="str">
            <v>抽查</v>
          </cell>
        </row>
        <row r="20">
          <cell r="AH20" t="str">
            <v>是</v>
          </cell>
          <cell r="AI20" t="str">
            <v>是</v>
          </cell>
          <cell r="AJ20" t="str">
            <v>《国家电网有限公司差旅费管理办法》（国家电网企管〔2026〕101号）第二十四条</v>
          </cell>
        </row>
        <row r="21">
          <cell r="I21" t="str">
            <v>员工报账业务-6.酒店预订-控制措施02</v>
          </cell>
          <cell r="J21" t="str">
            <v>商旅云公司健全入住轨迹验证与反馈机制，自动识别入住轨迹异常情况，即时预警有关责任人。</v>
          </cell>
        </row>
        <row r="21">
          <cell r="M21" t="str">
            <v>√</v>
          </cell>
        </row>
        <row r="21">
          <cell r="S21" t="str">
            <v>√</v>
          </cell>
          <cell r="T21" t="str">
            <v>系统已建</v>
          </cell>
          <cell r="U21" t="str">
            <v>国网商旅</v>
          </cell>
          <cell r="V21" t="str">
            <v>1.系统拦截记录。</v>
          </cell>
          <cell r="W21" t="str">
            <v>各级单位-各部门-出差人员、商旅云公司</v>
          </cell>
          <cell r="X21" t="str">
            <v>每日</v>
          </cell>
          <cell r="Y21" t="str">
            <v>全量检查</v>
          </cell>
        </row>
        <row r="21">
          <cell r="AA21" t="str">
            <v>每年</v>
          </cell>
          <cell r="AB21" t="str">
            <v>抽查</v>
          </cell>
        </row>
        <row r="21">
          <cell r="AD21" t="str">
            <v>员工差旅预订监督场景</v>
          </cell>
          <cell r="AE21" t="str">
            <v>每月</v>
          </cell>
          <cell r="AF21" t="str">
            <v>抽查</v>
          </cell>
        </row>
        <row r="21">
          <cell r="AH21" t="str">
            <v>是</v>
          </cell>
          <cell r="AI21" t="str">
            <v>是</v>
          </cell>
          <cell r="AJ21" t="str">
            <v>《国家电网有限公司差旅费管理办法》（国家电网企管〔2026〕101号）第二十四条</v>
          </cell>
        </row>
        <row r="22">
          <cell r="I22" t="str">
            <v>员工报账业务-6.酒店预订-控制措施03</v>
          </cell>
          <cell r="J22" t="str">
            <v>财务部门加强出差申请与酒店订单的交叉复核，校验人员、时间、订单的合理性与唯一性。</v>
          </cell>
        </row>
        <row r="22">
          <cell r="M22" t="str">
            <v>√</v>
          </cell>
        </row>
        <row r="22">
          <cell r="T22" t="str">
            <v>系统已建</v>
          </cell>
          <cell r="U22" t="str">
            <v>国网商旅</v>
          </cell>
          <cell r="V22" t="str">
            <v>1.出差报销单；
2.入住轨迹与异常情况反馈。</v>
          </cell>
          <cell r="W22" t="str">
            <v>各级单位-各部门-出差人员、商旅云公司</v>
          </cell>
          <cell r="X22" t="str">
            <v>每日</v>
          </cell>
          <cell r="Y22" t="str">
            <v>全量检查</v>
          </cell>
        </row>
        <row r="22">
          <cell r="AA22" t="str">
            <v>每年</v>
          </cell>
          <cell r="AB22" t="str">
            <v>抽查</v>
          </cell>
        </row>
        <row r="22">
          <cell r="AD22" t="str">
            <v>员工差旅预订监督场景</v>
          </cell>
          <cell r="AE22" t="str">
            <v>每月</v>
          </cell>
          <cell r="AF22" t="str">
            <v>抽查</v>
          </cell>
        </row>
        <row r="22">
          <cell r="AH22" t="str">
            <v>是</v>
          </cell>
          <cell r="AI22" t="str">
            <v>是</v>
          </cell>
          <cell r="AJ22" t="str">
            <v>《国家电网有限公司差旅费管理办法》（国家电网企管〔2026〕101号）第二十四条</v>
          </cell>
        </row>
        <row r="23">
          <cell r="C23" t="str">
            <v>税务合规</v>
          </cell>
          <cell r="D23" t="str">
            <v>差旅报销</v>
          </cell>
          <cell r="E23" t="str">
            <v>擅自扩大差旅费开支范围，提高差旅费开支标准，增加差旅出行成本。</v>
          </cell>
          <cell r="F23" t="str">
            <v>87.违规发放津贴补贴：存在多报差旅补贴、虚报差旅补贴等问题。</v>
          </cell>
          <cell r="G23" t="str">
            <v>7.差旅标准执行</v>
          </cell>
          <cell r="H23" t="str">
            <v>差旅费开支标准、开支范围符合本单位差旅费标准。</v>
          </cell>
          <cell r="I23" t="str">
            <v>员工报账业务-7.差旅标准执行-控制措施01</v>
          </cell>
          <cell r="J23" t="str">
            <v>商旅云公司完善差旅费超标刚性管控功能，系统对超标申请酒店、交通工具和差旅补助进行自动隐藏。</v>
          </cell>
        </row>
        <row r="23">
          <cell r="M23" t="str">
            <v>√</v>
          </cell>
        </row>
        <row r="23">
          <cell r="R23" t="str">
            <v>√</v>
          </cell>
        </row>
        <row r="23">
          <cell r="T23" t="str">
            <v>系统已建</v>
          </cell>
          <cell r="U23" t="str">
            <v>国网商旅</v>
          </cell>
          <cell r="V23" t="str">
            <v>1.差旅标准系统校验规则库；
2.出差通知、培训通知等出差缘由证明材料；
3.出差审批单；
4.出差报销单。</v>
          </cell>
          <cell r="W23" t="str">
            <v>各级单位-财务部门-预算管理人员、各级单位-各部门-出差人员、各级单位-各部门-负责人、各级单位-财务部门-成本管理人员、商旅云公司</v>
          </cell>
          <cell r="X23" t="str">
            <v>每日</v>
          </cell>
          <cell r="Y23" t="str">
            <v>全量检查</v>
          </cell>
        </row>
        <row r="23">
          <cell r="AA23" t="str">
            <v>每年</v>
          </cell>
          <cell r="AB23" t="str">
            <v>抽查</v>
          </cell>
        </row>
        <row r="23">
          <cell r="AD23" t="str">
            <v>员工差旅费用标准监督场景</v>
          </cell>
          <cell r="AE23" t="str">
            <v>每月</v>
          </cell>
          <cell r="AF23" t="str">
            <v>抽查</v>
          </cell>
        </row>
        <row r="23">
          <cell r="AH23" t="str">
            <v>是</v>
          </cell>
          <cell r="AI23" t="str">
            <v>是</v>
          </cell>
          <cell r="AJ23" t="str">
            <v>《国家电网有限公司差旅费管理办法》（国家电网企管〔2026〕101号）第八条、第十一条至第十九条</v>
          </cell>
        </row>
        <row r="24">
          <cell r="I24" t="str">
            <v>员工报账业务-7.差旅标准执行-控制措施02</v>
          </cell>
          <cell r="J24" t="str">
            <v>财务部门加强出差类别与出差性质审核，重点关注评标、培训等特殊出差事项政策执行情况。</v>
          </cell>
        </row>
        <row r="24">
          <cell r="M24" t="str">
            <v>√</v>
          </cell>
        </row>
        <row r="24">
          <cell r="Q24" t="str">
            <v>√</v>
          </cell>
        </row>
        <row r="24">
          <cell r="T24" t="str">
            <v>系统已建</v>
          </cell>
          <cell r="U24" t="str">
            <v>国网商旅</v>
          </cell>
          <cell r="V24" t="str">
            <v>1.差旅标准系统校验规则库；
2.出差通知、培训通知等出差缘由证明材料；
3.出差审批单；
4.出差报销单。</v>
          </cell>
          <cell r="W24" t="str">
            <v>各级单位-财务部门-预算管理人员、各级单位-各部门-负责人、各级单位-财务部门-成本管理人员、商旅云公司</v>
          </cell>
          <cell r="X24" t="str">
            <v>每日</v>
          </cell>
          <cell r="Y24" t="str">
            <v>全量检查</v>
          </cell>
        </row>
        <row r="24">
          <cell r="AA24" t="str">
            <v>每年</v>
          </cell>
          <cell r="AB24" t="str">
            <v>抽查</v>
          </cell>
        </row>
        <row r="24">
          <cell r="AD24" t="str">
            <v>员工差旅费用标准监督场景</v>
          </cell>
          <cell r="AE24" t="str">
            <v>每月</v>
          </cell>
          <cell r="AF24" t="str">
            <v>抽查</v>
          </cell>
        </row>
        <row r="24">
          <cell r="AH24" t="str">
            <v>是</v>
          </cell>
          <cell r="AI24" t="str">
            <v>是</v>
          </cell>
          <cell r="AJ24" t="str">
            <v>《国家电网有限公司差旅费管理办法》（国家电网企管〔2026〕101号）第八条、第十一条至第十九条</v>
          </cell>
        </row>
        <row r="25">
          <cell r="I25" t="str">
            <v>员工报账业务-7.差旅标准执行-控制措施03</v>
          </cell>
          <cell r="J25" t="str">
            <v>纪检部门推动退赔与整改机制，对超标报销行为依规严肃问责。</v>
          </cell>
        </row>
        <row r="25">
          <cell r="R25" t="str">
            <v>√</v>
          </cell>
          <cell r="S25" t="str">
            <v>√</v>
          </cell>
          <cell r="T25" t="str">
            <v>线下管控</v>
          </cell>
        </row>
        <row r="25">
          <cell r="V25" t="str">
            <v>1.问责证明材料。</v>
          </cell>
          <cell r="W25" t="str">
            <v>各级单位-财务部门-预算管理人员、各级单位-各部门-出差人员、各级单位-各部门-负责人、各级单位-财务部门-成本管理人员、商旅云公司、各级单位-纪检部门-纪检管理人员</v>
          </cell>
          <cell r="X25" t="str">
            <v>每日</v>
          </cell>
          <cell r="Y25" t="str">
            <v>全量检查</v>
          </cell>
        </row>
        <row r="25">
          <cell r="AA25" t="str">
            <v>每年</v>
          </cell>
          <cell r="AB25" t="str">
            <v>抽查</v>
          </cell>
        </row>
        <row r="25">
          <cell r="AD25" t="str">
            <v>员工差旅费用标准监督场景</v>
          </cell>
          <cell r="AE25" t="str">
            <v>每月</v>
          </cell>
          <cell r="AF25" t="str">
            <v>抽查</v>
          </cell>
        </row>
        <row r="25">
          <cell r="AH25" t="str">
            <v>是</v>
          </cell>
          <cell r="AI25" t="str">
            <v>是</v>
          </cell>
          <cell r="AJ25" t="str">
            <v>《国家电网有限公司差旅费管理办法》（国家电网企管〔2026〕101号）第八条、第十一条至第十九条</v>
          </cell>
        </row>
        <row r="26">
          <cell r="A26" t="str">
            <v>员工报账</v>
          </cell>
          <cell r="B26" t="str">
            <v>一、员工差旅</v>
          </cell>
          <cell r="C26" t="str">
            <v>资金资产安全</v>
          </cell>
          <cell r="D26" t="str">
            <v>差旅报销</v>
          </cell>
          <cell r="E26" t="str">
            <v>虚报冒领差旅费，虚列套取费用，导致资金安全风险。</v>
          </cell>
          <cell r="F26" t="str">
            <v>87.违规发放津贴补贴：存在多报差旅补贴、虚报差旅补贴等问题。</v>
          </cell>
          <cell r="G26" t="str">
            <v>8.差旅报销合规性控制</v>
          </cell>
          <cell r="H26" t="str">
            <v>交通费、公杂费、住宿费等报销真实发生，差旅费报销准确。</v>
          </cell>
          <cell r="I26" t="str">
            <v>员工报账业务-8.差旅报销合规性控制-控制措施01</v>
          </cell>
          <cell r="J26" t="str">
            <v>建立业务部门费用报销前置审核机制，对机票、酒店、火车、补助等金额准确性复核。</v>
          </cell>
        </row>
        <row r="26">
          <cell r="M26" t="str">
            <v>√</v>
          </cell>
        </row>
        <row r="26">
          <cell r="Q26" t="str">
            <v>√</v>
          </cell>
          <cell r="R26" t="str">
            <v>√</v>
          </cell>
        </row>
        <row r="26">
          <cell r="T26" t="str">
            <v>系统已建</v>
          </cell>
          <cell r="U26" t="str">
            <v>国网商旅</v>
          </cell>
          <cell r="V26" t="str">
            <v>1.出差通知、培训通知等出差缘由证明材料；
2.出差审批单；
3.预订的商旅订单；
4.发票；
5.考勤记录。</v>
          </cell>
          <cell r="W26" t="str">
            <v>各级单位-各部门-出差人员、各级单位-各部门-出差报销审核人、各级单位-财务部门-成本管理人员、商旅云公司</v>
          </cell>
          <cell r="X26" t="str">
            <v>每日</v>
          </cell>
          <cell r="Y26" t="str">
            <v>全量检查</v>
          </cell>
        </row>
        <row r="26">
          <cell r="AA26" t="str">
            <v>每年</v>
          </cell>
          <cell r="AB26" t="str">
            <v>抽查</v>
          </cell>
        </row>
        <row r="26">
          <cell r="AD26" t="str">
            <v>员工差旅报销监督场景</v>
          </cell>
          <cell r="AE26" t="str">
            <v>每月</v>
          </cell>
          <cell r="AF26" t="str">
            <v>抽查</v>
          </cell>
        </row>
        <row r="26">
          <cell r="AH26" t="str">
            <v>是</v>
          </cell>
          <cell r="AI26" t="str">
            <v>是</v>
          </cell>
          <cell r="AJ26" t="str">
            <v>《国网财务部、后勤部关于进一步规范差旅伙食费和交通费收交管理有关事项的通知》第三条、第四条
《国家电网有限公司差旅费管理办法》（国家电网企管〔2026〕101号）第十二条、第十三条、第十七条、第二十四条</v>
          </cell>
        </row>
        <row r="27">
          <cell r="I27" t="str">
            <v>员工报账业务-8.差旅报销合规性控制-控制措施02</v>
          </cell>
          <cell r="J27" t="str">
            <v>商旅云公司强化时空逻辑系统校验，对“出差时间-住宿时间-车票时间”进行自动校验，拦截或预警重叠数据。</v>
          </cell>
        </row>
        <row r="27">
          <cell r="M27" t="str">
            <v>√</v>
          </cell>
        </row>
        <row r="27">
          <cell r="Q27" t="str">
            <v>√</v>
          </cell>
        </row>
        <row r="27">
          <cell r="T27" t="str">
            <v>系统已建</v>
          </cell>
          <cell r="U27" t="str">
            <v>国网商旅</v>
          </cell>
          <cell r="V27" t="str">
            <v>1.出差通知、培训通知等出差缘由证明材料；
2.出差审批单；
3.预订的商旅订单；
4.发票；
5.考勤记录。</v>
          </cell>
          <cell r="W27" t="str">
            <v>商旅云公司</v>
          </cell>
          <cell r="X27" t="str">
            <v>每日</v>
          </cell>
          <cell r="Y27" t="str">
            <v>全量检查</v>
          </cell>
        </row>
        <row r="27">
          <cell r="AA27" t="str">
            <v>每年</v>
          </cell>
          <cell r="AB27" t="str">
            <v>抽查</v>
          </cell>
        </row>
        <row r="27">
          <cell r="AD27" t="str">
            <v>员工差旅报销监督场景</v>
          </cell>
          <cell r="AE27" t="str">
            <v>每月</v>
          </cell>
          <cell r="AF27" t="str">
            <v>抽查</v>
          </cell>
        </row>
        <row r="27">
          <cell r="AH27" t="str">
            <v>是</v>
          </cell>
          <cell r="AI27" t="str">
            <v>是</v>
          </cell>
          <cell r="AJ27" t="str">
            <v>《国网财务部、后勤部关于进一步规范差旅伙食费和交通费收交管理有关事项的通知》第三条、第四条
《国家电网有限公司差旅费管理办法》（国家电网企管〔2026〕101号第十二条、第十三条、第十七条、第二十四条</v>
          </cell>
        </row>
        <row r="28">
          <cell r="I28" t="str">
            <v>员工报账业务-8.差旅报销合规性控制-控制措施03</v>
          </cell>
          <cell r="J28" t="str">
            <v>商旅云公司健全票据使用状态规则，重点筛查“未使用”的交通票据，防范员工利用废票虚报费用或重复报销。</v>
          </cell>
        </row>
        <row r="28">
          <cell r="M28" t="str">
            <v>√</v>
          </cell>
        </row>
        <row r="28">
          <cell r="R28" t="str">
            <v>√</v>
          </cell>
        </row>
        <row r="28">
          <cell r="T28" t="str">
            <v>系统已建</v>
          </cell>
          <cell r="U28" t="str">
            <v>国网商旅</v>
          </cell>
          <cell r="V28" t="str">
            <v>1.出差通知、培训通知等出差缘由证明材料；
2.出差审批单；
3.预订的商旅订单；
4.发票；
5.考勤记录。</v>
          </cell>
          <cell r="W28" t="str">
            <v>各级单位-各部门-出差人员、各级单位-各部门-出差报销审核人、各级单位-财务部门-成本管理人员、商旅云公司</v>
          </cell>
          <cell r="X28" t="str">
            <v>每日</v>
          </cell>
          <cell r="Y28" t="str">
            <v>全量检查</v>
          </cell>
        </row>
        <row r="28">
          <cell r="AA28" t="str">
            <v>每年</v>
          </cell>
          <cell r="AB28" t="str">
            <v>抽查</v>
          </cell>
        </row>
        <row r="28">
          <cell r="AD28" t="str">
            <v>员工差旅报销监督场景</v>
          </cell>
          <cell r="AE28" t="str">
            <v>每月</v>
          </cell>
          <cell r="AF28" t="str">
            <v>抽查</v>
          </cell>
        </row>
        <row r="28">
          <cell r="AH28" t="str">
            <v>是</v>
          </cell>
          <cell r="AI28" t="str">
            <v>是</v>
          </cell>
          <cell r="AJ28" t="str">
            <v>《国网财务部、后勤部关于进一步规范差旅伙食费和交通费收交管理有关事项的通知》第三条、第四条
《国家电网有限公司差旅费管理办法》（国家电网企管〔2026〕101号）第十七条、第二十四条</v>
          </cell>
        </row>
        <row r="29">
          <cell r="I29" t="str">
            <v>员工报账业务-8.差旅报销合规性控制-控制措施04</v>
          </cell>
          <cell r="J29" t="str">
            <v>财务部门加强差旅报销审核力度，对同一时段连续出差公杂费、伙食补助费进行复核，避免重复计算。</v>
          </cell>
        </row>
        <row r="29">
          <cell r="M29" t="str">
            <v>√</v>
          </cell>
        </row>
        <row r="29">
          <cell r="Q29" t="str">
            <v>√</v>
          </cell>
        </row>
        <row r="29">
          <cell r="T29" t="str">
            <v>系统已建</v>
          </cell>
          <cell r="U29" t="str">
            <v>国网商旅</v>
          </cell>
          <cell r="V29" t="str">
            <v>1.出差通知、培训通知等出差缘由证明材料；
2.出差审批单；
3.预订的商旅订单；
4.发票；
5.考勤记录。</v>
          </cell>
          <cell r="W29" t="str">
            <v>各级单位-各部门-出差人员、各级单位-各部门-出差报销审核人、各级单位-财务部门-成本管理人员、商旅云公司</v>
          </cell>
          <cell r="X29" t="str">
            <v>每日</v>
          </cell>
          <cell r="Y29" t="str">
            <v>全量检查</v>
          </cell>
        </row>
        <row r="29">
          <cell r="AA29" t="str">
            <v>每年</v>
          </cell>
          <cell r="AB29" t="str">
            <v>抽查</v>
          </cell>
        </row>
        <row r="29">
          <cell r="AD29" t="str">
            <v>员工差旅报销监督场景</v>
          </cell>
          <cell r="AE29" t="str">
            <v>每月</v>
          </cell>
          <cell r="AF29" t="str">
            <v>抽查</v>
          </cell>
        </row>
        <row r="29">
          <cell r="AH29" t="str">
            <v>是</v>
          </cell>
          <cell r="AI29" t="str">
            <v>是</v>
          </cell>
          <cell r="AJ29" t="str">
            <v>《国网财务部、后勤部关于进一步规范差旅伙食费和交通费收交管理有关事项的通知》第三条、第四条
《国家电网有限公司差旅费管理办法》（国家电网企管〔2026〕101号第十二条、第十三条、第十七条、第二十四条</v>
          </cell>
        </row>
        <row r="30">
          <cell r="A30" t="str">
            <v>员工报账</v>
          </cell>
          <cell r="B30" t="str">
            <v>一、员工差旅</v>
          </cell>
          <cell r="C30" t="str">
            <v>资金资产安全</v>
          </cell>
          <cell r="D30" t="str">
            <v>差旅报销</v>
          </cell>
          <cell r="E30" t="str">
            <v>虚报冒领差旅费，虚列套取费用，导致资金安全风险。</v>
          </cell>
          <cell r="F30" t="str">
            <v>87.违规发放津贴补贴：存在多报差旅补贴、虚报差旅补贴等问题。</v>
          </cell>
          <cell r="G30" t="str">
            <v>8.差旅报销合规性控制</v>
          </cell>
          <cell r="H30" t="str">
            <v>交通费、公杂费、住宿费等报销真实发生，差旅费报销准确。</v>
          </cell>
          <cell r="I30" t="str">
            <v>员工报账业务-8.差旅报销合规性控制-控制措施05</v>
          </cell>
          <cell r="J30" t="str">
            <v>纪检部门完善违规问责与闭环管理机制，对未缴纳伙食费用套取各类补助和虚报行为进行问责，追回资金，并纳入个人诚信记录。</v>
          </cell>
        </row>
        <row r="30">
          <cell r="M30" t="str">
            <v>√</v>
          </cell>
        </row>
        <row r="30">
          <cell r="R30" t="str">
            <v>√</v>
          </cell>
          <cell r="S30" t="str">
            <v>√</v>
          </cell>
          <cell r="T30" t="str">
            <v>线下管控</v>
          </cell>
        </row>
        <row r="30">
          <cell r="V30" t="str">
            <v>1.问责证明材料。</v>
          </cell>
          <cell r="W30" t="str">
            <v>各级单位-各部门-出差人员、各级单位-各部门-出差报销审核人、各级单位-财务部门-成本管理人员、商旅云公司、各级单位-纪检部门-纪检管理人员</v>
          </cell>
          <cell r="X30" t="str">
            <v>每日</v>
          </cell>
          <cell r="Y30" t="str">
            <v>全量检查</v>
          </cell>
        </row>
        <row r="30">
          <cell r="AA30" t="str">
            <v>每年</v>
          </cell>
          <cell r="AB30" t="str">
            <v>抽查</v>
          </cell>
        </row>
        <row r="30">
          <cell r="AD30" t="str">
            <v>员工差旅报销监督场景</v>
          </cell>
          <cell r="AE30" t="str">
            <v>每月</v>
          </cell>
          <cell r="AF30" t="str">
            <v>抽查</v>
          </cell>
        </row>
        <row r="30">
          <cell r="AH30" t="str">
            <v>是</v>
          </cell>
          <cell r="AI30" t="str">
            <v>是</v>
          </cell>
          <cell r="AJ30" t="str">
            <v>《国网财务部、后勤部关于进一步规范差旅伙食费和交通费收交管理有关事项的通知》第三条、第四条
《国家电网有限公司差旅费管理办法》（国家电网企管〔2026〕101号）第十七条、第二十四条</v>
          </cell>
        </row>
        <row r="31">
          <cell r="E31" t="str">
            <v>员工自付单据中的人员、时间与地点未在出差范围内，虚报支出，套取资金，导致公司经济利益受损。</v>
          </cell>
        </row>
        <row r="31">
          <cell r="G31" t="str">
            <v>9.自付单据审核</v>
          </cell>
          <cell r="H31" t="str">
            <v>自付单据中人员、时间、地点与出差申请单一致，自付交通费、住宿费符合差旅费标准。</v>
          </cell>
          <cell r="I31" t="str">
            <v>员工报账业务-9.自付单据审核-控制措施01</v>
          </cell>
          <cell r="J31" t="str">
            <v>商旅云公司健全“单轨控制”，系统强制关联“已完成审批单”与“线上支付订单”，并推动与税务平台直连，减少发票人工上传环节。</v>
          </cell>
        </row>
        <row r="31">
          <cell r="S31" t="str">
            <v>√</v>
          </cell>
          <cell r="T31" t="str">
            <v>系统待建</v>
          </cell>
          <cell r="U31" t="str">
            <v>国网商旅</v>
          </cell>
          <cell r="V31" t="str">
            <v>1.发票；  
2.差旅费标准；
3.出差通知、培训通知等出差缘由证明材料；
4.出差审批单；
5.出差报销单。</v>
          </cell>
          <cell r="W31" t="str">
            <v>各级单位-各部门-出差人员、商旅云公司</v>
          </cell>
          <cell r="X31" t="str">
            <v>每日</v>
          </cell>
          <cell r="Y31" t="str">
            <v>全量检查</v>
          </cell>
        </row>
        <row r="31">
          <cell r="AA31" t="str">
            <v>每年</v>
          </cell>
          <cell r="AB31" t="str">
            <v>抽查</v>
          </cell>
        </row>
        <row r="31">
          <cell r="AD31" t="str">
            <v>员工差旅报销监督场景</v>
          </cell>
          <cell r="AE31" t="str">
            <v>每月</v>
          </cell>
          <cell r="AF31" t="str">
            <v>抽查</v>
          </cell>
        </row>
        <row r="31">
          <cell r="AH31" t="str">
            <v>是</v>
          </cell>
          <cell r="AI31" t="str">
            <v>是</v>
          </cell>
          <cell r="AJ31" t="str">
            <v>《国家电网有限公司差旅费管理办法》（国家电网企管〔2026〕101号）第八条、第十一条、第二十四条</v>
          </cell>
        </row>
        <row r="32">
          <cell r="I32" t="str">
            <v>员工报账业务-9.自付单据审核-控制措施02</v>
          </cell>
          <cell r="J32" t="str">
            <v>强化线下报销验证，未实现系统“单轨控制”的单位强化事前审批，强制“行程轨迹佐证”，同时借助第三方工具“建立发票真伪与重复报销”校验机制。</v>
          </cell>
        </row>
        <row r="32">
          <cell r="M32" t="str">
            <v>√</v>
          </cell>
        </row>
        <row r="32">
          <cell r="Q32" t="str">
            <v>√</v>
          </cell>
          <cell r="R32" t="str">
            <v>√</v>
          </cell>
        </row>
        <row r="32">
          <cell r="T32" t="str">
            <v>线下管控</v>
          </cell>
        </row>
        <row r="32">
          <cell r="V32" t="str">
            <v>1.发票；  
2.差旅费标准；
3.出差通知、培训通知等出差缘由证明材料；
4.出差审批单；
5.出差报销单。</v>
          </cell>
          <cell r="W32" t="str">
            <v>各级单位-各部门-出差人员、商旅云公司</v>
          </cell>
          <cell r="X32" t="str">
            <v>每日</v>
          </cell>
          <cell r="Y32" t="str">
            <v>全量检查</v>
          </cell>
        </row>
        <row r="32">
          <cell r="AA32" t="str">
            <v>每年</v>
          </cell>
          <cell r="AB32" t="str">
            <v>抽查</v>
          </cell>
        </row>
        <row r="32">
          <cell r="AD32" t="str">
            <v>员工差旅报销监督场景</v>
          </cell>
          <cell r="AE32" t="str">
            <v>每月</v>
          </cell>
          <cell r="AF32" t="str">
            <v>抽查</v>
          </cell>
        </row>
        <row r="32">
          <cell r="AH32" t="str">
            <v>是</v>
          </cell>
          <cell r="AI32" t="str">
            <v>是</v>
          </cell>
          <cell r="AJ32" t="str">
            <v>《国家电网有限公司差旅费管理办法》（国家电网企管〔2026〕101号）第八条、第十一条、第二十四条</v>
          </cell>
        </row>
        <row r="33">
          <cell r="I33" t="str">
            <v>员工报账业务-9.自付单据审核-控制措施03</v>
          </cell>
          <cell r="J33" t="str">
            <v>财务部门规范自付单据与标准审核流程，逐一核对自付单据人员、时间、地点，并审核费用标准是否符合公司规定。</v>
          </cell>
        </row>
        <row r="33">
          <cell r="M33" t="str">
            <v>√</v>
          </cell>
        </row>
        <row r="33">
          <cell r="Q33" t="str">
            <v>√</v>
          </cell>
          <cell r="R33" t="str">
            <v>√</v>
          </cell>
        </row>
        <row r="33">
          <cell r="T33" t="str">
            <v>系统已建</v>
          </cell>
          <cell r="U33" t="str">
            <v>国网商旅</v>
          </cell>
          <cell r="V33" t="str">
            <v>1.发票；  
2.差旅费标准；
3.出差通知、培训通知等出差缘由证明材料；
4.出差审批单；
5.出差报销单。</v>
          </cell>
          <cell r="W33" t="str">
            <v>各级单位-各部门-出差人员、商旅云公司、各级单位-财务部门-成本管理人员</v>
          </cell>
          <cell r="X33" t="str">
            <v>每日</v>
          </cell>
          <cell r="Y33" t="str">
            <v>全量检查</v>
          </cell>
        </row>
        <row r="33">
          <cell r="AA33" t="str">
            <v>每年</v>
          </cell>
          <cell r="AB33" t="str">
            <v>抽查</v>
          </cell>
        </row>
        <row r="33">
          <cell r="AD33" t="str">
            <v>员工差旅报销监督场景</v>
          </cell>
          <cell r="AE33" t="str">
            <v>每月</v>
          </cell>
          <cell r="AF33" t="str">
            <v>抽查</v>
          </cell>
        </row>
        <row r="33">
          <cell r="AH33" t="str">
            <v>是</v>
          </cell>
          <cell r="AI33" t="str">
            <v>是</v>
          </cell>
          <cell r="AJ33" t="str">
            <v>《国家电网有限公司差旅费管理办法》（国家电网企管〔2026〕101号）第八条、第十一条、第二十四条</v>
          </cell>
        </row>
        <row r="34">
          <cell r="I34" t="str">
            <v>员工报账业务-9.自付单据审核-控制措施04</v>
          </cell>
          <cell r="J34" t="str">
            <v>纪检部门严肃查处违规行为，追回资金损失，严肃查处并予以通报。</v>
          </cell>
        </row>
        <row r="34">
          <cell r="M34" t="str">
            <v>√</v>
          </cell>
        </row>
        <row r="34">
          <cell r="R34" t="str">
            <v>√</v>
          </cell>
        </row>
        <row r="34">
          <cell r="T34" t="str">
            <v>线下管控</v>
          </cell>
        </row>
        <row r="34">
          <cell r="V34" t="str">
            <v>1.商旅平台数据线上预订率、电子票据抓取率。</v>
          </cell>
          <cell r="W34" t="str">
            <v>各级单位-各部门-出差人员、商旅云公司、各级单位-纪检部门-纪检管理人员</v>
          </cell>
          <cell r="X34" t="str">
            <v>每日</v>
          </cell>
          <cell r="Y34" t="str">
            <v>全量检查</v>
          </cell>
        </row>
        <row r="34">
          <cell r="AA34" t="str">
            <v>每年</v>
          </cell>
          <cell r="AB34" t="str">
            <v>抽查</v>
          </cell>
        </row>
        <row r="34">
          <cell r="AD34" t="str">
            <v>员工差旅报销监督场景</v>
          </cell>
          <cell r="AE34" t="str">
            <v>每月</v>
          </cell>
          <cell r="AF34" t="str">
            <v>抽查</v>
          </cell>
        </row>
        <row r="34">
          <cell r="AH34" t="str">
            <v>是</v>
          </cell>
          <cell r="AI34" t="str">
            <v>是</v>
          </cell>
          <cell r="AJ34" t="str">
            <v>《国家电网有限公司差旅费管理办法》（国家电网企管〔2026〕101号）第八条、第十一条、第二十四条</v>
          </cell>
        </row>
        <row r="35">
          <cell r="A35" t="str">
            <v>员工报账</v>
          </cell>
          <cell r="B35" t="str">
            <v>一、员工差旅</v>
          </cell>
          <cell r="C35" t="str">
            <v>税务合规、资金资产安全</v>
          </cell>
          <cell r="D35" t="str">
            <v>报销申请</v>
          </cell>
          <cell r="E35" t="str">
            <v>成本费用报销事项不真实、审批流程不规范，导致成本入账科目错误、虚列成本费用、套取资金私设“小金库”。</v>
          </cell>
        </row>
        <row r="35">
          <cell r="G35" t="str">
            <v>10.报销事项合规性控制</v>
          </cell>
          <cell r="H35" t="str">
            <v>在规定列支范围内，以真实发生的事项发起报销申请，履行规范审批流程。</v>
          </cell>
          <cell r="I35" t="str">
            <v>员工报账业务-10.报销事项合规性控制-控制措施01</v>
          </cell>
          <cell r="J35" t="str">
            <v>费用报销部门履行费用报销分级授权审批流程，对报销申请事项的真实性进行人工复核，复核报销审批单、费用明细清单、发票或收据、合同或协议等附件的完整性。</v>
          </cell>
        </row>
        <row r="35">
          <cell r="L35" t="str">
            <v>√</v>
          </cell>
        </row>
        <row r="35">
          <cell r="R35" t="str">
            <v>√</v>
          </cell>
        </row>
        <row r="35">
          <cell r="T35" t="str">
            <v>线下管控</v>
          </cell>
        </row>
        <row r="35">
          <cell r="V35" t="str">
            <v>1.成本费用报销审批单；
2.费用明细清单；  
3.发票或收据；
4.合同或协议；
5.系统审批记录。</v>
          </cell>
          <cell r="W35" t="str">
            <v>各级单位-各部门-报账人员、各级单位-各部门-负责人、各级单位-财务部门-成本管理人员</v>
          </cell>
          <cell r="X35" t="str">
            <v>每季度</v>
          </cell>
          <cell r="Y35" t="str">
            <v>抽查</v>
          </cell>
        </row>
        <row r="35">
          <cell r="AA35" t="str">
            <v>每年</v>
          </cell>
          <cell r="AB35" t="str">
            <v>抽查</v>
          </cell>
        </row>
        <row r="35">
          <cell r="AD35" t="str">
            <v>报销真实性监督场景</v>
          </cell>
          <cell r="AE35" t="str">
            <v>每年</v>
          </cell>
          <cell r="AF35" t="str">
            <v>抽查</v>
          </cell>
        </row>
        <row r="35">
          <cell r="AH35" t="str">
            <v>是</v>
          </cell>
          <cell r="AI35" t="str">
            <v>是</v>
          </cell>
          <cell r="AJ35" t="str">
            <v>《国家电网有限公司会计基础管理办法》（国家电网企管〔2019〕132号）第八条、第五十四条
《关于加强中央企业资金内部控制管理有关事项的通知》（国资发监督〔2021〕19 号）第十三条</v>
          </cell>
        </row>
        <row r="36">
          <cell r="I36" t="str">
            <v>员工报账业务-10.报销事项合规性控制-控制措施02</v>
          </cell>
          <cell r="J36" t="str">
            <v>加强挂职人员费用报销成本中心校验，挂职期间费用报销申请需选择挂职单位成本中心。</v>
          </cell>
        </row>
        <row r="36">
          <cell r="Q36" t="str">
            <v>√</v>
          </cell>
        </row>
        <row r="36">
          <cell r="T36" t="str">
            <v>系统已建</v>
          </cell>
          <cell r="U36" t="str">
            <v>智慧共享财务平台</v>
          </cell>
          <cell r="V36" t="str">
            <v>1.成本费用报销审批单；
2.费用明细清单；  
3.发票或收据；
4.合同或协议；
5.系统审批记录。</v>
          </cell>
          <cell r="W36" t="str">
            <v>各级单位-各部门-报账人员、各级单位-各部门-负责人、各级单位-财务部门-成本管理人员</v>
          </cell>
          <cell r="X36" t="str">
            <v>每季度</v>
          </cell>
          <cell r="Y36" t="str">
            <v>抽查</v>
          </cell>
        </row>
        <row r="36">
          <cell r="AA36" t="str">
            <v>每年</v>
          </cell>
          <cell r="AB36" t="str">
            <v>抽查</v>
          </cell>
        </row>
        <row r="36">
          <cell r="AD36" t="str">
            <v>报销真实性监督场景</v>
          </cell>
          <cell r="AE36" t="str">
            <v>每年</v>
          </cell>
          <cell r="AF36" t="str">
            <v>抽查</v>
          </cell>
        </row>
        <row r="36">
          <cell r="AH36" t="str">
            <v>是</v>
          </cell>
          <cell r="AI36" t="str">
            <v>是</v>
          </cell>
          <cell r="AJ36" t="str">
            <v>《国家电网有限公司会计基础管理办法》（国家电网企管〔2019〕132号）第八条、第五十四条
《关于加强中央企业资金内部控制管理有关事项的通知》（国资发监督〔2021〕19 号）第十三条</v>
          </cell>
        </row>
        <row r="37">
          <cell r="I37" t="str">
            <v>员工报账业务-10.报销事项合规性控制-控制措施03</v>
          </cell>
          <cell r="J37" t="str">
            <v>财务部门对费用报销选择业务事项准确性进行复核，校验报销流程和成本中心准确性。</v>
          </cell>
        </row>
        <row r="37">
          <cell r="M37" t="str">
            <v>√</v>
          </cell>
        </row>
        <row r="37">
          <cell r="Q37" t="str">
            <v>√</v>
          </cell>
        </row>
        <row r="37">
          <cell r="T37" t="str">
            <v>系统已建</v>
          </cell>
          <cell r="U37" t="str">
            <v>智慧共享财务平台</v>
          </cell>
          <cell r="V37" t="str">
            <v>1.成本费用报销审批单；
2.费用明细清单；  
3.发票或收据；
4.合同或协议；
5.系统审批记录。</v>
          </cell>
          <cell r="W37" t="str">
            <v>各级单位-各部门-报账人员、各级单位-各部门-负责人、各级单位-财务部门-成本管理人员</v>
          </cell>
          <cell r="X37" t="str">
            <v>每季度</v>
          </cell>
          <cell r="Y37" t="str">
            <v>抽查</v>
          </cell>
        </row>
        <row r="37">
          <cell r="AA37" t="str">
            <v>每年</v>
          </cell>
          <cell r="AB37" t="str">
            <v>抽查</v>
          </cell>
        </row>
        <row r="37">
          <cell r="AD37" t="str">
            <v>报销真实性监督场景</v>
          </cell>
          <cell r="AE37" t="str">
            <v>每年</v>
          </cell>
          <cell r="AF37" t="str">
            <v>抽查</v>
          </cell>
        </row>
        <row r="37">
          <cell r="AH37" t="str">
            <v>是</v>
          </cell>
          <cell r="AI37" t="str">
            <v>是</v>
          </cell>
          <cell r="AJ37" t="str">
            <v>《国家电网有限公司会计基础管理办法》（国家电网企管〔2019〕132号）第八条、第五十四条
《关于加强中央企业资金内部控制管理有关事项的通知》（国资发监督〔2021〕19 号）第十三条</v>
          </cell>
        </row>
        <row r="38">
          <cell r="I38" t="str">
            <v>员工报账业务-10.报销事项合规性控制-控制措施04</v>
          </cell>
          <cell r="J38" t="str">
            <v>进行违规责任追究，对虚列成本费用、套取资金私设“小金库”的人员根据相关规定进行违规责任追究。</v>
          </cell>
        </row>
        <row r="38">
          <cell r="R38" t="str">
            <v>√</v>
          </cell>
        </row>
        <row r="38">
          <cell r="T38" t="str">
            <v>线下管控</v>
          </cell>
        </row>
        <row r="38">
          <cell r="V38" t="str">
            <v>1.责任追究证明材料。</v>
          </cell>
          <cell r="W38" t="str">
            <v>各级单位-各部门-报账人员、各级单位-各部门-负责人、各级单位-财务部门-成本管理人员、各级单位-纪检部门-纪检管理人员</v>
          </cell>
          <cell r="X38" t="str">
            <v>每季度</v>
          </cell>
          <cell r="Y38" t="str">
            <v>抽查</v>
          </cell>
        </row>
        <row r="38">
          <cell r="AA38" t="str">
            <v>每年</v>
          </cell>
          <cell r="AB38" t="str">
            <v>抽查</v>
          </cell>
        </row>
        <row r="38">
          <cell r="AD38" t="str">
            <v>报销真实性监督场景</v>
          </cell>
          <cell r="AE38" t="str">
            <v>每年</v>
          </cell>
          <cell r="AF38" t="str">
            <v>抽查</v>
          </cell>
        </row>
        <row r="38">
          <cell r="AH38" t="str">
            <v>是</v>
          </cell>
          <cell r="AI38" t="str">
            <v>是</v>
          </cell>
          <cell r="AJ38" t="str">
            <v>《国家电网有限公司会计基础管理办法》（国家电网企管〔2019〕132号）第八条、第五十四条
《关于加强中央企业资金内部控制管理有关事项的通知》（国资发监督〔2021〕19 号）第十三条</v>
          </cell>
        </row>
        <row r="39">
          <cell r="B39" t="str">
            <v>二、通用报账</v>
          </cell>
          <cell r="C39" t="str">
            <v>税务合规</v>
          </cell>
          <cell r="D39" t="str">
            <v>费用报销</v>
          </cell>
          <cell r="E39" t="str">
            <v>发票信息不准确、不完整，与报销业务不一致导致税务风险</v>
          </cell>
        </row>
        <row r="39">
          <cell r="G39" t="str">
            <v>11.报销发票审核</v>
          </cell>
          <cell r="H39" t="str">
            <v>报销发票真实、准确、完整</v>
          </cell>
          <cell r="I39" t="str">
            <v>员工报账业务-11.报销发票审核-控制措施01</v>
          </cell>
          <cell r="J39" t="str">
            <v>归口管理部门对报销发票、入库单、采购订单物品对应关系进行复核，确认购物清单通过税务防伪系统开具。</v>
          </cell>
        </row>
        <row r="39">
          <cell r="L39" t="str">
            <v>√</v>
          </cell>
          <cell r="M39" t="str">
            <v>√</v>
          </cell>
        </row>
        <row r="39">
          <cell r="T39" t="str">
            <v>系统已建</v>
          </cell>
          <cell r="U39" t="str">
            <v>智慧共享财务平台</v>
          </cell>
          <cell r="V39" t="str">
            <v>1.成本费用报销申请单；
2.费用明细清单；
3.发票或收据、购物清单；
4.合同或协议。</v>
          </cell>
          <cell r="W39" t="str">
            <v>各级单位-各部门-报账人员、各级单位-各部门-负责人、各级单位-财务部门-成本管理人员</v>
          </cell>
          <cell r="X39" t="str">
            <v>每季度</v>
          </cell>
          <cell r="Y39" t="str">
            <v>抽查</v>
          </cell>
        </row>
        <row r="39">
          <cell r="AA39" t="str">
            <v>每年</v>
          </cell>
          <cell r="AB39" t="str">
            <v>抽查</v>
          </cell>
        </row>
        <row r="39">
          <cell r="AD39" t="str">
            <v>发票审核管理监督场景</v>
          </cell>
          <cell r="AE39" t="str">
            <v>每年</v>
          </cell>
          <cell r="AF39" t="str">
            <v>抽查</v>
          </cell>
        </row>
        <row r="39">
          <cell r="AH39" t="str">
            <v>是</v>
          </cell>
          <cell r="AI39" t="str">
            <v>是</v>
          </cell>
          <cell r="AJ39" t="str">
            <v>国家电网企管〔2019〕132号《国家电网有限公司会计基础管理办法》第五十条</v>
          </cell>
        </row>
        <row r="40">
          <cell r="I40" t="str">
            <v>员工报账业务-11.报销发票审核-控制措施02</v>
          </cell>
          <cell r="J40" t="str">
            <v>各部门建立发票“谁提交、谁审核、谁负责”闭环管理机制,发票提交人落实发票验真责任。</v>
          </cell>
        </row>
        <row r="40">
          <cell r="M40" t="str">
            <v>√</v>
          </cell>
        </row>
        <row r="40">
          <cell r="R40" t="str">
            <v>√</v>
          </cell>
        </row>
        <row r="40">
          <cell r="T40" t="str">
            <v>系统已建</v>
          </cell>
          <cell r="U40" t="str">
            <v>智慧共享财务平台</v>
          </cell>
          <cell r="V40" t="str">
            <v>1.成本费用报销申请单；
2.费用明细清单；
3.发票或收据、购物清单；
4.合同或协议。</v>
          </cell>
          <cell r="W40" t="str">
            <v>各级单位-各部门-报账人员、各级单位-各部门-负责人</v>
          </cell>
          <cell r="X40" t="str">
            <v>每季度</v>
          </cell>
          <cell r="Y40" t="str">
            <v>抽查</v>
          </cell>
        </row>
        <row r="40">
          <cell r="AA40" t="str">
            <v>每年</v>
          </cell>
          <cell r="AB40" t="str">
            <v>抽查</v>
          </cell>
        </row>
        <row r="40">
          <cell r="AD40" t="str">
            <v>发票审核管理监督场景</v>
          </cell>
          <cell r="AE40" t="str">
            <v>每年</v>
          </cell>
          <cell r="AF40" t="str">
            <v>抽查</v>
          </cell>
        </row>
        <row r="40">
          <cell r="AH40" t="str">
            <v>是</v>
          </cell>
          <cell r="AI40" t="str">
            <v>是</v>
          </cell>
          <cell r="AJ40" t="str">
            <v>国家电网企管〔2019〕132号《国家电网有限公司会计基础管理办法》第五十条</v>
          </cell>
        </row>
        <row r="41">
          <cell r="A41" t="str">
            <v>员工报账</v>
          </cell>
          <cell r="B41" t="str">
            <v>二、通用报账</v>
          </cell>
          <cell r="C41" t="str">
            <v>税务合规</v>
          </cell>
          <cell r="D41" t="str">
            <v>费用报销</v>
          </cell>
          <cell r="E41" t="str">
            <v>发票信息不准确、不完整，与报销业务不一致导致税务风险</v>
          </cell>
        </row>
        <row r="41">
          <cell r="G41" t="str">
            <v>11.报销发票审核</v>
          </cell>
          <cell r="H41" t="str">
            <v>报销发票真实、准确、完整</v>
          </cell>
          <cell r="I41" t="str">
            <v>员工报账业务-11.报销发票审核-控制措施03</v>
          </cell>
          <cell r="J41" t="str">
            <v>发票提交人对增值税发票税率与合同条款进行复核，确认货物及应税劳务名称准确、金额及税率与合同一致，确认发票项目名称中不包含“茶叶、烟、酒水、门票、景区”等敏感字眼，确认销售方名称中不包含“会所、健身房、俱乐部、KTV、景区、洗浴中心”等敏感字眼。</v>
          </cell>
        </row>
        <row r="41">
          <cell r="O41" t="str">
            <v>√</v>
          </cell>
        </row>
        <row r="41">
          <cell r="T41" t="str">
            <v>系统已建</v>
          </cell>
          <cell r="U41" t="str">
            <v>智慧共享财务平台</v>
          </cell>
          <cell r="V41" t="str">
            <v>1.成本费用报销申请单；
2.费用明细清单；
3.发票或收据、购物清单；
4.合同或协议。</v>
          </cell>
          <cell r="W41" t="str">
            <v>各级单位-各部门-报账人员、各级单位-各部门-负责人</v>
          </cell>
          <cell r="X41" t="str">
            <v>每季度</v>
          </cell>
          <cell r="Y41" t="str">
            <v>抽查</v>
          </cell>
        </row>
        <row r="41">
          <cell r="AA41" t="str">
            <v>每年</v>
          </cell>
          <cell r="AB41" t="str">
            <v>抽查</v>
          </cell>
        </row>
        <row r="41">
          <cell r="AD41" t="str">
            <v>发票审核管理监督场景</v>
          </cell>
          <cell r="AE41" t="str">
            <v>每年</v>
          </cell>
          <cell r="AF41" t="str">
            <v>抽查</v>
          </cell>
        </row>
        <row r="41">
          <cell r="AH41" t="str">
            <v>是</v>
          </cell>
          <cell r="AI41" t="str">
            <v>是</v>
          </cell>
          <cell r="AJ41" t="str">
            <v>国家电网企管〔2019〕132号《国家电网有限公司会计基础管理办法》第五十条</v>
          </cell>
        </row>
        <row r="42">
          <cell r="I42" t="str">
            <v>员工报账业务-11.报销发票审核-控制措施04</v>
          </cell>
          <cell r="J42" t="str">
            <v>财务部门对发票开具的完整性、合规性进行复核，检查发票名目是否包含固定资产目录所列资产，福利费增值税进项税不得抵扣。</v>
          </cell>
        </row>
        <row r="42">
          <cell r="Q42" t="str">
            <v>√</v>
          </cell>
          <cell r="R42" t="str">
            <v>√</v>
          </cell>
        </row>
        <row r="42">
          <cell r="T42" t="str">
            <v>线下管控</v>
          </cell>
        </row>
        <row r="42">
          <cell r="V42" t="str">
            <v>1.成本费用报销申请单；
2.费用明细清单；
3.发票或收据、购物清单；
4.合同或协议。</v>
          </cell>
          <cell r="W42" t="str">
            <v>各级单位-各部门-报账人员、各级单位-各部门-负责人、各级单位-财务部门-成本管理人员</v>
          </cell>
          <cell r="X42" t="str">
            <v>每季度</v>
          </cell>
          <cell r="Y42" t="str">
            <v>抽查</v>
          </cell>
        </row>
        <row r="42">
          <cell r="AA42" t="str">
            <v>每年</v>
          </cell>
          <cell r="AB42" t="str">
            <v>抽查</v>
          </cell>
        </row>
        <row r="42">
          <cell r="AD42" t="str">
            <v>发票审核管理监督场景</v>
          </cell>
          <cell r="AE42" t="str">
            <v>每年</v>
          </cell>
          <cell r="AF42" t="str">
            <v>抽查</v>
          </cell>
        </row>
        <row r="42">
          <cell r="AH42" t="str">
            <v>是</v>
          </cell>
          <cell r="AI42" t="str">
            <v>是</v>
          </cell>
          <cell r="AJ42" t="str">
            <v>国家电网企管〔2019〕132号《国家电网有限公司会计基础管理办法》第五十条</v>
          </cell>
        </row>
        <row r="43">
          <cell r="I43" t="str">
            <v>员工报账业务-11.报销发票审核-控制措施05</v>
          </cell>
          <cell r="J43" t="str">
            <v>财务人员对开具虚假发票套取资金等问题进行复核。</v>
          </cell>
        </row>
        <row r="43">
          <cell r="M43" t="str">
            <v>√</v>
          </cell>
        </row>
        <row r="43">
          <cell r="Q43" t="str">
            <v>√</v>
          </cell>
        </row>
        <row r="43">
          <cell r="T43" t="str">
            <v>线下管控</v>
          </cell>
        </row>
        <row r="43">
          <cell r="V43" t="str">
            <v>1.成本费用报销申请单；
2.费用明细清单；
3.发票或收据、购物清单；
4.合同或协议。</v>
          </cell>
          <cell r="W43" t="str">
            <v>各级单位-各部门-报账人员、各级单位-各部门-负责人、各级单位-财务部门-成本管理人员</v>
          </cell>
          <cell r="X43" t="str">
            <v>每季度</v>
          </cell>
          <cell r="Y43" t="str">
            <v>抽查</v>
          </cell>
        </row>
        <row r="43">
          <cell r="AA43" t="str">
            <v>每年</v>
          </cell>
          <cell r="AB43" t="str">
            <v>抽查</v>
          </cell>
        </row>
        <row r="43">
          <cell r="AD43" t="str">
            <v>发票审核管理监督场景</v>
          </cell>
          <cell r="AE43" t="str">
            <v>每年</v>
          </cell>
          <cell r="AF43" t="str">
            <v>抽查</v>
          </cell>
        </row>
        <row r="43">
          <cell r="AH43" t="str">
            <v>是</v>
          </cell>
          <cell r="AI43" t="str">
            <v>是</v>
          </cell>
          <cell r="AJ43" t="str">
            <v>国家电网企管〔2019〕132号《国家电网有限公司会计基础管理办法》第五十条</v>
          </cell>
        </row>
        <row r="44">
          <cell r="D44" t="str">
            <v>公务接待活动</v>
          </cell>
          <cell r="E44" t="str">
            <v>未严格执行公务接待制度，虚列公务接待清单套取公务接待费用，引发资金支出及合规风险。</v>
          </cell>
        </row>
        <row r="44">
          <cell r="G44" t="str">
            <v>12.公务接待范围、执行制度、费用报销</v>
          </cell>
          <cell r="H44" t="str">
            <v>严格执行公务接待制度，确保公务接待费支出规范。</v>
          </cell>
          <cell r="I44" t="str">
            <v>员工报账业务-12.公务接待范围、执行制度、费用报销-控制措施01</v>
          </cell>
          <cell r="J44" t="str">
            <v>接待部门做好公务接待过程管控。①严格公务接待审批。按照《国家电网有限公司公务接待管理办法》要求，根据公函内容中来访对象、人数等，报相应公司（或部门）领导审批。②规范公务接待组织。承办部门公务接待要严格按照本单位贯彻落实中央八项规定实施细则有关规定执行。严控陪同人数，不得层层多人陪同等。③严格执行清单制度。按照《国家电网有限公司公务接待管理办法》要求，公务活动结束后，接待部门应当如实填写接待清单，包括接待对象的单位、姓名、职务和接待项目、时间、场所、费用等内容，经本部门负责同志审签。④规范做好报销。接待费用应当及时结算，不得用公款报销或者支付应当由个人负担的费用。禁止借公务接待名义列支其他支出等。</v>
          </cell>
        </row>
        <row r="44">
          <cell r="M44" t="str">
            <v>√</v>
          </cell>
        </row>
        <row r="44">
          <cell r="T44" t="str">
            <v>线下管控</v>
          </cell>
        </row>
        <row r="44">
          <cell r="V44" t="str">
            <v>1.派出单位公函(或通知)；
2.公务接待清单；
3.财务票据。</v>
          </cell>
          <cell r="W44" t="str">
            <v>各级单位-接待承办部门-报账人员、各级单位-接待承办部门-负责人、各级单位-接待管理部门-接待管理人员、各级单位-接待管理部门-负责人</v>
          </cell>
          <cell r="X44" t="str">
            <v>每季度</v>
          </cell>
          <cell r="Y44" t="str">
            <v>抽查</v>
          </cell>
        </row>
        <row r="44">
          <cell r="AA44" t="str">
            <v>每年</v>
          </cell>
          <cell r="AB44" t="str">
            <v>抽查</v>
          </cell>
        </row>
        <row r="44">
          <cell r="AD44" t="str">
            <v>公务接待费列支范围监督场景</v>
          </cell>
          <cell r="AE44" t="str">
            <v>每年</v>
          </cell>
          <cell r="AF44" t="str">
            <v>抽查</v>
          </cell>
        </row>
        <row r="44">
          <cell r="AH44" t="str">
            <v>是</v>
          </cell>
          <cell r="AI44" t="str">
            <v>是</v>
          </cell>
          <cell r="AJ44" t="str">
            <v>《国家电网有限公司厉行节约反对浪费实施办法》（国家电网企管〔2025〕421号）第二十四条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v>
          </cell>
        </row>
        <row r="45">
          <cell r="A45" t="str">
            <v>员工报账</v>
          </cell>
          <cell r="B45" t="str">
            <v>二、通用报账</v>
          </cell>
          <cell r="C45" t="str">
            <v>税务合规</v>
          </cell>
          <cell r="D45" t="str">
            <v>公务接待活动</v>
          </cell>
          <cell r="E45" t="str">
            <v>未严格执行公务接待制度，虚列公务接待清单套取公务接待费用，引发资金支出及合规风险。</v>
          </cell>
        </row>
        <row r="45">
          <cell r="G45" t="str">
            <v>12.公务接待范围、执行制度、费用报销</v>
          </cell>
          <cell r="H45" t="str">
            <v>严格执行公务接待制度，确保公务接待费支出规范。</v>
          </cell>
          <cell r="I45" t="str">
            <v>员工报账业务-12.公务接待范围、执行制度、费用报销-控制措施02</v>
          </cell>
          <cell r="J45" t="str">
            <v>归口管理部门做好复核。对接待部门提交的接待清单中人员、住宿安排、用车安排、费用等进行复核。</v>
          </cell>
        </row>
        <row r="45">
          <cell r="L45" t="str">
            <v>√</v>
          </cell>
        </row>
        <row r="45">
          <cell r="T45" t="str">
            <v>线下管控</v>
          </cell>
        </row>
        <row r="45">
          <cell r="V45" t="str">
            <v>1.派出单位公函(或通知)；
2.公务接待清单；
3.财务票据。</v>
          </cell>
          <cell r="W45" t="str">
            <v>各级单位-接待承办部门-报账人员、各级单位-接待承办部门-负责人、各级单位-接待管理部门-接待管理人员、各级单位-接待管理部门-负责人</v>
          </cell>
          <cell r="X45" t="str">
            <v>每季度</v>
          </cell>
          <cell r="Y45" t="str">
            <v>抽查</v>
          </cell>
        </row>
        <row r="45">
          <cell r="AA45" t="str">
            <v>每年</v>
          </cell>
          <cell r="AB45" t="str">
            <v>抽查</v>
          </cell>
        </row>
        <row r="45">
          <cell r="AD45" t="str">
            <v>公务接待费列支范围监督场景</v>
          </cell>
          <cell r="AE45" t="str">
            <v>每年</v>
          </cell>
          <cell r="AF45" t="str">
            <v>抽查</v>
          </cell>
        </row>
        <row r="45">
          <cell r="AH45" t="str">
            <v>是</v>
          </cell>
          <cell r="AI45" t="str">
            <v>是</v>
          </cell>
          <cell r="AJ45" t="str">
            <v>《国家电网有限公司厉行节约反对浪费实施办法》（国家电网企管〔2025〕421号）第二十四条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第五至十九条</v>
          </cell>
        </row>
        <row r="46">
          <cell r="I46" t="str">
            <v>员工报账业务-12.公务接待范围、执行制度、费用报销-控制措施03</v>
          </cell>
          <cell r="J46" t="str">
            <v>财务部门做好报销审核。按照财务业务流程要求，做好报销审核、检查材料完备。</v>
          </cell>
        </row>
        <row r="46">
          <cell r="Q46" t="str">
            <v>√</v>
          </cell>
          <cell r="R46" t="str">
            <v>√</v>
          </cell>
        </row>
        <row r="46">
          <cell r="T46" t="str">
            <v>线下管控</v>
          </cell>
        </row>
        <row r="46">
          <cell r="V46" t="str">
            <v>1.派出单位公函(或通知)；
2.公务接待清单；
3.财务票据。</v>
          </cell>
          <cell r="W46" t="str">
            <v>各级单位-接待承办部门-报账人员、各级单位-接待承办部门-负责人、各级单位-接待管理部门-接待管理人员、各级单位-接待管理部门-负责人、各级单位-财务部门-成本管理人员</v>
          </cell>
          <cell r="X46" t="str">
            <v>每季度</v>
          </cell>
          <cell r="Y46" t="str">
            <v>抽查</v>
          </cell>
        </row>
        <row r="46">
          <cell r="AA46" t="str">
            <v>每年</v>
          </cell>
          <cell r="AB46" t="str">
            <v>抽查</v>
          </cell>
        </row>
        <row r="46">
          <cell r="AD46" t="str">
            <v>公务接待费列支范围监督场景</v>
          </cell>
          <cell r="AE46" t="str">
            <v>每年</v>
          </cell>
          <cell r="AF46" t="str">
            <v>抽查</v>
          </cell>
        </row>
        <row r="46">
          <cell r="AH46" t="str">
            <v>是</v>
          </cell>
          <cell r="AI46" t="str">
            <v>是</v>
          </cell>
          <cell r="AJ46" t="str">
            <v>《国家电网有限公司厉行节约反对浪费实施办法》（国家电网企管〔2025〕421号）第二十四条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第五至十九条</v>
          </cell>
        </row>
        <row r="47">
          <cell r="C47" t="str">
            <v>资金资产安全</v>
          </cell>
          <cell r="D47" t="str">
            <v>公务车辆单车核算</v>
          </cell>
          <cell r="E47" t="str">
            <v>员工未严格执行公务车辆单车核算要求，通过伪造票据、虚报里程、费用金额、虚构用车场景等方式套取企业资金，导致企业成本虚增、资金流失风险。</v>
          </cell>
          <cell r="F47" t="str">
            <v>82.公务用车管控不严：存在新购置及长租公务用车未及时接入统一车辆管理平台过程监督管理；在公务用车维修等费用中虚列名目、处理其他无关费用或费用依据不足；超编超标超范围配置公务用车等问题。</v>
          </cell>
          <cell r="G47" t="str">
            <v>13.公务车辆单车核算管理</v>
          </cell>
          <cell r="H47" t="str">
            <v>严格执行公务车辆单车核算管理要求，据实报销车辆使用费。</v>
          </cell>
          <cell r="I47" t="str">
            <v>员工报账业务-13.公务车辆单车核算管理-控制措施01</v>
          </cell>
          <cell r="J47" t="str">
            <v>通过统一车辆平台进行系统控制，自动比对用车时间、目的地与车辆通行费发票时间、行程轨迹的匹配性，规避虚列费用。</v>
          </cell>
        </row>
        <row r="47">
          <cell r="M47" t="str">
            <v>√</v>
          </cell>
        </row>
        <row r="47">
          <cell r="T47" t="str">
            <v>系统待建</v>
          </cell>
          <cell r="U47" t="str">
            <v>统一车辆平台</v>
          </cell>
          <cell r="V47" t="str">
            <v>1.公务车辆管理台账；
2.车辆单车核算台账；
3.ETC通行费明细清单；
4.费用明细清单；
5.发票或收据；
6.合同或协议。</v>
          </cell>
          <cell r="W47" t="str">
            <v>各级单位-公务车辆管理部门-车辆管理人员、各级单位-公务车辆管理部门-负责人</v>
          </cell>
          <cell r="X47" t="str">
            <v>每季度</v>
          </cell>
          <cell r="Y47" t="str">
            <v>抽查</v>
          </cell>
        </row>
        <row r="47">
          <cell r="AA47" t="str">
            <v>每年</v>
          </cell>
          <cell r="AB47" t="str">
            <v>抽查</v>
          </cell>
        </row>
        <row r="47">
          <cell r="AD47" t="str">
            <v>车辆使用费监督场景</v>
          </cell>
          <cell r="AE47" t="str">
            <v>每年</v>
          </cell>
          <cell r="AF47" t="str">
            <v>抽查</v>
          </cell>
        </row>
        <row r="47">
          <cell r="AH47" t="str">
            <v>是</v>
          </cell>
          <cell r="AI47" t="str">
            <v>是</v>
          </cell>
          <cell r="AJ47" t="str">
            <v>《国家电网有限公司公务用车管理办法》（规章制度编号:国网(后勤/2)724-2025）第十一至十九条、第二十一条、第三十二条.</v>
          </cell>
        </row>
        <row r="48">
          <cell r="I48" t="str">
            <v>员工报账业务-13.公务车辆单车核算管理-控制措施02</v>
          </cell>
          <cell r="J48" t="str">
            <v>系统直联控制，通过智慧共享财务平台直联统一车辆平台对单车核算台账明细进行系统控制，严禁列支保养、维修、年检、燃油等范围外费用，增加“车辆费用类型白名单”控制，超出范围的费用类型系统自动拒绝，并推送异常报告。</v>
          </cell>
        </row>
        <row r="48">
          <cell r="N48" t="str">
            <v>√</v>
          </cell>
          <cell r="O48" t="str">
            <v>√</v>
          </cell>
        </row>
        <row r="48">
          <cell r="T48" t="str">
            <v>系统待建</v>
          </cell>
          <cell r="U48" t="str">
            <v>智慧共享财务平台</v>
          </cell>
          <cell r="V48" t="str">
            <v>1.公务车辆管理台账；
2.车辆单车核算台账；
3.ETC通行费明细清单；
4.费用明细清单；
5.发票或收据；
6.合同或协议。</v>
          </cell>
          <cell r="W48" t="str">
            <v>各级单位-公务车辆管理部门-车辆管理人员、各级单位-公务车辆管理部门-负责人</v>
          </cell>
          <cell r="X48" t="str">
            <v>每季度</v>
          </cell>
          <cell r="Y48" t="str">
            <v>抽查</v>
          </cell>
        </row>
        <row r="48">
          <cell r="AA48" t="str">
            <v>每年</v>
          </cell>
          <cell r="AB48" t="str">
            <v>抽查</v>
          </cell>
        </row>
        <row r="48">
          <cell r="AD48" t="str">
            <v>车辆使用费监督场景</v>
          </cell>
          <cell r="AE48" t="str">
            <v>每年</v>
          </cell>
          <cell r="AF48" t="str">
            <v>抽查</v>
          </cell>
        </row>
        <row r="48">
          <cell r="AH48" t="str">
            <v>是</v>
          </cell>
          <cell r="AI48" t="str">
            <v>是</v>
          </cell>
          <cell r="AJ48" t="str">
            <v>《国家电网有限公司公务用车管理办法》（规章制度编号:国网(后勤/2)724-2025）第十一至十九条、第二十一条、第三十二条.</v>
          </cell>
        </row>
        <row r="49">
          <cell r="A49" t="str">
            <v>员工报账</v>
          </cell>
          <cell r="B49" t="str">
            <v>二、通用报账</v>
          </cell>
          <cell r="C49" t="str">
            <v>资金资产安全</v>
          </cell>
          <cell r="D49" t="str">
            <v>公务车辆单车核算</v>
          </cell>
          <cell r="E49" t="str">
            <v>员工未严格执行公务车辆单车核算要求，通过伪造票据、虚报里程、费用金额、虚构用车场景等方式套取企业资金，导致企业成本虚增、资金流失风险。</v>
          </cell>
          <cell r="F49" t="str">
            <v>82.公务用车管控不严：存在新购置及长租公务用车未及时接入统一车辆管理平台过程监督管理；在公务用车维修等费用中虚列名目、处理其他无关费用或费用依据不足；超编超标超范围配置公务用车等问题。</v>
          </cell>
        </row>
        <row r="49">
          <cell r="I49" t="str">
            <v>员工报账业务-13.公务车辆单车核算管理-控制措施03</v>
          </cell>
          <cell r="J49" t="str">
            <v>未实现系统直联控制的单位应加强线下审核，车辆管理部门对单车费用明细（油费、过路费、停车费、维修费等）与用车申请单（事前提交，注明用车时间、事由、目的地）、车辆行驶里程记录（行车记录、起止日期）进行复核，严禁套取费用。</v>
          </cell>
        </row>
        <row r="49">
          <cell r="M49" t="str">
            <v>√</v>
          </cell>
        </row>
        <row r="49">
          <cell r="R49" t="str">
            <v>√</v>
          </cell>
        </row>
        <row r="49">
          <cell r="T49" t="str">
            <v>线下管控</v>
          </cell>
        </row>
        <row r="49">
          <cell r="V49" t="str">
            <v>1.公务车辆管理台账；
2.车辆单车核算台账；
3.ETC通行费明细清单；
4.费用明细清单；
5.发票或收据；
6.合同或协议。</v>
          </cell>
          <cell r="W49" t="str">
            <v>各级单位-公务车辆管理部门-车辆管理人员、各级单位-公务车辆管理部门-负责人、各级单位-财务部门-成本管理人员</v>
          </cell>
          <cell r="X49" t="str">
            <v>每季度</v>
          </cell>
          <cell r="Y49" t="str">
            <v>抽查</v>
          </cell>
        </row>
        <row r="49">
          <cell r="AA49" t="str">
            <v>每年</v>
          </cell>
          <cell r="AB49" t="str">
            <v>抽查</v>
          </cell>
        </row>
        <row r="49">
          <cell r="AD49" t="str">
            <v>车辆使用费监督场景</v>
          </cell>
          <cell r="AE49" t="str">
            <v>每年</v>
          </cell>
          <cell r="AF49" t="str">
            <v>抽查</v>
          </cell>
        </row>
        <row r="49">
          <cell r="AH49" t="str">
            <v>是</v>
          </cell>
          <cell r="AI49" t="str">
            <v>是</v>
          </cell>
          <cell r="AJ49" t="str">
            <v>《国家电网有限公司公务用车管理办法》（规章制度编号:国网(后勤/2)724-2025）第十一至十九条、第二十一条、第三十二条.</v>
          </cell>
        </row>
        <row r="50">
          <cell r="C50" t="str">
            <v>税务合规</v>
          </cell>
          <cell r="D50" t="str">
            <v>因公出国（境）管理</v>
          </cell>
          <cell r="E50" t="str">
            <v>超标准列支因公出国（境）经费，引发合规风险。</v>
          </cell>
        </row>
        <row r="50">
          <cell r="G50" t="str">
            <v>14.因公出国（境）经费使用</v>
          </cell>
          <cell r="H50" t="str">
            <v>因公出国（境）经费标准使用符合规定，在规定范围内报销。</v>
          </cell>
          <cell r="I50" t="str">
            <v>员工报账业务-14.因公出国（境）经费使用-控制措施01</v>
          </cell>
          <cell r="J50" t="str">
            <v>归口管理部门对经批准的计划申请表进行复核，确认外事服务机构的收费标准不高于同业收费平均水平，落实预算控制要求。</v>
          </cell>
        </row>
        <row r="50">
          <cell r="N50" t="str">
            <v>√</v>
          </cell>
        </row>
        <row r="50">
          <cell r="R50" t="str">
            <v>√</v>
          </cell>
        </row>
        <row r="50">
          <cell r="T50" t="str">
            <v>线下管控</v>
          </cell>
        </row>
        <row r="50">
          <cell r="V50" t="str">
            <v>1.计划申请表及年度预算；
2.住宿费和伙食费发票；
3.费用报销审批单；
4.因公出国（境）费用计划申请；
5.因公出国（境）费用结算表。</v>
          </cell>
          <cell r="W50" t="str">
            <v>各级单位-各部门-报账人员、各级单位-各部门-负责人、各级单位-因公出国（境）经费归口管理部门-负责人、各级单位-财务部门-成本管理人员</v>
          </cell>
          <cell r="X50" t="str">
            <v>每季度</v>
          </cell>
          <cell r="Y50" t="str">
            <v>抽查</v>
          </cell>
        </row>
        <row r="50">
          <cell r="AA50" t="str">
            <v>每年</v>
          </cell>
          <cell r="AB50" t="str">
            <v>抽查</v>
          </cell>
        </row>
        <row r="50">
          <cell r="AD50" t="str">
            <v>因公出国（境）经费监督场景</v>
          </cell>
          <cell r="AE50" t="str">
            <v>每年</v>
          </cell>
          <cell r="AF50" t="str">
            <v>抽查</v>
          </cell>
        </row>
        <row r="50">
          <cell r="AH50" t="str">
            <v>是</v>
          </cell>
          <cell r="AI50" t="str">
            <v>是</v>
          </cell>
          <cell r="AJ50" t="str">
            <v>《国家电网有限公司因公出国（境）经费管理办法》（国家电网企管〔2019〕715号）第八至十四条</v>
          </cell>
        </row>
        <row r="51">
          <cell r="I51" t="str">
            <v>员工报账业务-14.因公出国（境）经费使用-控制措施02</v>
          </cell>
          <cell r="J51" t="str">
            <v>归口管理部门对因公出国（境）经费列支范围进行复核，确认赠送礼品、安排宴请等均按照国务院、财政部、外交部有关规定执行。</v>
          </cell>
        </row>
        <row r="51">
          <cell r="L51" t="str">
            <v>√</v>
          </cell>
          <cell r="M51" t="str">
            <v>√</v>
          </cell>
        </row>
        <row r="51">
          <cell r="O51" t="str">
            <v>√</v>
          </cell>
        </row>
        <row r="51">
          <cell r="T51" t="str">
            <v>线下管控</v>
          </cell>
        </row>
        <row r="51">
          <cell r="V51" t="str">
            <v>1.计划申请表及年度预算；
2.住宿费和伙食费发票；
3.费用报销审批单；
4.因公出国（境）费用计划申请；
5.因公出国（境）费用结算表。</v>
          </cell>
          <cell r="W51" t="str">
            <v>各级单位-各部门-报账人员、各级单位-各部门-负责人、各级单位-因公出国（境）经费归口管理部门-负责人</v>
          </cell>
          <cell r="X51" t="str">
            <v>每季度</v>
          </cell>
          <cell r="Y51" t="str">
            <v>抽查</v>
          </cell>
        </row>
        <row r="51">
          <cell r="AA51" t="str">
            <v>每年</v>
          </cell>
          <cell r="AB51" t="str">
            <v>抽查</v>
          </cell>
        </row>
        <row r="51">
          <cell r="AD51" t="str">
            <v>因公出国（境）经费监督场景</v>
          </cell>
          <cell r="AE51" t="str">
            <v>每年</v>
          </cell>
          <cell r="AF51" t="str">
            <v>抽查</v>
          </cell>
        </row>
        <row r="51">
          <cell r="AH51" t="str">
            <v>是</v>
          </cell>
          <cell r="AI51" t="str">
            <v>是</v>
          </cell>
          <cell r="AJ51" t="str">
            <v>《国家电网有限公司因公出国（境）经费管理办法》（国家电网企管〔2019〕715号）第八至十四条</v>
          </cell>
        </row>
        <row r="52">
          <cell r="I52" t="str">
            <v>员工报账业务-14.因公出国（境）经费使用-控制措施03</v>
          </cell>
          <cell r="J52" t="str">
            <v>财务部门加强审核，按照科学预算、厉行节约的原则对因公出国（境）经费列支住宿费、伙食费、公杂费使用标准进行复核。</v>
          </cell>
        </row>
        <row r="52">
          <cell r="Q52" t="str">
            <v>√</v>
          </cell>
          <cell r="R52" t="str">
            <v>√</v>
          </cell>
        </row>
        <row r="52">
          <cell r="T52" t="str">
            <v>线下管控</v>
          </cell>
        </row>
        <row r="52">
          <cell r="V52" t="str">
            <v>1.计划申请表及年度预算；
2.住宿费和伙食费发票；
3.费用报销审批单；
4.因公出国（境）费用计划申请；
5.因公出国（境）费用结算表。</v>
          </cell>
          <cell r="W52" t="str">
            <v>各级单位-各部门-报账人员、各级单位-各部门-负责人、各级单位-因公出国（境）经费归口管理部门-负责人、各级单位-财务部门-成本管理人员</v>
          </cell>
          <cell r="X52" t="str">
            <v>每季度</v>
          </cell>
          <cell r="Y52" t="str">
            <v>抽查</v>
          </cell>
        </row>
        <row r="52">
          <cell r="AA52" t="str">
            <v>每年</v>
          </cell>
          <cell r="AB52" t="str">
            <v>抽查</v>
          </cell>
        </row>
        <row r="52">
          <cell r="AD52" t="str">
            <v>因公出国（境）经费监督场景</v>
          </cell>
          <cell r="AE52" t="str">
            <v>每年</v>
          </cell>
          <cell r="AF52" t="str">
            <v>抽查</v>
          </cell>
        </row>
        <row r="52">
          <cell r="AH52" t="str">
            <v>是</v>
          </cell>
          <cell r="AI52" t="str">
            <v>是</v>
          </cell>
          <cell r="AJ52" t="str">
            <v>《国家电网有限公司因公出国（境）经费管理办法》（国家电网企管〔2019〕715号）第八至十四条</v>
          </cell>
        </row>
        <row r="53">
          <cell r="A53" t="str">
            <v>员工报账</v>
          </cell>
          <cell r="B53" t="str">
            <v>二、通用报账</v>
          </cell>
          <cell r="C53" t="str">
            <v>资金资产安全</v>
          </cell>
          <cell r="D53" t="str">
            <v>会议费用报销（三公经费）</v>
          </cell>
          <cell r="E53" t="str">
            <v>超期、超规模、超标准组织会议，计划外会议未规范履行报批程序，会议开支金额超会议费用预算，引发资金安全及合规管理风险。</v>
          </cell>
        </row>
        <row r="53">
          <cell r="G53" t="str">
            <v>15.会议规模、费用报销</v>
          </cell>
          <cell r="H53" t="str">
            <v>合理确定会议规格，严格控制会议费预算规模。</v>
          </cell>
          <cell r="I53" t="str">
            <v>员工报账业务-15.会议规模、费用报销-控制措施01</v>
          </cell>
          <cell r="J53" t="str">
            <v>主办部门做好会议过程管控。① 做好会议筹备。按照会议类别，确定会议规模、会期、人数、会场、预算等。② 严格会议审批。按照《国家电网有限公司会议管理办法》要求，由主办部门履行内部审批流程，填写计划内会议费用申请表，提出申请，经本部门主要负责人签字。③ 规范会议组织。不得到豪华酒店、度假村和党中央、国务院明令禁止的风景名胜区召开会议，精简会务安排、严肃会议纪律。④ 规范会议报销。按照《国家电网有限公司会议管理办法》要求，会议费用报销应严格执行公司报销管理规定，由主办部门提出申请，经本部门主要负责人签字。严禁借会议名义列支或报销与会议无关的费用等。</v>
          </cell>
        </row>
        <row r="53">
          <cell r="L53" t="str">
            <v>√</v>
          </cell>
          <cell r="M53" t="str">
            <v>√</v>
          </cell>
        </row>
        <row r="53">
          <cell r="T53" t="str">
            <v>线下管控</v>
          </cell>
        </row>
        <row r="53">
          <cell r="V53" t="str">
            <v>1.年度会议计划表；
2.计划内会议费用申请表；
3.会议通知、会议议程、参会名单；
4.发票或电子结算单；
5.计划外会议审批表。</v>
          </cell>
          <cell r="W53" t="str">
            <v>各级单位-会议承办部门-报账人员、各级单位-会议承办部门-负责人、各级单位-会议管理部门-会议管理人员、各级单位-会议管理部门-负责人</v>
          </cell>
          <cell r="X53" t="str">
            <v>每季度</v>
          </cell>
          <cell r="Y53" t="str">
            <v>抽查</v>
          </cell>
        </row>
        <row r="53">
          <cell r="AA53" t="str">
            <v>每年</v>
          </cell>
          <cell r="AB53" t="str">
            <v>抽查</v>
          </cell>
        </row>
        <row r="53">
          <cell r="AD53" t="str">
            <v>会议费监督场景</v>
          </cell>
          <cell r="AE53" t="str">
            <v>每年</v>
          </cell>
          <cell r="AF53" t="str">
            <v>抽查</v>
          </cell>
        </row>
        <row r="53">
          <cell r="AH53" t="str">
            <v>是</v>
          </cell>
          <cell r="AI53" t="str">
            <v>是</v>
          </cell>
          <cell r="AJ53" t="str">
            <v>《国家电网有限公司会议管理办法》（国家电网企管〔2025〕267号）第七至十二条、第二十一至二十二条、第二十七至三十二条、第三十四至三十九条等。
《关于做好会议、接待管理相关事项报备报批工作的通知》（办值通〔2025〕55号）</v>
          </cell>
        </row>
        <row r="54">
          <cell r="I54" t="str">
            <v>员工报账业务-15.会议规模、费用报销-控制措施02</v>
          </cell>
          <cell r="J54" t="str">
            <v>归口管理部门做好复核。对主办部门提交的计划内会议费用申请表、计划外会议审批表中会议计划、时间、地点、规模、预算、标准审批等进行复核。</v>
          </cell>
        </row>
        <row r="54">
          <cell r="N54" t="str">
            <v>√</v>
          </cell>
          <cell r="O54" t="str">
            <v>√</v>
          </cell>
        </row>
        <row r="54">
          <cell r="T54" t="str">
            <v>线下管控</v>
          </cell>
        </row>
        <row r="54">
          <cell r="V54" t="str">
            <v>1.年度会议计划表；
2.计划内会议费用申请表；
3.会议通知、会议议程、参会名单；
4.发票或电子结算单；
5.计划外会议审批表。</v>
          </cell>
          <cell r="W54" t="str">
            <v>各级单位-会议承办部门-报账人员、各级单位-会议承办部门-负责人、各级单位-会议管理部门-会议管理人员、各级单位-会议管理部门-负责人</v>
          </cell>
          <cell r="X54" t="str">
            <v>每季度</v>
          </cell>
          <cell r="Y54" t="str">
            <v>抽查</v>
          </cell>
        </row>
        <row r="54">
          <cell r="AA54" t="str">
            <v>每年</v>
          </cell>
          <cell r="AB54" t="str">
            <v>抽查</v>
          </cell>
        </row>
        <row r="54">
          <cell r="AD54" t="str">
            <v>会议费监督场景</v>
          </cell>
          <cell r="AE54" t="str">
            <v>每年</v>
          </cell>
          <cell r="AF54" t="str">
            <v>抽查</v>
          </cell>
        </row>
        <row r="54">
          <cell r="AH54" t="str">
            <v>是</v>
          </cell>
          <cell r="AI54" t="str">
            <v>是</v>
          </cell>
          <cell r="AJ54" t="str">
            <v>《国家电网有限公司会议管理办法》（国家电网企管〔2025〕267号）第七至十二条、第二十一至二十二条、第二十七至三十二条、第三十四至三十九条等。
《关于做好会议、接待管理相关事项报备报批工作的通知》（办值通〔2025〕55号）</v>
          </cell>
        </row>
        <row r="55">
          <cell r="I55" t="str">
            <v>员工报账业务-15.会议规模、费用报销-控制措施03</v>
          </cell>
          <cell r="J55" t="str">
            <v>财务部门做好报销审核。按照财务业务流程要求，做好报销审核、检查材料完备。</v>
          </cell>
        </row>
        <row r="55">
          <cell r="Q55" t="str">
            <v>√</v>
          </cell>
          <cell r="R55" t="str">
            <v>√</v>
          </cell>
        </row>
        <row r="55">
          <cell r="T55" t="str">
            <v>线下管控</v>
          </cell>
        </row>
        <row r="55">
          <cell r="V55" t="str">
            <v>1.年度会议计划表；
2.计划内会议费用申请表；
3.会议通知、会议议程、参会名单；
4.发票或电子结算单；
5.计划外会议审批表。</v>
          </cell>
          <cell r="W55" t="str">
            <v>各级单位-会议承办部门-报账人员、各级单位-会议承办部门-负责人、各级单位-会议管理部门-会议管理人员、各级单位-会议管理部门-负责人、各级单位-财务部门-成本管理人员</v>
          </cell>
          <cell r="X55" t="str">
            <v>每季度</v>
          </cell>
          <cell r="Y55" t="str">
            <v>抽查</v>
          </cell>
        </row>
        <row r="55">
          <cell r="AA55" t="str">
            <v>每年</v>
          </cell>
          <cell r="AB55" t="str">
            <v>抽查</v>
          </cell>
        </row>
        <row r="55">
          <cell r="AD55" t="str">
            <v>会议费监督场景</v>
          </cell>
          <cell r="AE55" t="str">
            <v>每年</v>
          </cell>
          <cell r="AF55" t="str">
            <v>抽查</v>
          </cell>
        </row>
        <row r="55">
          <cell r="AH55" t="str">
            <v>是</v>
          </cell>
          <cell r="AI55" t="str">
            <v>是</v>
          </cell>
          <cell r="AJ55" t="str">
            <v>《国家电网有限公司会议管理办法》（国家电网企管〔2025〕267号）第七至十二条、第二十一至二十二条、第二十七至三十二条、第三十四至三十九条等。
《关于做好会议、接待管理相关事项报备报批工作的通知》（办值通〔2025〕55号）</v>
          </cell>
        </row>
        <row r="56">
          <cell r="A56" t="str">
            <v>员工报账</v>
          </cell>
          <cell r="B56" t="str">
            <v>二、通用报账</v>
          </cell>
          <cell r="C56" t="str">
            <v>资金资产安全</v>
          </cell>
          <cell r="D56" t="str">
            <v>办公费管理</v>
          </cell>
          <cell r="E56" t="str">
            <v>虚列、套取办公费，引发合规风险。</v>
          </cell>
        </row>
        <row r="56">
          <cell r="G56" t="str">
            <v>16.办公费使用</v>
          </cell>
          <cell r="H56" t="str">
            <v>办公费在规定范围内据实报销。办公费报销中的结算依据充分，完整，有效，结算依据审核轨迹完整。</v>
          </cell>
          <cell r="I56" t="str">
            <v>员工报账业务-16.办公费使用-控制措施01</v>
          </cell>
          <cell r="J56" t="str">
            <v>归口管理部门对办公费用使用范围进行复核，确保不包含党报党刊费、营销业务电费发票印制费、护肤膏、防晒霜、牙膏、工作服、多功能一体机、打印机、投影仪、礼品、食堂餐座椅等费用，禁止虚列、套取办公费行为。</v>
          </cell>
        </row>
        <row r="56">
          <cell r="L56" t="str">
            <v>√</v>
          </cell>
          <cell r="M56" t="str">
            <v>√</v>
          </cell>
        </row>
        <row r="56">
          <cell r="O56" t="str">
            <v>√</v>
          </cell>
        </row>
        <row r="56">
          <cell r="T56" t="str">
            <v>线下管控</v>
          </cell>
        </row>
        <row r="56">
          <cell r="V56" t="str">
            <v>1.成本费用报销审批单；
2.发票；
3.入库单或到货验收单；
4.购置审批表；
5.采购合同；
6.办公用品领用清单；
7.费用结算清单。</v>
          </cell>
          <cell r="W56" t="str">
            <v>各级单位-各部门-报账人员、各级单位-各部门-负责人、各级单位-办公用品管理部门-办公用品管理人员、各级单位-办公用品管理部门-负责人</v>
          </cell>
          <cell r="X56" t="str">
            <v>每季度</v>
          </cell>
          <cell r="Y56" t="str">
            <v>抽查</v>
          </cell>
        </row>
        <row r="56">
          <cell r="AA56" t="str">
            <v>每年</v>
          </cell>
          <cell r="AB56" t="str">
            <v>抽查</v>
          </cell>
        </row>
        <row r="56">
          <cell r="AD56" t="str">
            <v>办公费监督场景</v>
          </cell>
          <cell r="AE56" t="str">
            <v>每年</v>
          </cell>
          <cell r="AF56" t="str">
            <v>抽查</v>
          </cell>
        </row>
        <row r="56">
          <cell r="AH56" t="str">
            <v>是</v>
          </cell>
          <cell r="AI56" t="str">
            <v>是</v>
          </cell>
          <cell r="AJ56" t="str">
            <v>《国家电网有限公司会计基础管理办法》（国家电网企管〔2019〕132号）第五十四条</v>
          </cell>
        </row>
        <row r="57">
          <cell r="I57" t="str">
            <v>员工报账业务-16.办公费使用-控制措施02</v>
          </cell>
          <cell r="J57" t="str">
            <v>财务人员加强规范性审核，对照审批轨迹、费用结算清单、办公用品领用清单复核业务规范性。</v>
          </cell>
        </row>
        <row r="57">
          <cell r="Q57" t="str">
            <v>√</v>
          </cell>
          <cell r="R57" t="str">
            <v>√</v>
          </cell>
        </row>
        <row r="57">
          <cell r="T57" t="str">
            <v>线下管控</v>
          </cell>
        </row>
        <row r="57">
          <cell r="V57" t="str">
            <v>1.成本费用报销审批单；
2.发票；
3.入库单或到货验收单；
4.购置审批表；
5.采购合同；
6.办公用品领用清单；
7.费用结算清单。</v>
          </cell>
          <cell r="W57" t="str">
            <v>各级单位-各部门-报账人员、各级单位-各部门-负责人、各级单位-办公用品管理部门-办公用品管理人员、各级单位-办公用品管理部门-负责人、各级单位-财务部门-成本管理人员</v>
          </cell>
          <cell r="X57" t="str">
            <v>每季度</v>
          </cell>
          <cell r="Y57" t="str">
            <v>抽查</v>
          </cell>
        </row>
        <row r="57">
          <cell r="AA57" t="str">
            <v>每年</v>
          </cell>
          <cell r="AB57" t="str">
            <v>抽查</v>
          </cell>
        </row>
        <row r="57">
          <cell r="AD57" t="str">
            <v>办公费监督场景</v>
          </cell>
          <cell r="AE57" t="str">
            <v>每年</v>
          </cell>
          <cell r="AF57" t="str">
            <v>抽查</v>
          </cell>
        </row>
        <row r="57">
          <cell r="AH57" t="str">
            <v>是</v>
          </cell>
          <cell r="AI57" t="str">
            <v>是</v>
          </cell>
          <cell r="AJ57" t="str">
            <v>《国家电网有限公司会计基础管理办法》（国家电网企管〔2019〕132号）第五十四条</v>
          </cell>
        </row>
        <row r="58">
          <cell r="C58" t="str">
            <v>税务合规</v>
          </cell>
          <cell r="D58" t="str">
            <v>办公用品选购</v>
          </cell>
          <cell r="E58" t="str">
            <v>办公用品到货商品与采购清单不一致，“私下换货”，引发合规风险。</v>
          </cell>
        </row>
        <row r="58">
          <cell r="G58" t="str">
            <v>17.办公用品采购、发放</v>
          </cell>
          <cell r="H58" t="str">
            <v>办公用品采购、发放规范有序。</v>
          </cell>
          <cell r="I58" t="str">
            <v>员工报账业务-17.办公用品采购、发放-控制措施01</v>
          </cell>
          <cell r="J58" t="str">
            <v>物资部门对国网商城上架商品与物流信息一致性进行校验，规避换货舞弊行为。</v>
          </cell>
        </row>
        <row r="58">
          <cell r="O58" t="str">
            <v>√</v>
          </cell>
        </row>
        <row r="58">
          <cell r="T58" t="str">
            <v>线下管控</v>
          </cell>
        </row>
        <row r="58">
          <cell r="V58" t="str">
            <v>1.办公用品采购申请单；
2.发票；
3.入库单或货物交接单；
4.购置审批表。</v>
          </cell>
          <cell r="W58" t="str">
            <v>各级单位-办公用品管理部门-办公用品管理人员、各级单位-办公用品管理部门-负责人、各级单位-物资部门-电商采购执行与监督人员、各级单位-物资部门-负责人</v>
          </cell>
          <cell r="X58" t="str">
            <v>每季度</v>
          </cell>
          <cell r="Y58" t="str">
            <v>抽查</v>
          </cell>
        </row>
        <row r="58">
          <cell r="AA58" t="str">
            <v>每年</v>
          </cell>
          <cell r="AB58" t="str">
            <v>抽查</v>
          </cell>
        </row>
        <row r="58">
          <cell r="AD58" t="str">
            <v>办公费列支范围监督场景</v>
          </cell>
          <cell r="AE58" t="str">
            <v>每年</v>
          </cell>
          <cell r="AF58" t="str">
            <v>抽查</v>
          </cell>
        </row>
        <row r="58">
          <cell r="AH58" t="str">
            <v>是</v>
          </cell>
          <cell r="AI58" t="str">
            <v>是</v>
          </cell>
          <cell r="AJ58" t="str">
            <v>《国家电网有限公司零星物资及办公用品选购专区管理细则》（国家电网企管〔2024〕301 号）第二十八条、第二十九条</v>
          </cell>
        </row>
        <row r="59">
          <cell r="I59" t="str">
            <v>员工报账业务-17.办公用品采购、发放-控制措施02</v>
          </cell>
          <cell r="J59" t="str">
            <v>归口管理部门建立需求、审批、选购等关键角色不相容控制，实现权力分散与监督。</v>
          </cell>
        </row>
        <row r="59">
          <cell r="L59" t="str">
            <v>√</v>
          </cell>
        </row>
        <row r="59">
          <cell r="T59" t="str">
            <v>线下管控</v>
          </cell>
        </row>
        <row r="59">
          <cell r="V59" t="str">
            <v>1.办公用品采购申请单；
2.发票；
3.入库单或货物交接单；
4.购置审批表。</v>
          </cell>
          <cell r="W59" t="str">
            <v>各级单位-办公用品管理部门-办公用品管理人员、各级单位-办公用品管理部门-负责人、各级单位-物资部门-电商采购执行与监督人员、各级单位-物资部门-负责人</v>
          </cell>
          <cell r="X59" t="str">
            <v>每季度</v>
          </cell>
          <cell r="Y59" t="str">
            <v>抽查</v>
          </cell>
        </row>
        <row r="59">
          <cell r="AA59" t="str">
            <v>每年</v>
          </cell>
          <cell r="AB59" t="str">
            <v>抽查</v>
          </cell>
        </row>
        <row r="59">
          <cell r="AD59" t="str">
            <v>办公费列支范围监督场景</v>
          </cell>
          <cell r="AE59" t="str">
            <v>每年</v>
          </cell>
          <cell r="AF59" t="str">
            <v>抽查</v>
          </cell>
        </row>
        <row r="59">
          <cell r="AH59" t="str">
            <v>是</v>
          </cell>
          <cell r="AI59" t="str">
            <v>是</v>
          </cell>
          <cell r="AJ59" t="str">
            <v>《国家电网有限公司零星物资及办公用品选购专区管理细则》（国家电网企管〔2024〕301 号）第二十八条、第二十九条</v>
          </cell>
        </row>
        <row r="60">
          <cell r="I60" t="str">
            <v>员工报账业务-17.办公用品采购、发放-控制措施03</v>
          </cell>
          <cell r="J60" t="str">
            <v>物资部门建立办公用品由物资部门和办公用品保管人员共同验收工作机制，双方均在货物交接单据上签字确认。</v>
          </cell>
        </row>
        <row r="60">
          <cell r="O60" t="str">
            <v>√</v>
          </cell>
        </row>
        <row r="60">
          <cell r="R60" t="str">
            <v>√</v>
          </cell>
        </row>
        <row r="60">
          <cell r="T60" t="str">
            <v>线下管控</v>
          </cell>
        </row>
        <row r="60">
          <cell r="V60" t="str">
            <v>1.办公用品采购申请单；
2.发票；
3.入库单或货物交接单；
4.购置审批表。</v>
          </cell>
          <cell r="W60" t="str">
            <v>各级单位-办公用品管理部门-办公用品管理人员、各级单位-办公用品管理部门-负责人、各级单位-物资部门-电商采购执行与监督人员、各级单位-物资部门-负责人</v>
          </cell>
          <cell r="X60" t="str">
            <v>每季度</v>
          </cell>
          <cell r="Y60" t="str">
            <v>抽查</v>
          </cell>
        </row>
        <row r="60">
          <cell r="AA60" t="str">
            <v>每年</v>
          </cell>
          <cell r="AB60" t="str">
            <v>抽查</v>
          </cell>
        </row>
        <row r="60">
          <cell r="AD60" t="str">
            <v>办公费列支范围监督场景</v>
          </cell>
          <cell r="AE60" t="str">
            <v>每年</v>
          </cell>
          <cell r="AF60" t="str">
            <v>抽查</v>
          </cell>
        </row>
        <row r="60">
          <cell r="AH60" t="str">
            <v>是</v>
          </cell>
          <cell r="AI60" t="str">
            <v>是</v>
          </cell>
          <cell r="AJ60" t="str">
            <v>《国家电网有限公司零星物资及办公用品选购专区管理细则》（国家电网企管〔2024〕301 号）第二十八条、第二十九条</v>
          </cell>
        </row>
        <row r="61">
          <cell r="A61" t="str">
            <v>员工报账</v>
          </cell>
          <cell r="B61" t="str">
            <v>二、通用报账</v>
          </cell>
          <cell r="C61" t="str">
            <v>税务合规</v>
          </cell>
          <cell r="D61" t="str">
            <v>办公用品选购</v>
          </cell>
          <cell r="E61" t="str">
            <v>办公用品到货商品与采购清单不一致，“私下换货”，引发合规风险。</v>
          </cell>
        </row>
        <row r="61">
          <cell r="G61" t="str">
            <v>17.办公用品采购、发放</v>
          </cell>
          <cell r="H61" t="str">
            <v>办公用品采购、发放规范有序。</v>
          </cell>
          <cell r="I61" t="str">
            <v>员工报账业务-17.办公用品采购、发放-控制措施04</v>
          </cell>
          <cell r="J61" t="str">
            <v>办公用品管理部门确保办公用品发放规范有序。</v>
          </cell>
        </row>
        <row r="61">
          <cell r="R61" t="str">
            <v>√</v>
          </cell>
        </row>
        <row r="61">
          <cell r="T61" t="str">
            <v>线下管控</v>
          </cell>
        </row>
        <row r="61">
          <cell r="V61" t="str">
            <v>1.办公用品领用清单。</v>
          </cell>
          <cell r="W61" t="str">
            <v>各级单位-办公用品管理部门-办公用品管理人员、各级单位-办公用品管理部门-负责人</v>
          </cell>
          <cell r="X61" t="str">
            <v>每季度</v>
          </cell>
          <cell r="Y61" t="str">
            <v>抽查</v>
          </cell>
        </row>
        <row r="61">
          <cell r="AA61" t="str">
            <v>每年</v>
          </cell>
          <cell r="AB61" t="str">
            <v>抽查</v>
          </cell>
        </row>
        <row r="61">
          <cell r="AD61" t="str">
            <v>办公费列支范围监督场景</v>
          </cell>
          <cell r="AE61" t="str">
            <v>每年</v>
          </cell>
          <cell r="AF61" t="str">
            <v>抽查</v>
          </cell>
        </row>
        <row r="61">
          <cell r="AH61" t="str">
            <v>是</v>
          </cell>
          <cell r="AI61" t="str">
            <v>是</v>
          </cell>
          <cell r="AJ61" t="str">
            <v>《国家电网有限公司零星物资及办公用品选购专区管理细则》（国家电网企管〔2024〕301 号）第二十八条、第二十九条</v>
          </cell>
        </row>
        <row r="62">
          <cell r="C62" t="str">
            <v>税务合规</v>
          </cell>
          <cell r="D62" t="str">
            <v>党组织工作经费使用</v>
          </cell>
          <cell r="E62" t="str">
            <v>超范围、超标准列支党组织工作经费，导致成本不实，引发合规风险。</v>
          </cell>
        </row>
        <row r="62">
          <cell r="G62" t="str">
            <v>18.党组织工作经费报销</v>
          </cell>
          <cell r="H62" t="str">
            <v>党组织工作经费在规定范围内报销。</v>
          </cell>
          <cell r="I62" t="str">
            <v>员工报账业务-18.党组织工作经费报销-控制措施01</v>
          </cell>
          <cell r="J62" t="str">
            <v>归口管理部门对党组织工作经费清单进行复核，确保费用用于党内开支教育、宣传思想、主题实践活动及党内评选表彰等与党（团）的建设直接相关的工作和活动。</v>
          </cell>
        </row>
        <row r="62">
          <cell r="L62" t="str">
            <v>√</v>
          </cell>
        </row>
        <row r="62">
          <cell r="T62" t="str">
            <v>线下管控</v>
          </cell>
        </row>
        <row r="62">
          <cell r="V62" t="str">
            <v>1.成本费用报销审批单；
2.费用明细清单；
3.发票或收据。</v>
          </cell>
          <cell r="W62" t="str">
            <v>各级单位-各部门-报账人员、各级单位-各部门-负责人、各级单位-党建部门-负责人</v>
          </cell>
          <cell r="X62" t="str">
            <v>每季度</v>
          </cell>
          <cell r="Y62" t="str">
            <v>抽查</v>
          </cell>
        </row>
        <row r="62">
          <cell r="AA62" t="str">
            <v>每年</v>
          </cell>
          <cell r="AB62" t="str">
            <v>抽查</v>
          </cell>
        </row>
        <row r="62">
          <cell r="AD62" t="str">
            <v>党组织工作经列支范围监督场景</v>
          </cell>
          <cell r="AE62" t="str">
            <v>每年</v>
          </cell>
          <cell r="AF62" t="str">
            <v>抽查</v>
          </cell>
        </row>
        <row r="62">
          <cell r="AH62" t="str">
            <v>是</v>
          </cell>
          <cell r="AI62" t="str">
            <v>是</v>
          </cell>
          <cell r="AJ62" t="str">
            <v>《国家电网有限公司党组织工作经费管理办法（试行）》（国家电网党〔2018〕96号）第八条、第九条、第十三条、第十四条</v>
          </cell>
        </row>
        <row r="63">
          <cell r="I63" t="str">
            <v>员工报账业务-18.党组织工作经费报销-控制措施02</v>
          </cell>
          <cell r="J63" t="str">
            <v>财务部门对报销费用超范围开支情况进行校验，严禁列支豪华酒店、度假村等场所费用。</v>
          </cell>
        </row>
        <row r="63">
          <cell r="Q63" t="str">
            <v>√</v>
          </cell>
          <cell r="R63" t="str">
            <v>√</v>
          </cell>
        </row>
        <row r="63">
          <cell r="T63" t="str">
            <v>线下管控</v>
          </cell>
        </row>
        <row r="63">
          <cell r="V63" t="str">
            <v>1.成本费用报销审批单；
2.费用明细清单；
3.发票或收据。</v>
          </cell>
          <cell r="W63" t="str">
            <v>各级单位-各部门-报账人员、各级单位-各部门-负责人、各级单位-党建部门-负责人、各级单位-财务部门-成本管理人员</v>
          </cell>
          <cell r="X63" t="str">
            <v>每季度</v>
          </cell>
          <cell r="Y63" t="str">
            <v>抽查</v>
          </cell>
        </row>
        <row r="63">
          <cell r="AA63" t="str">
            <v>每年</v>
          </cell>
          <cell r="AB63" t="str">
            <v>抽查</v>
          </cell>
        </row>
        <row r="63">
          <cell r="AD63" t="str">
            <v>党组织工作经列支范围监督场景</v>
          </cell>
          <cell r="AE63" t="str">
            <v>每年</v>
          </cell>
          <cell r="AF63" t="str">
            <v>抽查</v>
          </cell>
        </row>
        <row r="63">
          <cell r="AH63" t="str">
            <v>是</v>
          </cell>
          <cell r="AI63" t="str">
            <v>是</v>
          </cell>
          <cell r="AJ63" t="str">
            <v>《国家电网有限公司党组织工作经费管理办法（试行）》（国家电网党〔2018〕96号）第八条、第九条、第十三条、第十四条</v>
          </cell>
        </row>
        <row r="64">
          <cell r="C64" t="str">
            <v>税务合规、资金资产安全</v>
          </cell>
          <cell r="D64" t="str">
            <v>安全费使用</v>
          </cell>
          <cell r="E64" t="str">
            <v>超范围列支安全费，虚列挤占安全专项费用，导致合规风险。</v>
          </cell>
        </row>
        <row r="64">
          <cell r="G64" t="str">
            <v>19.安全费报销</v>
          </cell>
          <cell r="H64" t="str">
            <v>安全费在规定范围内报销。</v>
          </cell>
          <cell r="I64" t="str">
            <v>员工报账业务-19.安全费报销-控制措施01</v>
          </cell>
          <cell r="J64" t="str">
            <v>实物管理部门规范建立资产卡片，针对使用安全费用形成固定资产、无形资产的规范建立资产卡片，确保相关资产折旧准确计入安全费。</v>
          </cell>
        </row>
        <row r="64">
          <cell r="M64" t="str">
            <v>√</v>
          </cell>
        </row>
        <row r="64">
          <cell r="T64" t="str">
            <v>系统已建</v>
          </cell>
          <cell r="U64" t="str">
            <v>ERP</v>
          </cell>
          <cell r="V64" t="str">
            <v>1.成本费用报销审批单；
2.费用明细清单；
3.发票或收据；
4.建设合同。</v>
          </cell>
          <cell r="W64" t="str">
            <v>各级单位-各部门-报账人员、各级单位-各部门-负责人、各级单位-安监部门-消防与安保管理人员、各级单位-安监部门-负责人</v>
          </cell>
          <cell r="X64" t="str">
            <v>每季度</v>
          </cell>
          <cell r="Y64" t="str">
            <v>抽查</v>
          </cell>
        </row>
        <row r="64">
          <cell r="AA64" t="str">
            <v>每年</v>
          </cell>
          <cell r="AB64" t="str">
            <v>抽查</v>
          </cell>
        </row>
        <row r="64">
          <cell r="AD64" t="str">
            <v>安全费列支范围监督场景</v>
          </cell>
          <cell r="AE64" t="str">
            <v>每年</v>
          </cell>
          <cell r="AF64" t="str">
            <v>抽查</v>
          </cell>
        </row>
        <row r="64">
          <cell r="AH64" t="str">
            <v>是</v>
          </cell>
          <cell r="AI64" t="str">
            <v>是</v>
          </cell>
          <cell r="AJ64" t="str">
            <v>《国家电网有限公司安全生产费用提取和使用管理办法》（国家电网企管〔2023〕399号）第十条、第十三条、第二十五条</v>
          </cell>
        </row>
        <row r="65">
          <cell r="I65" t="str">
            <v>员工报账业务-19.安全费报销-控制措施02</v>
          </cell>
          <cell r="J65" t="str">
            <v>建设单位及时支付安全费用，应当在合同中单独约定并于工程开工日一个月内向承包单位至少支付 50%安全费用。</v>
          </cell>
        </row>
        <row r="65">
          <cell r="O65" t="str">
            <v>√</v>
          </cell>
          <cell r="P65" t="str">
            <v>√</v>
          </cell>
        </row>
        <row r="65">
          <cell r="T65" t="str">
            <v>线下管控</v>
          </cell>
        </row>
        <row r="65">
          <cell r="V65" t="str">
            <v>1.成本费用报销审批单；
2.费用明细清单；
3.发票或收据；
4.建设合同。</v>
          </cell>
          <cell r="W65" t="str">
            <v>各级单位-各部门-报账人员、各级单位-各部门-负责人、各级单位-安监部门-消防与安保管理人员、各级单位-安监部门-负责人</v>
          </cell>
          <cell r="X65" t="str">
            <v>每季度</v>
          </cell>
          <cell r="Y65" t="str">
            <v>抽查</v>
          </cell>
        </row>
        <row r="65">
          <cell r="AA65" t="str">
            <v>每年</v>
          </cell>
          <cell r="AB65" t="str">
            <v>抽查</v>
          </cell>
        </row>
        <row r="65">
          <cell r="AD65" t="str">
            <v>安全费列支范围监督场景</v>
          </cell>
          <cell r="AE65" t="str">
            <v>每年</v>
          </cell>
          <cell r="AF65" t="str">
            <v>抽查</v>
          </cell>
        </row>
        <row r="65">
          <cell r="AH65" t="str">
            <v>是</v>
          </cell>
          <cell r="AI65" t="str">
            <v>是</v>
          </cell>
          <cell r="AJ65" t="str">
            <v>《国家电网有限公司安全生产费用提取和使用管理办法》（国家电网企管〔2023〕399号）第十条、第十三条、第二十条、第二十五条</v>
          </cell>
        </row>
        <row r="66">
          <cell r="I66" t="str">
            <v>员工报账业务-19.安全费报销-控制措施03</v>
          </cell>
          <cell r="J66" t="str">
            <v>总包单位及时支付安全费用，总包单位应当在合同中单独约定并于分包工程开工日一个月内将至少50%安全费用直接支付分包单位并监督使用，分包单位不再重复提取。</v>
          </cell>
        </row>
        <row r="66">
          <cell r="O66" t="str">
            <v>√</v>
          </cell>
          <cell r="P66" t="str">
            <v>√</v>
          </cell>
        </row>
        <row r="66">
          <cell r="T66" t="str">
            <v>线下管控</v>
          </cell>
        </row>
        <row r="66">
          <cell r="V66" t="str">
            <v>1.成本费用报销审批单；
2.费用明细清单；
3.发票或收据；
4.建设合同。</v>
          </cell>
          <cell r="W66" t="str">
            <v>各级单位-各部门-报账人员、各级单位-各部门-负责人、各级单位-安监部门-消防与安保管理人员、各级单位-安监部门-负责人</v>
          </cell>
          <cell r="X66" t="str">
            <v>每季度</v>
          </cell>
          <cell r="Y66" t="str">
            <v>抽查</v>
          </cell>
        </row>
        <row r="66">
          <cell r="AA66" t="str">
            <v>每年</v>
          </cell>
          <cell r="AB66" t="str">
            <v>抽查</v>
          </cell>
        </row>
        <row r="66">
          <cell r="AD66" t="str">
            <v>安全费列支范围监督场景</v>
          </cell>
          <cell r="AE66" t="str">
            <v>每年</v>
          </cell>
          <cell r="AF66" t="str">
            <v>抽查</v>
          </cell>
        </row>
        <row r="66">
          <cell r="AH66" t="str">
            <v>是</v>
          </cell>
          <cell r="AI66" t="str">
            <v>是</v>
          </cell>
          <cell r="AJ66" t="str">
            <v>《国家电网有限公司安全生产费用提取和使用管理办法》（国家电网企管〔2023〕399号）第十条、第十三条、第二十条、第二十五条</v>
          </cell>
        </row>
        <row r="67">
          <cell r="A67" t="str">
            <v>员工报账</v>
          </cell>
          <cell r="B67" t="str">
            <v>二、通用报账</v>
          </cell>
          <cell r="C67" t="str">
            <v>税务合规、资金资产安全</v>
          </cell>
          <cell r="D67" t="str">
            <v>安全费使用</v>
          </cell>
          <cell r="E67" t="str">
            <v>超范围列支安全费，虚列挤占安全专项费用，导致合规风险。</v>
          </cell>
        </row>
        <row r="67">
          <cell r="G67" t="str">
            <v>19.安全费报销</v>
          </cell>
          <cell r="H67" t="str">
            <v>安全费在规定范围内报销。</v>
          </cell>
          <cell r="I67" t="str">
            <v>员工报账业务-19.安全费报销-控制措施04</v>
          </cell>
          <cell r="J67" t="str">
            <v>归口管理部门对安全工器具领用、保管进行监督，确保不发生安全工器具过期等问题。</v>
          </cell>
        </row>
        <row r="67">
          <cell r="R67" t="str">
            <v>√</v>
          </cell>
        </row>
        <row r="67">
          <cell r="T67" t="str">
            <v>线下管控</v>
          </cell>
        </row>
        <row r="67">
          <cell r="V67" t="str">
            <v>1.成本费用报销审批单；
2.费用明细清单；
3.发票或收据；
4.建设合同。</v>
          </cell>
          <cell r="W67" t="str">
            <v>各级单位-各部门-报账人员、各级单位-各部门-负责人、各级单位-安监部门-消防与安保管理人员、各级单位-安监部门-负责人</v>
          </cell>
          <cell r="X67" t="str">
            <v>每季度</v>
          </cell>
          <cell r="Y67" t="str">
            <v>抽查</v>
          </cell>
        </row>
        <row r="67">
          <cell r="AA67" t="str">
            <v>每年</v>
          </cell>
          <cell r="AB67" t="str">
            <v>抽查</v>
          </cell>
        </row>
        <row r="67">
          <cell r="AD67" t="str">
            <v>安全费列支范围监督场景</v>
          </cell>
          <cell r="AE67" t="str">
            <v>每年</v>
          </cell>
          <cell r="AF67" t="str">
            <v>抽查</v>
          </cell>
        </row>
        <row r="67">
          <cell r="AH67" t="str">
            <v>是</v>
          </cell>
          <cell r="AI67" t="str">
            <v>是</v>
          </cell>
          <cell r="AJ67" t="str">
            <v>《国家电网有限公司安全生产费用提取和使用管理办法》（国家电网企管〔2023〕399号）第十条、第十三条、第二十五条</v>
          </cell>
        </row>
        <row r="68">
          <cell r="I68" t="str">
            <v>员工报账业务-19.安全费报销-控制措施05</v>
          </cell>
          <cell r="J68" t="str">
            <v>财务部门对安全费列支情况进行复核，禁止列支职工薪酬福利、治安服务费等无关费用。</v>
          </cell>
        </row>
        <row r="68">
          <cell r="M68" t="str">
            <v>√</v>
          </cell>
        </row>
        <row r="68">
          <cell r="P68" t="str">
            <v>√</v>
          </cell>
          <cell r="Q68" t="str">
            <v>√</v>
          </cell>
        </row>
        <row r="68">
          <cell r="T68" t="str">
            <v>线下管控</v>
          </cell>
        </row>
        <row r="68">
          <cell r="V68" t="str">
            <v>1.成本费用报销审批单；
2.费用明细清单；
3.发票或收据；
4.建设合同。</v>
          </cell>
          <cell r="W68" t="str">
            <v>各级单位-各部门-报账人员、各级单位-各部门-负责人、各级单位-安监部门-消防与安保管理人员、各级单位-安监部门-负责人、各级单位-财务部门-成本管理人员</v>
          </cell>
          <cell r="X68" t="str">
            <v>每季度</v>
          </cell>
          <cell r="Y68" t="str">
            <v>抽查</v>
          </cell>
        </row>
        <row r="68">
          <cell r="AA68" t="str">
            <v>每年</v>
          </cell>
          <cell r="AB68" t="str">
            <v>抽查</v>
          </cell>
        </row>
        <row r="68">
          <cell r="AD68" t="str">
            <v>安全费列支范围监督场景</v>
          </cell>
          <cell r="AE68" t="str">
            <v>每年</v>
          </cell>
          <cell r="AF68" t="str">
            <v>抽查</v>
          </cell>
        </row>
        <row r="68">
          <cell r="AH68" t="str">
            <v>是</v>
          </cell>
          <cell r="AI68" t="str">
            <v>是</v>
          </cell>
          <cell r="AJ68" t="str">
            <v>《国家电网有限公司安全生产费用提取和使用管理办法》（国家电网企管〔2023〕399号）第十条、第十三条、第二十五条</v>
          </cell>
        </row>
        <row r="73">
          <cell r="A73" t="str">
            <v>员工报账</v>
          </cell>
          <cell r="B73" t="str">
            <v>二、通用报账</v>
          </cell>
          <cell r="C73" t="str">
            <v>税务合规、资金资产安全</v>
          </cell>
          <cell r="D73" t="str">
            <v>青苗赔偿现场核定</v>
          </cell>
          <cell r="E73" t="str">
            <v>与现场标准、数量不一致导致青苗赔偿有误，造成青苗赔偿费重复计、多付。</v>
          </cell>
        </row>
        <row r="73">
          <cell r="G73" t="str">
            <v>21.现场青苗赔偿类型、数量的确定</v>
          </cell>
          <cell r="H73" t="str">
            <v>青苗赔付类型、数量与现场一致。</v>
          </cell>
          <cell r="I73" t="str">
            <v>员工报账业务-21.现场青苗赔偿类型、数量的确定-控制措施01</v>
          </cell>
          <cell r="J73" t="str">
            <v>归口管理部门对赔偿真实性进行复核，确保进行了三方（赔偿方、受偿方、监理或基层组织）现场联合勘测清点并签字确认。</v>
          </cell>
        </row>
        <row r="73">
          <cell r="L73" t="str">
            <v>√</v>
          </cell>
        </row>
        <row r="73">
          <cell r="O73" t="str">
            <v>√</v>
          </cell>
        </row>
        <row r="73">
          <cell r="R73" t="str">
            <v>√</v>
          </cell>
        </row>
        <row r="73">
          <cell r="T73" t="str">
            <v>线下管控</v>
          </cell>
        </row>
        <row r="73">
          <cell r="V73" t="str">
            <v>1.用地批复文件；
2.地方补偿标准文件；
3.联合现场勘测记录；
4.地上附着物和青苗调查登记表、补偿结果确认表；
5.被补偿人身份证明；
6.青苗及地上附着物权属证明；
7.青苗补偿协议。</v>
          </cell>
          <cell r="W73" t="str">
            <v>各级单位-各部门-报账人员、各级单位-各部门-负责人、各级单位-归口管理部门-负责人</v>
          </cell>
          <cell r="X73" t="str">
            <v>每季度</v>
          </cell>
          <cell r="Y73" t="str">
            <v>抽查</v>
          </cell>
        </row>
        <row r="73">
          <cell r="AA73" t="str">
            <v>每年</v>
          </cell>
          <cell r="AB73" t="str">
            <v>抽查</v>
          </cell>
        </row>
        <row r="73">
          <cell r="AD73" t="str">
            <v>青苗赔偿费监督场景</v>
          </cell>
          <cell r="AE73" t="str">
            <v>每年</v>
          </cell>
          <cell r="AF73" t="str">
            <v>抽查</v>
          </cell>
        </row>
        <row r="73">
          <cell r="AH73" t="str">
            <v>是</v>
          </cell>
          <cell r="AI73" t="str">
            <v>是</v>
          </cell>
          <cell r="AJ73" t="str">
            <v>《国家电网有限公司会计基础管理办法》（国家电网企管〔2019〕132号）附件：电网企业经济业务审核手册</v>
          </cell>
        </row>
        <row r="74">
          <cell r="I74" t="str">
            <v>员工报账业务-21.现场青苗赔偿类型、数量的确定-控制措施02</v>
          </cell>
          <cell r="J74" t="str">
            <v>归口管理部门对补偿协仪进行复核，确保协议包括标的物位置、权属、地类、面积、附着物种类与数量等关键信息。</v>
          </cell>
        </row>
        <row r="74">
          <cell r="M74" t="str">
            <v>√</v>
          </cell>
        </row>
        <row r="74">
          <cell r="O74" t="str">
            <v>√</v>
          </cell>
        </row>
        <row r="74">
          <cell r="T74" t="str">
            <v>线下管控</v>
          </cell>
        </row>
        <row r="74">
          <cell r="V74" t="str">
            <v>1.用地批复文件；
2.地方补偿标准文件；
3.联合现场勘测记录；
4.地上附着物和青苗调查登记表、补偿结果确认表；
5.被补偿人身份证明；
6.青苗及地上附着物权属证明；
7.青苗补偿协议。</v>
          </cell>
          <cell r="W74" t="str">
            <v>各级单位-各部门-报账人员、各级单位-各部门-负责人、各级单位-归口管理部门-负责人</v>
          </cell>
          <cell r="X74" t="str">
            <v>每季度</v>
          </cell>
          <cell r="Y74" t="str">
            <v>抽查</v>
          </cell>
        </row>
        <row r="74">
          <cell r="AA74" t="str">
            <v>每年</v>
          </cell>
          <cell r="AB74" t="str">
            <v>抽查</v>
          </cell>
        </row>
        <row r="74">
          <cell r="AD74" t="str">
            <v>青苗赔偿费监督场景</v>
          </cell>
          <cell r="AE74" t="str">
            <v>每年</v>
          </cell>
          <cell r="AF74" t="str">
            <v>抽查</v>
          </cell>
        </row>
        <row r="74">
          <cell r="AH74" t="str">
            <v>是</v>
          </cell>
          <cell r="AI74" t="str">
            <v>是</v>
          </cell>
          <cell r="AJ74" t="str">
            <v>《国家电网有限公司会计基础管理办法》（国家电网企管〔2019〕132号）附件：电网企业经济业务审核手册</v>
          </cell>
        </row>
        <row r="75">
          <cell r="I75" t="str">
            <v>员工报账业务-21.现场青苗赔偿类型、数量的确定-控制措施03</v>
          </cell>
          <cell r="J75" t="str">
            <v>财务部门对赔偿单价与地方政府指导标准进行校验。</v>
          </cell>
        </row>
        <row r="75">
          <cell r="Q75" t="str">
            <v>√</v>
          </cell>
          <cell r="R75" t="str">
            <v>√</v>
          </cell>
        </row>
        <row r="75">
          <cell r="T75" t="str">
            <v>线下管控</v>
          </cell>
        </row>
        <row r="75">
          <cell r="V75" t="str">
            <v>1.用地批复文件；
2.地方补偿标准文件；
3.联合现场勘测记录；
4.地上附着物和青苗调查登记表、补偿结果确认表；
5.被补偿人身份证明；
6.青苗及地上附着物权属证明；
7.青苗补偿协议。</v>
          </cell>
          <cell r="W75" t="str">
            <v>各级单位-各部门-报账人员、各级单位-各部门-负责人、各级单位-归口管理部门-负责人、各级单位-财务部门-工程财务管理人员</v>
          </cell>
          <cell r="X75" t="str">
            <v>每季度</v>
          </cell>
          <cell r="Y75" t="str">
            <v>抽查</v>
          </cell>
        </row>
        <row r="75">
          <cell r="AA75" t="str">
            <v>每年</v>
          </cell>
          <cell r="AB75" t="str">
            <v>抽查</v>
          </cell>
        </row>
        <row r="75">
          <cell r="AD75" t="str">
            <v>青苗赔偿费监督场景</v>
          </cell>
          <cell r="AE75" t="str">
            <v>每年</v>
          </cell>
          <cell r="AF75" t="str">
            <v>抽查</v>
          </cell>
        </row>
        <row r="75">
          <cell r="AH75" t="str">
            <v>是</v>
          </cell>
          <cell r="AI75" t="str">
            <v>是</v>
          </cell>
          <cell r="AJ75" t="str">
            <v>《国家电网有限公司会计基础管理办法》（国家电网企管〔2019〕132号）附件：电网企业经济业务审核手册</v>
          </cell>
        </row>
        <row r="76">
          <cell r="C76" t="str">
            <v>税务合规</v>
          </cell>
          <cell r="D76" t="str">
            <v>青苗赔偿资金申
请支付</v>
          </cell>
          <cell r="E76" t="str">
            <v>与赔付人实际不一致，虚列套取资金，造成青苗赔偿费多付、错付。</v>
          </cell>
        </row>
        <row r="76">
          <cell r="G76" t="str">
            <v>22.青苗赔偿支付对象的确定</v>
          </cell>
          <cell r="H76" t="str">
            <v>青苗赔付资金支付对象与现场一致。</v>
          </cell>
          <cell r="I76" t="str">
            <v>员工报账业务-22.青苗赔偿支付对象的确定-控制措施01</v>
          </cell>
          <cell r="J76" t="str">
            <v>归口管理部门对资金支付与补偿协议支付条款进行校验。</v>
          </cell>
        </row>
        <row r="76">
          <cell r="O76" t="str">
            <v>√</v>
          </cell>
          <cell r="P76" t="str">
            <v>√</v>
          </cell>
        </row>
        <row r="76">
          <cell r="T76" t="str">
            <v>线下管控</v>
          </cell>
        </row>
        <row r="76">
          <cell r="V76" t="str">
            <v>1.用地批复文件；
2.地方补偿标准文件；
3.联合现场勘测记录；
4.地上附着物和青苗调查登记表、补偿结果确认表；
5.被补偿人身份证明；
6.青苗及地上附着物权属证明；
7.青苗补偿协议。</v>
          </cell>
          <cell r="W76" t="str">
            <v>各级单位-各部门-报账人员、各级单位-各部门-负责人、各级单位-归口管理部门-负责人</v>
          </cell>
          <cell r="X76" t="str">
            <v>每季度</v>
          </cell>
          <cell r="Y76" t="str">
            <v>抽查</v>
          </cell>
        </row>
        <row r="76">
          <cell r="AA76" t="str">
            <v>每年</v>
          </cell>
          <cell r="AB76" t="str">
            <v>抽查</v>
          </cell>
        </row>
        <row r="76">
          <cell r="AD76" t="str">
            <v>青苗赔偿费监督场景</v>
          </cell>
          <cell r="AE76" t="str">
            <v>每年</v>
          </cell>
          <cell r="AF76" t="str">
            <v>抽查</v>
          </cell>
        </row>
        <row r="76">
          <cell r="AH76" t="str">
            <v>是</v>
          </cell>
          <cell r="AI76" t="str">
            <v>是</v>
          </cell>
          <cell r="AJ76" t="str">
            <v>《国家电网有限公司会计基础管理办法》（国家电网企管〔2019〕132号）附件：电网企业经济业务审核手册</v>
          </cell>
        </row>
        <row r="77">
          <cell r="I77" t="str">
            <v>员工报账业务-22.青苗赔偿支付对象的确定-控制措施02</v>
          </cell>
          <cell r="J77" t="str">
            <v>财务部门对赔偿资金安全、足额、直达权利人情况进行复核。</v>
          </cell>
        </row>
        <row r="77">
          <cell r="P77" t="str">
            <v>√</v>
          </cell>
        </row>
        <row r="77">
          <cell r="R77" t="str">
            <v>√</v>
          </cell>
        </row>
        <row r="77">
          <cell r="T77" t="str">
            <v>线下管控</v>
          </cell>
        </row>
        <row r="77">
          <cell r="V77" t="str">
            <v>1.用地批复文件；
2.地方补偿标准文件；
3.联合现场勘测记录；
4.地上附着物和青苗调查登记表、补偿结果确认表；
5.被补偿人身份证明；
6.青苗及地上附着物权属证明；
7.青苗补偿协议。</v>
          </cell>
          <cell r="W77" t="str">
            <v>各级单位-各部门-报账人员、各级单位-各部门-负责人、各级单位-归口管理部门-负责人、各级单位-财务部门-工程财务管理人员</v>
          </cell>
          <cell r="X77" t="str">
            <v>每季度</v>
          </cell>
          <cell r="Y77" t="str">
            <v>抽查</v>
          </cell>
        </row>
        <row r="77">
          <cell r="AA77" t="str">
            <v>每年</v>
          </cell>
          <cell r="AB77" t="str">
            <v>抽查</v>
          </cell>
        </row>
        <row r="77">
          <cell r="AD77" t="str">
            <v>青苗赔偿费监督场景</v>
          </cell>
          <cell r="AE77" t="str">
            <v>每年</v>
          </cell>
          <cell r="AF77" t="str">
            <v>抽查</v>
          </cell>
        </row>
        <row r="77">
          <cell r="AH77" t="str">
            <v>是</v>
          </cell>
          <cell r="AI77" t="str">
            <v>是</v>
          </cell>
          <cell r="AJ77" t="str">
            <v>《国家电网有限公司会计基础管理办法》（国家电网企管〔2019〕132号）附件：电网企业经济业务审核手册</v>
          </cell>
        </row>
        <row r="78">
          <cell r="A78" t="str">
            <v>员工报账</v>
          </cell>
          <cell r="B78" t="str">
            <v>二、通用报账</v>
          </cell>
          <cell r="C78" t="str">
            <v>税务合规、资金资产安全</v>
          </cell>
          <cell r="D78" t="str">
            <v>资金支付</v>
          </cell>
          <cell r="E78" t="str">
            <v>未按合同约定付款、无预算、超越权限办理支付审批业务，引发资金安全风险。</v>
          </cell>
          <cell r="F78" t="str">
            <v>06.债权债务清理不及时：存在应收账款长期未收回、应收款项核销依据不充分、客户工程款清理不及时，存在潜亏风险、长期应付款未及时清理、款项未及时结算形成隐性债权债务等问题。
04.超期未支付民营及中小企业款项：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v>
          </cell>
          <cell r="G78" t="str">
            <v>23.资金支付管理</v>
          </cell>
          <cell r="H78" t="str">
            <v>资金支付规范安全。</v>
          </cell>
          <cell r="I78" t="str">
            <v>员工报账业务-23.资金支付管理-控制措施01</v>
          </cell>
          <cell r="J78" t="str">
            <v>资金支付发起部门对资金支付与合同约定付款条款进行复核。</v>
          </cell>
        </row>
        <row r="78">
          <cell r="M78" t="str">
            <v>√</v>
          </cell>
        </row>
        <row r="78">
          <cell r="O78" t="str">
            <v>√</v>
          </cell>
        </row>
        <row r="78">
          <cell r="T78" t="str">
            <v>线下管控</v>
          </cell>
        </row>
        <row r="78">
          <cell r="V78" t="str">
            <v>1.到货验收单；
2.费用明细清单；
3.发票或收据；
4.合同或协议；
5.付款申请单。</v>
          </cell>
          <cell r="W78" t="str">
            <v>各级单位-资金支付发起部门-报账人员、各级单位-资金支付发起部门-负责人、各级单位-财务部门-成本管理人员、各级单位-财务部门-资金管理人员、各级单位-财务部门-负责人</v>
          </cell>
          <cell r="X78" t="str">
            <v>每季度</v>
          </cell>
          <cell r="Y78" t="str">
            <v>抽查</v>
          </cell>
        </row>
        <row r="78">
          <cell r="AA78" t="str">
            <v>每年</v>
          </cell>
          <cell r="AB78" t="str">
            <v>抽查</v>
          </cell>
        </row>
        <row r="78">
          <cell r="AD78" t="str">
            <v>资金支付管理监督场景</v>
          </cell>
          <cell r="AE78" t="str">
            <v>每年</v>
          </cell>
          <cell r="AF78" t="str">
            <v>抽查</v>
          </cell>
        </row>
        <row r="78">
          <cell r="AH78" t="str">
            <v>是</v>
          </cell>
          <cell r="AI78" t="str">
            <v>是</v>
          </cell>
          <cell r="AJ78"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row>
        <row r="79">
          <cell r="I79" t="str">
            <v>员工报账业务-23.资金支付管理-控制措施02</v>
          </cell>
          <cell r="J79" t="str">
            <v>资金支付发起部门对付款信息与合同约定进行校验，确保使用合同约定账户支付。</v>
          </cell>
        </row>
        <row r="79">
          <cell r="O79" t="str">
            <v>√</v>
          </cell>
          <cell r="P79" t="str">
            <v>√</v>
          </cell>
        </row>
        <row r="79">
          <cell r="T79" t="str">
            <v>线下管控</v>
          </cell>
        </row>
        <row r="79">
          <cell r="V79" t="str">
            <v>1.到货验收单；
2.费用明细清单；
3.发票或收据；
4.合同或协议；
5.付款申请单。</v>
          </cell>
          <cell r="W79" t="str">
            <v>各级单位-资金支付发起部门-报账人员、各级单位-资金支付发起部门-负责人、各级单位-财务部门-成本管理人员、各级单位-财务部门-资金管理人员、各级单位-财务部门-负责人</v>
          </cell>
          <cell r="X79" t="str">
            <v>每季度</v>
          </cell>
          <cell r="Y79" t="str">
            <v>抽查</v>
          </cell>
        </row>
        <row r="79">
          <cell r="AA79" t="str">
            <v>每年</v>
          </cell>
          <cell r="AB79" t="str">
            <v>抽查</v>
          </cell>
        </row>
        <row r="79">
          <cell r="AD79" t="str">
            <v>资金支付管理监督场景</v>
          </cell>
          <cell r="AE79" t="str">
            <v>每年</v>
          </cell>
          <cell r="AF79" t="str">
            <v>抽查</v>
          </cell>
        </row>
        <row r="79">
          <cell r="AH79" t="str">
            <v>是</v>
          </cell>
          <cell r="AI79" t="str">
            <v>是</v>
          </cell>
          <cell r="AJ79"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row>
        <row r="80">
          <cell r="I80" t="str">
            <v>员工报账业务-23.资金支付管理-控制措施03</v>
          </cell>
          <cell r="J80" t="str">
            <v>财务部门对资金分级授权审批流程和预算批准的付款额度进行复核，确认无误后进行付款。</v>
          </cell>
          <cell r="K80" t="str">
            <v>√</v>
          </cell>
          <cell r="L80" t="str">
            <v>√</v>
          </cell>
        </row>
        <row r="80">
          <cell r="Q80" t="str">
            <v>√</v>
          </cell>
        </row>
        <row r="80">
          <cell r="T80" t="str">
            <v>系统已建</v>
          </cell>
          <cell r="U80" t="str">
            <v>智慧共享财务平台</v>
          </cell>
          <cell r="V80" t="str">
            <v>1.到货验收单；
2.费用明细清单；
3.发票或收据；
4.合同或协议；
5.付款申请单。</v>
          </cell>
          <cell r="W80" t="str">
            <v>各级单位-资金支付发起部门-报账人员、各级单位-资金支付发起部门-负责人、各级单位-财务部门-成本管理人员、各级单位-财务部门-资金管理人员、各级单位-财务部门-负责人</v>
          </cell>
          <cell r="X80" t="str">
            <v>每季度</v>
          </cell>
          <cell r="Y80" t="str">
            <v>抽查</v>
          </cell>
        </row>
        <row r="80">
          <cell r="AA80" t="str">
            <v>每年</v>
          </cell>
          <cell r="AB80" t="str">
            <v>抽查</v>
          </cell>
        </row>
        <row r="80">
          <cell r="AD80" t="str">
            <v>资金支付管理监督场景</v>
          </cell>
          <cell r="AE80" t="str">
            <v>每年</v>
          </cell>
          <cell r="AF80" t="str">
            <v>抽查</v>
          </cell>
        </row>
        <row r="80">
          <cell r="AH80" t="str">
            <v>是</v>
          </cell>
          <cell r="AI80" t="str">
            <v>是</v>
          </cell>
          <cell r="AJ80"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row>
        <row r="81">
          <cell r="I81" t="str">
            <v>员工报账业务-23.资金支付管理-控制措施04</v>
          </cell>
          <cell r="J81" t="str">
            <v>财务部门对未履行“三重一大”决策程序和联签制度等特殊支付事项进行复核，禁止出现化整为零规避大额资金支付集体决策程序等问题。</v>
          </cell>
        </row>
        <row r="81">
          <cell r="L81" t="str">
            <v>√</v>
          </cell>
        </row>
        <row r="81">
          <cell r="P81" t="str">
            <v>√</v>
          </cell>
          <cell r="Q81" t="str">
            <v>√</v>
          </cell>
        </row>
        <row r="81">
          <cell r="T81" t="str">
            <v>线下管控</v>
          </cell>
        </row>
        <row r="81">
          <cell r="V81" t="str">
            <v>1.到货验收单；
2.费用明细清单；
3.发票或收据；
4.合同或协议；
5.付款申请单。</v>
          </cell>
          <cell r="W81" t="str">
            <v>各级单位-资金支付发起部门-报账人员、各级单位-资金支付发起部门-负责人、各级单位-财务部门-成本管理人员、各级单位-财务部门-资金管理人员、各级单位-财务部门-负责人</v>
          </cell>
          <cell r="X81" t="str">
            <v>每季度</v>
          </cell>
          <cell r="Y81" t="str">
            <v>抽查</v>
          </cell>
        </row>
        <row r="81">
          <cell r="AA81" t="str">
            <v>每年</v>
          </cell>
          <cell r="AB81" t="str">
            <v>抽查</v>
          </cell>
        </row>
        <row r="81">
          <cell r="AD81" t="str">
            <v>资金支付管理监督场景</v>
          </cell>
          <cell r="AE81" t="str">
            <v>每年</v>
          </cell>
          <cell r="AF81" t="str">
            <v>抽查</v>
          </cell>
        </row>
        <row r="81">
          <cell r="AH81" t="str">
            <v>是</v>
          </cell>
          <cell r="AI81" t="str">
            <v>是</v>
          </cell>
          <cell r="AJ81"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row>
        <row r="82">
          <cell r="I82" t="str">
            <v>员工报账业务-23.资金支付管理-控制措施05</v>
          </cell>
          <cell r="J82" t="str">
            <v>财务部门对大额资金对私支付进行校验，严控大额资金对私支付问题发生。</v>
          </cell>
        </row>
        <row r="82">
          <cell r="M82" t="str">
            <v>√</v>
          </cell>
        </row>
        <row r="82">
          <cell r="P82" t="str">
            <v>√</v>
          </cell>
          <cell r="Q82" t="str">
            <v>√</v>
          </cell>
        </row>
        <row r="82">
          <cell r="T82" t="str">
            <v>线下管控</v>
          </cell>
        </row>
        <row r="82">
          <cell r="V82" t="str">
            <v>1.到货验收单；
2.费用明细清单；
3.发票或收据；
4.合同或协议；
5.付款申请单。</v>
          </cell>
          <cell r="W82" t="str">
            <v>各级单位-资金支付发起部门-报账人员、各级单位-资金支付发起部门-负责人、各级单位-财务部门-成本管理人员、各级单位-财务部门-资金管理人员、各级单位-财务部门-负责人</v>
          </cell>
          <cell r="X82" t="str">
            <v>每季度</v>
          </cell>
          <cell r="Y82" t="str">
            <v>抽查</v>
          </cell>
        </row>
        <row r="82">
          <cell r="AA82" t="str">
            <v>每年</v>
          </cell>
          <cell r="AB82" t="str">
            <v>抽查</v>
          </cell>
        </row>
        <row r="82">
          <cell r="AD82" t="str">
            <v>资金支付管理监督场景</v>
          </cell>
          <cell r="AE82" t="str">
            <v>每年</v>
          </cell>
          <cell r="AF82" t="str">
            <v>抽查</v>
          </cell>
        </row>
        <row r="82">
          <cell r="AH82" t="str">
            <v>是</v>
          </cell>
          <cell r="AI82" t="str">
            <v>是</v>
          </cell>
          <cell r="AJ82"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row>
        <row r="83">
          <cell r="A83" t="str">
            <v>员工报账</v>
          </cell>
        </row>
        <row r="83">
          <cell r="C83" t="str">
            <v>税务合规</v>
          </cell>
          <cell r="D83" t="str">
            <v>管理咨询费使用</v>
          </cell>
          <cell r="E83" t="str">
            <v>超范围列支管理咨询费引发引发合规风险。</v>
          </cell>
        </row>
        <row r="83">
          <cell r="G83" t="str">
            <v>24.管理咨询费报销</v>
          </cell>
          <cell r="H83" t="str">
            <v>管理咨询费在规定范围内报销。</v>
          </cell>
          <cell r="I83" t="str">
            <v>员工报账业务-24.管理咨询费报销-控制措施01</v>
          </cell>
          <cell r="J83" t="str">
            <v>归口管理部门对管理咨询费进行复核，不得用于电网规划研究、工程前期咨询、信息系统建设等技术咨询与开发，不得用于法律、税务、审计、会计等常规性的中介机构服务开支。</v>
          </cell>
        </row>
        <row r="83">
          <cell r="L83" t="str">
            <v>√</v>
          </cell>
        </row>
        <row r="83">
          <cell r="T83" t="str">
            <v>线下管控</v>
          </cell>
        </row>
        <row r="83">
          <cell r="V83" t="str">
            <v>1.成本费用报销审批单；
2.费用明细清单；
3.发票或收据；
4.合同或协议。</v>
          </cell>
          <cell r="W83" t="str">
            <v>各级单位-各部门-报账人员、各级单位-各部门-负责人、各级单位-办公室-负责人</v>
          </cell>
          <cell r="X83" t="str">
            <v>每季度</v>
          </cell>
          <cell r="Y83" t="str">
            <v>抽查</v>
          </cell>
        </row>
        <row r="83">
          <cell r="AA83" t="str">
            <v>每年</v>
          </cell>
          <cell r="AB83" t="str">
            <v>抽查</v>
          </cell>
        </row>
        <row r="83">
          <cell r="AD83" t="str">
            <v>管理咨询费列支范围监督场景</v>
          </cell>
          <cell r="AE83" t="str">
            <v>每年</v>
          </cell>
          <cell r="AF83" t="str">
            <v>抽查</v>
          </cell>
        </row>
        <row r="83">
          <cell r="AH83" t="str">
            <v>是</v>
          </cell>
          <cell r="AI83" t="str">
            <v>是</v>
          </cell>
          <cell r="AJ83" t="str">
            <v>国家电网公司管理咨询项目管理办法》第二条、第十五条</v>
          </cell>
        </row>
        <row r="84">
          <cell r="I84" t="str">
            <v>员工报账业务-24.管理咨询费报销-控制措施02</v>
          </cell>
          <cell r="J84" t="str">
            <v>规范管理咨询费列支间接费用和支付进度。项目经费需至少分两次进行支付，两次支付时，最后一笔经费支出不得低于合同总额的30%；三次及以上支付时，最后一笔经费支出不得低于合同总额的10%。</v>
          </cell>
        </row>
        <row r="84">
          <cell r="Q84" t="str">
            <v>√</v>
          </cell>
          <cell r="R84" t="str">
            <v>√</v>
          </cell>
        </row>
        <row r="84">
          <cell r="T84" t="str">
            <v>线下管控</v>
          </cell>
        </row>
        <row r="84">
          <cell r="V84" t="str">
            <v>1.付款申请单；
2.合同或协议。</v>
          </cell>
          <cell r="W84" t="str">
            <v>各级单位-各部门-报账人员、各级单位-各部门-负责人、各级单位-办公室-负责人、各级单位-财务部门-成本管理人员</v>
          </cell>
          <cell r="X84" t="str">
            <v>每季度</v>
          </cell>
          <cell r="Y84" t="str">
            <v>抽查</v>
          </cell>
        </row>
        <row r="84">
          <cell r="AA84" t="str">
            <v>每年</v>
          </cell>
          <cell r="AB84" t="str">
            <v>抽查</v>
          </cell>
        </row>
        <row r="84">
          <cell r="AD84" t="str">
            <v>管理咨询费列支范围监督场景</v>
          </cell>
          <cell r="AE84" t="str">
            <v>每年</v>
          </cell>
          <cell r="AF84" t="str">
            <v>抽查</v>
          </cell>
        </row>
        <row r="84">
          <cell r="AH84" t="str">
            <v>是</v>
          </cell>
          <cell r="AI84" t="str">
            <v>是</v>
          </cell>
          <cell r="AJ84" t="str">
            <v>《国家电网公司管理咨询项目管理办法》第十四条、第三十八条</v>
          </cell>
        </row>
      </sheetData>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业务流程"/>
      <sheetName val="流程图"/>
      <sheetName val="员工报账（核对过程7.23）"/>
      <sheetName val="员工报账"/>
      <sheetName val="Sheet2"/>
      <sheetName val="Sheet1"/>
      <sheetName val="意见建议"/>
      <sheetName val="WpsReserved_CellImgList"/>
    </sheetNames>
    <sheetDataSet>
      <sheetData sheetId="0"/>
      <sheetData sheetId="1"/>
      <sheetData sheetId="2"/>
      <sheetData sheetId="3">
        <row r="4">
          <cell r="A4" t="str">
            <v>员工报账</v>
          </cell>
          <cell r="B4" t="str">
            <v>一、员工差旅</v>
          </cell>
          <cell r="C4" t="str">
            <v>资金资产安全</v>
          </cell>
          <cell r="D4" t="str">
            <v>出差申请</v>
          </cell>
          <cell r="E4" t="str">
            <v>出差事项不真实，出差无实质内容，无明确公务目的，虚列套取费用，导致资金安全风险。</v>
          </cell>
          <cell r="F4" t="str">
            <v>87.违规发放津贴补贴：存在多报差旅补贴、虚报差旅补贴等问题。</v>
          </cell>
          <cell r="G4" t="str">
            <v>1.出差申请发起</v>
          </cell>
          <cell r="H4" t="str">
            <v>出差有明确公务目的，出差时间、地点、人员与出差通知一致。</v>
          </cell>
          <cell r="I4" t="str">
            <v>员工报账业务-1.出差申请发起-控制措施01</v>
          </cell>
          <cell r="J4" t="str">
            <v>出差员工部门负责人对员工出差内容的复核，重点审查出差申请单人员、地点、事由等信息。</v>
          </cell>
        </row>
        <row r="4">
          <cell r="M4" t="str">
            <v>√</v>
          </cell>
        </row>
        <row r="4">
          <cell r="T4" t="str">
            <v>系统已建</v>
          </cell>
          <cell r="U4" t="str">
            <v>国网商旅</v>
          </cell>
          <cell r="V4" t="str">
            <v>1.出差通知、培训通知等出差缘由证明材料。</v>
          </cell>
          <cell r="W4" t="str">
            <v>各级单位-各部门-出差人员、各级单位-各部门-负责人、商旅云公司</v>
          </cell>
          <cell r="X4" t="str">
            <v>每日</v>
          </cell>
          <cell r="Y4" t="str">
            <v>全量检查</v>
          </cell>
        </row>
        <row r="4">
          <cell r="AA4" t="str">
            <v>每年</v>
          </cell>
          <cell r="AB4" t="str">
            <v>抽查</v>
          </cell>
        </row>
        <row r="4">
          <cell r="AD4" t="str">
            <v>员工差旅出差申请监督场景</v>
          </cell>
          <cell r="AE4" t="str">
            <v>每月</v>
          </cell>
          <cell r="AF4" t="str">
            <v>抽查</v>
          </cell>
        </row>
        <row r="4">
          <cell r="AH4" t="str">
            <v>是</v>
          </cell>
          <cell r="AI4" t="str">
            <v>是</v>
          </cell>
          <cell r="AJ4" t="str">
            <v>《国家电网有限公司差旅费管理办法》（国家电网企管〔2026〕101号）第四条、第二十四条、《国网湖南省电力有限公司关于印发加强差旅费管理有关规定的通知》第二条、第三条</v>
          </cell>
          <cell r="AK4" t="str">
            <v>国网财务部</v>
          </cell>
        </row>
        <row r="5">
          <cell r="I5" t="str">
            <v>员工报账业务-1.出差申请发起-控制措施02</v>
          </cell>
          <cell r="J5" t="str">
            <v>健全“申请-预订-报销”数据联动校验规则，落实预算控制，系统自动比对出差事项与出差产生的票据的逻辑一致性。</v>
          </cell>
        </row>
        <row r="5">
          <cell r="M5" t="str">
            <v>√</v>
          </cell>
          <cell r="N5" t="str">
            <v>√</v>
          </cell>
        </row>
        <row r="5">
          <cell r="T5" t="str">
            <v>系统已建</v>
          </cell>
          <cell r="U5" t="str">
            <v>国网商旅</v>
          </cell>
          <cell r="V5" t="str">
            <v>1.出差审批单。</v>
          </cell>
          <cell r="W5" t="str">
            <v>各级单位-各部门-出差人员、商旅云公司</v>
          </cell>
          <cell r="X5" t="str">
            <v>每日</v>
          </cell>
          <cell r="Y5" t="str">
            <v>全量检查</v>
          </cell>
        </row>
        <row r="5">
          <cell r="AA5" t="str">
            <v>每年</v>
          </cell>
          <cell r="AB5" t="str">
            <v>抽查</v>
          </cell>
        </row>
        <row r="5">
          <cell r="AD5" t="str">
            <v>员工差旅出差申请监督场景</v>
          </cell>
          <cell r="AE5" t="str">
            <v>每月</v>
          </cell>
          <cell r="AF5" t="str">
            <v>抽查</v>
          </cell>
        </row>
        <row r="5">
          <cell r="AH5" t="str">
            <v>是</v>
          </cell>
          <cell r="AI5" t="str">
            <v>是</v>
          </cell>
          <cell r="AJ5" t="str">
            <v>《国家电网有限公司差旅费管理办法》（国家电网企管〔2026〕101号）第四条、第二十四条、《国网湖南省电力有限公司关于印发加强差旅费管理有关规定的通知》第二条、第三条</v>
          </cell>
          <cell r="AK5" t="str">
            <v>国网财务部</v>
          </cell>
        </row>
        <row r="6">
          <cell r="I6" t="str">
            <v>员工报账业务-1.出差申请发起-控制措施03</v>
          </cell>
          <cell r="J6" t="str">
            <v>健全差旅费成本中心校验机制，赴异地挂职、按照规定探亲在途期间出差申请选择原单位成本中心，挂职期间出差申请选择挂职单位成本中心。</v>
          </cell>
        </row>
        <row r="6">
          <cell r="N6" t="str">
            <v>√</v>
          </cell>
        </row>
        <row r="6">
          <cell r="Q6" t="str">
            <v>√</v>
          </cell>
        </row>
        <row r="6">
          <cell r="T6" t="str">
            <v>系统已建</v>
          </cell>
          <cell r="U6" t="str">
            <v>国网商旅</v>
          </cell>
          <cell r="V6" t="str">
            <v>1.系统出差申请单校验记录等。</v>
          </cell>
          <cell r="W6" t="str">
            <v>各级单位-各部门-出差人员、商旅云公司</v>
          </cell>
          <cell r="X6" t="str">
            <v>每日</v>
          </cell>
          <cell r="Y6" t="str">
            <v>全量检查</v>
          </cell>
        </row>
        <row r="6">
          <cell r="AA6" t="str">
            <v>每年</v>
          </cell>
          <cell r="AB6" t="str">
            <v>抽查</v>
          </cell>
        </row>
        <row r="6">
          <cell r="AD6" t="str">
            <v>员工差旅出差申请监督场景</v>
          </cell>
          <cell r="AE6" t="str">
            <v>每月</v>
          </cell>
          <cell r="AF6" t="str">
            <v>抽查</v>
          </cell>
        </row>
        <row r="6">
          <cell r="AH6" t="str">
            <v>是</v>
          </cell>
          <cell r="AI6" t="str">
            <v>是</v>
          </cell>
          <cell r="AJ6" t="str">
            <v>《国家电网有限公司差旅费管理办法》（国家电网企管〔2026〕101号）第四条、第二十四条、《国网湖南省电力有限公司关于印发加强差旅费管理有关规定的通知》第二条、第三条</v>
          </cell>
          <cell r="AK6" t="str">
            <v>国网财务部</v>
          </cell>
        </row>
        <row r="7">
          <cell r="G7" t="str">
            <v>2.出差申请审批</v>
          </cell>
          <cell r="H7" t="str">
            <v>按规定执行出差审批制度。</v>
          </cell>
          <cell r="I7" t="str">
            <v>员工报账业务-2.出差申请审批-控制措施01</v>
          </cell>
          <cell r="J7" t="str">
            <v>流程固化与防逆向控制，商旅云公司固化“审批-预订-报销”流程，严格限制并需特殊授权才能“取消审批”等逆向操作。</v>
          </cell>
        </row>
        <row r="7">
          <cell r="L7" t="str">
            <v>√</v>
          </cell>
        </row>
        <row r="7">
          <cell r="Q7" t="str">
            <v>√</v>
          </cell>
        </row>
        <row r="7">
          <cell r="T7" t="str">
            <v>系统已建</v>
          </cell>
          <cell r="U7" t="str">
            <v>国网商旅</v>
          </cell>
          <cell r="V7" t="str">
            <v>1.出差通知、培训通知等出差缘由证明材料；
2.出差审批单；
3.系统出差申请单审批轨迹。</v>
          </cell>
          <cell r="W7" t="str">
            <v>各级单位-各部门-出差人员、商旅云公司</v>
          </cell>
          <cell r="X7" t="str">
            <v>每日</v>
          </cell>
          <cell r="Y7" t="str">
            <v>全量检查</v>
          </cell>
        </row>
        <row r="7">
          <cell r="AA7" t="str">
            <v>每年</v>
          </cell>
          <cell r="AB7" t="str">
            <v>抽查</v>
          </cell>
        </row>
        <row r="7">
          <cell r="AD7" t="str">
            <v>员工差旅出差申请监督场景</v>
          </cell>
          <cell r="AE7" t="str">
            <v>每月</v>
          </cell>
          <cell r="AF7" t="str">
            <v>抽查</v>
          </cell>
        </row>
        <row r="7">
          <cell r="AH7" t="str">
            <v>是</v>
          </cell>
          <cell r="AI7" t="str">
            <v>是</v>
          </cell>
          <cell r="AJ7" t="str">
            <v>《国家电网有限公司差旅费管理办法》（国家电网企管〔2026〕101号）第二十二条</v>
          </cell>
          <cell r="AK7" t="str">
            <v>国网财务部</v>
          </cell>
        </row>
        <row r="8">
          <cell r="I8" t="str">
            <v>员工报账业务-2.出差申请审批-控制措施02</v>
          </cell>
          <cell r="J8" t="str">
            <v>全链条强制关联控制，系统强制将“审批单号”作为商旅预订及费用报销的唯一前提。</v>
          </cell>
        </row>
        <row r="8">
          <cell r="Q8" t="str">
            <v>√</v>
          </cell>
        </row>
        <row r="8">
          <cell r="T8" t="str">
            <v>系统已建</v>
          </cell>
          <cell r="U8" t="str">
            <v>国网商旅</v>
          </cell>
          <cell r="V8" t="str">
            <v>1.出差通知、培训通知等出差缘由证明材料；
2.出差审批单。</v>
          </cell>
          <cell r="W8" t="str">
            <v>各级单位-各部门-出差人员、商旅云公司</v>
          </cell>
          <cell r="X8" t="str">
            <v>每日</v>
          </cell>
          <cell r="Y8" t="str">
            <v>全量检查</v>
          </cell>
        </row>
        <row r="8">
          <cell r="AA8" t="str">
            <v>每年</v>
          </cell>
          <cell r="AB8" t="str">
            <v>抽查</v>
          </cell>
        </row>
        <row r="8">
          <cell r="AD8" t="str">
            <v>员工差旅出差申请监督场景</v>
          </cell>
          <cell r="AE8" t="str">
            <v>每月</v>
          </cell>
          <cell r="AF8" t="str">
            <v>抽查</v>
          </cell>
        </row>
        <row r="8">
          <cell r="AH8" t="str">
            <v>是</v>
          </cell>
          <cell r="AI8" t="str">
            <v>是</v>
          </cell>
          <cell r="AJ8" t="str">
            <v>《国家电网有限公司差旅费管理办法》（国家电网企管〔2026〕101号）第四条、第二十四条、第二十六条</v>
          </cell>
          <cell r="AK8" t="str">
            <v>国网财务部</v>
          </cell>
        </row>
        <row r="9">
          <cell r="I9" t="str">
            <v>员工报账业务-2.出差申请审批-控制措施03</v>
          </cell>
          <cell r="J9" t="str">
            <v>商旅云公司严禁后台“绿色通道”操作，禁止平台通过电话申请取消审批行为。</v>
          </cell>
        </row>
        <row r="9">
          <cell r="M9" t="str">
            <v>√</v>
          </cell>
        </row>
        <row r="9">
          <cell r="T9" t="str">
            <v>系统待建</v>
          </cell>
          <cell r="U9" t="str">
            <v>国网商旅</v>
          </cell>
          <cell r="V9" t="str">
            <v>1.出差通知、培训通知等出差缘由证明材料；
2.出差审批单；
3.系统出差申请单审批轨迹。</v>
          </cell>
          <cell r="W9" t="str">
            <v>各级单位-各部门-出差人员、商旅云公司</v>
          </cell>
          <cell r="X9" t="str">
            <v>每日</v>
          </cell>
          <cell r="Y9" t="str">
            <v>全量检查</v>
          </cell>
        </row>
        <row r="9">
          <cell r="AA9" t="str">
            <v>每年</v>
          </cell>
          <cell r="AB9" t="str">
            <v>抽查</v>
          </cell>
        </row>
        <row r="9">
          <cell r="AD9" t="str">
            <v>员工差旅出差申请监督场景</v>
          </cell>
          <cell r="AE9" t="str">
            <v>每月</v>
          </cell>
          <cell r="AF9" t="str">
            <v>抽查</v>
          </cell>
        </row>
        <row r="9">
          <cell r="AH9" t="str">
            <v>是</v>
          </cell>
          <cell r="AI9" t="str">
            <v>是</v>
          </cell>
          <cell r="AJ9" t="str">
            <v>《国家电网有限公司差旅费管理办法》（国家电网企管〔2026〕101号）第四条、第二十四条、第二十六条</v>
          </cell>
          <cell r="AK9" t="str">
            <v>国网财务部</v>
          </cell>
        </row>
        <row r="10">
          <cell r="A10" t="str">
            <v>员工报账</v>
          </cell>
          <cell r="B10" t="str">
            <v>一、员工差旅</v>
          </cell>
          <cell r="C10" t="str">
            <v>税务合规</v>
          </cell>
          <cell r="D10" t="str">
            <v>出差申请</v>
          </cell>
          <cell r="E10" t="str">
            <v>商旅平台违规取消事前审批流程，导致出现“先出差后申请”的情况，引发舞弊及合规管理风险。</v>
          </cell>
          <cell r="F10" t="str">
            <v>87.违规发放津贴补贴：存在多报差旅补贴、虚报差旅补贴等问题。</v>
          </cell>
          <cell r="G10" t="str">
            <v>3.出差申请流程控制</v>
          </cell>
          <cell r="H10" t="str">
            <v>出差申请日期早于出差日期。</v>
          </cell>
          <cell r="I10" t="str">
            <v>员工报账业务-3.出差申请流程控制-控制措施01</v>
          </cell>
          <cell r="J10" t="str">
            <v>审批要素完整性校验，系统强制校验审批单的必备要素，对缺少出差事由等关键要素的申请单不予通过。</v>
          </cell>
        </row>
        <row r="10">
          <cell r="M10" t="str">
            <v>√</v>
          </cell>
        </row>
        <row r="10">
          <cell r="T10" t="str">
            <v>系统已建</v>
          </cell>
          <cell r="U10" t="str">
            <v>国网商旅</v>
          </cell>
          <cell r="V10" t="str">
            <v>1.系统出差申请单审批轨迹；
2.系统记录的申请单提交时间和出差时间。</v>
          </cell>
          <cell r="W10" t="str">
            <v>各级单位-各部门-出差人员、各级单位-各部门-负责人、商旅云公司</v>
          </cell>
          <cell r="X10" t="str">
            <v>每日</v>
          </cell>
          <cell r="Y10" t="str">
            <v>全量检查</v>
          </cell>
        </row>
        <row r="10">
          <cell r="AA10" t="str">
            <v>每年</v>
          </cell>
          <cell r="AB10" t="str">
            <v>抽查</v>
          </cell>
        </row>
        <row r="10">
          <cell r="AD10" t="str">
            <v>员工差旅流程配置监督场景</v>
          </cell>
          <cell r="AE10" t="str">
            <v>每月</v>
          </cell>
          <cell r="AF10" t="str">
            <v>抽查</v>
          </cell>
        </row>
        <row r="10">
          <cell r="AH10" t="str">
            <v>是</v>
          </cell>
          <cell r="AI10" t="str">
            <v>是</v>
          </cell>
          <cell r="AJ10" t="str">
            <v>《国家电网有限公司差旅费管理办法》（国家电网企管〔2026〕101号）第五条</v>
          </cell>
          <cell r="AK10" t="str">
            <v>国网财务部</v>
          </cell>
        </row>
        <row r="11">
          <cell r="I11" t="str">
            <v>员工报账业务-3.出差申请流程控制-控制措施02</v>
          </cell>
          <cell r="J11" t="str">
            <v>严格执行不相容控制，系统根据组织架构与授权清单自动匹配并校验审批人权限，防范越权审批</v>
          </cell>
        </row>
        <row r="11">
          <cell r="R11" t="str">
            <v>√</v>
          </cell>
        </row>
        <row r="11">
          <cell r="T11" t="str">
            <v>系统已建</v>
          </cell>
          <cell r="U11" t="str">
            <v>国网商旅</v>
          </cell>
          <cell r="V11" t="str">
            <v>1.系统记录的申请单提交时间和出差时间。</v>
          </cell>
          <cell r="W11" t="str">
            <v>商旅云公司、各级单位-各部门-出差人员、各级单位-各部门-负责人</v>
          </cell>
          <cell r="X11" t="str">
            <v>每日</v>
          </cell>
          <cell r="Y11" t="str">
            <v>全量检查</v>
          </cell>
        </row>
        <row r="11">
          <cell r="AA11" t="str">
            <v>每年</v>
          </cell>
          <cell r="AB11" t="str">
            <v>抽查</v>
          </cell>
        </row>
        <row r="11">
          <cell r="AD11" t="str">
            <v>员工差旅流程配置监督场景</v>
          </cell>
          <cell r="AE11" t="str">
            <v>每月</v>
          </cell>
          <cell r="AF11" t="str">
            <v>抽查</v>
          </cell>
        </row>
        <row r="11">
          <cell r="AH11" t="str">
            <v>是</v>
          </cell>
          <cell r="AI11" t="str">
            <v>是</v>
          </cell>
          <cell r="AJ11" t="str">
            <v>《国家电网有限公司差旅费管理办法》（国家电网企管〔2026〕101号）第五条</v>
          </cell>
          <cell r="AK11" t="str">
            <v>国网财务部</v>
          </cell>
        </row>
        <row r="12">
          <cell r="I12" t="str">
            <v>员工报账业务-3.出差申请流程控制-控制措施03</v>
          </cell>
          <cell r="J12" t="str">
            <v>建立定期分析、评价与问责机制，各部门对审批时效、驳回率、特批事项进行专项分析，审计部门、纪检部门等监督部门对违规审批、补批行为依规问责。</v>
          </cell>
        </row>
        <row r="12">
          <cell r="M12" t="str">
            <v>√</v>
          </cell>
        </row>
        <row r="12">
          <cell r="R12" t="str">
            <v>√</v>
          </cell>
          <cell r="S12" t="str">
            <v>√</v>
          </cell>
          <cell r="T12" t="str">
            <v>线下管控</v>
          </cell>
        </row>
        <row r="12">
          <cell r="V12" t="str">
            <v>1.系统记录的申请单提交时间和出差时间。</v>
          </cell>
          <cell r="W12" t="str">
            <v>商旅云公司、各级单位-审计部门、纪检部门等监督部门-监督、纪检管理人员</v>
          </cell>
          <cell r="X12" t="str">
            <v>每日</v>
          </cell>
          <cell r="Y12" t="str">
            <v>全量检查</v>
          </cell>
        </row>
        <row r="12">
          <cell r="AA12" t="str">
            <v>每年</v>
          </cell>
          <cell r="AB12" t="str">
            <v>抽查</v>
          </cell>
        </row>
        <row r="12">
          <cell r="AD12" t="str">
            <v>员工差旅流程配置监督场景</v>
          </cell>
          <cell r="AE12" t="str">
            <v>每月</v>
          </cell>
          <cell r="AF12" t="str">
            <v>抽查</v>
          </cell>
        </row>
        <row r="12">
          <cell r="AH12" t="str">
            <v>是</v>
          </cell>
          <cell r="AI12" t="str">
            <v>是</v>
          </cell>
          <cell r="AJ12" t="str">
            <v>《国家电网有限公司差旅费管理办法》（国家电网企管〔2026〕101号）第五条</v>
          </cell>
          <cell r="AK12" t="str">
            <v>国网财务部</v>
          </cell>
        </row>
        <row r="13">
          <cell r="C13" t="str">
            <v>税务合规</v>
          </cell>
          <cell r="D13" t="str">
            <v>差旅预订</v>
          </cell>
          <cell r="E13" t="str">
            <v>商旅平台酒店存在棋牌、麻将、电竞等敏感字眼，商旅平台违规上架引发合规风险。</v>
          </cell>
        </row>
        <row r="13">
          <cell r="G13" t="str">
            <v>4.酒店入驻上架控制</v>
          </cell>
          <cell r="H13" t="str">
            <v>酒店资源上架流程合规，且履行必要的审批手续。</v>
          </cell>
          <cell r="I13" t="str">
            <v>员工报账业务-4.酒店入驻上架控制-控制措施01</v>
          </cell>
          <cell r="J13" t="str">
            <v>商旅云公司强化供应商准入审核，对新签约酒店的的资质有效性、服务适配性以及风险可控性等信息进行事前审核。</v>
          </cell>
        </row>
        <row r="13">
          <cell r="O13" t="str">
            <v>√</v>
          </cell>
        </row>
        <row r="13">
          <cell r="T13" t="str">
            <v>系统待建</v>
          </cell>
          <cell r="U13" t="str">
            <v>国网商旅</v>
          </cell>
          <cell r="V13" t="str">
            <v>1.酒店资质、营业执照、房型清单。</v>
          </cell>
          <cell r="W13" t="str">
            <v>商旅云公司</v>
          </cell>
          <cell r="X13" t="str">
            <v>每日</v>
          </cell>
          <cell r="Y13" t="str">
            <v>全量检查</v>
          </cell>
        </row>
        <row r="13">
          <cell r="AA13" t="str">
            <v>每年</v>
          </cell>
          <cell r="AB13" t="str">
            <v>抽查</v>
          </cell>
        </row>
        <row r="13">
          <cell r="AD13" t="str">
            <v>员工差旅预订监督场景</v>
          </cell>
          <cell r="AE13" t="str">
            <v>每月</v>
          </cell>
          <cell r="AF13" t="str">
            <v>抽查</v>
          </cell>
        </row>
        <row r="13">
          <cell r="AH13" t="str">
            <v>是</v>
          </cell>
          <cell r="AI13" t="str">
            <v>是</v>
          </cell>
          <cell r="AJ13" t="str">
            <v>《国家电网有限公司差旅费管理办法》（国家电网企管〔2026〕101号）第五条</v>
          </cell>
          <cell r="AK13" t="str">
            <v>国网财务部</v>
          </cell>
        </row>
        <row r="14">
          <cell r="I14" t="str">
            <v>员工报账业务-4.酒店入驻上架控制-控制措施02</v>
          </cell>
          <cell r="J14" t="str">
            <v>商旅云公司建立并动态更新《敏感词库与酒店属性负面清单》，系统自动拦截负面清单内容并转人工复核。</v>
          </cell>
        </row>
        <row r="14">
          <cell r="O14" t="str">
            <v>√</v>
          </cell>
        </row>
        <row r="14">
          <cell r="Q14" t="str">
            <v>√</v>
          </cell>
        </row>
        <row r="14">
          <cell r="S14" t="str">
            <v>√</v>
          </cell>
          <cell r="T14" t="str">
            <v>系统待建</v>
          </cell>
          <cell r="U14" t="str">
            <v>国网商旅</v>
          </cell>
          <cell r="V14" t="str">
            <v>1.系统敏感词库与酒店属性负面清单。</v>
          </cell>
          <cell r="W14" t="str">
            <v>商旅云公司</v>
          </cell>
          <cell r="X14" t="str">
            <v>每日</v>
          </cell>
          <cell r="Y14" t="str">
            <v>全量检查</v>
          </cell>
        </row>
        <row r="14">
          <cell r="AA14" t="str">
            <v>每年</v>
          </cell>
          <cell r="AB14" t="str">
            <v>抽查</v>
          </cell>
        </row>
        <row r="14">
          <cell r="AD14" t="str">
            <v>员工差旅预订监督场景</v>
          </cell>
          <cell r="AE14" t="str">
            <v>每月</v>
          </cell>
          <cell r="AF14" t="str">
            <v>抽查</v>
          </cell>
        </row>
        <row r="14">
          <cell r="AH14" t="str">
            <v>是</v>
          </cell>
          <cell r="AI14" t="str">
            <v>是</v>
          </cell>
          <cell r="AJ14" t="str">
            <v>《国家电网有限公司差旅费管理办法》（国家电网企管〔2026〕101号）第五条</v>
          </cell>
          <cell r="AK14" t="str">
            <v>国网财务部</v>
          </cell>
        </row>
        <row r="15">
          <cell r="I15" t="str">
            <v>员工报账业务-4.酒店入驻上架控制-控制措施03</v>
          </cell>
          <cell r="J15" t="str">
            <v>追回违规上架酒店产生的资金浪费，并对相关负责人按规定给予处分处理。</v>
          </cell>
        </row>
        <row r="15">
          <cell r="R15" t="str">
            <v>√</v>
          </cell>
          <cell r="S15" t="str">
            <v>√</v>
          </cell>
          <cell r="T15" t="str">
            <v>线下管控</v>
          </cell>
        </row>
        <row r="15">
          <cell r="V15" t="str">
            <v>1.问责证明材料。</v>
          </cell>
          <cell r="W15" t="str">
            <v>商旅云公司</v>
          </cell>
          <cell r="X15" t="str">
            <v>每日</v>
          </cell>
          <cell r="Y15" t="str">
            <v>全量检查</v>
          </cell>
        </row>
        <row r="15">
          <cell r="AA15" t="str">
            <v>每年</v>
          </cell>
          <cell r="AB15" t="str">
            <v>抽查</v>
          </cell>
        </row>
        <row r="15">
          <cell r="AD15" t="str">
            <v>员工差旅预订监督场景</v>
          </cell>
          <cell r="AE15" t="str">
            <v>每月</v>
          </cell>
          <cell r="AF15" t="str">
            <v>抽查</v>
          </cell>
        </row>
        <row r="15">
          <cell r="AH15" t="str">
            <v>是</v>
          </cell>
          <cell r="AI15" t="str">
            <v>是</v>
          </cell>
          <cell r="AJ15" t="str">
            <v>《国家电网有限公司差旅费管理办法》（国家电网企管〔2026〕101号）第五条</v>
          </cell>
          <cell r="AK15" t="str">
            <v>国网财务部</v>
          </cell>
        </row>
        <row r="16">
          <cell r="C16" t="str">
            <v>资金资产安全</v>
          </cell>
          <cell r="D16" t="str">
            <v>差旅预订</v>
          </cell>
          <cell r="E16" t="str">
            <v>酒店价格虚高易引发套取资金，引发廉政风险。</v>
          </cell>
          <cell r="F16" t="str">
            <v>87.违规发放津贴补贴：存在多报差旅补贴、虚报差旅补贴等问题。</v>
          </cell>
          <cell r="G16" t="str">
            <v>5.单体酒店上架及价格定价管控</v>
          </cell>
          <cell r="H16" t="str">
            <v>商旅平台酒店资源价格真实合理。</v>
          </cell>
          <cell r="I16" t="str">
            <v>员工报账业务-5.单体酒店上架及价格定价管控-控制措施01</v>
          </cell>
          <cell r="J16" t="str">
            <v>增加单体酒店上架申请审批流程，由各单位办公室汇总审核本单位酒店需求，向商旅云公司提交上架。</v>
          </cell>
        </row>
        <row r="16">
          <cell r="L16" t="str">
            <v>√</v>
          </cell>
        </row>
        <row r="16">
          <cell r="O16" t="str">
            <v>√</v>
          </cell>
        </row>
        <row r="16">
          <cell r="T16" t="str">
            <v>系统已建</v>
          </cell>
          <cell r="U16" t="str">
            <v>国网商旅</v>
          </cell>
          <cell r="V16" t="str">
            <v>1.协议单体酒店推荐表单。</v>
          </cell>
          <cell r="W16" t="str">
            <v>商旅云公司、各级单位-办公室财务部</v>
          </cell>
          <cell r="X16" t="str">
            <v>每日</v>
          </cell>
          <cell r="Y16" t="str">
            <v>全量检查</v>
          </cell>
        </row>
        <row r="16">
          <cell r="AA16" t="str">
            <v>每年</v>
          </cell>
          <cell r="AB16" t="str">
            <v>抽查</v>
          </cell>
        </row>
        <row r="16">
          <cell r="AD16" t="str">
            <v>员工差旅预订监督场景</v>
          </cell>
          <cell r="AE16" t="str">
            <v>每月</v>
          </cell>
          <cell r="AF16" t="str">
            <v>抽查</v>
          </cell>
        </row>
        <row r="16">
          <cell r="AH16" t="str">
            <v>是</v>
          </cell>
          <cell r="AI16" t="str">
            <v>是</v>
          </cell>
          <cell r="AJ16" t="str">
            <v>《国家电网有限公司差旅费管理办法》（国家电网企管〔2026〕101号）第五条</v>
          </cell>
          <cell r="AK16" t="str">
            <v>国网财务部</v>
          </cell>
        </row>
        <row r="17">
          <cell r="I17" t="str">
            <v>员工报账业务-5.单体酒店上架及价格定价管控-控制措施02</v>
          </cell>
          <cell r="J17" t="str">
            <v>商旅云公司强化协议签订管控，严格审核酒店资质，严控无理由上架，防范舞弊行为。</v>
          </cell>
        </row>
        <row r="17">
          <cell r="O17" t="str">
            <v>√</v>
          </cell>
        </row>
        <row r="17">
          <cell r="T17" t="str">
            <v>系统已建</v>
          </cell>
          <cell r="U17" t="str">
            <v>国网商旅</v>
          </cell>
          <cell r="V17" t="str">
            <v>1.酒单违规风险清单；
2.采购协议酒店清单；
3.酒店上架评审报告。 </v>
          </cell>
          <cell r="W17" t="str">
            <v>商旅云公司</v>
          </cell>
          <cell r="X17" t="str">
            <v>每日</v>
          </cell>
          <cell r="Y17" t="str">
            <v>全量检查</v>
          </cell>
        </row>
        <row r="17">
          <cell r="AA17" t="str">
            <v>每年</v>
          </cell>
          <cell r="AB17" t="str">
            <v>抽查</v>
          </cell>
        </row>
        <row r="17">
          <cell r="AD17" t="str">
            <v>员工差旅预订监督场景</v>
          </cell>
          <cell r="AE17" t="str">
            <v>每月</v>
          </cell>
          <cell r="AF17" t="str">
            <v>抽查</v>
          </cell>
        </row>
        <row r="17">
          <cell r="AH17" t="str">
            <v>是</v>
          </cell>
          <cell r="AI17" t="str">
            <v>是</v>
          </cell>
          <cell r="AJ17" t="str">
            <v>《国家电网有限公司差旅费管理办法》（国家电网企管〔2026〕101号）第五条</v>
          </cell>
          <cell r="AK17" t="str">
            <v>国网财务部</v>
          </cell>
        </row>
        <row r="18">
          <cell r="I18" t="str">
            <v>员工报账业务-5.单体酒店上架及价格定价管控-控制措施03</v>
          </cell>
          <cell r="J18" t="str">
            <v>加强员工行为管控，商旅云公司强化酒店订单在线监督，防范员工违规套取资金。</v>
          </cell>
        </row>
        <row r="18">
          <cell r="M18" t="str">
            <v>√</v>
          </cell>
        </row>
        <row r="18">
          <cell r="R18" t="str">
            <v>√</v>
          </cell>
        </row>
        <row r="18">
          <cell r="T18" t="str">
            <v>系统已建</v>
          </cell>
          <cell r="U18" t="str">
            <v>国网商旅</v>
          </cell>
          <cell r="V18" t="str">
            <v>1.酒店合作协议。</v>
          </cell>
          <cell r="W18" t="str">
            <v>商旅云公司</v>
          </cell>
          <cell r="X18" t="str">
            <v>每日</v>
          </cell>
          <cell r="Y18" t="str">
            <v>全量检查</v>
          </cell>
        </row>
        <row r="18">
          <cell r="AA18" t="str">
            <v>每年</v>
          </cell>
          <cell r="AB18" t="str">
            <v>抽查</v>
          </cell>
        </row>
        <row r="18">
          <cell r="AD18" t="str">
            <v>员工差旅预订监督场景</v>
          </cell>
          <cell r="AE18" t="str">
            <v>每月</v>
          </cell>
          <cell r="AF18" t="str">
            <v>抽查</v>
          </cell>
        </row>
        <row r="18">
          <cell r="AH18" t="str">
            <v>是</v>
          </cell>
          <cell r="AI18" t="str">
            <v>是</v>
          </cell>
          <cell r="AJ18" t="str">
            <v>《国家电网有限公司差旅费管理办法》（国家电网企管〔2026〕101号）第五条</v>
          </cell>
          <cell r="AK18" t="str">
            <v>国网财务部</v>
          </cell>
        </row>
        <row r="19">
          <cell r="A19" t="str">
            <v>员工报账</v>
          </cell>
          <cell r="B19" t="str">
            <v>一、员工差旅</v>
          </cell>
          <cell r="C19" t="str">
            <v>资金资产安全</v>
          </cell>
          <cell r="D19" t="str">
            <v>差旅预订</v>
          </cell>
          <cell r="E19" t="str">
            <v>酒店价格虚高易引发套取资金，引发廉政风险。</v>
          </cell>
          <cell r="F19" t="str">
            <v>87.违规发放津贴补贴：存在多报差旅补贴、虚报差旅补贴等问题。</v>
          </cell>
          <cell r="G19" t="str">
            <v>5.单体酒店上架及价格定价管控</v>
          </cell>
          <cell r="H19" t="str">
            <v>商旅平台酒店资源价格真实合理。</v>
          </cell>
          <cell r="I19" t="str">
            <v>员工报账业务-5.单体酒店上架及价格定价管控-控制措施04</v>
          </cell>
          <cell r="J19" t="str">
            <v>建立负面清单，及时清退违规酒店。</v>
          </cell>
        </row>
        <row r="19">
          <cell r="R19" t="str">
            <v>√</v>
          </cell>
          <cell r="S19" t="str">
            <v>√</v>
          </cell>
          <cell r="T19" t="str">
            <v>线下管控</v>
          </cell>
        </row>
        <row r="19">
          <cell r="V19" t="str">
            <v>1.酒店风险识别机制；
2.员工体验反馈。</v>
          </cell>
          <cell r="W19" t="str">
            <v>商旅云公司</v>
          </cell>
          <cell r="X19" t="str">
            <v>每日</v>
          </cell>
          <cell r="Y19" t="str">
            <v>全量检查</v>
          </cell>
        </row>
        <row r="19">
          <cell r="AA19" t="str">
            <v>每年</v>
          </cell>
          <cell r="AB19" t="str">
            <v>抽查</v>
          </cell>
        </row>
        <row r="19">
          <cell r="AD19" t="str">
            <v>员工差旅预订监督场景</v>
          </cell>
          <cell r="AE19" t="str">
            <v>每月</v>
          </cell>
          <cell r="AF19" t="str">
            <v>抽查</v>
          </cell>
        </row>
        <row r="19">
          <cell r="AH19" t="str">
            <v>是</v>
          </cell>
          <cell r="AI19" t="str">
            <v>是</v>
          </cell>
          <cell r="AJ19" t="str">
            <v>《国家电网有限公司差旅费管理办法》（国家电网企管〔2026〕101号）第五条</v>
          </cell>
          <cell r="AK19" t="str">
            <v>国网财务部</v>
          </cell>
        </row>
        <row r="20">
          <cell r="D20" t="str">
            <v>差旅预订</v>
          </cell>
          <cell r="E20" t="str">
            <v>员工在同一时间段内重复预订酒店资源，存在套取资金风险。</v>
          </cell>
          <cell r="F20" t="str">
            <v>87.违规发放津贴补贴：存在多报差旅补贴、虚报差旅补贴等问题。</v>
          </cell>
          <cell r="G20" t="str">
            <v>6.酒店预订</v>
          </cell>
          <cell r="H20" t="str">
            <v>同一员工在同一时间段内，就同一出差行程，仅能生成一个有效住宿订单。</v>
          </cell>
          <cell r="I20" t="str">
            <v>员工报账业务-6.酒店预订-控制措施01</v>
          </cell>
          <cell r="J20" t="str">
            <v>商旅云公司完善重复订单系统校验规则，自动拦截并预警同一人员、时段重叠的酒店订单申请。</v>
          </cell>
        </row>
        <row r="20">
          <cell r="M20" t="str">
            <v>√</v>
          </cell>
        </row>
        <row r="20">
          <cell r="T20" t="str">
            <v>系统已建</v>
          </cell>
          <cell r="U20" t="str">
            <v>国网商旅</v>
          </cell>
          <cell r="V20" t="str">
            <v>1.商旅订单；
2.出差通知、培训通知等出差缘由证明材料。</v>
          </cell>
          <cell r="W20" t="str">
            <v>各级单位-各部门-出差人员、商旅云公司</v>
          </cell>
          <cell r="X20" t="str">
            <v>每日</v>
          </cell>
          <cell r="Y20" t="str">
            <v>全量检查</v>
          </cell>
        </row>
        <row r="20">
          <cell r="AA20" t="str">
            <v>每年</v>
          </cell>
          <cell r="AB20" t="str">
            <v>抽查</v>
          </cell>
        </row>
        <row r="20">
          <cell r="AD20" t="str">
            <v>员工差旅预订监督场景</v>
          </cell>
          <cell r="AE20" t="str">
            <v>每月</v>
          </cell>
          <cell r="AF20" t="str">
            <v>抽查</v>
          </cell>
        </row>
        <row r="20">
          <cell r="AH20" t="str">
            <v>是</v>
          </cell>
          <cell r="AI20" t="str">
            <v>是</v>
          </cell>
          <cell r="AJ20" t="str">
            <v>《国家电网有限公司差旅费管理办法》（国家电网企管〔2026〕101号）第二十四条</v>
          </cell>
          <cell r="AK20" t="str">
            <v>国网财务部</v>
          </cell>
        </row>
        <row r="21">
          <cell r="I21" t="str">
            <v>员工报账业务-6.酒店预订-控制措施02</v>
          </cell>
          <cell r="J21" t="str">
            <v>商旅云公司健全入住轨迹验证与反馈机制，自动识别入住轨迹异常情况，即时预警有关责任人。</v>
          </cell>
        </row>
        <row r="21">
          <cell r="M21" t="str">
            <v>√</v>
          </cell>
        </row>
        <row r="21">
          <cell r="S21" t="str">
            <v>√</v>
          </cell>
          <cell r="T21" t="str">
            <v>系统已建</v>
          </cell>
          <cell r="U21" t="str">
            <v>国网商旅</v>
          </cell>
          <cell r="V21" t="str">
            <v>1.系统拦截记录。</v>
          </cell>
          <cell r="W21" t="str">
            <v>各级单位-各部门-出差人员、商旅云公司</v>
          </cell>
          <cell r="X21" t="str">
            <v>每日</v>
          </cell>
          <cell r="Y21" t="str">
            <v>全量检查</v>
          </cell>
        </row>
        <row r="21">
          <cell r="AA21" t="str">
            <v>每年</v>
          </cell>
          <cell r="AB21" t="str">
            <v>抽查</v>
          </cell>
        </row>
        <row r="21">
          <cell r="AD21" t="str">
            <v>员工差旅预订监督场景</v>
          </cell>
          <cell r="AE21" t="str">
            <v>每月</v>
          </cell>
          <cell r="AF21" t="str">
            <v>抽查</v>
          </cell>
        </row>
        <row r="21">
          <cell r="AH21" t="str">
            <v>是</v>
          </cell>
          <cell r="AI21" t="str">
            <v>是</v>
          </cell>
          <cell r="AJ21" t="str">
            <v>《国家电网有限公司差旅费管理办法》（国家电网企管〔2026〕101号）第二十四条</v>
          </cell>
          <cell r="AK21" t="str">
            <v>国网财务部</v>
          </cell>
        </row>
        <row r="22">
          <cell r="I22" t="str">
            <v>员工报账业务-6.酒店预订-控制措施03</v>
          </cell>
          <cell r="J22" t="str">
            <v>财务部门加强出差申请与酒店订单的交叉复核，校验人员、时间、订单的合理性与唯一性。</v>
          </cell>
        </row>
        <row r="22">
          <cell r="M22" t="str">
            <v>√</v>
          </cell>
        </row>
        <row r="22">
          <cell r="T22" t="str">
            <v>系统已建</v>
          </cell>
          <cell r="U22" t="str">
            <v>国网商旅</v>
          </cell>
          <cell r="V22" t="str">
            <v>1.出差报销单；
2.入住轨迹与异常情况反馈。</v>
          </cell>
          <cell r="W22" t="str">
            <v>各级单位-各部门-出差人员、各级单位-财务部门-成本管理人员、商旅云公司</v>
          </cell>
          <cell r="X22" t="str">
            <v>每日</v>
          </cell>
          <cell r="Y22" t="str">
            <v>全量检查</v>
          </cell>
        </row>
        <row r="22">
          <cell r="AA22" t="str">
            <v>每年</v>
          </cell>
          <cell r="AB22" t="str">
            <v>抽查</v>
          </cell>
        </row>
        <row r="22">
          <cell r="AD22" t="str">
            <v>员工差旅预订监督场景</v>
          </cell>
          <cell r="AE22" t="str">
            <v>每月</v>
          </cell>
          <cell r="AF22" t="str">
            <v>抽查</v>
          </cell>
        </row>
        <row r="22">
          <cell r="AH22" t="str">
            <v>是</v>
          </cell>
          <cell r="AI22" t="str">
            <v>是</v>
          </cell>
          <cell r="AJ22" t="str">
            <v>《国家电网有限公司差旅费管理办法》（国家电网企管〔2026〕101号）第二十四条</v>
          </cell>
          <cell r="AK22" t="str">
            <v>国网财务部</v>
          </cell>
        </row>
        <row r="23">
          <cell r="C23" t="str">
            <v>税务合规</v>
          </cell>
          <cell r="D23" t="str">
            <v>差旅报销</v>
          </cell>
          <cell r="E23" t="str">
            <v>擅自扩大差旅费开支范围，提高差旅费开支标准，增加差旅出行成本。</v>
          </cell>
          <cell r="F23" t="str">
            <v>87.违规发放津贴补贴：存在多报差旅补贴、虚报差旅补贴等问题。</v>
          </cell>
          <cell r="G23" t="str">
            <v>7.差旅标准执行</v>
          </cell>
          <cell r="H23" t="str">
            <v>差旅费开支标准、开支范围符合本单位差旅费标准。</v>
          </cell>
          <cell r="I23" t="str">
            <v>员工报账业务-7.差旅标准执行-控制措施01</v>
          </cell>
          <cell r="J23" t="str">
            <v>商旅云公司完善差旅费超标刚性管控功能，系统对超标申请酒店、交通工具和差旅补助进行自动隐藏。</v>
          </cell>
        </row>
        <row r="23">
          <cell r="M23" t="str">
            <v>√</v>
          </cell>
        </row>
        <row r="23">
          <cell r="R23" t="str">
            <v>√</v>
          </cell>
        </row>
        <row r="23">
          <cell r="T23" t="str">
            <v>系统已建</v>
          </cell>
          <cell r="U23" t="str">
            <v>国网商旅</v>
          </cell>
          <cell r="V23" t="str">
            <v>1.差旅标准系统校验规则库；
2.出差通知、培训通知等出差缘由证明材料；
3.出差审批单；
4.出差报销单。</v>
          </cell>
          <cell r="W23" t="str">
            <v>各级单位-财务部门-预算管理人员、各级单位-各部门-出差人员、各级单位-各部门-负责人、各级单位-财务部门-成本管理人员、商旅云公司</v>
          </cell>
          <cell r="X23" t="str">
            <v>每日</v>
          </cell>
          <cell r="Y23" t="str">
            <v>全量检查</v>
          </cell>
        </row>
        <row r="23">
          <cell r="AA23" t="str">
            <v>每年</v>
          </cell>
          <cell r="AB23" t="str">
            <v>抽查</v>
          </cell>
        </row>
        <row r="23">
          <cell r="AD23" t="str">
            <v>员工差旅费用标准监督场景</v>
          </cell>
          <cell r="AE23" t="str">
            <v>每月</v>
          </cell>
          <cell r="AF23" t="str">
            <v>抽查</v>
          </cell>
        </row>
        <row r="23">
          <cell r="AH23" t="str">
            <v>是</v>
          </cell>
          <cell r="AI23" t="str">
            <v>是</v>
          </cell>
          <cell r="AJ23" t="str">
            <v>《国家电网有限公司差旅费管理办法》（国家电网企管〔2026〕101号）第八条、第十一条至第十九条</v>
          </cell>
          <cell r="AK23" t="str">
            <v>国网财务部</v>
          </cell>
        </row>
        <row r="24">
          <cell r="I24" t="str">
            <v>员工报账业务-7.差旅标准执行-控制措施02</v>
          </cell>
          <cell r="J24" t="str">
            <v>财务部门加强出差类别与出差性质审核，重点关注评标、培训等特殊出差事项政策执行情况。</v>
          </cell>
        </row>
        <row r="24">
          <cell r="M24" t="str">
            <v>√</v>
          </cell>
        </row>
        <row r="24">
          <cell r="Q24" t="str">
            <v>√</v>
          </cell>
        </row>
        <row r="24">
          <cell r="T24" t="str">
            <v>系统已建</v>
          </cell>
          <cell r="U24" t="str">
            <v>国网商旅</v>
          </cell>
          <cell r="V24" t="str">
            <v>1.差旅标准系统校验规则库；
2.出差通知、培训通知等出差缘由证明材料；
3.出差审批单；
4.出差报销单。</v>
          </cell>
          <cell r="W24" t="str">
            <v>各级单位-财务部门-预算管理人员、各级单位-各部门-负责人、各级单位-财务部门-成本管理人员、商旅云公司</v>
          </cell>
          <cell r="X24" t="str">
            <v>每日</v>
          </cell>
          <cell r="Y24" t="str">
            <v>全量检查</v>
          </cell>
        </row>
        <row r="24">
          <cell r="AA24" t="str">
            <v>每年</v>
          </cell>
          <cell r="AB24" t="str">
            <v>抽查</v>
          </cell>
        </row>
        <row r="24">
          <cell r="AD24" t="str">
            <v>员工差旅费用标准监督场景</v>
          </cell>
          <cell r="AE24" t="str">
            <v>每月</v>
          </cell>
          <cell r="AF24" t="str">
            <v>抽查</v>
          </cell>
        </row>
        <row r="24">
          <cell r="AH24" t="str">
            <v>是</v>
          </cell>
          <cell r="AI24" t="str">
            <v>是</v>
          </cell>
          <cell r="AJ24" t="str">
            <v>《国家电网有限公司差旅费管理办法》（国家电网企管〔2026〕101号）第八条、第十一条至第十九条</v>
          </cell>
          <cell r="AK24" t="str">
            <v>国网财务部</v>
          </cell>
        </row>
        <row r="25">
          <cell r="I25" t="str">
            <v>员工报账业务-7.差旅标准执行-控制措施03</v>
          </cell>
          <cell r="J25" t="str">
            <v>纪检部门推动退赔与整改机制，对超标报销行为依规严肃问责。</v>
          </cell>
        </row>
        <row r="25">
          <cell r="R25" t="str">
            <v>√</v>
          </cell>
          <cell r="S25" t="str">
            <v>√</v>
          </cell>
          <cell r="T25" t="str">
            <v>线下管控</v>
          </cell>
        </row>
        <row r="25">
          <cell r="V25" t="str">
            <v>1.问责证明材料。</v>
          </cell>
          <cell r="W25" t="str">
            <v>各级单位-财务部门-预算管理人员、各级单位-各部门-出差人员、各级单位-各部门-负责人、各级单位-财务部门-成本管理人员、商旅云公司、各级单位-纪检部门-纪检管理人员</v>
          </cell>
          <cell r="X25" t="str">
            <v>每日</v>
          </cell>
          <cell r="Y25" t="str">
            <v>全量检查</v>
          </cell>
        </row>
        <row r="25">
          <cell r="AA25" t="str">
            <v>每年</v>
          </cell>
          <cell r="AB25" t="str">
            <v>抽查</v>
          </cell>
        </row>
        <row r="25">
          <cell r="AD25" t="str">
            <v>员工差旅费用标准监督场景</v>
          </cell>
          <cell r="AE25" t="str">
            <v>每月</v>
          </cell>
          <cell r="AF25" t="str">
            <v>抽查</v>
          </cell>
        </row>
        <row r="25">
          <cell r="AH25" t="str">
            <v>是</v>
          </cell>
          <cell r="AI25" t="str">
            <v>是</v>
          </cell>
          <cell r="AJ25" t="str">
            <v>《国家电网有限公司差旅费管理办法》（国家电网企管〔2026〕101号）第八条、第十一条至第十九条、《国网湖南省电力有限公司关于印发加强差旅费管理有关规定的通知》第一条</v>
          </cell>
          <cell r="AK25" t="str">
            <v>国网财务部</v>
          </cell>
        </row>
        <row r="26">
          <cell r="A26" t="str">
            <v>员工报账</v>
          </cell>
          <cell r="B26" t="str">
            <v>一、员工差旅</v>
          </cell>
          <cell r="C26" t="str">
            <v>资金资产安全</v>
          </cell>
          <cell r="D26" t="str">
            <v>差旅报销</v>
          </cell>
          <cell r="E26" t="str">
            <v>虚报冒领差旅费，虚列套取费用，导致资金安全风险。</v>
          </cell>
          <cell r="F26" t="str">
            <v>87.违规发放津贴补贴：存在多报差旅补贴、虚报差旅补贴等问题。</v>
          </cell>
          <cell r="G26" t="str">
            <v>8.差旅报销合规性控制</v>
          </cell>
          <cell r="H26" t="str">
            <v>交通费、公杂费、住宿费等报销真实发生，差旅费报销准确。</v>
          </cell>
          <cell r="I26" t="str">
            <v>员工报账业务-8.差旅报销合规性控制-控制措施01</v>
          </cell>
          <cell r="J26" t="str">
            <v>建立业务部门费用报销前置审核机制，对机票、酒店、火车、补助等金额准确性复核。</v>
          </cell>
        </row>
        <row r="26">
          <cell r="M26" t="str">
            <v>√</v>
          </cell>
        </row>
        <row r="26">
          <cell r="Q26" t="str">
            <v>√</v>
          </cell>
          <cell r="R26" t="str">
            <v>√</v>
          </cell>
        </row>
        <row r="26">
          <cell r="T26" t="str">
            <v>系统已建</v>
          </cell>
          <cell r="U26" t="str">
            <v>国网商旅</v>
          </cell>
          <cell r="V26" t="str">
            <v>1.出差通知、培训通知等出差缘由证明材料；
2.出差审批单；
3.预订的商旅订单；
4.发票；
5.考勤记录。</v>
          </cell>
          <cell r="W26" t="str">
            <v>各级单位-各部门-出差人员、各级单位-各部门-出差报销审核人、各级单位-财务部门-成本管理人员、商旅云公司</v>
          </cell>
          <cell r="X26" t="str">
            <v>每日</v>
          </cell>
          <cell r="Y26" t="str">
            <v>全量检查</v>
          </cell>
        </row>
        <row r="26">
          <cell r="AA26" t="str">
            <v>每年</v>
          </cell>
          <cell r="AB26" t="str">
            <v>抽查</v>
          </cell>
        </row>
        <row r="26">
          <cell r="AD26" t="str">
            <v>员工差旅报销监督场景</v>
          </cell>
          <cell r="AE26" t="str">
            <v>每月</v>
          </cell>
          <cell r="AF26" t="str">
            <v>抽查</v>
          </cell>
        </row>
        <row r="26">
          <cell r="AH26" t="str">
            <v>是</v>
          </cell>
          <cell r="AI26" t="str">
            <v>是</v>
          </cell>
          <cell r="AJ26" t="str">
            <v>《国网财务部、后勤部关于进一步规范差旅伙食费和交通费收交管理有关事项的通知》第三条、第四条
《国家电网有限公司差旅费管理办法》（国家电网企管〔2026〕101号）第十二条、第十三条、第十七条、第二十四条</v>
          </cell>
          <cell r="AK26" t="str">
            <v>国网财务部</v>
          </cell>
        </row>
        <row r="27">
          <cell r="I27" t="str">
            <v>员工报账业务-8.差旅报销合规性控制-控制措施02</v>
          </cell>
          <cell r="J27" t="str">
            <v>商旅云公司强化时空逻辑系统校验，对“出差时间-住宿时间-车票时间”进行自动校验，拦截或预警重叠数据。</v>
          </cell>
        </row>
        <row r="27">
          <cell r="M27" t="str">
            <v>√</v>
          </cell>
        </row>
        <row r="27">
          <cell r="Q27" t="str">
            <v>√</v>
          </cell>
        </row>
        <row r="27">
          <cell r="T27" t="str">
            <v>系统已建</v>
          </cell>
          <cell r="U27" t="str">
            <v>国网商旅</v>
          </cell>
          <cell r="V27" t="str">
            <v>1.出差通知、培训通知等出差缘由证明材料；
2.出差审批单；
3.预订的商旅订单；
4.发票；
5.考勤记录。</v>
          </cell>
          <cell r="W27" t="str">
            <v>商旅云公司</v>
          </cell>
          <cell r="X27" t="str">
            <v>每日</v>
          </cell>
          <cell r="Y27" t="str">
            <v>全量检查</v>
          </cell>
        </row>
        <row r="27">
          <cell r="AA27" t="str">
            <v>每年</v>
          </cell>
          <cell r="AB27" t="str">
            <v>抽查</v>
          </cell>
        </row>
        <row r="27">
          <cell r="AD27" t="str">
            <v>员工差旅报销监督场景</v>
          </cell>
          <cell r="AE27" t="str">
            <v>每月</v>
          </cell>
          <cell r="AF27" t="str">
            <v>抽查</v>
          </cell>
        </row>
        <row r="27">
          <cell r="AH27" t="str">
            <v>是</v>
          </cell>
          <cell r="AI27" t="str">
            <v>是</v>
          </cell>
          <cell r="AJ27" t="str">
            <v>《国网财务部、后勤部关于进一步规范差旅伙食费和交通费收交管理有关事项的通知》第三条、第四条
《国家电网有限公司差旅费管理办法》（国家电网企管〔2026〕101号第十二条、第十三条、第十七条、第二十四条</v>
          </cell>
          <cell r="AK27" t="str">
            <v>国网财务部</v>
          </cell>
        </row>
        <row r="28">
          <cell r="I28" t="str">
            <v>员工报账业务-8.差旅报销合规性控制-控制措施03</v>
          </cell>
          <cell r="J28" t="str">
            <v>商旅云公司健全票据使用状态规则，重点筛查“未使用”的交通票据，防范员工利用废票虚报费用或重复报销。</v>
          </cell>
        </row>
        <row r="28">
          <cell r="M28" t="str">
            <v>√</v>
          </cell>
        </row>
        <row r="28">
          <cell r="R28" t="str">
            <v>√</v>
          </cell>
        </row>
        <row r="28">
          <cell r="T28" t="str">
            <v>系统已建</v>
          </cell>
          <cell r="U28" t="str">
            <v>国网商旅</v>
          </cell>
          <cell r="V28" t="str">
            <v>1.出差通知、培训通知等出差缘由证明材料；
2.出差审批单；
3.预订的商旅订单；
4.发票；
5.考勤记录。</v>
          </cell>
          <cell r="W28" t="str">
            <v>各级单位-各部门-出差人员、各级单位-各部门-出差报销审核人、各级单位-财务部门-成本管理人员、商旅云公司</v>
          </cell>
          <cell r="X28" t="str">
            <v>每日</v>
          </cell>
          <cell r="Y28" t="str">
            <v>全量检查</v>
          </cell>
        </row>
        <row r="28">
          <cell r="AA28" t="str">
            <v>每年</v>
          </cell>
          <cell r="AB28" t="str">
            <v>抽查</v>
          </cell>
        </row>
        <row r="28">
          <cell r="AD28" t="str">
            <v>员工差旅报销监督场景</v>
          </cell>
          <cell r="AE28" t="str">
            <v>每月</v>
          </cell>
          <cell r="AF28" t="str">
            <v>抽查</v>
          </cell>
        </row>
        <row r="28">
          <cell r="AH28" t="str">
            <v>是</v>
          </cell>
          <cell r="AI28" t="str">
            <v>是</v>
          </cell>
          <cell r="AJ28" t="str">
            <v>《国网财务部、后勤部关于进一步规范差旅伙食费和交通费收交管理有关事项的通知》第三条、第四条
《国家电网有限公司差旅费管理办法》（国家电网企管〔2026〕101号）第十七条、第二十四条</v>
          </cell>
          <cell r="AK28" t="str">
            <v>国网财务部</v>
          </cell>
        </row>
        <row r="29">
          <cell r="I29" t="str">
            <v>员工报账业务-8.差旅报销合规性控制-控制措施04</v>
          </cell>
          <cell r="J29" t="str">
            <v>财务部门加强差旅报销审核力度，对同一时段连续出差公杂费、伙食补助费进行复核，避免重复计算。</v>
          </cell>
        </row>
        <row r="29">
          <cell r="M29" t="str">
            <v>√</v>
          </cell>
        </row>
        <row r="29">
          <cell r="Q29" t="str">
            <v>√</v>
          </cell>
        </row>
        <row r="29">
          <cell r="T29" t="str">
            <v>系统已建</v>
          </cell>
          <cell r="U29" t="str">
            <v>国网商旅</v>
          </cell>
          <cell r="V29" t="str">
            <v>1.出差通知、培训通知等出差缘由证明材料；
2.出差审批单；
3.预订的商旅订单；
4.发票；
5.考勤记录。</v>
          </cell>
          <cell r="W29" t="str">
            <v>各级单位-各部门-出差人员、各级单位-各部门-出差报销审核人、各级单位-财务部门-成本管理人员、商旅云公司</v>
          </cell>
          <cell r="X29" t="str">
            <v>每日</v>
          </cell>
          <cell r="Y29" t="str">
            <v>全量检查</v>
          </cell>
        </row>
        <row r="29">
          <cell r="AA29" t="str">
            <v>每年</v>
          </cell>
          <cell r="AB29" t="str">
            <v>抽查</v>
          </cell>
        </row>
        <row r="29">
          <cell r="AD29" t="str">
            <v>员工差旅报销监督场景</v>
          </cell>
          <cell r="AE29" t="str">
            <v>每月</v>
          </cell>
          <cell r="AF29" t="str">
            <v>抽查</v>
          </cell>
        </row>
        <row r="29">
          <cell r="AH29" t="str">
            <v>是</v>
          </cell>
          <cell r="AI29" t="str">
            <v>是</v>
          </cell>
          <cell r="AJ29" t="str">
            <v>《国网财务部、后勤部关于进一步规范差旅伙食费和交通费收交管理有关事项的通知》第三条、第四条
《国家电网有限公司差旅费管理办法》（国家电网企管〔2026〕101号第十二条、第十三条、第十七条、第二十四条</v>
          </cell>
          <cell r="AK29" t="str">
            <v>国网财务部</v>
          </cell>
        </row>
        <row r="30">
          <cell r="A30" t="str">
            <v>员工报账</v>
          </cell>
          <cell r="B30" t="str">
            <v>一、员工差旅</v>
          </cell>
          <cell r="C30" t="str">
            <v>资金资产安全</v>
          </cell>
          <cell r="D30" t="str">
            <v>差旅报销</v>
          </cell>
          <cell r="E30" t="str">
            <v>虚报冒领差旅费，虚列套取费用，导致资金安全风险。</v>
          </cell>
          <cell r="F30" t="str">
            <v>87.违规发放津贴补贴：存在多报差旅补贴、虚报差旅补贴等问题。</v>
          </cell>
          <cell r="G30" t="str">
            <v>8.差旅报销合规性控制</v>
          </cell>
          <cell r="H30" t="str">
            <v>交通费、公杂费、住宿费等报销真实发生，差旅费报销准确。</v>
          </cell>
          <cell r="I30" t="str">
            <v>员工报账业务-8.差旅报销合规性控制-控制措施05</v>
          </cell>
          <cell r="J30" t="str">
            <v>纪检部门完善违规问责与闭环管理机制，对未缴纳伙食费用套取各类补助和虚报行为进行问责，追回资金，并纳入个人诚信记录。</v>
          </cell>
        </row>
        <row r="30">
          <cell r="M30" t="str">
            <v>√</v>
          </cell>
        </row>
        <row r="30">
          <cell r="R30" t="str">
            <v>√</v>
          </cell>
          <cell r="S30" t="str">
            <v>√</v>
          </cell>
          <cell r="T30" t="str">
            <v>线下管控</v>
          </cell>
        </row>
        <row r="30">
          <cell r="V30" t="str">
            <v>1.问责证明材料。</v>
          </cell>
          <cell r="W30" t="str">
            <v>各级单位-各部门-出差人员、各级单位-各部门-出差报销审核人、各级单位-财务部门-成本管理人员、商旅云公司、各级单位-纪检部门-纪检管理人员</v>
          </cell>
          <cell r="X30" t="str">
            <v>每日</v>
          </cell>
          <cell r="Y30" t="str">
            <v>全量检查</v>
          </cell>
        </row>
        <row r="30">
          <cell r="AA30" t="str">
            <v>每年</v>
          </cell>
          <cell r="AB30" t="str">
            <v>抽查</v>
          </cell>
        </row>
        <row r="30">
          <cell r="AD30" t="str">
            <v>员工差旅报销监督场景</v>
          </cell>
          <cell r="AE30" t="str">
            <v>每月</v>
          </cell>
          <cell r="AF30" t="str">
            <v>抽查</v>
          </cell>
        </row>
        <row r="30">
          <cell r="AH30" t="str">
            <v>是</v>
          </cell>
          <cell r="AI30" t="str">
            <v>是</v>
          </cell>
          <cell r="AJ30" t="str">
            <v>《国网财务部、后勤部关于进一步规范差旅伙食费和交通费收交管理有关事项的通知》第三条、第四条
《国家电网有限公司差旅费管理办法》（国家电网企管〔2026〕101号）第十七条、第二十四条、《国网湖南省电力有限公司关于印发加强差旅费管理有关规定的通知》第一条</v>
          </cell>
          <cell r="AK30" t="str">
            <v>国网财务部</v>
          </cell>
        </row>
        <row r="31">
          <cell r="E31" t="str">
            <v>员工自付单据中的人员、时间与地点未在出差范围内，虚报支出，套取资金，导致公司经济利益受损。</v>
          </cell>
        </row>
        <row r="31">
          <cell r="G31" t="str">
            <v>9.自付单据审核</v>
          </cell>
          <cell r="H31" t="str">
            <v>自付单据中人员、时间、地点与出差申请单一致，自付交通费、住宿费符合差旅费标准。</v>
          </cell>
          <cell r="I31" t="str">
            <v>员工报账业务-9.自付单据审核-控制措施01</v>
          </cell>
          <cell r="J31" t="str">
            <v>商旅云公司健全“单轨控制”，系统强制关联“已完成审批单”与“线上支付订单”，并推动与税务平台直连，减少发票人工上传环节。</v>
          </cell>
        </row>
        <row r="31">
          <cell r="S31" t="str">
            <v>√</v>
          </cell>
          <cell r="T31" t="str">
            <v>系统待建</v>
          </cell>
          <cell r="U31" t="str">
            <v>国网商旅</v>
          </cell>
          <cell r="V31" t="str">
            <v>1.发票；  
2.差旅费标准；
3.出差通知、培训通知等出差缘由证明材料；
4.出差审批单；
5.出差报销单。</v>
          </cell>
          <cell r="W31" t="str">
            <v>各级单位-各部门-出差人员、商旅云公司</v>
          </cell>
          <cell r="X31" t="str">
            <v>每日</v>
          </cell>
          <cell r="Y31" t="str">
            <v>全量检查</v>
          </cell>
        </row>
        <row r="31">
          <cell r="AA31" t="str">
            <v>每年</v>
          </cell>
          <cell r="AB31" t="str">
            <v>抽查</v>
          </cell>
        </row>
        <row r="31">
          <cell r="AD31" t="str">
            <v>员工差旅报销监督场景</v>
          </cell>
          <cell r="AE31" t="str">
            <v>每月</v>
          </cell>
          <cell r="AF31" t="str">
            <v>抽查</v>
          </cell>
        </row>
        <row r="31">
          <cell r="AH31" t="str">
            <v>是</v>
          </cell>
          <cell r="AI31" t="str">
            <v>是</v>
          </cell>
          <cell r="AJ31" t="str">
            <v>《国家电网有限公司差旅费管理办法》（国家电网企管〔2026〕101号）第八条、第十一条、第二十四条</v>
          </cell>
          <cell r="AK31" t="str">
            <v>国网财务部</v>
          </cell>
        </row>
        <row r="32">
          <cell r="I32" t="str">
            <v>员工报账业务-9.自付单据审核-控制措施02</v>
          </cell>
          <cell r="J32" t="str">
            <v>强化线下报销验证，未实现系统“单轨控制”的单位强化事前审批，强制“行程轨迹佐证”，同时借助第三方工具“建立发票真伪与重复报销”校验机制。</v>
          </cell>
        </row>
        <row r="32">
          <cell r="M32" t="str">
            <v>√</v>
          </cell>
        </row>
        <row r="32">
          <cell r="Q32" t="str">
            <v>√</v>
          </cell>
          <cell r="R32" t="str">
            <v>√</v>
          </cell>
        </row>
        <row r="32">
          <cell r="T32" t="str">
            <v>线下管控</v>
          </cell>
        </row>
        <row r="32">
          <cell r="V32" t="str">
            <v>1.发票；  
2.差旅费标准；
3.出差通知、培训通知等出差缘由证明材料；
4.出差审批单；
5.出差报销单。</v>
          </cell>
          <cell r="W32" t="str">
            <v>各级单位-各部门-出差人员、各级单位-各部门-负责人、商旅云公司</v>
          </cell>
          <cell r="X32" t="str">
            <v>每日</v>
          </cell>
          <cell r="Y32" t="str">
            <v>全量检查</v>
          </cell>
        </row>
        <row r="32">
          <cell r="AA32" t="str">
            <v>每年</v>
          </cell>
          <cell r="AB32" t="str">
            <v>抽查</v>
          </cell>
        </row>
        <row r="32">
          <cell r="AD32" t="str">
            <v>员工差旅报销监督场景</v>
          </cell>
          <cell r="AE32" t="str">
            <v>每月</v>
          </cell>
          <cell r="AF32" t="str">
            <v>抽查</v>
          </cell>
        </row>
        <row r="32">
          <cell r="AH32" t="str">
            <v>是</v>
          </cell>
          <cell r="AI32" t="str">
            <v>是</v>
          </cell>
          <cell r="AJ32" t="str">
            <v>《国家电网有限公司差旅费管理办法》（国家电网企管〔2026〕101号）第八条、第十一条、第二十四条</v>
          </cell>
          <cell r="AK32" t="str">
            <v>国网财务部</v>
          </cell>
        </row>
        <row r="33">
          <cell r="I33" t="str">
            <v>员工报账业务-9.自付单据审核-控制措施03</v>
          </cell>
          <cell r="J33" t="str">
            <v>财务部门规范自付单据与标准审核流程，逐一核对自付单据人员、时间、地点，并审核费用标准是否符合公司规定。</v>
          </cell>
        </row>
        <row r="33">
          <cell r="M33" t="str">
            <v>√</v>
          </cell>
        </row>
        <row r="33">
          <cell r="Q33" t="str">
            <v>√</v>
          </cell>
          <cell r="R33" t="str">
            <v>√</v>
          </cell>
        </row>
        <row r="33">
          <cell r="T33" t="str">
            <v>系统已建</v>
          </cell>
          <cell r="U33" t="str">
            <v>国网商旅</v>
          </cell>
          <cell r="V33" t="str">
            <v>1.发票；  
2.差旅费标准；
3.出差通知、培训通知等出差缘由证明材料；
4.出差审批单；
5.出差报销单。</v>
          </cell>
          <cell r="W33" t="str">
            <v>各级单位-各部门-出差人员、商旅云公司、各级单位-财务部门-成本管理人员</v>
          </cell>
          <cell r="X33" t="str">
            <v>每日</v>
          </cell>
          <cell r="Y33" t="str">
            <v>全量检查</v>
          </cell>
        </row>
        <row r="33">
          <cell r="AA33" t="str">
            <v>每年</v>
          </cell>
          <cell r="AB33" t="str">
            <v>抽查</v>
          </cell>
        </row>
        <row r="33">
          <cell r="AD33" t="str">
            <v>员工差旅报销监督场景</v>
          </cell>
          <cell r="AE33" t="str">
            <v>每月</v>
          </cell>
          <cell r="AF33" t="str">
            <v>抽查</v>
          </cell>
        </row>
        <row r="33">
          <cell r="AH33" t="str">
            <v>是</v>
          </cell>
          <cell r="AI33" t="str">
            <v>是</v>
          </cell>
          <cell r="AJ33" t="str">
            <v>《国家电网有限公司差旅费管理办法》（国家电网企管〔2026〕101号）第八条、第十一条、第二十四条</v>
          </cell>
          <cell r="AK33" t="str">
            <v>国网财务部</v>
          </cell>
        </row>
        <row r="34">
          <cell r="I34" t="str">
            <v>员工报账业务-9.自付单据审核-控制措施04</v>
          </cell>
          <cell r="J34" t="str">
            <v>纪检部门严肃查处违规行为，追回资金损失，严肃查处并予以通报。</v>
          </cell>
        </row>
        <row r="34">
          <cell r="M34" t="str">
            <v>√</v>
          </cell>
        </row>
        <row r="34">
          <cell r="R34" t="str">
            <v>√</v>
          </cell>
        </row>
        <row r="34">
          <cell r="T34" t="str">
            <v>线下管控</v>
          </cell>
        </row>
        <row r="34">
          <cell r="V34" t="str">
            <v>1.商旅平台数据线上预订率、电子票据抓取率。</v>
          </cell>
          <cell r="W34" t="str">
            <v>各级单位-各部门-出差人员、商旅云公司、各级单位-纪检部门-纪检管理人员</v>
          </cell>
          <cell r="X34" t="str">
            <v>每日</v>
          </cell>
          <cell r="Y34" t="str">
            <v>全量检查</v>
          </cell>
        </row>
        <row r="34">
          <cell r="AA34" t="str">
            <v>每年</v>
          </cell>
          <cell r="AB34" t="str">
            <v>抽查</v>
          </cell>
        </row>
        <row r="34">
          <cell r="AD34" t="str">
            <v>员工差旅报销监督场景</v>
          </cell>
          <cell r="AE34" t="str">
            <v>每月</v>
          </cell>
          <cell r="AF34" t="str">
            <v>抽查</v>
          </cell>
        </row>
        <row r="34">
          <cell r="AH34" t="str">
            <v>是</v>
          </cell>
          <cell r="AI34" t="str">
            <v>是</v>
          </cell>
          <cell r="AJ34" t="str">
            <v>《国家电网有限公司差旅费管理办法》（国家电网企管〔2026〕101号）第八条、第十一条、第二十四条、《国网湖南省电力有限公司关于印发加强差旅费管理有关规定的通知》第一条</v>
          </cell>
          <cell r="AK34" t="str">
            <v>国网财务部</v>
          </cell>
        </row>
        <row r="35">
          <cell r="A35" t="str">
            <v>员工报账</v>
          </cell>
          <cell r="B35" t="str">
            <v>一、员工差旅</v>
          </cell>
          <cell r="C35" t="str">
            <v>税务合规、资金资产安全</v>
          </cell>
          <cell r="D35" t="str">
            <v>报销申请</v>
          </cell>
          <cell r="E35" t="str">
            <v>成本费用报销事项不真实、审批流程不规范，导致成本入账科目错误、虚列成本费用、套取资金私设“小金库”。</v>
          </cell>
        </row>
        <row r="35">
          <cell r="G35" t="str">
            <v>10.报销事项合规性控制</v>
          </cell>
          <cell r="H35" t="str">
            <v>在规定列支范围内，以真实发生的事项发起报销申请，履行规范审批流程。</v>
          </cell>
          <cell r="I35" t="str">
            <v>员工报账业务-10.报销事项合规性控制-控制措施01</v>
          </cell>
          <cell r="J35" t="str">
            <v>费用报销部门履行费用报销分级授权审批流程，对报销申请事项的真实性进行人工复核，复核报销审批单、费用明细清单、发票或收据、合同或协议等附件的完整性。</v>
          </cell>
        </row>
        <row r="35">
          <cell r="L35" t="str">
            <v>√</v>
          </cell>
        </row>
        <row r="35">
          <cell r="R35" t="str">
            <v>√</v>
          </cell>
        </row>
        <row r="35">
          <cell r="T35" t="str">
            <v>线下管控</v>
          </cell>
        </row>
        <row r="35">
          <cell r="V35" t="str">
            <v>1.成本费用报销审批单；
2.费用明细清单；  
3.发票或收据；
4.合同或协议；
5.系统审批记录。</v>
          </cell>
          <cell r="W35" t="str">
            <v>各级单位-各部门-报账人员、各级单位-各部门-负责人、各级单位-财务部门-成本管理人员</v>
          </cell>
          <cell r="X35" t="str">
            <v>每季度</v>
          </cell>
          <cell r="Y35" t="str">
            <v>抽查</v>
          </cell>
        </row>
        <row r="35">
          <cell r="AA35" t="str">
            <v>每年</v>
          </cell>
          <cell r="AB35" t="str">
            <v>抽查</v>
          </cell>
        </row>
        <row r="35">
          <cell r="AD35" t="str">
            <v>报销真实性监督场景</v>
          </cell>
          <cell r="AE35" t="str">
            <v>每年</v>
          </cell>
          <cell r="AF35" t="str">
            <v>抽查</v>
          </cell>
        </row>
        <row r="35">
          <cell r="AH35" t="str">
            <v>是</v>
          </cell>
          <cell r="AI35" t="str">
            <v>是</v>
          </cell>
          <cell r="AJ35" t="str">
            <v>《国家电网有限公司会计基础管理办法》（国家电网企管〔2019〕132号）第八条、第五十四条
《关于加强中央企业资金内部控制管理有关事项的通知》（国资发监督〔2021〕19 号）第十三条、《国网湖南省电力有限公司关于印发加强差旅费管理有关规定的通知》第一条</v>
          </cell>
          <cell r="AK35" t="str">
            <v>国网财务部、国网企管部、国网后勤部、国网国际部</v>
          </cell>
        </row>
        <row r="36">
          <cell r="I36" t="str">
            <v>员工报账业务-10.报销事项合规性控制-控制措施02</v>
          </cell>
          <cell r="J36" t="str">
            <v>加强挂职人员费用报销成本中心校验，挂职期间费用报销申请需选择挂职单位成本中心。</v>
          </cell>
        </row>
        <row r="36">
          <cell r="Q36" t="str">
            <v>√</v>
          </cell>
        </row>
        <row r="36">
          <cell r="T36" t="str">
            <v>系统已建</v>
          </cell>
          <cell r="U36" t="str">
            <v>智慧共享财务平台</v>
          </cell>
          <cell r="V36" t="str">
            <v>1.成本费用报销审批单；
2.费用明细清单；  
3.发票或收据；
4.合同或协议；
5.系统审批记录。</v>
          </cell>
          <cell r="W36" t="str">
            <v>各级单位-各部门-报账人员、各级单位-各部门-负责人、各级单位-财务部门-成本管理人员</v>
          </cell>
          <cell r="X36" t="str">
            <v>每季度</v>
          </cell>
          <cell r="Y36" t="str">
            <v>抽查</v>
          </cell>
        </row>
        <row r="36">
          <cell r="AA36" t="str">
            <v>每年</v>
          </cell>
          <cell r="AB36" t="str">
            <v>抽查</v>
          </cell>
        </row>
        <row r="36">
          <cell r="AD36" t="str">
            <v>报销真实性监督场景</v>
          </cell>
          <cell r="AE36" t="str">
            <v>每年</v>
          </cell>
          <cell r="AF36" t="str">
            <v>抽查</v>
          </cell>
        </row>
        <row r="36">
          <cell r="AH36" t="str">
            <v>是</v>
          </cell>
          <cell r="AI36" t="str">
            <v>是</v>
          </cell>
          <cell r="AJ36" t="str">
            <v>《国家电网有限公司会计基础管理办法》（国家电网企管〔2019〕132号）第八条、第五十四条
《关于加强中央企业资金内部控制管理有关事项的通知》（国资发监督〔2021〕19 号）第十三条、《国网湖南省电力有限公司关于印发加强差旅费管理有关规定的通知》第三条</v>
          </cell>
          <cell r="AK36" t="str">
            <v>国网财务部、国网企管部、国网后勤部、国网国际部</v>
          </cell>
        </row>
        <row r="37">
          <cell r="I37" t="str">
            <v>员工报账业务-10.报销事项合规性控制-控制措施03</v>
          </cell>
          <cell r="J37" t="str">
            <v>财务部门对费用报销选择业务事项准确性进行复核，校验报销流程和成本中心准确性。</v>
          </cell>
        </row>
        <row r="37">
          <cell r="M37" t="str">
            <v>√</v>
          </cell>
        </row>
        <row r="37">
          <cell r="Q37" t="str">
            <v>√</v>
          </cell>
        </row>
        <row r="37">
          <cell r="T37" t="str">
            <v>系统已建</v>
          </cell>
          <cell r="U37" t="str">
            <v>智慧共享财务平台</v>
          </cell>
          <cell r="V37" t="str">
            <v>1.成本费用报销审批单；
2.费用明细清单；  
3.发票或收据；
4.合同或协议；
5.系统审批记录。</v>
          </cell>
          <cell r="W37" t="str">
            <v>各级单位-各部门-报账人员、各级单位-各部门-负责人、各级单位-财务部门-成本管理人员</v>
          </cell>
          <cell r="X37" t="str">
            <v>每季度</v>
          </cell>
          <cell r="Y37" t="str">
            <v>抽查</v>
          </cell>
        </row>
        <row r="37">
          <cell r="AA37" t="str">
            <v>每年</v>
          </cell>
          <cell r="AB37" t="str">
            <v>抽查</v>
          </cell>
        </row>
        <row r="37">
          <cell r="AD37" t="str">
            <v>报销真实性监督场景</v>
          </cell>
          <cell r="AE37" t="str">
            <v>每年</v>
          </cell>
          <cell r="AF37" t="str">
            <v>抽查</v>
          </cell>
        </row>
        <row r="37">
          <cell r="AH37" t="str">
            <v>是</v>
          </cell>
          <cell r="AI37" t="str">
            <v>是</v>
          </cell>
          <cell r="AJ37" t="str">
            <v>《国家电网有限公司会计基础管理办法》（国家电网企管〔2019〕132号）第八条、第五十四条
《关于加强中央企业资金内部控制管理有关事项的通知》（国资发监督〔2021〕19 号）第十三条</v>
          </cell>
          <cell r="AK37" t="str">
            <v>国网财务部、国网企管部、国网后勤部、国网国际部</v>
          </cell>
        </row>
        <row r="38">
          <cell r="I38" t="str">
            <v>员工报账业务-10.报销事项合规性控制-控制措施04</v>
          </cell>
          <cell r="J38" t="str">
            <v>进行违规责任追究，对虚列成本费用、套取资金私设“小金库”的人员根据相关规定进行违规责任追究。</v>
          </cell>
        </row>
        <row r="38">
          <cell r="R38" t="str">
            <v>√</v>
          </cell>
        </row>
        <row r="38">
          <cell r="T38" t="str">
            <v>线下管控</v>
          </cell>
        </row>
        <row r="38">
          <cell r="V38" t="str">
            <v>1.责任追究证明材料。</v>
          </cell>
          <cell r="W38" t="str">
            <v>各级单位-各部门-报账人员、各级单位-各部门-负责人、各级单位-财务部门-成本管理人员、各级单位-纪检部门-纪检管理人员</v>
          </cell>
          <cell r="X38" t="str">
            <v>每季度</v>
          </cell>
          <cell r="Y38" t="str">
            <v>抽查</v>
          </cell>
        </row>
        <row r="38">
          <cell r="AA38" t="str">
            <v>每年</v>
          </cell>
          <cell r="AB38" t="str">
            <v>抽查</v>
          </cell>
        </row>
        <row r="38">
          <cell r="AD38" t="str">
            <v>报销真实性监督场景</v>
          </cell>
          <cell r="AE38" t="str">
            <v>每年</v>
          </cell>
          <cell r="AF38" t="str">
            <v>抽查</v>
          </cell>
        </row>
        <row r="38">
          <cell r="AH38" t="str">
            <v>是</v>
          </cell>
          <cell r="AI38" t="str">
            <v>是</v>
          </cell>
          <cell r="AJ38" t="str">
            <v>《国家电网有限公司会计基础管理办法》（国家电网企管〔2019〕132号）第八条、第五十四条
《关于加强中央企业资金内部控制管理有关事项的通知》（国资发监督〔2021〕19 号）第十三条</v>
          </cell>
          <cell r="AK38" t="str">
            <v>国网财务部、国网企管部、国网后勤部、国网国际部</v>
          </cell>
        </row>
        <row r="39">
          <cell r="B39" t="str">
            <v>二、通用报账</v>
          </cell>
          <cell r="C39" t="str">
            <v>税务合规</v>
          </cell>
          <cell r="D39" t="str">
            <v>费用报销</v>
          </cell>
          <cell r="E39" t="str">
            <v>发票信息不准确、不完整，与报销业务不一致导致税务风险</v>
          </cell>
        </row>
        <row r="39">
          <cell r="G39" t="str">
            <v>11.报销发票审核</v>
          </cell>
          <cell r="H39" t="str">
            <v>报销发票真实、准确、完整</v>
          </cell>
          <cell r="I39" t="str">
            <v>员工报账业务-11.报销发票审核-控制措施01</v>
          </cell>
          <cell r="J39" t="str">
            <v>归口管理部门对报销发票、入库单、采购订单物品对应关系进行复核，确认购物清单通过税务防伪系统开具。</v>
          </cell>
        </row>
        <row r="39">
          <cell r="L39" t="str">
            <v>√</v>
          </cell>
          <cell r="M39" t="str">
            <v>√</v>
          </cell>
        </row>
        <row r="39">
          <cell r="T39" t="str">
            <v>系统已建</v>
          </cell>
          <cell r="U39" t="str">
            <v>智慧共享财务平台</v>
          </cell>
          <cell r="V39" t="str">
            <v>1.成本费用报销申请单；
2.费用明细清单；
3.发票或收据、购物清单；
4.合同或协议。</v>
          </cell>
          <cell r="W39" t="str">
            <v>各级单位-各部门-报账人员、各级单位-各部门-负责人、各级单位-财务部门-成本管理人员</v>
          </cell>
          <cell r="X39" t="str">
            <v>每季度</v>
          </cell>
          <cell r="Y39" t="str">
            <v>抽查</v>
          </cell>
        </row>
        <row r="39">
          <cell r="AA39" t="str">
            <v>每年</v>
          </cell>
          <cell r="AB39" t="str">
            <v>抽查</v>
          </cell>
        </row>
        <row r="39">
          <cell r="AD39" t="str">
            <v>发票审核管理监督场景</v>
          </cell>
          <cell r="AE39" t="str">
            <v>每年</v>
          </cell>
          <cell r="AF39" t="str">
            <v>抽查</v>
          </cell>
        </row>
        <row r="39">
          <cell r="AH39" t="str">
            <v>是</v>
          </cell>
          <cell r="AI39" t="str">
            <v>是</v>
          </cell>
          <cell r="AJ39" t="str">
            <v>国家电网企管〔2019〕132号《国家电网有限公司会计基础管理办法》第五十条</v>
          </cell>
          <cell r="AK39" t="str">
            <v>国网财务部、国网企管部、国网后勤部、国网国际部</v>
          </cell>
        </row>
        <row r="40">
          <cell r="I40" t="str">
            <v>员工报账业务-11.报销发票审核-控制措施02</v>
          </cell>
          <cell r="J40" t="str">
            <v>各部门建立发票“谁提交、谁审核、谁负责”闭环管理机制,发票提交人落实发票验真责任。</v>
          </cell>
        </row>
        <row r="40">
          <cell r="M40" t="str">
            <v>√</v>
          </cell>
        </row>
        <row r="40">
          <cell r="R40" t="str">
            <v>√</v>
          </cell>
        </row>
        <row r="40">
          <cell r="T40" t="str">
            <v>系统已建</v>
          </cell>
          <cell r="U40" t="str">
            <v>智慧共享财务平台</v>
          </cell>
          <cell r="V40" t="str">
            <v>1.成本费用报销申请单；
2.费用明细清单；
3.发票或收据、购物清单；
4.合同或协议。</v>
          </cell>
          <cell r="W40" t="str">
            <v>各级单位-各部门-报账人员、各级单位-各部门-负责人</v>
          </cell>
          <cell r="X40" t="str">
            <v>每季度</v>
          </cell>
          <cell r="Y40" t="str">
            <v>抽查</v>
          </cell>
        </row>
        <row r="40">
          <cell r="AA40" t="str">
            <v>每年</v>
          </cell>
          <cell r="AB40" t="str">
            <v>抽查</v>
          </cell>
        </row>
        <row r="40">
          <cell r="AD40" t="str">
            <v>发票审核管理监督场景</v>
          </cell>
          <cell r="AE40" t="str">
            <v>每年</v>
          </cell>
          <cell r="AF40" t="str">
            <v>抽查</v>
          </cell>
        </row>
        <row r="40">
          <cell r="AH40" t="str">
            <v>是</v>
          </cell>
          <cell r="AI40" t="str">
            <v>是</v>
          </cell>
          <cell r="AJ40" t="str">
            <v>国家电网企管〔2019〕132号《国家电网有限公司会计基础管理办法》第五十条</v>
          </cell>
          <cell r="AK40" t="str">
            <v>国网企管部、国网后勤部、国网国际部</v>
          </cell>
        </row>
        <row r="41">
          <cell r="A41" t="str">
            <v>员工报账</v>
          </cell>
          <cell r="B41" t="str">
            <v>二、通用报账</v>
          </cell>
          <cell r="C41" t="str">
            <v>税务合规</v>
          </cell>
          <cell r="D41" t="str">
            <v>费用报销</v>
          </cell>
          <cell r="E41" t="str">
            <v>发票信息不准确、不完整，与报销业务不一致导致税务风险</v>
          </cell>
        </row>
        <row r="41">
          <cell r="G41" t="str">
            <v>11.报销发票审核</v>
          </cell>
          <cell r="H41" t="str">
            <v>报销发票真实、准确、完整</v>
          </cell>
          <cell r="I41" t="str">
            <v>员工报账业务-11.报销发票审核-控制措施03</v>
          </cell>
          <cell r="J41" t="str">
            <v>发票提交人对增值税发票税率与合同条款进行复核，确认货物及应税劳务名称准确、金额及税率与合同一致，确认发票项目名称中不包含“茶叶、烟、酒水、门票、景区”等敏感字眼，确认销售方名称中不包含“会所、健身房、俱乐部、KTV、景区、洗浴中心”等敏感字眼。</v>
          </cell>
        </row>
        <row r="41">
          <cell r="O41" t="str">
            <v>√</v>
          </cell>
        </row>
        <row r="41">
          <cell r="T41" t="str">
            <v>系统已建
线下管控</v>
          </cell>
          <cell r="U41" t="str">
            <v>智慧共享财务平台</v>
          </cell>
          <cell r="V41" t="str">
            <v>1.成本费用报销申请单；
2.费用明细清单；
3.发票或收据、购物清单；
4.合同或协议。</v>
          </cell>
          <cell r="W41" t="str">
            <v>各级单位-各部门-报账人员、各级单位-各部门-负责人</v>
          </cell>
          <cell r="X41" t="str">
            <v>每季度</v>
          </cell>
          <cell r="Y41" t="str">
            <v>抽查</v>
          </cell>
        </row>
        <row r="41">
          <cell r="AA41" t="str">
            <v>每年</v>
          </cell>
          <cell r="AB41" t="str">
            <v>抽查</v>
          </cell>
        </row>
        <row r="41">
          <cell r="AD41" t="str">
            <v>发票审核管理监督场景</v>
          </cell>
          <cell r="AE41" t="str">
            <v>每年</v>
          </cell>
          <cell r="AF41" t="str">
            <v>抽查</v>
          </cell>
        </row>
        <row r="41">
          <cell r="AH41" t="str">
            <v>是</v>
          </cell>
          <cell r="AI41" t="str">
            <v>是</v>
          </cell>
          <cell r="AJ41" t="str">
            <v>国家电网企管〔2019〕132号《国家电网有限公司会计基础管理办法》第五十条</v>
          </cell>
          <cell r="AK41" t="str">
            <v>国网财务部、国网企管部、国网后勤部、国网国际部</v>
          </cell>
        </row>
        <row r="42">
          <cell r="I42" t="str">
            <v>员工报账业务-11.报销发票审核-控制措施04</v>
          </cell>
          <cell r="J42" t="str">
            <v>财务部门对发票开具的完整性、合规性进行复核，检查发票名目是否包含固定资产目录所列资产，福利费增值税进项税不得抵扣。</v>
          </cell>
        </row>
        <row r="42">
          <cell r="Q42" t="str">
            <v>√</v>
          </cell>
          <cell r="R42" t="str">
            <v>√</v>
          </cell>
        </row>
        <row r="42">
          <cell r="T42" t="str">
            <v>线下管控</v>
          </cell>
        </row>
        <row r="42">
          <cell r="V42" t="str">
            <v>1.成本费用报销申请单；
2.费用明细清单；
3.发票或收据、购物清单；
4.合同或协议。</v>
          </cell>
          <cell r="W42" t="str">
            <v>各级单位-各部门-报账人员、各级单位-各部门-负责人、各级单位-财务部门-成本管理人员</v>
          </cell>
          <cell r="X42" t="str">
            <v>每季度</v>
          </cell>
          <cell r="Y42" t="str">
            <v>抽查</v>
          </cell>
        </row>
        <row r="42">
          <cell r="AA42" t="str">
            <v>每年</v>
          </cell>
          <cell r="AB42" t="str">
            <v>抽查</v>
          </cell>
        </row>
        <row r="42">
          <cell r="AD42" t="str">
            <v>发票审核管理监督场景</v>
          </cell>
          <cell r="AE42" t="str">
            <v>每年</v>
          </cell>
          <cell r="AF42" t="str">
            <v>抽查</v>
          </cell>
        </row>
        <row r="42">
          <cell r="AH42" t="str">
            <v>是</v>
          </cell>
          <cell r="AI42" t="str">
            <v>是</v>
          </cell>
          <cell r="AJ42" t="str">
            <v>国家电网企管〔2019〕132号《国家电网有限公司会计基础管理办法》第五十条</v>
          </cell>
          <cell r="AK42" t="str">
            <v>国网财务部、国网企管部、国网后勤部、国网国际部</v>
          </cell>
        </row>
        <row r="43">
          <cell r="I43" t="str">
            <v>员工报账业务-11.报销发票审核-控制措施05</v>
          </cell>
          <cell r="J43" t="str">
            <v>财务人员对开具虚假发票套取资金等问题进行复核。</v>
          </cell>
        </row>
        <row r="43">
          <cell r="M43" t="str">
            <v>√</v>
          </cell>
        </row>
        <row r="43">
          <cell r="Q43" t="str">
            <v>√</v>
          </cell>
        </row>
        <row r="43">
          <cell r="T43" t="str">
            <v>线下管控</v>
          </cell>
        </row>
        <row r="43">
          <cell r="V43" t="str">
            <v>1.成本费用报销申请单；
2.费用明细清单；
3.发票或收据、购物清单；
4.合同或协议。</v>
          </cell>
          <cell r="W43" t="str">
            <v>各级单位-各部门-报账人员、各级单位-各部门-负责人、各级单位-财务部门-成本管理人员、各级单位-财务部门-税务管理人员</v>
          </cell>
          <cell r="X43" t="str">
            <v>每季度</v>
          </cell>
          <cell r="Y43" t="str">
            <v>抽查</v>
          </cell>
        </row>
        <row r="43">
          <cell r="AA43" t="str">
            <v>每年</v>
          </cell>
          <cell r="AB43" t="str">
            <v>抽查</v>
          </cell>
        </row>
        <row r="43">
          <cell r="AD43" t="str">
            <v>发票审核管理监督场景</v>
          </cell>
          <cell r="AE43" t="str">
            <v>每年</v>
          </cell>
          <cell r="AF43" t="str">
            <v>抽查</v>
          </cell>
        </row>
        <row r="43">
          <cell r="AH43" t="str">
            <v>是</v>
          </cell>
          <cell r="AI43" t="str">
            <v>是</v>
          </cell>
          <cell r="AJ43" t="str">
            <v>国家电网企管〔2019〕132号《国家电网有限公司会计基础管理办法》第五十条</v>
          </cell>
          <cell r="AK43" t="str">
            <v>国网财务部、国网企管部、国网后勤部、国网国际部</v>
          </cell>
        </row>
        <row r="44">
          <cell r="D44" t="str">
            <v>公务接待活动</v>
          </cell>
          <cell r="E44" t="str">
            <v>未严格执行公务接待制度，虚列公务接待清单套取公务接待费用，引发资金支出及合规风险。</v>
          </cell>
        </row>
        <row r="44">
          <cell r="G44" t="str">
            <v>12.公务接待范围、执行制度、费用报销</v>
          </cell>
          <cell r="H44" t="str">
            <v>严格执行公务接待制度，确保公务接待费支出规范。</v>
          </cell>
          <cell r="I44" t="str">
            <v>员工报账业务-12.公务接待范围、执行制度、费用报销-控制措施01</v>
          </cell>
          <cell r="J44" t="str">
            <v>接待部门做好公务接待过程管控。①严格公务接待审批。按照《国家电网有限公司公务接待管理办法》要求，根据公函内容中来访对象、人数等，报相应公司（或部门）领导审批。②规范公务接待组织。承办部门公务接待要严格按照本单位贯彻落实中央八项规定实施细则有关规定执行。严控陪同人数，不得层层多人陪同等。③严格执行清单制度。按照《国家电网有限公司公务接待管理办法》要求，公务活动结束后，接待部门应当如实填写接待清单，包括接待对象的单位、姓名、职务和接待项目、时间、场所、费用等内容，经本部门负责同志审签。④规范做好报销。接待费用应当及时结算，不得用公款报销或者支付应当由个人负担的费用。禁止借公务接待名义列支其他支出等。</v>
          </cell>
        </row>
        <row r="44">
          <cell r="M44" t="str">
            <v>√</v>
          </cell>
        </row>
        <row r="44">
          <cell r="T44" t="str">
            <v>线下管控</v>
          </cell>
        </row>
        <row r="44">
          <cell r="V44" t="str">
            <v>1.派出单位公函(或通知)；
2.公务接待清单；
3.财务票据。</v>
          </cell>
          <cell r="W44" t="str">
            <v>各级单位-接待承办部门-报账人员、各级单位-接待承办部门-负责人、各级单位-接待管理部门-接待管理人员、各级单位-接待管理部门-负责人</v>
          </cell>
          <cell r="X44" t="str">
            <v>每季度</v>
          </cell>
          <cell r="Y44" t="str">
            <v>抽查</v>
          </cell>
        </row>
        <row r="44">
          <cell r="AA44" t="str">
            <v>每年</v>
          </cell>
          <cell r="AB44" t="str">
            <v>抽查</v>
          </cell>
        </row>
        <row r="44">
          <cell r="AD44" t="str">
            <v>公务接待费列支范围监督场景</v>
          </cell>
          <cell r="AE44" t="str">
            <v>每年</v>
          </cell>
          <cell r="AF44" t="str">
            <v>抽查</v>
          </cell>
        </row>
        <row r="44">
          <cell r="AH44" t="str">
            <v>是</v>
          </cell>
          <cell r="AI44" t="str">
            <v>是</v>
          </cell>
          <cell r="AJ44" t="str">
            <v>《国家电网有限公司厉行节约反对浪费实施办法》（国家电网企管〔2025〕421号）第二十四条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v>
          </cell>
          <cell r="AK44" t="str">
            <v>国网办公室</v>
          </cell>
        </row>
        <row r="45">
          <cell r="A45" t="str">
            <v>员工报账</v>
          </cell>
          <cell r="B45" t="str">
            <v>二、通用报账</v>
          </cell>
          <cell r="C45" t="str">
            <v>税务合规</v>
          </cell>
          <cell r="D45" t="str">
            <v>公务接待活动</v>
          </cell>
          <cell r="E45" t="str">
            <v>未严格执行公务接待制度，虚列公务接待清单套取公务接待费用，引发资金支出及合规风险。</v>
          </cell>
        </row>
        <row r="45">
          <cell r="G45" t="str">
            <v>12.公务接待范围、执行制度、费用报销</v>
          </cell>
          <cell r="H45" t="str">
            <v>严格执行公务接待制度，确保公务接待费支出规范。</v>
          </cell>
          <cell r="I45" t="str">
            <v>员工报账业务-12.公务接待范围、执行制度、费用报销-控制措施02</v>
          </cell>
          <cell r="J45" t="str">
            <v>归口管理部门做好复核。对接待部门提交的接待清单中人员、住宿安排、用车安排、费用等进行复核。</v>
          </cell>
        </row>
        <row r="45">
          <cell r="L45" t="str">
            <v>√</v>
          </cell>
        </row>
        <row r="45">
          <cell r="T45" t="str">
            <v>线下管控</v>
          </cell>
        </row>
        <row r="45">
          <cell r="V45" t="str">
            <v>1.派出单位公函(或通知)；
2.公务接待清单；
3.财务票据。</v>
          </cell>
          <cell r="W45" t="str">
            <v>各级单位-接待承办部门-报账人员、各级单位-接待承办部门-负责人、各级单位-接待管理部门-接待管理人员、各级单位-接待管理部门-负责人</v>
          </cell>
          <cell r="X45" t="str">
            <v>每季度</v>
          </cell>
          <cell r="Y45" t="str">
            <v>抽查</v>
          </cell>
        </row>
        <row r="45">
          <cell r="AA45" t="str">
            <v>每年</v>
          </cell>
          <cell r="AB45" t="str">
            <v>抽查</v>
          </cell>
        </row>
        <row r="45">
          <cell r="AD45" t="str">
            <v>公务接待费列支范围监督场景</v>
          </cell>
          <cell r="AE45" t="str">
            <v>每年</v>
          </cell>
          <cell r="AF45" t="str">
            <v>抽查</v>
          </cell>
        </row>
        <row r="45">
          <cell r="AH45" t="str">
            <v>是</v>
          </cell>
          <cell r="AI45" t="str">
            <v>是</v>
          </cell>
          <cell r="AJ45" t="str">
            <v>《国家电网有限公司厉行节约反对浪费实施办法》（国家电网企管〔2025〕421号）第二十四条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第五至十九条</v>
          </cell>
          <cell r="AK45" t="str">
            <v>国网办公室</v>
          </cell>
        </row>
        <row r="46">
          <cell r="I46" t="str">
            <v>员工报账业务-12.公务接待范围、执行制度、费用报销-控制措施03</v>
          </cell>
          <cell r="J46" t="str">
            <v>财务部门做好报销审核。按照财务业务流程要求，做好报销审核、检查材料完备。</v>
          </cell>
        </row>
        <row r="46">
          <cell r="Q46" t="str">
            <v>√</v>
          </cell>
          <cell r="R46" t="str">
            <v>√</v>
          </cell>
        </row>
        <row r="46">
          <cell r="T46" t="str">
            <v>线下管控</v>
          </cell>
        </row>
        <row r="46">
          <cell r="V46" t="str">
            <v>1.派出单位公函(或通知)；
2.公务接待清单；
3.财务票据。</v>
          </cell>
          <cell r="W46" t="str">
            <v>各级单位-接待承办部门-报账人员、各级单位-接待承办部门-负责人、各级单位-接待管理部门-接待管理人员、各级单位-接待管理部门-负责人、各级单位-财务部门-成本管理人员</v>
          </cell>
          <cell r="X46" t="str">
            <v>每季度</v>
          </cell>
          <cell r="Y46" t="str">
            <v>抽查</v>
          </cell>
        </row>
        <row r="46">
          <cell r="AA46" t="str">
            <v>每年</v>
          </cell>
          <cell r="AB46" t="str">
            <v>抽查</v>
          </cell>
        </row>
        <row r="46">
          <cell r="AD46" t="str">
            <v>公务接待费列支范围监督场景</v>
          </cell>
          <cell r="AE46" t="str">
            <v>每年</v>
          </cell>
          <cell r="AF46" t="str">
            <v>抽查</v>
          </cell>
        </row>
        <row r="46">
          <cell r="AH46" t="str">
            <v>是</v>
          </cell>
          <cell r="AI46" t="str">
            <v>是</v>
          </cell>
          <cell r="AJ46" t="str">
            <v>《国家电网有限公司厉行节约反对浪费实施办法》（国家电网企管〔2025〕421号）第二十四条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第五至十九条</v>
          </cell>
          <cell r="AK46" t="str">
            <v>国网办公室</v>
          </cell>
        </row>
        <row r="47">
          <cell r="C47" t="str">
            <v>资金资产安全</v>
          </cell>
          <cell r="D47" t="str">
            <v>公务车辆单车核算</v>
          </cell>
          <cell r="E47" t="str">
            <v>员工未严格执行公务车辆单车核算要求，通过伪造票据、虚报里程、费用金额、虚构用车场景等方式套取企业资金，导致企业成本虚增、资金流失风险。</v>
          </cell>
          <cell r="F47" t="str">
            <v>82.公务用车管控不严：存在新购置及长租公务用车未及时接入统一车辆管理平台过程监督管理；在公务用车维修等费用中虚列名目、处理其他无关费用或费用依据不足；超编超标超范围配置公务用车等问题。</v>
          </cell>
          <cell r="G47" t="str">
            <v>13.公务车辆单车核算管理</v>
          </cell>
          <cell r="H47" t="str">
            <v>严格执行公务车辆单车核算管理要求，据实报销车辆使用费。</v>
          </cell>
          <cell r="I47" t="str">
            <v>员工报账业务-13.公务车辆单车核算管理-控制措施01</v>
          </cell>
          <cell r="J47" t="str">
            <v>通过统一车辆平台进行系统控制，自动比对用车时间、目的地与车辆通行费发票时间、行程轨迹的匹配性，规避虚列费用。</v>
          </cell>
        </row>
        <row r="47">
          <cell r="M47" t="str">
            <v>√</v>
          </cell>
        </row>
        <row r="47">
          <cell r="T47" t="str">
            <v>系统待建</v>
          </cell>
          <cell r="U47" t="str">
            <v>统一车辆平台</v>
          </cell>
          <cell r="V47" t="str">
            <v>1.公务车辆管理台账；
2.车辆单车核算台账；
3.ETC通行费明细清单；
4.费用明细清单；
5.发票或收据；
6.合同或协议。</v>
          </cell>
          <cell r="W47" t="str">
            <v>各级单位-公务车辆管理部门-车辆管理人员、各级单位-公务车辆管理部门-负责人</v>
          </cell>
          <cell r="X47" t="str">
            <v>每季度</v>
          </cell>
          <cell r="Y47" t="str">
            <v>抽查</v>
          </cell>
        </row>
        <row r="47">
          <cell r="AA47" t="str">
            <v>每年</v>
          </cell>
          <cell r="AB47" t="str">
            <v>抽查</v>
          </cell>
        </row>
        <row r="47">
          <cell r="AD47" t="str">
            <v>车辆使用费监督场景</v>
          </cell>
          <cell r="AE47" t="str">
            <v>每年</v>
          </cell>
          <cell r="AF47" t="str">
            <v>抽查</v>
          </cell>
        </row>
        <row r="47">
          <cell r="AH47" t="str">
            <v>是</v>
          </cell>
          <cell r="AI47" t="str">
            <v>是</v>
          </cell>
          <cell r="AJ47" t="str">
            <v>《国家电网有限公司公务用车管理办法》（规章制度编号:国网(后勤/2)724-2025）第十一至十九条、第二十一条、第三十二条.</v>
          </cell>
          <cell r="AK47" t="str">
            <v>国网后勤部</v>
          </cell>
        </row>
        <row r="48">
          <cell r="I48" t="str">
            <v>员工报账业务-13.公务车辆单车核算管理-控制措施02</v>
          </cell>
          <cell r="J48" t="str">
            <v>系统直联控制，通过智慧共享财务平台直联统一车辆平台对单车核算台账明细进行系统控制，严禁列支保养、维修、年检、燃油等范围外费用，增加“车辆费用类型白名单”控制，超出范围的费用类型系统自动拒绝，并推送异常报告。</v>
          </cell>
        </row>
        <row r="48">
          <cell r="N48" t="str">
            <v>√</v>
          </cell>
          <cell r="O48" t="str">
            <v>√</v>
          </cell>
        </row>
        <row r="48">
          <cell r="T48" t="str">
            <v>系统待建</v>
          </cell>
          <cell r="U48" t="str">
            <v>智慧共享财务平台</v>
          </cell>
          <cell r="V48" t="str">
            <v>1.公务车辆管理台账；
2.车辆单车核算台账；
3.ETC通行费明细清单；
4.费用明细清单；
5.发票或收据；
6.合同或协议。</v>
          </cell>
          <cell r="W48" t="str">
            <v>各级单位-公务车辆管理部门-车辆管理人员、各级单位-公务车辆管理部门-负责人</v>
          </cell>
          <cell r="X48" t="str">
            <v>每季度</v>
          </cell>
          <cell r="Y48" t="str">
            <v>抽查</v>
          </cell>
        </row>
        <row r="48">
          <cell r="AA48" t="str">
            <v>每年</v>
          </cell>
          <cell r="AB48" t="str">
            <v>抽查</v>
          </cell>
        </row>
        <row r="48">
          <cell r="AD48" t="str">
            <v>车辆使用费监督场景</v>
          </cell>
          <cell r="AE48" t="str">
            <v>每年</v>
          </cell>
          <cell r="AF48" t="str">
            <v>抽查</v>
          </cell>
        </row>
        <row r="48">
          <cell r="AH48" t="str">
            <v>是</v>
          </cell>
          <cell r="AI48" t="str">
            <v>是</v>
          </cell>
          <cell r="AJ48" t="str">
            <v>《国家电网有限公司公务用车管理办法》（规章制度编号:国网(后勤/2)724-2025）第十一至十九条、第二十一条、第三十二条.</v>
          </cell>
          <cell r="AK48" t="str">
            <v>国网后勤部</v>
          </cell>
        </row>
        <row r="49">
          <cell r="A49" t="str">
            <v>员工报账</v>
          </cell>
          <cell r="B49" t="str">
            <v>二、通用报账</v>
          </cell>
          <cell r="C49" t="str">
            <v>资金资产安全</v>
          </cell>
          <cell r="D49" t="str">
            <v>公务车辆单车核算</v>
          </cell>
          <cell r="E49" t="str">
            <v>员工未严格执行公务车辆单车核算要求，通过伪造票据、虚报里程、费用金额、虚构用车场景等方式套取企业资金，导致企业成本虚增、资金流失风险。</v>
          </cell>
          <cell r="F49" t="str">
            <v>82.公务用车管控不严：存在新购置及长租公务用车未及时接入统一车辆管理平台过程监督管理；在公务用车维修等费用中虚列名目、处理其他无关费用或费用依据不足；超编超标超范围配置公务用车等问题。</v>
          </cell>
        </row>
        <row r="49">
          <cell r="I49" t="str">
            <v>员工报账业务-13.公务车辆单车核算管理-控制措施03</v>
          </cell>
          <cell r="J49" t="str">
            <v>未实现系统直联控制的单位应加强线下审核，车辆管理部门对单车费用明细（油费、过路费、停车费、维修费等）与用车申请单（事前提交，注明用车时间、事由、目的地）、车辆行驶里程记录（行车记录、起止日期）进行复核，严禁套取费用。</v>
          </cell>
        </row>
        <row r="49">
          <cell r="M49" t="str">
            <v>√</v>
          </cell>
        </row>
        <row r="49">
          <cell r="R49" t="str">
            <v>√</v>
          </cell>
        </row>
        <row r="49">
          <cell r="T49" t="str">
            <v>线下管控</v>
          </cell>
        </row>
        <row r="49">
          <cell r="V49" t="str">
            <v>1.公务车辆管理台账；
2.车辆单车核算台账；
3.ETC通行费明细清单；
4.费用明细清单；
5.发票或收据；
6.合同或协议。</v>
          </cell>
          <cell r="W49" t="str">
            <v>各级单位-公务车辆管理部门-车辆管理人员、各级单位-公务车辆管理部门-负责人、各级单位-财务部门-成本管理人员</v>
          </cell>
          <cell r="X49" t="str">
            <v>每季度</v>
          </cell>
          <cell r="Y49" t="str">
            <v>抽查</v>
          </cell>
        </row>
        <row r="49">
          <cell r="AA49" t="str">
            <v>每年</v>
          </cell>
          <cell r="AB49" t="str">
            <v>抽查</v>
          </cell>
        </row>
        <row r="49">
          <cell r="AD49" t="str">
            <v>车辆使用费监督场景</v>
          </cell>
          <cell r="AE49" t="str">
            <v>每年</v>
          </cell>
          <cell r="AF49" t="str">
            <v>抽查</v>
          </cell>
        </row>
        <row r="49">
          <cell r="AH49" t="str">
            <v>是</v>
          </cell>
          <cell r="AI49" t="str">
            <v>是</v>
          </cell>
          <cell r="AJ49" t="str">
            <v>《国家电网有限公司公务用车管理办法》（规章制度编号:国网(后勤/2)724-2025）第十一至十九条、第二十一条、第三十二条.</v>
          </cell>
          <cell r="AK49" t="str">
            <v>国网后勤部</v>
          </cell>
        </row>
        <row r="50">
          <cell r="C50" t="str">
            <v>税务合规</v>
          </cell>
          <cell r="D50" t="str">
            <v>因公出国（境）管理</v>
          </cell>
          <cell r="E50" t="str">
            <v>超标准列支因公出国（境）经费，引发合规风险。</v>
          </cell>
        </row>
        <row r="50">
          <cell r="G50" t="str">
            <v>14.因公出国（境）经费使用</v>
          </cell>
          <cell r="H50" t="str">
            <v>因公出国（境）经费标准使用符合规定，在规定范围内报销。</v>
          </cell>
          <cell r="I50" t="str">
            <v>员工报账业务-14.因公出国（境）经费使用-控制措施01</v>
          </cell>
          <cell r="J50" t="str">
            <v>归口管理部门对经批准的计划申请表进行复核，确认外事服务机构的收费标准不高于同业收费平均水平，落实预算控制要求。</v>
          </cell>
        </row>
        <row r="50">
          <cell r="N50" t="str">
            <v>√</v>
          </cell>
        </row>
        <row r="50">
          <cell r="R50" t="str">
            <v>√</v>
          </cell>
        </row>
        <row r="50">
          <cell r="T50" t="str">
            <v>线下管控</v>
          </cell>
        </row>
        <row r="50">
          <cell r="V50" t="str">
            <v>1.计划申请表及年度预算；
2.住宿费和伙食费发票；
3.费用报销审批单；
4.因公出国（境）费用计划申请；
5.因公出国（境）费用结算表。</v>
          </cell>
          <cell r="W50" t="str">
            <v>各级单位-各部门-报账人员、各级单位-各部门-负责人、各级单位-因公出国（境）经费归口管理部门-负责人、各级单位-财务部门-成本管理人员</v>
          </cell>
          <cell r="X50" t="str">
            <v>每季度</v>
          </cell>
          <cell r="Y50" t="str">
            <v>抽查</v>
          </cell>
        </row>
        <row r="50">
          <cell r="AA50" t="str">
            <v>每年</v>
          </cell>
          <cell r="AB50" t="str">
            <v>抽查</v>
          </cell>
        </row>
        <row r="50">
          <cell r="AD50" t="str">
            <v>因公出国（境）经费监督场景</v>
          </cell>
          <cell r="AE50" t="str">
            <v>每年</v>
          </cell>
          <cell r="AF50" t="str">
            <v>抽查</v>
          </cell>
        </row>
        <row r="50">
          <cell r="AH50" t="str">
            <v>是</v>
          </cell>
          <cell r="AI50" t="str">
            <v>是</v>
          </cell>
          <cell r="AJ50" t="str">
            <v>《国家电网有限公司因公出国（境）经费管理办法》（国家电网企管〔2019〕715号）第八至十四条</v>
          </cell>
          <cell r="AK50" t="str">
            <v>国网国际部</v>
          </cell>
        </row>
        <row r="51">
          <cell r="I51" t="str">
            <v>员工报账业务-14.因公出国（境）经费使用-控制措施02</v>
          </cell>
          <cell r="J51" t="str">
            <v>归口管理部门对因公出国（境）经费列支范围进行复核，确认赠送礼品、安排宴请等均按照国务院、财政部、外交部有关规定执行。</v>
          </cell>
        </row>
        <row r="51">
          <cell r="L51" t="str">
            <v>√</v>
          </cell>
          <cell r="M51" t="str">
            <v>√</v>
          </cell>
        </row>
        <row r="51">
          <cell r="O51" t="str">
            <v>√</v>
          </cell>
        </row>
        <row r="51">
          <cell r="T51" t="str">
            <v>线下管控</v>
          </cell>
        </row>
        <row r="51">
          <cell r="V51" t="str">
            <v>1.计划申请表及年度预算；
2.住宿费和伙食费发票；
3.费用报销审批单；
4.因公出国（境）费用计划申请；
5.因公出国（境）费用结算表。</v>
          </cell>
          <cell r="W51" t="str">
            <v>各级单位-各部门-报账人员、各级单位-各部门-负责人、各级单位-因公出国（境）经费归口管理部门-负责人</v>
          </cell>
          <cell r="X51" t="str">
            <v>每季度</v>
          </cell>
          <cell r="Y51" t="str">
            <v>抽查</v>
          </cell>
        </row>
        <row r="51">
          <cell r="AA51" t="str">
            <v>每年</v>
          </cell>
          <cell r="AB51" t="str">
            <v>抽查</v>
          </cell>
        </row>
        <row r="51">
          <cell r="AD51" t="str">
            <v>因公出国（境）经费监督场景</v>
          </cell>
          <cell r="AE51" t="str">
            <v>每年</v>
          </cell>
          <cell r="AF51" t="str">
            <v>抽查</v>
          </cell>
        </row>
        <row r="51">
          <cell r="AH51" t="str">
            <v>是</v>
          </cell>
          <cell r="AI51" t="str">
            <v>是</v>
          </cell>
          <cell r="AJ51" t="str">
            <v>《国家电网有限公司因公出国（境）经费管理办法》（国家电网企管〔2019〕715号）第八至十四条</v>
          </cell>
          <cell r="AK51" t="str">
            <v>国网国际部</v>
          </cell>
        </row>
        <row r="52">
          <cell r="I52" t="str">
            <v>员工报账业务-14.因公出国（境）经费使用-控制措施03</v>
          </cell>
          <cell r="J52" t="str">
            <v>财务部门加强审核，按照科学预算、厉行节约的原则对因公出国（境）经费列支住宿费、伙食费、公杂费使用标准进行复核。</v>
          </cell>
        </row>
        <row r="52">
          <cell r="Q52" t="str">
            <v>√</v>
          </cell>
          <cell r="R52" t="str">
            <v>√</v>
          </cell>
        </row>
        <row r="52">
          <cell r="T52" t="str">
            <v>线下管控</v>
          </cell>
        </row>
        <row r="52">
          <cell r="V52" t="str">
            <v>1.计划申请表及年度预算；
2.住宿费和伙食费发票；
3.费用报销审批单；
4.因公出国（境）费用计划申请；
5.因公出国（境）费用结算表。</v>
          </cell>
          <cell r="W52" t="str">
            <v>各级单位-各部门-报账人员、各级单位-各部门-负责人、各级单位-因公出国（境）经费归口管理部门-负责人、各级单位-财务部门-成本管理人员</v>
          </cell>
          <cell r="X52" t="str">
            <v>每季度</v>
          </cell>
          <cell r="Y52" t="str">
            <v>抽查</v>
          </cell>
        </row>
        <row r="52">
          <cell r="AA52" t="str">
            <v>每年</v>
          </cell>
          <cell r="AB52" t="str">
            <v>抽查</v>
          </cell>
        </row>
        <row r="52">
          <cell r="AD52" t="str">
            <v>因公出国（境）经费监督场景</v>
          </cell>
          <cell r="AE52" t="str">
            <v>每年</v>
          </cell>
          <cell r="AF52" t="str">
            <v>抽查</v>
          </cell>
        </row>
        <row r="52">
          <cell r="AH52" t="str">
            <v>是</v>
          </cell>
          <cell r="AI52" t="str">
            <v>是</v>
          </cell>
          <cell r="AJ52" t="str">
            <v>《国家电网有限公司因公出国（境）经费管理办法》（国家电网企管〔2019〕715号）第八至十四条</v>
          </cell>
          <cell r="AK52" t="str">
            <v>国网国际部</v>
          </cell>
        </row>
        <row r="53">
          <cell r="A53" t="str">
            <v>员工报账</v>
          </cell>
          <cell r="B53" t="str">
            <v>二、通用报账</v>
          </cell>
          <cell r="C53" t="str">
            <v>资金资产安全</v>
          </cell>
          <cell r="D53" t="str">
            <v>会议费用报销（三公经费）</v>
          </cell>
          <cell r="E53" t="str">
            <v>超期、超规模、超标准组织会议，计划外会议未规范履行报批程序，会议开支金额超会议费用预算，引发资金安全及合规管理风险。</v>
          </cell>
        </row>
        <row r="53">
          <cell r="G53" t="str">
            <v>15.会议规模、费用报销</v>
          </cell>
          <cell r="H53" t="str">
            <v>合理确定会议规格，严格控制会议费预算规模。</v>
          </cell>
          <cell r="I53" t="str">
            <v>员工报账业务-15.会议规模、费用报销-控制措施01</v>
          </cell>
          <cell r="J53" t="str">
            <v>主办部门做好会议过程管控。① 做好会议筹备。按照会议类别，确定会议规模、会期、人数、会场、预算等。② 严格会议审批。按照《国家电网有限公司会议管理办法》要求，由主办部门履行内部审批流程，填写计划内会议费用申请表，提出申请，经本部门主要负责人签字。③ 规范会议组织。不得到豪华酒店、度假村和党中央、国务院明令禁止的风景名胜区召开会议，精简会务安排、严肃会议纪律。④ 规范会议报销。按照《国家电网有限公司会议管理办法》要求，会议费用报销应严格执行公司报销管理规定，由主办部门提出申请，经本部门主要负责人签字。严禁借会议名义列支或报销与会议无关的费用等。</v>
          </cell>
        </row>
        <row r="53">
          <cell r="L53" t="str">
            <v>√</v>
          </cell>
          <cell r="M53" t="str">
            <v>√</v>
          </cell>
        </row>
        <row r="53">
          <cell r="T53" t="str">
            <v>线下管控</v>
          </cell>
        </row>
        <row r="53">
          <cell r="V53" t="str">
            <v>1.年度会议计划表；
2.计划内会议费用申请表；
3.会议通知、会议议程、参会名单；
4.发票或电子结算单；
5.计划外会议审批表。</v>
          </cell>
          <cell r="W53" t="str">
            <v>各级单位-会议承办部门-报账人员、各级单位-会议承办部门-负责人、各级单位-会议管理部门-会议管理人员、各级单位-会议管理部门-负责人</v>
          </cell>
          <cell r="X53" t="str">
            <v>每季度</v>
          </cell>
          <cell r="Y53" t="str">
            <v>抽查</v>
          </cell>
        </row>
        <row r="53">
          <cell r="AA53" t="str">
            <v>每年</v>
          </cell>
          <cell r="AB53" t="str">
            <v>抽查</v>
          </cell>
        </row>
        <row r="53">
          <cell r="AD53" t="str">
            <v>会议费监督场景</v>
          </cell>
          <cell r="AE53" t="str">
            <v>每年</v>
          </cell>
          <cell r="AF53" t="str">
            <v>抽查</v>
          </cell>
        </row>
        <row r="53">
          <cell r="AH53" t="str">
            <v>是</v>
          </cell>
          <cell r="AI53" t="str">
            <v>是</v>
          </cell>
          <cell r="AJ53" t="str">
            <v>《国家电网有限公司会议管理办法》（国家电网企管〔2025〕267号）第七至十二条、第二十一至二十二条、第二十七至三十二条、第三十四至三十九条等。
《关于做好会议、接待管理相关事项报备报批工作的通知》（办值通〔2025〕55号）</v>
          </cell>
          <cell r="AK53" t="str">
            <v>国网办公室</v>
          </cell>
        </row>
        <row r="54">
          <cell r="I54" t="str">
            <v>员工报账业务-15.会议规模、费用报销-控制措施02</v>
          </cell>
          <cell r="J54" t="str">
            <v>归口管理部门做好复核。对主办部门提交的计划内会议费用申请表、计划外会议审批表中会议计划、时间、地点、规模、预算、标准审批等进行复核。</v>
          </cell>
        </row>
        <row r="54">
          <cell r="N54" t="str">
            <v>√</v>
          </cell>
          <cell r="O54" t="str">
            <v>√</v>
          </cell>
        </row>
        <row r="54">
          <cell r="T54" t="str">
            <v>线下管控</v>
          </cell>
        </row>
        <row r="54">
          <cell r="V54" t="str">
            <v>1.年度会议计划表；
2.计划内会议费用申请表；
3.会议通知、会议议程、参会名单；
4.发票或电子结算单；
5.计划外会议审批表。</v>
          </cell>
          <cell r="W54" t="str">
            <v>各级单位-会议承办部门-报账人员、各级单位-会议承办部门-负责人、各级单位-会议管理部门-会议管理人员、各级单位-会议管理部门-负责人</v>
          </cell>
          <cell r="X54" t="str">
            <v>每季度</v>
          </cell>
          <cell r="Y54" t="str">
            <v>抽查</v>
          </cell>
        </row>
        <row r="54">
          <cell r="AA54" t="str">
            <v>每年</v>
          </cell>
          <cell r="AB54" t="str">
            <v>抽查</v>
          </cell>
        </row>
        <row r="54">
          <cell r="AD54" t="str">
            <v>会议费监督场景</v>
          </cell>
          <cell r="AE54" t="str">
            <v>每年</v>
          </cell>
          <cell r="AF54" t="str">
            <v>抽查</v>
          </cell>
        </row>
        <row r="54">
          <cell r="AH54" t="str">
            <v>是</v>
          </cell>
          <cell r="AI54" t="str">
            <v>是</v>
          </cell>
          <cell r="AJ54" t="str">
            <v>《国家电网有限公司会议管理办法》（国家电网企管〔2025〕267号）第七至十二条、第二十一至二十二条、第二十七至三十二条、第三十四至三十九条等。
《关于做好会议、接待管理相关事项报备报批工作的通知》（办值通〔2025〕55号）</v>
          </cell>
          <cell r="AK54" t="str">
            <v>国网办公室</v>
          </cell>
        </row>
        <row r="55">
          <cell r="I55" t="str">
            <v>员工报账业务-15.会议规模、费用报销-控制措施03</v>
          </cell>
          <cell r="J55" t="str">
            <v>财务部门做好报销审核。按照财务业务流程要求，做好报销审核、检查材料完备。</v>
          </cell>
        </row>
        <row r="55">
          <cell r="Q55" t="str">
            <v>√</v>
          </cell>
          <cell r="R55" t="str">
            <v>√</v>
          </cell>
        </row>
        <row r="55">
          <cell r="T55" t="str">
            <v>线下管控</v>
          </cell>
        </row>
        <row r="55">
          <cell r="V55" t="str">
            <v>1.年度会议计划表；
2.计划内会议费用申请表；
3.会议通知、会议议程、参会名单；
4.发票或电子结算单；
5.计划外会议审批表。</v>
          </cell>
          <cell r="W55" t="str">
            <v>各级单位-会议承办部门-报账人员、各级单位-会议承办部门-负责人、各级单位-会议管理部门-会议管理人员、各级单位-会议管理部门-负责人、各级单位-财务部门-成本管理人员</v>
          </cell>
          <cell r="X55" t="str">
            <v>每季度</v>
          </cell>
          <cell r="Y55" t="str">
            <v>抽查</v>
          </cell>
        </row>
        <row r="55">
          <cell r="AA55" t="str">
            <v>每年</v>
          </cell>
          <cell r="AB55" t="str">
            <v>抽查</v>
          </cell>
        </row>
        <row r="55">
          <cell r="AD55" t="str">
            <v>会议费监督场景</v>
          </cell>
          <cell r="AE55" t="str">
            <v>每年</v>
          </cell>
          <cell r="AF55" t="str">
            <v>抽查</v>
          </cell>
        </row>
        <row r="55">
          <cell r="AH55" t="str">
            <v>是</v>
          </cell>
          <cell r="AI55" t="str">
            <v>是</v>
          </cell>
          <cell r="AJ55" t="str">
            <v>《国家电网有限公司会议管理办法》（国家电网企管〔2025〕267号）第七至十二条、第二十一至二十二条、第二十七至三十二条、第三十四至三十九条等。
《关于做好会议、接待管理相关事项报备报批工作的通知》（办值通〔2025〕55号）</v>
          </cell>
          <cell r="AK55" t="str">
            <v>国网办公室</v>
          </cell>
        </row>
        <row r="56">
          <cell r="A56" t="str">
            <v>员工报账</v>
          </cell>
          <cell r="B56" t="str">
            <v>二、通用报账</v>
          </cell>
          <cell r="C56" t="str">
            <v>资金资产安全</v>
          </cell>
          <cell r="D56" t="str">
            <v>办公费管理</v>
          </cell>
          <cell r="E56" t="str">
            <v>虚列、套取办公费，引发合规风险。</v>
          </cell>
        </row>
        <row r="56">
          <cell r="G56" t="str">
            <v>16.办公费使用</v>
          </cell>
          <cell r="H56" t="str">
            <v>办公费在规定范围内据实报销。办公费报销中的结算依据充分，完整，有效，结算依据审核轨迹完整。</v>
          </cell>
          <cell r="I56" t="str">
            <v>员工报账业务-16.办公费使用-控制措施01</v>
          </cell>
          <cell r="J56" t="str">
            <v>归口管理部门对办公费用使用范围进行复核，确保不包含党报党刊费、营销业务电费发票印制费、护肤膏、防晒霜、牙膏、工作服、多功能一体机、打印机、投影仪、礼品、食堂餐座椅等费用，禁止虚列、套取办公费行为。</v>
          </cell>
        </row>
        <row r="56">
          <cell r="L56" t="str">
            <v>√</v>
          </cell>
          <cell r="M56" t="str">
            <v>√</v>
          </cell>
        </row>
        <row r="56">
          <cell r="O56" t="str">
            <v>√</v>
          </cell>
        </row>
        <row r="56">
          <cell r="T56" t="str">
            <v>线下管控</v>
          </cell>
        </row>
        <row r="56">
          <cell r="V56" t="str">
            <v>1.成本费用报销审批单；
2.发票；
3.入库单或到货验收单；
4.购置审批表；
5.采购合同；
6.办公用品领用清单；
7.费用结算清单。</v>
          </cell>
          <cell r="W56" t="str">
            <v>各级单位-各部门-报账人员、各级单位-各部门-负责人、各级单位-办公用品管理部门-办公用品管理人员、各级单位-办公用品管理部门-负责人</v>
          </cell>
          <cell r="X56" t="str">
            <v>每季度</v>
          </cell>
          <cell r="Y56" t="str">
            <v>抽查</v>
          </cell>
        </row>
        <row r="56">
          <cell r="AA56" t="str">
            <v>每年</v>
          </cell>
          <cell r="AB56" t="str">
            <v>抽查</v>
          </cell>
        </row>
        <row r="56">
          <cell r="AD56" t="str">
            <v>办公费监督场景</v>
          </cell>
          <cell r="AE56" t="str">
            <v>每年</v>
          </cell>
          <cell r="AF56" t="str">
            <v>抽查</v>
          </cell>
        </row>
        <row r="56">
          <cell r="AH56" t="str">
            <v>是</v>
          </cell>
          <cell r="AI56" t="str">
            <v>是</v>
          </cell>
          <cell r="AJ56" t="str">
            <v>《国家电网有限公司会计基础管理办法》（国家电网企管〔2019〕132号）第五十四条</v>
          </cell>
          <cell r="AK56" t="str">
            <v>国网后勤部</v>
          </cell>
        </row>
        <row r="57">
          <cell r="I57" t="str">
            <v>员工报账业务-16.办公费使用-控制措施02</v>
          </cell>
          <cell r="J57" t="str">
            <v>财务人员加强规范性审核，对照审批轨迹、费用结算清单、办公用品领用清单复核业务规范性。</v>
          </cell>
        </row>
        <row r="57">
          <cell r="Q57" t="str">
            <v>√</v>
          </cell>
          <cell r="R57" t="str">
            <v>√</v>
          </cell>
        </row>
        <row r="57">
          <cell r="T57" t="str">
            <v>线下管控</v>
          </cell>
        </row>
        <row r="57">
          <cell r="V57" t="str">
            <v>1.成本费用报销审批单；
2.发票；
3.入库单或到货验收单；
4.购置审批表；
5.采购合同；
6.办公用品领用清单；
7.费用结算清单。</v>
          </cell>
          <cell r="W57" t="str">
            <v>各级单位-各部门-报账人员、各级单位-各部门-负责人、各级单位-办公用品管理部门-办公用品管理人员、各级单位-办公用品管理部门-负责人、各级单位-财务部门-成本管理人员</v>
          </cell>
          <cell r="X57" t="str">
            <v>每季度</v>
          </cell>
          <cell r="Y57" t="str">
            <v>抽查</v>
          </cell>
        </row>
        <row r="57">
          <cell r="AA57" t="str">
            <v>每年</v>
          </cell>
          <cell r="AB57" t="str">
            <v>抽查</v>
          </cell>
        </row>
        <row r="57">
          <cell r="AD57" t="str">
            <v>办公费监督场景</v>
          </cell>
          <cell r="AE57" t="str">
            <v>每年</v>
          </cell>
          <cell r="AF57" t="str">
            <v>抽查</v>
          </cell>
        </row>
        <row r="57">
          <cell r="AH57" t="str">
            <v>是</v>
          </cell>
          <cell r="AI57" t="str">
            <v>是</v>
          </cell>
          <cell r="AJ57" t="str">
            <v>《国家电网有限公司会计基础管理办法》（国家电网企管〔2019〕132号）第五十四条</v>
          </cell>
          <cell r="AK57" t="str">
            <v>国网后勤部</v>
          </cell>
        </row>
        <row r="58">
          <cell r="C58" t="str">
            <v>税务合规</v>
          </cell>
          <cell r="D58" t="str">
            <v>办公用品选购</v>
          </cell>
          <cell r="E58" t="str">
            <v>办公用品到货商品与采购清单不一致，“私下换货”，引发合规风险。</v>
          </cell>
        </row>
        <row r="58">
          <cell r="G58" t="str">
            <v>17.办公用品采购、发放</v>
          </cell>
          <cell r="H58" t="str">
            <v>办公用品采购、发放规范有序。</v>
          </cell>
          <cell r="I58" t="str">
            <v>员工报账业务-17.办公用品采购、发放-控制措施01</v>
          </cell>
          <cell r="J58" t="str">
            <v>物资部门对国网商城上架商品与物流信息一致性进行校验，规避换货舞弊行为。</v>
          </cell>
        </row>
        <row r="58">
          <cell r="O58" t="str">
            <v>√</v>
          </cell>
        </row>
        <row r="58">
          <cell r="T58" t="str">
            <v>线下管控</v>
          </cell>
        </row>
        <row r="58">
          <cell r="V58" t="str">
            <v>1.办公用品采购申请单；
2.发票；
3.入库单或货物交接单；
4.购置审批表。</v>
          </cell>
          <cell r="W58" t="str">
            <v>各级单位-办公用品管理部门-办公用品管理人员、各级单位-办公用品管理部门-负责人、各级单位-物资部门-电商采购执行与监督人员、各级单位-物资部门-负责人</v>
          </cell>
          <cell r="X58" t="str">
            <v>每季度</v>
          </cell>
          <cell r="Y58" t="str">
            <v>抽查</v>
          </cell>
        </row>
        <row r="58">
          <cell r="AA58" t="str">
            <v>每年</v>
          </cell>
          <cell r="AB58" t="str">
            <v>抽查</v>
          </cell>
        </row>
        <row r="58">
          <cell r="AD58" t="str">
            <v>办公费列支范围监督场景</v>
          </cell>
          <cell r="AE58" t="str">
            <v>每年</v>
          </cell>
          <cell r="AF58" t="str">
            <v>抽查</v>
          </cell>
        </row>
        <row r="58">
          <cell r="AH58" t="str">
            <v>是</v>
          </cell>
          <cell r="AI58" t="str">
            <v>是</v>
          </cell>
          <cell r="AJ58" t="str">
            <v>《国家电网有限公司零星物资及办公用品选购专区管理细则》（国家电网企管〔2024〕301 号）第二十八条、第二十九条</v>
          </cell>
          <cell r="AK58" t="str">
            <v>国网后勤部、国网物资部</v>
          </cell>
        </row>
        <row r="59">
          <cell r="I59" t="str">
            <v>员工报账业务-17.办公用品采购、发放-控制措施02</v>
          </cell>
          <cell r="J59" t="str">
            <v>归口管理部门建立需求、审批、选购等关键角色不相容控制，实现权力分散与监督。</v>
          </cell>
        </row>
        <row r="59">
          <cell r="L59" t="str">
            <v>√</v>
          </cell>
        </row>
        <row r="59">
          <cell r="T59" t="str">
            <v>线下管控</v>
          </cell>
        </row>
        <row r="59">
          <cell r="V59" t="str">
            <v>1.办公用品采购申请单；
2.发票；
3.入库单或货物交接单；
4.购置审批表。</v>
          </cell>
          <cell r="W59" t="str">
            <v>各级单位-办公用品管理部门-办公用品管理人员、各级单位-办公用品管理部门-负责人、各级单位-物资部门-电商采购执行与监督人员、各级单位-物资部门-负责人</v>
          </cell>
          <cell r="X59" t="str">
            <v>每季度</v>
          </cell>
          <cell r="Y59" t="str">
            <v>抽查</v>
          </cell>
        </row>
        <row r="59">
          <cell r="AA59" t="str">
            <v>每年</v>
          </cell>
          <cell r="AB59" t="str">
            <v>抽查</v>
          </cell>
        </row>
        <row r="59">
          <cell r="AD59" t="str">
            <v>办公费列支范围监督场景</v>
          </cell>
          <cell r="AE59" t="str">
            <v>每年</v>
          </cell>
          <cell r="AF59" t="str">
            <v>抽查</v>
          </cell>
        </row>
        <row r="59">
          <cell r="AH59" t="str">
            <v>是</v>
          </cell>
          <cell r="AI59" t="str">
            <v>是</v>
          </cell>
          <cell r="AJ59" t="str">
            <v>《国家电网有限公司零星物资及办公用品选购专区管理细则》（国家电网企管〔2024〕301 号）第二十八条、第二十九条</v>
          </cell>
          <cell r="AK59" t="str">
            <v>国网后勤部、国网物资部</v>
          </cell>
        </row>
        <row r="60">
          <cell r="I60" t="str">
            <v>员工报账业务-17.办公用品采购、发放-控制措施03</v>
          </cell>
          <cell r="J60" t="str">
            <v>物资部门建立办公用品由物资部门和办公用品保管人员共同验收工作机制，双方均在货物交接单据上签字确认。</v>
          </cell>
        </row>
        <row r="60">
          <cell r="O60" t="str">
            <v>√</v>
          </cell>
        </row>
        <row r="60">
          <cell r="R60" t="str">
            <v>√</v>
          </cell>
        </row>
        <row r="60">
          <cell r="T60" t="str">
            <v>线下管控</v>
          </cell>
        </row>
        <row r="60">
          <cell r="V60" t="str">
            <v>1.办公用品采购申请单；
2.发票；
3.入库单或货物交接单；
4.购置审批表。</v>
          </cell>
          <cell r="W60" t="str">
            <v>各级单位-办公用品管理部门-办公用品管理人员、各级单位-办公用品管理部门-负责人、各级单位-物资部门-电商采购执行与监督人员、各级单位-物资部门-负责人</v>
          </cell>
          <cell r="X60" t="str">
            <v>每季度</v>
          </cell>
          <cell r="Y60" t="str">
            <v>抽查</v>
          </cell>
        </row>
        <row r="60">
          <cell r="AA60" t="str">
            <v>每年</v>
          </cell>
          <cell r="AB60" t="str">
            <v>抽查</v>
          </cell>
        </row>
        <row r="60">
          <cell r="AD60" t="str">
            <v>办公费列支范围监督场景</v>
          </cell>
          <cell r="AE60" t="str">
            <v>每年</v>
          </cell>
          <cell r="AF60" t="str">
            <v>抽查</v>
          </cell>
        </row>
        <row r="60">
          <cell r="AH60" t="str">
            <v>是</v>
          </cell>
          <cell r="AI60" t="str">
            <v>是</v>
          </cell>
          <cell r="AJ60" t="str">
            <v>《国家电网有限公司零星物资及办公用品选购专区管理细则》（国家电网企管〔2024〕301 号）第二十八条、第二十九条</v>
          </cell>
          <cell r="AK60" t="str">
            <v>国网后勤部、国网物资部</v>
          </cell>
        </row>
        <row r="61">
          <cell r="A61" t="str">
            <v>员工报账</v>
          </cell>
          <cell r="B61" t="str">
            <v>二、通用报账</v>
          </cell>
          <cell r="C61" t="str">
            <v>税务合规</v>
          </cell>
          <cell r="D61" t="str">
            <v>办公用品选购</v>
          </cell>
          <cell r="E61" t="str">
            <v>办公用品到货商品与采购清单不一致，“私下换货”，引发合规风险。</v>
          </cell>
        </row>
        <row r="61">
          <cell r="G61" t="str">
            <v>17.办公用品采购、发放</v>
          </cell>
          <cell r="H61" t="str">
            <v>办公用品采购、发放规范有序。</v>
          </cell>
          <cell r="I61" t="str">
            <v>员工报账业务-17.办公用品采购、发放-控制措施04</v>
          </cell>
          <cell r="J61" t="str">
            <v>办公用品管理部门确保办公用品发放规范有序。</v>
          </cell>
        </row>
        <row r="61">
          <cell r="R61" t="str">
            <v>√</v>
          </cell>
        </row>
        <row r="61">
          <cell r="T61" t="str">
            <v>线下管控</v>
          </cell>
        </row>
        <row r="61">
          <cell r="V61" t="str">
            <v>1.办公用品领用清单。</v>
          </cell>
          <cell r="W61" t="str">
            <v>各级单位-办公用品管理部门-办公用品管理人员、各级单位-办公用品管理部门-负责人</v>
          </cell>
          <cell r="X61" t="str">
            <v>每季度</v>
          </cell>
          <cell r="Y61" t="str">
            <v>抽查</v>
          </cell>
        </row>
        <row r="61">
          <cell r="AA61" t="str">
            <v>每年</v>
          </cell>
          <cell r="AB61" t="str">
            <v>抽查</v>
          </cell>
        </row>
        <row r="61">
          <cell r="AD61" t="str">
            <v>办公费列支范围监督场景</v>
          </cell>
          <cell r="AE61" t="str">
            <v>每年</v>
          </cell>
          <cell r="AF61" t="str">
            <v>抽查</v>
          </cell>
        </row>
        <row r="61">
          <cell r="AH61" t="str">
            <v>是</v>
          </cell>
          <cell r="AI61" t="str">
            <v>是</v>
          </cell>
          <cell r="AJ61" t="str">
            <v>《国家电网有限公司零星物资及办公用品选购专区管理细则》（国家电网企管〔2024〕301 号）第二十八条、第二十九条</v>
          </cell>
          <cell r="AK61" t="str">
            <v>国网后勤部</v>
          </cell>
        </row>
        <row r="62">
          <cell r="C62" t="str">
            <v>税务合规</v>
          </cell>
          <cell r="D62" t="str">
            <v>党组织工作经费使用</v>
          </cell>
          <cell r="E62" t="str">
            <v>超范围、超标准列支党组织工作经费，导致成本不实，引发合规风险。</v>
          </cell>
        </row>
        <row r="62">
          <cell r="G62" t="str">
            <v>18.党组织工作经费报销</v>
          </cell>
          <cell r="H62" t="str">
            <v>党组织工作经费在规定范围内报销。</v>
          </cell>
          <cell r="I62" t="str">
            <v>员工报账业务-18.党组织工作经费报销-控制措施01</v>
          </cell>
          <cell r="J62" t="str">
            <v>归口管理部门对党组织工作经费清单进行复核，确保费用用于党内开支教育、宣传思想、主题实践活动及党内评选表彰等与党（团）的建设直接相关的工作和活动。</v>
          </cell>
        </row>
        <row r="62">
          <cell r="L62" t="str">
            <v>√</v>
          </cell>
        </row>
        <row r="62">
          <cell r="T62" t="str">
            <v>线下管控</v>
          </cell>
        </row>
        <row r="62">
          <cell r="V62" t="str">
            <v>1.成本费用报销审批单；
2.费用明细清单；
3.发票或收据。</v>
          </cell>
          <cell r="W62" t="str">
            <v>各级单位-各部门-报账人员、各级单位-各部门-负责人、各级单位-党建部门-负责人</v>
          </cell>
          <cell r="X62" t="str">
            <v>每季度</v>
          </cell>
          <cell r="Y62" t="str">
            <v>抽查</v>
          </cell>
        </row>
        <row r="62">
          <cell r="AA62" t="str">
            <v>每年</v>
          </cell>
          <cell r="AB62" t="str">
            <v>抽查</v>
          </cell>
        </row>
        <row r="62">
          <cell r="AD62" t="str">
            <v>党组织工作经列支范围监督场景</v>
          </cell>
          <cell r="AE62" t="str">
            <v>每年</v>
          </cell>
          <cell r="AF62" t="str">
            <v>抽查</v>
          </cell>
        </row>
        <row r="62">
          <cell r="AH62" t="str">
            <v>是</v>
          </cell>
          <cell r="AI62" t="str">
            <v>是</v>
          </cell>
          <cell r="AJ62" t="str">
            <v>《国家电网有限公司党组织工作经费管理办法（试行）》（国家电网党〔2018〕96号）第八条、第九条、第十三条、第十四条</v>
          </cell>
          <cell r="AK62" t="str">
            <v>党组党建部</v>
          </cell>
        </row>
        <row r="63">
          <cell r="I63" t="str">
            <v>员工报账业务-18.党组织工作经费报销-控制措施02</v>
          </cell>
          <cell r="J63" t="str">
            <v>财务部门对报销费用超范围开支情况进行校验，严禁列支豪华酒店、度假村等场所费用。</v>
          </cell>
        </row>
        <row r="63">
          <cell r="Q63" t="str">
            <v>√</v>
          </cell>
          <cell r="R63" t="str">
            <v>√</v>
          </cell>
        </row>
        <row r="63">
          <cell r="T63" t="str">
            <v>线下管控</v>
          </cell>
        </row>
        <row r="63">
          <cell r="V63" t="str">
            <v>1.成本费用报销审批单；
2.费用明细清单；
3.发票或收据。</v>
          </cell>
          <cell r="W63" t="str">
            <v>各级单位-各部门-报账人员、各级单位-各部门-负责人、各级单位-党建部门-负责人、各级单位-财务部门-成本管理人员</v>
          </cell>
          <cell r="X63" t="str">
            <v>每季度</v>
          </cell>
          <cell r="Y63" t="str">
            <v>抽查</v>
          </cell>
        </row>
        <row r="63">
          <cell r="AA63" t="str">
            <v>每年</v>
          </cell>
          <cell r="AB63" t="str">
            <v>抽查</v>
          </cell>
        </row>
        <row r="63">
          <cell r="AD63" t="str">
            <v>党组织工作经列支范围监督场景</v>
          </cell>
          <cell r="AE63" t="str">
            <v>每年</v>
          </cell>
          <cell r="AF63" t="str">
            <v>抽查</v>
          </cell>
        </row>
        <row r="63">
          <cell r="AH63" t="str">
            <v>是</v>
          </cell>
          <cell r="AI63" t="str">
            <v>是</v>
          </cell>
          <cell r="AJ63" t="str">
            <v>《国家电网有限公司党组织工作经费管理办法（试行）》（国家电网党〔2018〕96号）第八条、第九条、第十三条、第十四条</v>
          </cell>
          <cell r="AK63" t="str">
            <v>党组党建部</v>
          </cell>
        </row>
        <row r="64">
          <cell r="C64" t="str">
            <v>税务合规、资金资产安全</v>
          </cell>
          <cell r="D64" t="str">
            <v>安全费使用</v>
          </cell>
          <cell r="E64" t="str">
            <v>超范围列支安全费，虚列挤占安全专项费用，导致合规风险。</v>
          </cell>
        </row>
        <row r="64">
          <cell r="G64" t="str">
            <v>19.安全费报销</v>
          </cell>
          <cell r="H64" t="str">
            <v>安全费在规定范围内报销。</v>
          </cell>
          <cell r="I64" t="str">
            <v>员工报账业务-19.安全费报销-控制措施01</v>
          </cell>
          <cell r="J64" t="str">
            <v>实物管理部门规范建立资产卡片，针对使用安全费用形成固定资产、无形资产的规范建立资产卡片，确保相关资产折旧准确计入安全费。</v>
          </cell>
        </row>
        <row r="64">
          <cell r="M64" t="str">
            <v>√</v>
          </cell>
        </row>
        <row r="64">
          <cell r="T64" t="str">
            <v>系统已建</v>
          </cell>
          <cell r="U64" t="str">
            <v>ERP</v>
          </cell>
          <cell r="V64" t="str">
            <v>1.成本费用报销审批单；
2.费用明细清单；
3.发票或收据；
4.建设合同。</v>
          </cell>
          <cell r="W64" t="str">
            <v>各级单位-各部门-报账人员、各级单位-各部门-负责人、各级单位-安监部门-消防与安保管理人员、各级单位-安监部门-负责人</v>
          </cell>
          <cell r="X64" t="str">
            <v>每季度</v>
          </cell>
          <cell r="Y64" t="str">
            <v>抽查</v>
          </cell>
        </row>
        <row r="64">
          <cell r="AA64" t="str">
            <v>每年</v>
          </cell>
          <cell r="AB64" t="str">
            <v>抽查</v>
          </cell>
        </row>
        <row r="64">
          <cell r="AD64" t="str">
            <v>安全费列支范围监督场景</v>
          </cell>
          <cell r="AE64" t="str">
            <v>每年</v>
          </cell>
          <cell r="AF64" t="str">
            <v>抽查</v>
          </cell>
        </row>
        <row r="64">
          <cell r="AH64" t="str">
            <v>是</v>
          </cell>
          <cell r="AI64" t="str">
            <v>是</v>
          </cell>
          <cell r="AJ64" t="str">
            <v>《国家电网有限公司安全生产费用提取和使用管理办法》（国家电网企管〔2023〕399号）第十条、第十三条、第二十五条</v>
          </cell>
          <cell r="AK64" t="str">
            <v>国网安监部</v>
          </cell>
        </row>
        <row r="65">
          <cell r="I65" t="str">
            <v>员工报账业务-19.安全费报销-控制措施02</v>
          </cell>
          <cell r="J65" t="str">
            <v>建设单位及时支付安全费用，应当在合同中单独约定并于工程开工日一个月内向承包单位至少支付 50%安全费用。</v>
          </cell>
        </row>
        <row r="65">
          <cell r="O65" t="str">
            <v>√</v>
          </cell>
          <cell r="P65" t="str">
            <v>√</v>
          </cell>
        </row>
        <row r="65">
          <cell r="T65" t="str">
            <v>线下管控</v>
          </cell>
        </row>
        <row r="65">
          <cell r="V65" t="str">
            <v>1.成本费用报销审批单；
2.费用明细清单；
3.发票或收据；
4.建设合同。</v>
          </cell>
          <cell r="W65" t="str">
            <v>各级单位-各部门-报账人员、各级单位-各部门-负责人、各级单位-安监部门-消防与安保管理人员、各级单位-安监部门-负责人</v>
          </cell>
          <cell r="X65" t="str">
            <v>每季度</v>
          </cell>
          <cell r="Y65" t="str">
            <v>抽查</v>
          </cell>
        </row>
        <row r="65">
          <cell r="AA65" t="str">
            <v>每年</v>
          </cell>
          <cell r="AB65" t="str">
            <v>抽查</v>
          </cell>
        </row>
        <row r="65">
          <cell r="AD65" t="str">
            <v>安全费列支范围监督场景</v>
          </cell>
          <cell r="AE65" t="str">
            <v>每年</v>
          </cell>
          <cell r="AF65" t="str">
            <v>抽查</v>
          </cell>
        </row>
        <row r="65">
          <cell r="AH65" t="str">
            <v>是</v>
          </cell>
          <cell r="AI65" t="str">
            <v>是</v>
          </cell>
          <cell r="AJ65" t="str">
            <v>《国家电网有限公司安全生产费用提取和使用管理办法》（国家电网企管〔2023〕399号）第十条、第十三条、第二十条、第二十五条</v>
          </cell>
          <cell r="AK65" t="str">
            <v>国网安监部</v>
          </cell>
        </row>
        <row r="66">
          <cell r="I66" t="str">
            <v>员工报账业务-19.安全费报销-控制措施03</v>
          </cell>
          <cell r="J66" t="str">
            <v>总包单位及时支付安全费用，总包单位应当在合同中单独约定并于分包工程开工日一个月内将至少50%安全费用直接支付分包单位并监督使用，分包单位不再重复提取。</v>
          </cell>
        </row>
        <row r="66">
          <cell r="O66" t="str">
            <v>√</v>
          </cell>
          <cell r="P66" t="str">
            <v>√</v>
          </cell>
        </row>
        <row r="66">
          <cell r="T66" t="str">
            <v>线下管控</v>
          </cell>
        </row>
        <row r="66">
          <cell r="V66" t="str">
            <v>1.成本费用报销审批单；
2.费用明细清单；
3.发票或收据；
4.建设合同。</v>
          </cell>
          <cell r="W66" t="str">
            <v>各级单位-各部门-报账人员、各级单位-各部门-负责人、各级单位-安监部门-消防与安保管理人员、各级单位-安监部门-负责人</v>
          </cell>
          <cell r="X66" t="str">
            <v>每季度</v>
          </cell>
          <cell r="Y66" t="str">
            <v>抽查</v>
          </cell>
        </row>
        <row r="66">
          <cell r="AA66" t="str">
            <v>每年</v>
          </cell>
          <cell r="AB66" t="str">
            <v>抽查</v>
          </cell>
        </row>
        <row r="66">
          <cell r="AD66" t="str">
            <v>安全费列支范围监督场景</v>
          </cell>
          <cell r="AE66" t="str">
            <v>每年</v>
          </cell>
          <cell r="AF66" t="str">
            <v>抽查</v>
          </cell>
        </row>
        <row r="66">
          <cell r="AH66" t="str">
            <v>是</v>
          </cell>
          <cell r="AI66" t="str">
            <v>是</v>
          </cell>
          <cell r="AJ66" t="str">
            <v>《国家电网有限公司安全生产费用提取和使用管理办法》（国家电网企管〔2023〕399号）第十条、第十三条、第二十条、第二十五条</v>
          </cell>
          <cell r="AK66" t="str">
            <v>国网安监部</v>
          </cell>
        </row>
        <row r="67">
          <cell r="A67" t="str">
            <v>员工报账</v>
          </cell>
          <cell r="B67" t="str">
            <v>二、通用报账</v>
          </cell>
          <cell r="C67" t="str">
            <v>税务合规、资金资产安全</v>
          </cell>
          <cell r="D67" t="str">
            <v>安全费使用</v>
          </cell>
          <cell r="E67" t="str">
            <v>超范围列支安全费，虚列挤占安全专项费用，导致合规风险。</v>
          </cell>
        </row>
        <row r="67">
          <cell r="G67" t="str">
            <v>19.安全费报销</v>
          </cell>
          <cell r="H67" t="str">
            <v>安全费在规定范围内报销。</v>
          </cell>
          <cell r="I67" t="str">
            <v>员工报账业务-19.安全费报销-控制措施04</v>
          </cell>
          <cell r="J67" t="str">
            <v>归口管理部门对安全工器具领用、保管进行监督，确保不发生安全工器具过期等问题。</v>
          </cell>
        </row>
        <row r="67">
          <cell r="R67" t="str">
            <v>√</v>
          </cell>
        </row>
        <row r="67">
          <cell r="T67" t="str">
            <v>线下管控
系统已建</v>
          </cell>
          <cell r="U67" t="str">
            <v>安全风险管控监督平台</v>
          </cell>
          <cell r="V67" t="str">
            <v>1.成本费用报销审批单；
2.费用明细清单；
3.发票或收据；
4.建设合同。</v>
          </cell>
          <cell r="W67" t="str">
            <v>各级单位-各部门-报账人员、各级单位-各部门-负责人、各级单位-安监部门-消防与安保管理人员、各级单位-安监部门-负责人</v>
          </cell>
          <cell r="X67" t="str">
            <v>每季度</v>
          </cell>
          <cell r="Y67" t="str">
            <v>抽查</v>
          </cell>
        </row>
        <row r="67">
          <cell r="AA67" t="str">
            <v>每年</v>
          </cell>
          <cell r="AB67" t="str">
            <v>抽查</v>
          </cell>
        </row>
        <row r="67">
          <cell r="AD67" t="str">
            <v>安全费列支范围监督场景</v>
          </cell>
          <cell r="AE67" t="str">
            <v>每年</v>
          </cell>
          <cell r="AF67" t="str">
            <v>抽查</v>
          </cell>
        </row>
        <row r="67">
          <cell r="AH67" t="str">
            <v>是</v>
          </cell>
          <cell r="AI67" t="str">
            <v>是</v>
          </cell>
          <cell r="AJ67" t="str">
            <v>《国家电网有限公司安全生产费用提取和使用管理办法》（国家电网企管〔2023〕399号）第十条、第十三条、第二十五条</v>
          </cell>
          <cell r="AK67" t="str">
            <v>国网安监部</v>
          </cell>
        </row>
        <row r="68">
          <cell r="I68" t="str">
            <v>员工报账业务-19.安全费报销-控制措施05</v>
          </cell>
          <cell r="J68" t="str">
            <v>财务部门对安全费列支情况进行复核，禁止列支职工薪酬福利、治安服务费等无关费用。</v>
          </cell>
        </row>
        <row r="68">
          <cell r="M68" t="str">
            <v>√</v>
          </cell>
        </row>
        <row r="68">
          <cell r="P68" t="str">
            <v>√</v>
          </cell>
          <cell r="Q68" t="str">
            <v>√</v>
          </cell>
        </row>
        <row r="68">
          <cell r="T68" t="str">
            <v>线下管控</v>
          </cell>
        </row>
        <row r="68">
          <cell r="V68" t="str">
            <v>1.成本费用报销审批单；
2.费用明细清单；
3.发票或收据；
4.建设合同。</v>
          </cell>
          <cell r="W68" t="str">
            <v>各级单位-各部门-报账人员、各级单位-各部门-负责人、各级单位-安监部门-消防与安保管理人员、各级单位-安监部门-负责人、各级单位-财务部门-成本管理人员</v>
          </cell>
          <cell r="X68" t="str">
            <v>每季度</v>
          </cell>
          <cell r="Y68" t="str">
            <v>抽查</v>
          </cell>
        </row>
        <row r="68">
          <cell r="AA68" t="str">
            <v>每年</v>
          </cell>
          <cell r="AB68" t="str">
            <v>抽查</v>
          </cell>
        </row>
        <row r="68">
          <cell r="AD68" t="str">
            <v>安全费列支范围监督场景</v>
          </cell>
          <cell r="AE68" t="str">
            <v>每年</v>
          </cell>
          <cell r="AF68" t="str">
            <v>抽查</v>
          </cell>
        </row>
        <row r="68">
          <cell r="AH68" t="str">
            <v>是</v>
          </cell>
          <cell r="AI68" t="str">
            <v>是</v>
          </cell>
          <cell r="AJ68" t="str">
            <v>《国家电网有限公司安全生产费用提取和使用管理办法》（国家电网企管〔2023〕399号）第十条、第十三条、第二十五条</v>
          </cell>
          <cell r="AK68" t="str">
            <v>国网安监部</v>
          </cell>
        </row>
        <row r="69">
          <cell r="A69" t="str">
            <v>员工报账</v>
          </cell>
          <cell r="B69" t="str">
            <v>二、通用报账</v>
          </cell>
          <cell r="C69" t="str">
            <v>税务合规、资金资产安全</v>
          </cell>
          <cell r="D69" t="str">
            <v>青苗赔偿现场核定</v>
          </cell>
          <cell r="E69" t="str">
            <v>与现场标准、数量不一致导致青苗赔偿有误，造成青苗赔偿费重复计、多付。</v>
          </cell>
        </row>
        <row r="69">
          <cell r="G69" t="str">
            <v>21.现场青苗赔偿类型、数量的确定</v>
          </cell>
          <cell r="H69" t="str">
            <v>青苗赔付类型、数量与现场一致。</v>
          </cell>
          <cell r="I69" t="str">
            <v>员工报账业务-21.现场青苗赔偿类型、数量的确定-控制措施01</v>
          </cell>
          <cell r="J69" t="str">
            <v>归口管理部门对赔偿真实性进行复核，确保进行了三方（赔偿方、受偿方、监理或基层组织）现场联合勘测清点并签字确认。</v>
          </cell>
        </row>
        <row r="69">
          <cell r="L69" t="str">
            <v>√</v>
          </cell>
        </row>
        <row r="69">
          <cell r="O69" t="str">
            <v>√</v>
          </cell>
        </row>
        <row r="69">
          <cell r="R69" t="str">
            <v>√</v>
          </cell>
        </row>
        <row r="69">
          <cell r="T69" t="str">
            <v>线下管控</v>
          </cell>
        </row>
        <row r="69">
          <cell r="V69" t="str">
            <v>1.用地批复文件；
2.地方补偿标准文件；
3.联合现场勘测记录；
4.地上附着物和青苗调查登记表、补偿结果确认表；
5.被补偿人身份证明；
6.青苗及地上附着物权属证明；
7.青苗补偿协议。</v>
          </cell>
          <cell r="W69" t="str">
            <v>各级单位-各部门-报账人员、各级单位-各部门-负责人、各级单位-归口管理部门-负责人</v>
          </cell>
          <cell r="X69" t="str">
            <v>每季度</v>
          </cell>
          <cell r="Y69" t="str">
            <v>抽查</v>
          </cell>
        </row>
        <row r="69">
          <cell r="AA69" t="str">
            <v>每年</v>
          </cell>
          <cell r="AB69" t="str">
            <v>抽查</v>
          </cell>
        </row>
        <row r="69">
          <cell r="AD69" t="str">
            <v>青苗赔偿费监督场景</v>
          </cell>
          <cell r="AE69" t="str">
            <v>每年</v>
          </cell>
          <cell r="AF69" t="str">
            <v>抽查</v>
          </cell>
        </row>
        <row r="69">
          <cell r="AH69" t="str">
            <v>是</v>
          </cell>
          <cell r="AI69" t="str">
            <v>是</v>
          </cell>
          <cell r="AJ69" t="str">
            <v>《国家电网有限公司会计基础管理办法》（国家电网企管〔2019〕132号）附件：电网企业经济业务审核手册</v>
          </cell>
          <cell r="AK69" t="str">
            <v>国网财务部</v>
          </cell>
        </row>
        <row r="70">
          <cell r="I70" t="str">
            <v>员工报账业务-21.现场青苗赔偿类型、数量的确定-控制措施02</v>
          </cell>
          <cell r="J70" t="str">
            <v>归口管理部门对补偿协仪进行复核，确保协议包括标的物位置、权属、地类、面积、附着物种类与数量等关键信息。</v>
          </cell>
        </row>
        <row r="70">
          <cell r="M70" t="str">
            <v>√</v>
          </cell>
        </row>
        <row r="70">
          <cell r="O70" t="str">
            <v>√</v>
          </cell>
        </row>
        <row r="70">
          <cell r="T70" t="str">
            <v>线下管控</v>
          </cell>
        </row>
        <row r="70">
          <cell r="V70" t="str">
            <v>1.用地批复文件；
2.地方补偿标准文件；
3.联合现场勘测记录；
4.地上附着物和青苗调查登记表、补偿结果确认表；
5.被补偿人身份证明；
6.青苗及地上附着物权属证明；
7.青苗补偿协议。</v>
          </cell>
          <cell r="W70" t="str">
            <v>各级单位-各部门-报账人员、各级单位-各部门-负责人、各级单位-归口管理部门-负责人</v>
          </cell>
          <cell r="X70" t="str">
            <v>每季度</v>
          </cell>
          <cell r="Y70" t="str">
            <v>抽查</v>
          </cell>
        </row>
        <row r="70">
          <cell r="AA70" t="str">
            <v>每年</v>
          </cell>
          <cell r="AB70" t="str">
            <v>抽查</v>
          </cell>
        </row>
        <row r="70">
          <cell r="AD70" t="str">
            <v>青苗赔偿费监督场景</v>
          </cell>
          <cell r="AE70" t="str">
            <v>每年</v>
          </cell>
          <cell r="AF70" t="str">
            <v>抽查</v>
          </cell>
        </row>
        <row r="70">
          <cell r="AH70" t="str">
            <v>是</v>
          </cell>
          <cell r="AI70" t="str">
            <v>是</v>
          </cell>
          <cell r="AJ70" t="str">
            <v>《国家电网有限公司会计基础管理办法》（国家电网企管〔2019〕132号）附件：电网企业经济业务审核手册</v>
          </cell>
          <cell r="AK70" t="str">
            <v>国网财务部</v>
          </cell>
        </row>
        <row r="71">
          <cell r="I71" t="str">
            <v>员工报账业务-21.现场青苗赔偿类型、数量的确定-控制措施03</v>
          </cell>
          <cell r="J71" t="str">
            <v>财务部门对赔偿单价与地方政府指导标准进行校验。</v>
          </cell>
        </row>
        <row r="71">
          <cell r="Q71" t="str">
            <v>√</v>
          </cell>
          <cell r="R71" t="str">
            <v>√</v>
          </cell>
        </row>
        <row r="71">
          <cell r="T71" t="str">
            <v>线下管控</v>
          </cell>
        </row>
        <row r="71">
          <cell r="V71" t="str">
            <v>1.用地批复文件；
2.地方补偿标准文件；
3.联合现场勘测记录；
4.地上附着物和青苗调查登记表、补偿结果确认表；
5.被补偿人身份证明；
6.青苗及地上附着物权属证明；
7.青苗补偿协议。</v>
          </cell>
          <cell r="W71" t="str">
            <v>各级单位-各部门-报账人员、各级单位-各部门-负责人、各级单位-归口管理部门-负责人、各级单位-财务部门-工程财务管理人员</v>
          </cell>
          <cell r="X71" t="str">
            <v>每季度</v>
          </cell>
          <cell r="Y71" t="str">
            <v>抽查</v>
          </cell>
        </row>
        <row r="71">
          <cell r="AA71" t="str">
            <v>每年</v>
          </cell>
          <cell r="AB71" t="str">
            <v>抽查</v>
          </cell>
        </row>
        <row r="71">
          <cell r="AD71" t="str">
            <v>青苗赔偿费监督场景</v>
          </cell>
          <cell r="AE71" t="str">
            <v>每年</v>
          </cell>
          <cell r="AF71" t="str">
            <v>抽查</v>
          </cell>
        </row>
        <row r="71">
          <cell r="AH71" t="str">
            <v>是</v>
          </cell>
          <cell r="AI71" t="str">
            <v>是</v>
          </cell>
          <cell r="AJ71" t="str">
            <v>《国家电网有限公司会计基础管理办法》（国家电网企管〔2019〕132号）附件：电网企业经济业务审核手册</v>
          </cell>
          <cell r="AK71" t="str">
            <v>国网财务部</v>
          </cell>
        </row>
        <row r="72">
          <cell r="C72" t="str">
            <v>税务合规</v>
          </cell>
          <cell r="D72" t="str">
            <v>青苗赔偿资金申
请支付</v>
          </cell>
          <cell r="E72" t="str">
            <v>与赔付人实际不一致，虚列套取资金，造成青苗赔偿费多付、错付。</v>
          </cell>
        </row>
        <row r="72">
          <cell r="G72" t="str">
            <v>22.青苗赔偿支付对象的确定</v>
          </cell>
          <cell r="H72" t="str">
            <v>青苗赔付资金支付对象与现场一致。</v>
          </cell>
          <cell r="I72" t="str">
            <v>员工报账业务-22.青苗赔偿支付对象的确定-控制措施01</v>
          </cell>
          <cell r="J72" t="str">
            <v>归口管理部门对资金支付与补偿协议支付条款进行校验。</v>
          </cell>
        </row>
        <row r="72">
          <cell r="O72" t="str">
            <v>√</v>
          </cell>
          <cell r="P72" t="str">
            <v>√</v>
          </cell>
        </row>
        <row r="72">
          <cell r="T72" t="str">
            <v>线下管控</v>
          </cell>
        </row>
        <row r="72">
          <cell r="V72" t="str">
            <v>1.用地批复文件；
2.地方补偿标准文件；
3.联合现场勘测记录；
4.地上附着物和青苗调查登记表、补偿结果确认表；
5.被补偿人身份证明；
6.青苗及地上附着物权属证明；
7.青苗补偿协议。</v>
          </cell>
          <cell r="W72" t="str">
            <v>各级单位-各部门-报账人员、各级单位-各部门-负责人、各级单位-归口管理部门-负责人</v>
          </cell>
          <cell r="X72" t="str">
            <v>每季度</v>
          </cell>
          <cell r="Y72" t="str">
            <v>抽查</v>
          </cell>
        </row>
        <row r="72">
          <cell r="AA72" t="str">
            <v>每年</v>
          </cell>
          <cell r="AB72" t="str">
            <v>抽查</v>
          </cell>
        </row>
        <row r="72">
          <cell r="AD72" t="str">
            <v>青苗赔偿费监督场景</v>
          </cell>
          <cell r="AE72" t="str">
            <v>每年</v>
          </cell>
          <cell r="AF72" t="str">
            <v>抽查</v>
          </cell>
        </row>
        <row r="72">
          <cell r="AH72" t="str">
            <v>是</v>
          </cell>
          <cell r="AI72" t="str">
            <v>是</v>
          </cell>
          <cell r="AJ72" t="str">
            <v>《国家电网有限公司会计基础管理办法》（国家电网企管〔2019〕132号）附件：电网企业经济业务审核手册</v>
          </cell>
          <cell r="AK72" t="str">
            <v>国网财务部</v>
          </cell>
        </row>
        <row r="73">
          <cell r="I73" t="str">
            <v>员工报账业务-22.青苗赔偿支付对象的确定-控制措施02</v>
          </cell>
          <cell r="J73" t="str">
            <v>财务部门对赔偿资金安全、足额、直达权利人情况进行复核。</v>
          </cell>
        </row>
        <row r="73">
          <cell r="P73" t="str">
            <v>√</v>
          </cell>
        </row>
        <row r="73">
          <cell r="R73" t="str">
            <v>√</v>
          </cell>
        </row>
        <row r="73">
          <cell r="T73" t="str">
            <v>线下管控</v>
          </cell>
        </row>
        <row r="73">
          <cell r="V73" t="str">
            <v>1.用地批复文件；
2.地方补偿标准文件；
3.联合现场勘测记录；
4.地上附着物和青苗调查登记表、补偿结果确认表；
5.被补偿人身份证明；
6.青苗及地上附着物权属证明；
7.青苗补偿协议。</v>
          </cell>
          <cell r="W73" t="str">
            <v>各级单位-各部门-报账人员、各级单位-各部门-负责人、各级单位-归口管理部门-负责人、各级单位-财务部门-工程财务管理人员</v>
          </cell>
          <cell r="X73" t="str">
            <v>每季度</v>
          </cell>
          <cell r="Y73" t="str">
            <v>抽查</v>
          </cell>
        </row>
        <row r="73">
          <cell r="AA73" t="str">
            <v>每年</v>
          </cell>
          <cell r="AB73" t="str">
            <v>抽查</v>
          </cell>
        </row>
        <row r="73">
          <cell r="AD73" t="str">
            <v>青苗赔偿费监督场景</v>
          </cell>
          <cell r="AE73" t="str">
            <v>每年</v>
          </cell>
          <cell r="AF73" t="str">
            <v>抽查</v>
          </cell>
        </row>
        <row r="73">
          <cell r="AH73" t="str">
            <v>是</v>
          </cell>
          <cell r="AI73" t="str">
            <v>是</v>
          </cell>
          <cell r="AJ73" t="str">
            <v>《国家电网有限公司会计基础管理办法》（国家电网企管〔2019〕132号）附件：电网企业经济业务审核手册</v>
          </cell>
          <cell r="AK73" t="str">
            <v>国网财务部</v>
          </cell>
        </row>
        <row r="74">
          <cell r="A74" t="str">
            <v>员工报账</v>
          </cell>
          <cell r="B74" t="str">
            <v>二、通用报账</v>
          </cell>
          <cell r="C74" t="str">
            <v>税务合规、资金资产安全</v>
          </cell>
          <cell r="D74" t="str">
            <v>资金支付</v>
          </cell>
          <cell r="E74" t="str">
            <v>未按合同约定付款、无预算、超越权限办理支付审批业务，引发资金安全风险。</v>
          </cell>
          <cell r="F74" t="str">
            <v>06.债权债务清理不及时：存在应收账款长期未收回、应收款项核销依据不充分、客户工程款清理不及时，存在潜亏风险、长期应付款未及时清理、款项未及时结算形成隐性债权债务等问题。
04.超期未支付民营及中小企业款项：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v>
          </cell>
          <cell r="G74" t="str">
            <v>23.资金支付管理</v>
          </cell>
          <cell r="H74" t="str">
            <v>资金支付规范安全。</v>
          </cell>
          <cell r="I74" t="str">
            <v>员工报账业务-23.资金支付管理-控制措施01</v>
          </cell>
          <cell r="J74" t="str">
            <v>资金支付发起部门对资金支付与合同约定付款条款进行复核。</v>
          </cell>
        </row>
        <row r="74">
          <cell r="M74" t="str">
            <v>√</v>
          </cell>
        </row>
        <row r="74">
          <cell r="O74" t="str">
            <v>√</v>
          </cell>
        </row>
        <row r="74">
          <cell r="T74" t="str">
            <v>线下管控</v>
          </cell>
        </row>
        <row r="74">
          <cell r="V74" t="str">
            <v>1.到货验收单；
2.费用明细清单；
3.发票或收据；
4.合同或协议；
5.付款申请单。</v>
          </cell>
          <cell r="W74" t="str">
            <v>各级单位-资金支付发起部门-报账人员、各级单位-资金支付发起部门-负责人、各级单位-财务部门-成本管理人员、各级单位-财务部门-资金管理人员、各级单位-财务部门-负责人</v>
          </cell>
          <cell r="X74" t="str">
            <v>每季度</v>
          </cell>
          <cell r="Y74" t="str">
            <v>抽查</v>
          </cell>
        </row>
        <row r="74">
          <cell r="AA74" t="str">
            <v>每年</v>
          </cell>
          <cell r="AB74" t="str">
            <v>抽查</v>
          </cell>
        </row>
        <row r="74">
          <cell r="AD74" t="str">
            <v>资金支付管理监督场景</v>
          </cell>
          <cell r="AE74" t="str">
            <v>每年</v>
          </cell>
          <cell r="AF74" t="str">
            <v>抽查</v>
          </cell>
        </row>
        <row r="74">
          <cell r="AH74" t="str">
            <v>是</v>
          </cell>
          <cell r="AI74" t="str">
            <v>是</v>
          </cell>
          <cell r="AJ74"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cell r="AK74" t="str">
            <v>国网财务部</v>
          </cell>
        </row>
        <row r="75">
          <cell r="I75" t="str">
            <v>员工报账业务-23.资金支付管理-控制措施02</v>
          </cell>
          <cell r="J75" t="str">
            <v>资金支付发起部门对付款信息与合同约定进行校验，确保使用合同约定账户支付。</v>
          </cell>
        </row>
        <row r="75">
          <cell r="O75" t="str">
            <v>√</v>
          </cell>
          <cell r="P75" t="str">
            <v>√</v>
          </cell>
        </row>
        <row r="75">
          <cell r="T75" t="str">
            <v>线下管控</v>
          </cell>
        </row>
        <row r="75">
          <cell r="V75" t="str">
            <v>1.到货验收单；
2.费用明细清单；
3.发票或收据；
4.合同或协议；
5.付款申请单。</v>
          </cell>
          <cell r="W75" t="str">
            <v>各级单位-资金支付发起部门-报账人员、各级单位-资金支付发起部门-负责人、各级单位-财务部门-成本管理人员、各级单位-财务部门-资金管理人员、各级单位-财务部门-负责人</v>
          </cell>
          <cell r="X75" t="str">
            <v>每季度</v>
          </cell>
          <cell r="Y75" t="str">
            <v>抽查</v>
          </cell>
        </row>
        <row r="75">
          <cell r="AA75" t="str">
            <v>每年</v>
          </cell>
          <cell r="AB75" t="str">
            <v>抽查</v>
          </cell>
        </row>
        <row r="75">
          <cell r="AD75" t="str">
            <v>资金支付管理监督场景</v>
          </cell>
          <cell r="AE75" t="str">
            <v>每年</v>
          </cell>
          <cell r="AF75" t="str">
            <v>抽查</v>
          </cell>
        </row>
        <row r="75">
          <cell r="AH75" t="str">
            <v>是</v>
          </cell>
          <cell r="AI75" t="str">
            <v>是</v>
          </cell>
          <cell r="AJ75"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cell r="AK75" t="str">
            <v>国网财务部</v>
          </cell>
        </row>
        <row r="76">
          <cell r="I76" t="str">
            <v>员工报账业务-23.资金支付管理-控制措施03</v>
          </cell>
          <cell r="J76" t="str">
            <v>财务部门对资金分级授权审批流程和预算批准的付款额度进行复核，确认无误后进行付款。</v>
          </cell>
          <cell r="K76" t="str">
            <v>√</v>
          </cell>
          <cell r="L76" t="str">
            <v>√</v>
          </cell>
        </row>
        <row r="76">
          <cell r="Q76" t="str">
            <v>√</v>
          </cell>
        </row>
        <row r="76">
          <cell r="T76" t="str">
            <v>系统已建</v>
          </cell>
          <cell r="U76" t="str">
            <v>智慧共享财务平台</v>
          </cell>
          <cell r="V76" t="str">
            <v>1.到货验收单；
2.费用明细清单；
3.发票或收据；
4.合同或协议；
5.付款申请单。</v>
          </cell>
          <cell r="W76" t="str">
            <v>各级单位-资金支付发起部门-报账人员、各级单位-资金支付发起部门-负责人、各级单位-财务部门-成本管理人员、各级单位-财务部门-资金管理人员、各级单位-财务部门-负责人</v>
          </cell>
          <cell r="X76" t="str">
            <v>每季度</v>
          </cell>
          <cell r="Y76" t="str">
            <v>抽查</v>
          </cell>
        </row>
        <row r="76">
          <cell r="AA76" t="str">
            <v>每年</v>
          </cell>
          <cell r="AB76" t="str">
            <v>抽查</v>
          </cell>
        </row>
        <row r="76">
          <cell r="AD76" t="str">
            <v>资金支付管理监督场景</v>
          </cell>
          <cell r="AE76" t="str">
            <v>每年</v>
          </cell>
          <cell r="AF76" t="str">
            <v>抽查</v>
          </cell>
        </row>
        <row r="76">
          <cell r="AH76" t="str">
            <v>是</v>
          </cell>
          <cell r="AI76" t="str">
            <v>是</v>
          </cell>
          <cell r="AJ76"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cell r="AK76" t="str">
            <v>国网财务部</v>
          </cell>
        </row>
        <row r="77">
          <cell r="I77" t="str">
            <v>员工报账业务-23.资金支付管理-控制措施04</v>
          </cell>
          <cell r="J77" t="str">
            <v>财务部门对未履行“三重一大”决策程序和联签制度等特殊支付事项进行复核，禁止出现化整为零规避大额资金支付集体决策程序等问题。</v>
          </cell>
        </row>
        <row r="77">
          <cell r="L77" t="str">
            <v>√</v>
          </cell>
        </row>
        <row r="77">
          <cell r="P77" t="str">
            <v>√</v>
          </cell>
          <cell r="Q77" t="str">
            <v>√</v>
          </cell>
        </row>
        <row r="77">
          <cell r="T77" t="str">
            <v>线下管控</v>
          </cell>
        </row>
        <row r="77">
          <cell r="V77" t="str">
            <v>1.到货验收单；
2.费用明细清单；
3.发票或收据；
4.合同或协议；
5.付款申请单。</v>
          </cell>
          <cell r="W77" t="str">
            <v>各级单位-资金支付发起部门-报账人员、各级单位-资金支付发起部门-负责人、各级单位-财务部门-成本管理人员、各级单位-财务部门-资金管理人员、各级单位-财务部门-负责人</v>
          </cell>
          <cell r="X77" t="str">
            <v>每季度</v>
          </cell>
          <cell r="Y77" t="str">
            <v>抽查</v>
          </cell>
        </row>
        <row r="77">
          <cell r="AA77" t="str">
            <v>每年</v>
          </cell>
          <cell r="AB77" t="str">
            <v>抽查</v>
          </cell>
        </row>
        <row r="77">
          <cell r="AD77" t="str">
            <v>资金支付管理监督场景</v>
          </cell>
          <cell r="AE77" t="str">
            <v>每年</v>
          </cell>
          <cell r="AF77" t="str">
            <v>抽查</v>
          </cell>
        </row>
        <row r="77">
          <cell r="AH77" t="str">
            <v>是</v>
          </cell>
          <cell r="AI77" t="str">
            <v>是</v>
          </cell>
          <cell r="AJ77"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cell r="AK77" t="str">
            <v>国网财务部</v>
          </cell>
        </row>
        <row r="78">
          <cell r="I78" t="str">
            <v>员工报账业务-23.资金支付管理-控制措施05</v>
          </cell>
          <cell r="J78" t="str">
            <v>财务部门对大额资金对私支付进行校验，严控大额资金对私支付问题发生。</v>
          </cell>
        </row>
        <row r="78">
          <cell r="M78" t="str">
            <v>√</v>
          </cell>
        </row>
        <row r="78">
          <cell r="P78" t="str">
            <v>√</v>
          </cell>
          <cell r="Q78" t="str">
            <v>√</v>
          </cell>
        </row>
        <row r="78">
          <cell r="T78" t="str">
            <v>线下管控</v>
          </cell>
        </row>
        <row r="78">
          <cell r="V78" t="str">
            <v>1.到货验收单；
2.费用明细清单；
3.发票或收据；
4.合同或协议；
5.付款申请单。</v>
          </cell>
          <cell r="W78" t="str">
            <v>各级单位-资金支付发起部门-报账人员、各级单位-资金支付发起部门-负责人、各级单位-财务部门-成本管理人员、各级单位-财务部门-资金管理人员、各级单位-财务部门-负责人</v>
          </cell>
          <cell r="X78" t="str">
            <v>每季度</v>
          </cell>
          <cell r="Y78" t="str">
            <v>抽查</v>
          </cell>
        </row>
        <row r="78">
          <cell r="AA78" t="str">
            <v>每年</v>
          </cell>
          <cell r="AB78" t="str">
            <v>抽查</v>
          </cell>
        </row>
        <row r="78">
          <cell r="AD78" t="str">
            <v>资金支付管理监督场景</v>
          </cell>
          <cell r="AE78" t="str">
            <v>每年</v>
          </cell>
          <cell r="AF78" t="str">
            <v>抽查</v>
          </cell>
        </row>
        <row r="78">
          <cell r="AH78" t="str">
            <v>是</v>
          </cell>
          <cell r="AI78" t="str">
            <v>是</v>
          </cell>
          <cell r="AJ78" t="str">
            <v>《保障中小企业款项支付条例》第九条、第十条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v>
          </cell>
          <cell r="AK78" t="str">
            <v>国网财务部</v>
          </cell>
        </row>
        <row r="79">
          <cell r="A79" t="str">
            <v>员工报账</v>
          </cell>
        </row>
        <row r="79">
          <cell r="C79" t="str">
            <v>税务合规</v>
          </cell>
          <cell r="D79" t="str">
            <v>管理咨询费使用</v>
          </cell>
          <cell r="E79" t="str">
            <v>超范围列支管理咨询费引发引发合规风险。</v>
          </cell>
        </row>
        <row r="79">
          <cell r="G79" t="str">
            <v>24.管理咨询费报销</v>
          </cell>
          <cell r="H79" t="str">
            <v>管理咨询费在规定范围内报销。</v>
          </cell>
          <cell r="I79" t="str">
            <v>员工报账业务-24.管理咨询费报销-控制措施01</v>
          </cell>
          <cell r="J79" t="str">
            <v>归口管理部门对管理咨询费进行复核，不得用于电网规划研究、工程前期咨询、信息系统建设等技术咨询与开发，不得用于法律、税务、审计、会计等常规性的中介机构服务开支。</v>
          </cell>
        </row>
        <row r="79">
          <cell r="L79" t="str">
            <v>√</v>
          </cell>
        </row>
        <row r="79">
          <cell r="T79" t="str">
            <v>线下管控</v>
          </cell>
        </row>
        <row r="79">
          <cell r="V79" t="str">
            <v>1.成本费用报销审批单；
2.费用明细清单；
3.发票或收据；
4.合同或协议。</v>
          </cell>
          <cell r="W79" t="str">
            <v>各级单位-各部门-报账人员、各级单位-各部门-负责人、各级单位-办公室-负责人</v>
          </cell>
          <cell r="X79" t="str">
            <v>每季度</v>
          </cell>
          <cell r="Y79" t="str">
            <v>抽查</v>
          </cell>
        </row>
        <row r="79">
          <cell r="AA79" t="str">
            <v>每年</v>
          </cell>
          <cell r="AB79" t="str">
            <v>抽查</v>
          </cell>
        </row>
        <row r="79">
          <cell r="AD79" t="str">
            <v>管理咨询费列支范围监督场景</v>
          </cell>
          <cell r="AE79" t="str">
            <v>每年</v>
          </cell>
          <cell r="AF79" t="str">
            <v>抽查</v>
          </cell>
        </row>
        <row r="79">
          <cell r="AH79" t="str">
            <v>是</v>
          </cell>
          <cell r="AI79" t="str">
            <v>是</v>
          </cell>
          <cell r="AJ79" t="str">
            <v>国家电网公司管理咨询项目管理办法》第二条、第十五条</v>
          </cell>
          <cell r="AK79" t="str">
            <v>国网办公室</v>
          </cell>
        </row>
        <row r="80">
          <cell r="I80" t="str">
            <v>员工报账业务-24.管理咨询费报销-控制措施02</v>
          </cell>
          <cell r="J80" t="str">
            <v>规范管理咨询费列支间接费用和支付进度。项目经费需至少分两次进行支付，两次支付时，最后一笔经费支出不得低于合同总额的30%；三次及以上支付时，最后一笔经费支出不得低于合同总额的10%。</v>
          </cell>
        </row>
        <row r="80">
          <cell r="Q80" t="str">
            <v>√</v>
          </cell>
          <cell r="R80" t="str">
            <v>√</v>
          </cell>
        </row>
        <row r="80">
          <cell r="T80" t="str">
            <v>线下管控</v>
          </cell>
        </row>
        <row r="80">
          <cell r="V80" t="str">
            <v>1.付款申请单；
2.合同或协议。</v>
          </cell>
          <cell r="W80" t="str">
            <v>各级单位-各部门-报账人员、各级单位-各部门-负责人、各级单位-办公室-负责人、各级单位-财务部门-成本管理人员</v>
          </cell>
          <cell r="X80" t="str">
            <v>每季度</v>
          </cell>
          <cell r="Y80" t="str">
            <v>抽查</v>
          </cell>
        </row>
        <row r="80">
          <cell r="AA80" t="str">
            <v>每年</v>
          </cell>
          <cell r="AB80" t="str">
            <v>抽查</v>
          </cell>
        </row>
        <row r="80">
          <cell r="AD80" t="str">
            <v>管理咨询费列支范围监督场景</v>
          </cell>
          <cell r="AE80" t="str">
            <v>每年</v>
          </cell>
          <cell r="AF80" t="str">
            <v>抽查</v>
          </cell>
        </row>
        <row r="80">
          <cell r="AH80" t="str">
            <v>是</v>
          </cell>
          <cell r="AI80" t="str">
            <v>是</v>
          </cell>
          <cell r="AJ80" t="str">
            <v>《国家电网公司管理咨询项目管理办法》第十四条、第三十八条</v>
          </cell>
          <cell r="AK80" t="str">
            <v>国网办公室</v>
          </cell>
        </row>
        <row r="81">
          <cell r="A81" t="str">
            <v>员工报账</v>
          </cell>
          <cell r="B81" t="str">
            <v>二、通用报账</v>
          </cell>
          <cell r="C81" t="str">
            <v>税务合规、成本精益管理</v>
          </cell>
          <cell r="D81" t="str">
            <v>生产车辆使用费管理</v>
          </cell>
          <cell r="E81" t="str">
            <v>各单位生产用车较多，车辆使用费存在管控不严，通过伪造票据、虚报里程、费用等方式套取企业资金，导致企业成本虚增、资金流失风险。</v>
          </cell>
          <cell r="F81" t="str">
            <v>生产用车管控不严：“一车一卡”加油落实不到位，造成平均油耗异常，在车辆维修等费用中虚列名目、处理其他无关费用或费用依据不足。</v>
          </cell>
          <cell r="G81" t="str">
            <v>25.生产车辆使用费管控</v>
          </cell>
          <cell r="H81" t="str">
            <v>费用管控，车费使用费按单车实行台账管理，加强车辆燃油、充电、修理费用管控，节约成本费用，防范廉政风险。</v>
          </cell>
          <cell r="I81" t="str">
            <v>员工报账业务-25.生产车辆使用费管控-控制措施01</v>
          </cell>
          <cell r="J81" t="str">
            <v>生产车辆加油执行“一车一卡”，一张油卡固定一个车牌号码。</v>
          </cell>
        </row>
        <row r="81">
          <cell r="M81" t="str">
            <v>√</v>
          </cell>
        </row>
        <row r="81">
          <cell r="R81" t="str">
            <v>√</v>
          </cell>
        </row>
        <row r="81">
          <cell r="T81" t="str">
            <v>线下管控</v>
          </cell>
        </row>
        <row r="81">
          <cell r="V81" t="str">
            <v>1.加油卡；
2.车辆百公里油耗定额表
</v>
          </cell>
          <cell r="W81" t="str">
            <v>各级单位-后勤部门（生产用车管理部门）-车辆管理人员</v>
          </cell>
          <cell r="X81" t="str">
            <v>每季度</v>
          </cell>
          <cell r="Y81" t="str">
            <v>抽查</v>
          </cell>
        </row>
        <row r="81">
          <cell r="AA81" t="str">
            <v>每年</v>
          </cell>
          <cell r="AB81" t="str">
            <v>抽查</v>
          </cell>
        </row>
        <row r="81">
          <cell r="AH81" t="str">
            <v>是</v>
          </cell>
          <cell r="AI81" t="str">
            <v>是</v>
          </cell>
        </row>
        <row r="82">
          <cell r="I82" t="str">
            <v>员工报账业务-25.生产车辆使用费管控-控制措施02</v>
          </cell>
          <cell r="J82" t="str">
            <v>各单位车辆运行管理部门应加强车辆维修真实性控制，按照维修申请、审批、验收结算分离原则控制车辆维修。</v>
          </cell>
          <cell r="K82" t="str">
            <v>√</v>
          </cell>
        </row>
        <row r="82">
          <cell r="M82" t="str">
            <v>√</v>
          </cell>
        </row>
        <row r="82">
          <cell r="T82" t="str">
            <v>线下管控</v>
          </cell>
        </row>
        <row r="82">
          <cell r="V82" t="str">
            <v>1.车辆维保合同；
2.车辆维修与保养通知单；
</v>
          </cell>
          <cell r="W82" t="str">
            <v>各级单位-后勤部门（生产用车管理部门）-车辆管理人员、各级单位-后勤部门（生产用车管理部门）-负责人、各级单位-财务部门-成本管理人员</v>
          </cell>
          <cell r="X82" t="str">
            <v>每季度</v>
          </cell>
          <cell r="Y82" t="str">
            <v>抽查</v>
          </cell>
        </row>
        <row r="82">
          <cell r="AA82" t="str">
            <v>每年</v>
          </cell>
          <cell r="AB82" t="str">
            <v>抽查</v>
          </cell>
        </row>
        <row r="82">
          <cell r="AH82" t="str">
            <v>是</v>
          </cell>
          <cell r="AI82" t="str">
            <v>是</v>
          </cell>
        </row>
        <row r="83">
          <cell r="I83" t="str">
            <v>员工报账业务-25.生产车辆使用费管控-控制措施03</v>
          </cell>
          <cell r="J83" t="str">
            <v>各单位车辆运行管理部门应加强车辆使用费台账管理，对单车费用明细（油费、过路费、停车费、维修费等）与用车申请单（事前提交，注明用车时间、事由、目的地）、车辆行驶里程记录（行车记录、起止日期）进行复核，严禁套取费用。</v>
          </cell>
        </row>
        <row r="83">
          <cell r="M83" t="str">
            <v>√</v>
          </cell>
        </row>
        <row r="83">
          <cell r="T83" t="str">
            <v>线下管控</v>
          </cell>
        </row>
        <row r="83">
          <cell r="V83" t="str">
            <v>1.车辆维保合同；
2.生产车辆使用费管理台账</v>
          </cell>
          <cell r="W83" t="str">
            <v>各级单位-后勤部门（生产用车管理部门）-车辆管理人员、各级单位-后勤部门（生产用车管理部门）-负责人、各级单位-财务部门-成本管理人员</v>
          </cell>
          <cell r="X83" t="str">
            <v>每季度</v>
          </cell>
          <cell r="Y83" t="str">
            <v>抽查</v>
          </cell>
        </row>
        <row r="83">
          <cell r="AA83" t="str">
            <v>每年</v>
          </cell>
          <cell r="AB83" t="str">
            <v>抽查</v>
          </cell>
        </row>
        <row r="83">
          <cell r="AH83" t="str">
            <v>是</v>
          </cell>
          <cell r="AI83" t="str">
            <v>是</v>
          </cell>
          <cell r="AJ83" t="str">
            <v>国网湖南省电力有限公司关于印发《生产服务用车管理实施细则》的通知（湘电公司设备〔2025〕372号）</v>
          </cell>
        </row>
        <row r="84">
          <cell r="I84" t="str">
            <v>员工报账业务-25.生产车辆使用费管控-控制措施04</v>
          </cell>
          <cell r="J84" t="str">
            <v>各单位财务部门应严格审核车辆使用费用各类发票与明细清单的一致性、审核合同折扣率、合同税率的执行情况，车辆保险费应归口核算至财产保险费。</v>
          </cell>
        </row>
        <row r="84">
          <cell r="N84" t="str">
            <v>√</v>
          </cell>
        </row>
        <row r="84">
          <cell r="Q84" t="str">
            <v>√</v>
          </cell>
        </row>
        <row r="84">
          <cell r="T84" t="str">
            <v>线下管控</v>
          </cell>
        </row>
        <row r="84">
          <cell r="V84" t="str">
            <v>1.车辆维保合同；
2.车辆维修与保养通知单；
3.车辆维修费用清单；
4.加油清单；
5.发票</v>
          </cell>
          <cell r="W84" t="str">
            <v>各级单位-后勤部门（生产用车管理部门）-车辆管理人员、各级单位-后勤部门（生产用车管理部门）-负责人、各级单位-财务部门-成本管理人员、各级单位-财务部门-成本管理人员</v>
          </cell>
          <cell r="X84" t="str">
            <v>每季度</v>
          </cell>
          <cell r="Y84" t="str">
            <v>抽查</v>
          </cell>
        </row>
        <row r="84">
          <cell r="AA84" t="str">
            <v>每年</v>
          </cell>
          <cell r="AB84" t="str">
            <v>抽查</v>
          </cell>
        </row>
        <row r="84">
          <cell r="AH84" t="str">
            <v>是</v>
          </cell>
          <cell r="AI84" t="str">
            <v>是</v>
          </cell>
          <cell r="AJ84" t="str">
            <v>国网湖南电力财务部关于印发支出类经济业务财务报销审核指引的通知（财〔2022〕22 号）</v>
          </cell>
        </row>
        <row r="85">
          <cell r="A85" t="str">
            <v>员工报账</v>
          </cell>
          <cell r="B85" t="str">
            <v>二、通用报账</v>
          </cell>
          <cell r="C85" t="str">
            <v>税务合规、降本增效</v>
          </cell>
          <cell r="D85" t="str">
            <v>零星租车与运输服务</v>
          </cell>
          <cell r="E85" t="str">
            <v>零星租车不规范，存在虚列套取风险。</v>
          </cell>
          <cell r="F85" t="str">
            <v>1.零星租车管控不严在自有车辆充足的情况下仍然租赁外部车辆。
2.报销环节存在重复报销，虚假报销套取费用。</v>
          </cell>
          <cell r="G85" t="str">
            <v>26.零星租车与运输服务报销</v>
          </cell>
          <cell r="H85" t="str">
            <v>后勤管理部门加强零星租车管控，自有车辆充足的情况下不允许租用外部车辆。</v>
          </cell>
          <cell r="I85" t="str">
            <v>员工报账业务-26.零星租车与运输服务报销-控制措施01</v>
          </cell>
          <cell r="J85" t="str">
            <v>零星车辆租赁（运输服务）需求，按照就近响应、统筹优化原则，实施车辆运输服务框架采购。</v>
          </cell>
        </row>
        <row r="85">
          <cell r="O85" t="str">
            <v>√</v>
          </cell>
        </row>
        <row r="85">
          <cell r="T85" t="str">
            <v>线下管控</v>
          </cell>
        </row>
        <row r="85">
          <cell r="V85" t="str">
            <v>1.零星租车合同；
2.租用车辆行驶证、驾驶证；
</v>
          </cell>
          <cell r="W85" t="str">
            <v>各级单位-后勤管理部门-车辆管理人员</v>
          </cell>
          <cell r="X85" t="str">
            <v>每季度</v>
          </cell>
          <cell r="Y85" t="str">
            <v>抽查</v>
          </cell>
        </row>
        <row r="85">
          <cell r="AA85" t="str">
            <v>每年</v>
          </cell>
          <cell r="AB85" t="str">
            <v>抽查</v>
          </cell>
        </row>
        <row r="85">
          <cell r="AH85" t="str">
            <v>是</v>
          </cell>
          <cell r="AI85" t="str">
            <v>是</v>
          </cell>
          <cell r="AJ85" t="str">
            <v>国网湖南省电力有限公司关于印发《国网湖南省电力有限公司车辆租赁及车辆运输服务管理办法》的通知（湘电公司后勤〔2025〕356 号）第二十五条</v>
          </cell>
        </row>
        <row r="86">
          <cell r="I86" t="str">
            <v>员工报账业务-26.零星租车与运输服务报销-控制措施02</v>
          </cell>
          <cell r="J86" t="str">
            <v>各单位有关部门（班组）提出零星租车申请后，需经本单位后勤管理部门审批，后勤管理部门结合本单位现有车辆情况判断是否同意租赁，审批租赁车辆的必要性。自营项目租用吊车等特种车辆应经本单位电网技术部等生产管理部门审批。</v>
          </cell>
          <cell r="K86" t="str">
            <v>√</v>
          </cell>
        </row>
        <row r="86">
          <cell r="M86" t="str">
            <v>√</v>
          </cell>
        </row>
        <row r="86">
          <cell r="T86" t="str">
            <v>线下管控</v>
          </cell>
        </row>
        <row r="86">
          <cell r="V86" t="str">
            <v>1.零星租车合同；
2.租用车辆行驶证、驾驶证；
3.零星租车申请单、审批单。
</v>
          </cell>
          <cell r="W86" t="str">
            <v>各级单位-后勤管理部门-车辆管理人员、各级单位-电网技术部门-负责人</v>
          </cell>
          <cell r="X86" t="str">
            <v>每季度</v>
          </cell>
          <cell r="Y86" t="str">
            <v>抽查</v>
          </cell>
        </row>
        <row r="86">
          <cell r="AA86" t="str">
            <v>每年</v>
          </cell>
          <cell r="AB86" t="str">
            <v>抽查</v>
          </cell>
        </row>
        <row r="86">
          <cell r="AH86" t="str">
            <v>是</v>
          </cell>
          <cell r="AI86" t="str">
            <v>是</v>
          </cell>
          <cell r="AJ86" t="str">
            <v>国网湖南省电力有限公司关于印发《国网湖南省电力有限公司车辆租赁及车辆运输服务管理办法》的通知（湘电公司后勤〔2025〕356 号）第六条、第七条</v>
          </cell>
        </row>
        <row r="87">
          <cell r="I87" t="str">
            <v>员工报账业务-26.零星租车与运输服务-控制措施03</v>
          </cell>
          <cell r="J87" t="str">
            <v>各单位后勤管理部门应加强租车结算管理，建立租赁车辆运行费用台账，严格按照实际次数、里程和合同价格结算。自营项目租用吊车、挖机等机械由生产管理部门建立台账，严格按照实际作业台班和合同价格结算。</v>
          </cell>
        </row>
        <row r="87">
          <cell r="M87" t="str">
            <v>√</v>
          </cell>
        </row>
        <row r="87">
          <cell r="T87" t="str">
            <v>线下管控</v>
          </cell>
        </row>
        <row r="87">
          <cell r="V87" t="str">
            <v>1.零星租车合同；
2.零星租车申请单；
3.零星租车台账（清单）；
4.零星租车发票。
</v>
          </cell>
          <cell r="W87" t="str">
            <v>各级单位-后勤管理部门-车辆管理人员、各级单位-电网技术部门-项目管理人员</v>
          </cell>
          <cell r="X87" t="str">
            <v>每季度</v>
          </cell>
          <cell r="Y87" t="str">
            <v>抽查</v>
          </cell>
        </row>
        <row r="87">
          <cell r="AA87" t="str">
            <v>每年</v>
          </cell>
          <cell r="AB87" t="str">
            <v>抽查</v>
          </cell>
        </row>
        <row r="87">
          <cell r="AH87" t="str">
            <v>是</v>
          </cell>
          <cell r="AI87" t="str">
            <v>是</v>
          </cell>
          <cell r="AJ87" t="str">
            <v>国网湖南省电力有限公司关于印发《国网湖南省电力有限公司车辆租赁及车辆运输服务管理办法》的通知（湘电公司后勤〔2025〕356 号）第二十一条</v>
          </cell>
        </row>
        <row r="88">
          <cell r="I88" t="str">
            <v>员工报账业务-26.零星租车与运输服务-控制措施04</v>
          </cell>
          <cell r="J88" t="str">
            <v>各单位财务部门审核零星租车报销发票金额与租车明细的一致性，审核合同折扣率、合同税率的执行情况。</v>
          </cell>
        </row>
        <row r="88">
          <cell r="Q88" t="str">
            <v>√</v>
          </cell>
        </row>
        <row r="88">
          <cell r="T88" t="str">
            <v>线下管控</v>
          </cell>
        </row>
        <row r="88">
          <cell r="V88" t="str">
            <v>1.零星租车合同；
2.零星租车申请单；
3.零星租车台账（清单）；
4.零星租车发票。
</v>
          </cell>
          <cell r="W88" t="str">
            <v>各级单位-后勤管理部门-车辆管理人员、各级单位-电网技术部门-项目管理人员、各级单位-财务部门-成本管理人员</v>
          </cell>
          <cell r="X88" t="str">
            <v>每季度</v>
          </cell>
          <cell r="Y88" t="str">
            <v>抽查</v>
          </cell>
        </row>
        <row r="88">
          <cell r="AA88" t="str">
            <v>每年</v>
          </cell>
          <cell r="AB88" t="str">
            <v>抽查</v>
          </cell>
        </row>
        <row r="88">
          <cell r="AH88" t="str">
            <v>是</v>
          </cell>
          <cell r="AI88" t="str">
            <v>是</v>
          </cell>
          <cell r="AJ88" t="str">
            <v>国网湖南电力财务部关于印发支出类经济业务财务报销审核指引的通知（财〔2022〕22 号）</v>
          </cell>
        </row>
        <row r="89">
          <cell r="A89" t="str">
            <v>员工报账</v>
          </cell>
          <cell r="B89" t="str">
            <v>二、通用报账</v>
          </cell>
          <cell r="C89" t="str">
            <v>税务合规、降本增效</v>
          </cell>
          <cell r="D89" t="str">
            <v>零星劳务</v>
          </cell>
          <cell r="E89" t="str">
            <v>自营项目零星劳务管理不规范，各类检查虚列套取现象频发。</v>
          </cell>
          <cell r="F89" t="str">
            <v>零星劳务员工管理不规范，存在重复报销，虚假用工套取费用。</v>
          </cell>
          <cell r="G89" t="str">
            <v>27.零星劳务管控</v>
          </cell>
          <cell r="H89" t="str">
            <v>加强零星用工管理，明确零星用工范围，实行利用自营用工系统实行台账管理，避免重负报销、虚假报销。</v>
          </cell>
          <cell r="I89" t="str">
            <v>员工报账业务-27.零星劳务管控-控制措施01</v>
          </cell>
          <cell r="J89" t="str">
            <v>自营项目的专业主管部门明确采取劳务外包的范围，不得从事核心业务或涉密工作。零星劳务人员应通过合规的招标方式，确定固定的服务商，实际需要用工时从签订合同的服务商范围内选用不得直接与个人签订用工协议。</v>
          </cell>
        </row>
        <row r="89">
          <cell r="O89" t="str">
            <v>√</v>
          </cell>
        </row>
        <row r="89">
          <cell r="T89" t="str">
            <v>线下管控</v>
          </cell>
        </row>
        <row r="89">
          <cell r="V89" t="str">
            <v>1.零星用工合同；
2.零星用工服务商中标通知书。</v>
          </cell>
          <cell r="W89" t="str">
            <v>各级单位-运检、配网、营销部门-项目管理人员、各级单位-运检、配网、营销部门-负责人</v>
          </cell>
          <cell r="X89" t="str">
            <v>每季度</v>
          </cell>
          <cell r="Y89" t="str">
            <v>抽查</v>
          </cell>
        </row>
        <row r="89">
          <cell r="AA89" t="str">
            <v>每年</v>
          </cell>
          <cell r="AB89" t="str">
            <v>抽查</v>
          </cell>
        </row>
        <row r="89">
          <cell r="AH89" t="str">
            <v>是</v>
          </cell>
          <cell r="AI89" t="str">
            <v>是</v>
          </cell>
          <cell r="AJ89" t="str">
            <v>国网湖南省电力有限公司关于印发自营模式下规范使用零星劳务人员指导意见的通知（湘电公司人资〔2022〕13号）
</v>
          </cell>
        </row>
        <row r="90">
          <cell r="I90" t="str">
            <v>员工报账业务-27.零星劳务管控-控制措施02</v>
          </cell>
          <cell r="J90" t="str">
            <v>各单位自营项目主管部门制定零星用指导价，用工指导价包含服务商税费、管理费、食宿费、交通费、劳务人员工资等费用。各单位与服务商签订的劳务合同不得超过最高限价。</v>
          </cell>
        </row>
        <row r="90">
          <cell r="O90" t="str">
            <v>√</v>
          </cell>
        </row>
        <row r="90">
          <cell r="T90" t="str">
            <v>线下管控</v>
          </cell>
        </row>
        <row r="90">
          <cell r="V90" t="str">
            <v>1.零星用工合同；
2.零星用工服务商中标通知书。</v>
          </cell>
          <cell r="W90" t="str">
            <v>各级单位-运检、配网、营销部门-项目管理人员、各级单位-运检、配网、营销部门-负责人</v>
          </cell>
          <cell r="X90" t="str">
            <v>每季度</v>
          </cell>
          <cell r="Y90" t="str">
            <v>抽查</v>
          </cell>
        </row>
        <row r="90">
          <cell r="AA90" t="str">
            <v>每年</v>
          </cell>
          <cell r="AB90" t="str">
            <v>抽查</v>
          </cell>
        </row>
        <row r="90">
          <cell r="AD90" t="str">
            <v>管理物业管理费监督场景</v>
          </cell>
          <cell r="AE90" t="str">
            <v>每年</v>
          </cell>
          <cell r="AF90" t="str">
            <v>抽查</v>
          </cell>
        </row>
        <row r="90">
          <cell r="AH90" t="str">
            <v>是</v>
          </cell>
          <cell r="AI90" t="str">
            <v>是</v>
          </cell>
          <cell r="AJ90" t="str">
            <v>国网湖南省电力有限公司关于印发自营模式下规范使用零星劳务人员指导意见的通知（湘电公司人资〔2022〕13号）
</v>
          </cell>
        </row>
        <row r="91">
          <cell r="I91" t="str">
            <v>员工报账业务-27.零星劳务管控-控制措施03</v>
          </cell>
          <cell r="J91" t="str">
            <v>各单位零星劳务使用部门、财务部门要严格审核用工的真实性、合理性，对同一身份证号码在同一时段不同班组或供电所用工的不予结算。</v>
          </cell>
          <cell r="K91" t="str">
            <v>√</v>
          </cell>
        </row>
        <row r="91">
          <cell r="M91" t="str">
            <v>√</v>
          </cell>
        </row>
        <row r="91">
          <cell r="T91" t="str">
            <v>线下管控</v>
          </cell>
        </row>
        <row r="91">
          <cell r="V91" t="str">
            <v>1.零星用工合同；
2.零星用工服务商中标通知书。
3.零星用工申请单；
4.零星用工结算单；
5.零星用工发票。</v>
          </cell>
          <cell r="W91" t="str">
            <v>各级单位-运检、配网、营销部门-项目管理人员、各级单位-运检、配网、营销部门-报销审核人、各级单位-财务部门-会计核算人员</v>
          </cell>
          <cell r="X91" t="str">
            <v>每季度</v>
          </cell>
          <cell r="Y91" t="str">
            <v>抽查</v>
          </cell>
        </row>
        <row r="91">
          <cell r="AA91" t="str">
            <v>每年</v>
          </cell>
          <cell r="AB91" t="str">
            <v>抽查</v>
          </cell>
        </row>
        <row r="91">
          <cell r="AD91" t="str">
            <v>管理物业管理费监督场景</v>
          </cell>
          <cell r="AE91" t="str">
            <v>每年</v>
          </cell>
          <cell r="AF91" t="str">
            <v>抽查</v>
          </cell>
        </row>
        <row r="91">
          <cell r="AH91" t="str">
            <v>是</v>
          </cell>
          <cell r="AI91" t="str">
            <v>是</v>
          </cell>
          <cell r="AJ91" t="str">
            <v>国网湖南省电力有限公司关于印发自营模式下规范使用零星劳务人员指导意见的通知（湘电公司人资〔2022〕13号）
</v>
          </cell>
        </row>
        <row r="92">
          <cell r="A92" t="str">
            <v>员工报账</v>
          </cell>
          <cell r="B92" t="str">
            <v>二、通用报账</v>
          </cell>
          <cell r="C92" t="str">
            <v>合规政策</v>
          </cell>
          <cell r="D92" t="str">
            <v>物业管理费</v>
          </cell>
          <cell r="E92" t="str">
            <v>超范围、标准、重复列支物业管理费引发引发合规稽查风险和资金支付风险。</v>
          </cell>
          <cell r="F92" t="str">
            <v>物业管理费缺失全流程资料、虚报列支不合规等多项问题：        
1.合同签订前核定物业费使用范围不严，办公面积存在错误和虚假列支服务事项等。
2.费用开支无完整产权租赁依据，无物业租赁服务合同。                                    3.同一物业点重复申报物业费、申报金额超出合同业务收费标准。                                     4.部分经办人未按合同约定计费周期申报费用，提前列支尚未发生的物业管理费。                                       5.未区分自用、外租场地费用，虚增物业管理费，导致资金无依据流出。 </v>
          </cell>
          <cell r="G92" t="str">
            <v>28.物业管理费报销</v>
          </cell>
          <cell r="H92" t="str">
            <v>物业管理费在规定范围内报销</v>
          </cell>
          <cell r="I92" t="str">
            <v>员工报账业务-28.物业管理费管控-控制措施01</v>
          </cell>
          <cell r="J92" t="str">
            <v>业务部门签合同前核定物业费范围，对办公面积审核，特约服务界定把关。</v>
          </cell>
          <cell r="K92" t="str">
            <v>√</v>
          </cell>
        </row>
        <row r="92">
          <cell r="M92" t="str">
            <v>√</v>
          </cell>
        </row>
        <row r="92">
          <cell r="O92" t="str">
            <v>√</v>
          </cell>
        </row>
        <row r="92">
          <cell r="T92" t="str">
            <v>线下管控</v>
          </cell>
        </row>
        <row r="92">
          <cell r="V92" t="str">
            <v>1.报销 ( 资金支付 )  审批单；              2.增值税专用发票；                        3.合同；                      4.费用清单</v>
          </cell>
          <cell r="W92" t="str">
            <v>各级单位-后勤部（综合服务中心）-报账人员、各级单位-后勤部（综合服务中心）-负责人</v>
          </cell>
          <cell r="X92" t="str">
            <v>每季度</v>
          </cell>
          <cell r="Y92" t="str">
            <v>抽查</v>
          </cell>
        </row>
        <row r="92">
          <cell r="AA92" t="str">
            <v>每年</v>
          </cell>
          <cell r="AB92" t="str">
            <v>抽查</v>
          </cell>
        </row>
        <row r="92">
          <cell r="AD92" t="str">
            <v>管理物业管理费监督场景</v>
          </cell>
          <cell r="AE92" t="str">
            <v>每年</v>
          </cell>
          <cell r="AF92" t="str">
            <v>抽查</v>
          </cell>
        </row>
        <row r="92">
          <cell r="AH92" t="str">
            <v>是</v>
          </cell>
          <cell r="AI92" t="str">
            <v>是</v>
          </cell>
          <cell r="AJ92" t="str">
            <v>后勤〔2024〕31号《国网湖南电力后勤部关于加强办公用房物业服务项目规范化管理的通知》、《 国家电网有限公司会计基础管理办法 》（国网（财/2） 350-2018） （国家电网企管〔2019〕 132号） 、 《国家电网有限公司会计核算办法2021》 （国网（财/2） 469-2020）</v>
          </cell>
        </row>
        <row r="93">
          <cell r="I93" t="str">
            <v>员工报账业务-28.物业管理费管控-控制措施02</v>
          </cell>
          <cell r="J93" t="str">
            <v>归口管理部门对物业管理费用的数量、质量进行复核评价；核对计费周期、收费标准后再发起报销流程。</v>
          </cell>
          <cell r="K93" t="str">
            <v>√</v>
          </cell>
        </row>
        <row r="93">
          <cell r="M93" t="str">
            <v>√</v>
          </cell>
          <cell r="N93" t="str">
            <v>√</v>
          </cell>
          <cell r="O93" t="str">
            <v>√</v>
          </cell>
        </row>
        <row r="93">
          <cell r="T93" t="str">
            <v>线下管控</v>
          </cell>
        </row>
        <row r="93">
          <cell r="V93" t="str">
            <v>1.报销 ( 资金支付 )  审批单；              2.增值税专用发票；                        3.合同；                      4.费用清单</v>
          </cell>
          <cell r="W93" t="str">
            <v>各级单位-后勤部（综合服务中心）-报账人员、各级单位-后勤部（综合服务中心）-负责人</v>
          </cell>
          <cell r="X93" t="str">
            <v>每季度</v>
          </cell>
          <cell r="Y93" t="str">
            <v>抽查</v>
          </cell>
        </row>
        <row r="93">
          <cell r="AA93" t="str">
            <v>每年</v>
          </cell>
          <cell r="AB93" t="str">
            <v>抽查</v>
          </cell>
        </row>
        <row r="93">
          <cell r="AD93" t="str">
            <v>管理物业管理费监督场景</v>
          </cell>
          <cell r="AE93" t="str">
            <v>每年</v>
          </cell>
          <cell r="AF93" t="str">
            <v>抽查</v>
          </cell>
        </row>
        <row r="93">
          <cell r="AH93" t="str">
            <v>是</v>
          </cell>
          <cell r="AI93" t="str">
            <v>是</v>
          </cell>
          <cell r="AJ93" t="str">
            <v>后勤〔2024〕31号《国网湖南电力后勤部关于加强办公用房物业服务项目规范化管理的通知》、《 国家电网有限公司会计基础管理办法 》（国网（财/2） 350-2018） （国家电网企管〔2019〕 132号） 、 《国家电网有限公司会计核算办法2021》 （国网（财/2） 469-2020）</v>
          </cell>
        </row>
        <row r="94">
          <cell r="I94" t="str">
            <v>员工报账业务-28.物业管理费管控-控制措施03</v>
          </cell>
          <cell r="J94" t="str">
            <v>财务审核环节核查票据、附件完整度，校验申报金额、缴费周期与合同条款一致性；对无依据、超额、超前和重复支付物业费予以驳回。</v>
          </cell>
          <cell r="K94" t="str">
            <v>√</v>
          </cell>
        </row>
        <row r="94">
          <cell r="M94" t="str">
            <v>√</v>
          </cell>
        </row>
        <row r="94">
          <cell r="P94" t="str">
            <v>√</v>
          </cell>
          <cell r="Q94" t="str">
            <v>√</v>
          </cell>
        </row>
        <row r="94">
          <cell r="T94" t="str">
            <v>系统已建</v>
          </cell>
          <cell r="U94" t="str">
            <v>智慧共享财务平台</v>
          </cell>
          <cell r="V94" t="str">
            <v>1.报销 ( 资金支付 )  审批单；              2.增值税专用发票；                        3.合同；                      4.费用清单</v>
          </cell>
          <cell r="W94" t="str">
            <v>各级单位-后勤部（综合服务中心）-报账人员、各级单位-后勤部（综合服务中心）-负责人、各级单位-财务部门-成本管理人员</v>
          </cell>
          <cell r="X94" t="str">
            <v>每季度</v>
          </cell>
          <cell r="Y94" t="str">
            <v>抽查</v>
          </cell>
        </row>
        <row r="94">
          <cell r="AA94" t="str">
            <v>每年</v>
          </cell>
          <cell r="AB94" t="str">
            <v>抽查</v>
          </cell>
        </row>
        <row r="94">
          <cell r="AD94" t="str">
            <v>管理物业管理费监督场景</v>
          </cell>
          <cell r="AE94" t="str">
            <v>每年</v>
          </cell>
          <cell r="AF94" t="str">
            <v>抽查</v>
          </cell>
        </row>
        <row r="94">
          <cell r="AH94" t="str">
            <v>是</v>
          </cell>
          <cell r="AI94" t="str">
            <v>是</v>
          </cell>
          <cell r="AJ94" t="str">
            <v>《国家电网有限公司会计基础管理办法 》（国网（财/2） 350-2018） （国家电网企管〔2019〕 132号） 、 《国家电网有限公司会计核算办法2021》（国网（财/2） 469-2020）</v>
          </cell>
        </row>
        <row r="95">
          <cell r="A95" t="str">
            <v>员工报账</v>
          </cell>
          <cell r="B95" t="str">
            <v>二、通用报账</v>
          </cell>
          <cell r="C95" t="str">
            <v>合规政策</v>
          </cell>
          <cell r="D95" t="str">
            <v>物业管理费</v>
          </cell>
          <cell r="E95" t="str">
            <v>超范围、超额重复列支水电费引发引发合规风险和资金支付风险。</v>
          </cell>
          <cell r="F95" t="str">
            <v>办公场地水电费报销存在费用公私不明确，垫付套取资金风险。
1.存在办公区无单独抄表计量，需员工先垫付给第三方后取得电费发票再报销，存在私下串通私套费用列支。
2.存在超期，超额和重复报销情况，缺少缴费明细，费用难以追源核对。</v>
          </cell>
          <cell r="G95" t="str">
            <v>29.水电费报销</v>
          </cell>
          <cell r="H95" t="str">
            <v>水电费在规定范围内报销</v>
          </cell>
          <cell r="I95" t="str">
            <v>员工报账业务-29.水电费管控-控制措施01</v>
          </cell>
          <cell r="J95" t="str">
            <v>经手部门需定期及时报销，归口管理部门留存水电费抄表台账，全过程监管支出真实性。</v>
          </cell>
          <cell r="K95" t="str">
            <v>√</v>
          </cell>
        </row>
        <row r="95">
          <cell r="M95" t="str">
            <v>√</v>
          </cell>
          <cell r="N95" t="str">
            <v>√</v>
          </cell>
          <cell r="O95" t="str">
            <v>√</v>
          </cell>
        </row>
        <row r="95">
          <cell r="T95" t="str">
            <v>线下管控</v>
          </cell>
        </row>
        <row r="95">
          <cell r="V95" t="str">
            <v>1.报销 ( 资金支付 )  审批单；      2.增值税发票或收据</v>
          </cell>
          <cell r="W95" t="str">
            <v>各级单位-后勤部（综合服务中心）-报账人员、各级单位-后勤部（综合服务中心）-负责人、各级单位-运维检修部-报账人员、各级单位-运维检修部-负责人</v>
          </cell>
          <cell r="X95" t="str">
            <v>每季度</v>
          </cell>
          <cell r="Y95" t="str">
            <v>抽查</v>
          </cell>
        </row>
        <row r="95">
          <cell r="AA95" t="str">
            <v>每年</v>
          </cell>
          <cell r="AB95" t="str">
            <v>抽查</v>
          </cell>
        </row>
        <row r="95">
          <cell r="AD95" t="str">
            <v>管理水电费监督场景</v>
          </cell>
          <cell r="AE95" t="str">
            <v>每年</v>
          </cell>
          <cell r="AF95" t="str">
            <v>抽查</v>
          </cell>
        </row>
        <row r="95">
          <cell r="AH95" t="str">
            <v>是</v>
          </cell>
          <cell r="AI95" t="str">
            <v>是</v>
          </cell>
          <cell r="AJ95" t="str">
            <v>《国家电网有限公司会计基础管理办法 》（国网（财/2） 350-2018） （国家电网企管〔2019〕 132号） 、 《国家电网有限公司会计核算办法2021》（国网（财/2） 469-2020）</v>
          </cell>
        </row>
        <row r="96">
          <cell r="I96" t="str">
            <v>员工报账业务-29.水电费管控-控制措施02</v>
          </cell>
          <cell r="J96" t="str">
            <v>财务部门审核发票、收据金额的准确性，按实际发生据实报账，提供垫付支付凭证。</v>
          </cell>
          <cell r="K96" t="str">
            <v>√</v>
          </cell>
        </row>
        <row r="96">
          <cell r="P96" t="str">
            <v>√</v>
          </cell>
          <cell r="Q96" t="str">
            <v>√</v>
          </cell>
        </row>
        <row r="96">
          <cell r="T96" t="str">
            <v>系统已建</v>
          </cell>
          <cell r="U96" t="str">
            <v>智慧共享财务平台</v>
          </cell>
          <cell r="V96" t="str">
            <v>1.报销 ( 资金支付 )  审批单；      2.增值税发票或收据</v>
          </cell>
          <cell r="W96" t="str">
            <v>各级单位-后勤部（综合服务中心）-报账人员、各级单位-后勤部（综合服务中心）-负责人、各级单位-运维检修部-报账人员、各级单位-运维检修部-负责人各级单位-财务部门-成本管理人员</v>
          </cell>
          <cell r="X96" t="str">
            <v>每季度</v>
          </cell>
          <cell r="Y96" t="str">
            <v>抽查</v>
          </cell>
        </row>
        <row r="96">
          <cell r="AA96" t="str">
            <v>每年</v>
          </cell>
          <cell r="AB96" t="str">
            <v>抽查</v>
          </cell>
        </row>
        <row r="96">
          <cell r="AD96" t="str">
            <v>管理水电费监督场景</v>
          </cell>
          <cell r="AE96" t="str">
            <v>每年</v>
          </cell>
          <cell r="AF96" t="str">
            <v>抽查</v>
          </cell>
        </row>
        <row r="96">
          <cell r="AH96" t="str">
            <v>是</v>
          </cell>
          <cell r="AI96" t="str">
            <v>是</v>
          </cell>
          <cell r="AJ96" t="str">
            <v>《国家电网有限公司会计基础管理办法 》（国网（财/2） 350-2018） （国家电网企管〔2019〕 132号） 、 《国家电网有限公司会计核算办法2021》（国网（财/2） 469-2020）</v>
          </cell>
        </row>
        <row r="97">
          <cell r="A97" t="str">
            <v>员工报账</v>
          </cell>
          <cell r="B97" t="str">
            <v>二、通用报账</v>
          </cell>
          <cell r="C97" t="str">
            <v>合规政策</v>
          </cell>
          <cell r="D97" t="str">
            <v>房屋修理费</v>
          </cell>
          <cell r="E97" t="str">
            <v>超额、高套虚列房屋修理费引发引发合规风险和资金支付风险。</v>
          </cell>
          <cell r="F97" t="str">
            <v>后勤项目高套材料单价，多计多结资金。
1.房屋零星维修项目，与施工方签订施工合同，其中某些施工材料价格偏高，劳务分包施工，上下游管控监督不力，其中材料结算价格高套单价，超过市场普遍价格。导致多计多结导致审计整改。
2.房屋维修项目超预算，增补项目未经上级单位批准，擅自扩大后勤项目预算安排。</v>
          </cell>
          <cell r="G97" t="str">
            <v>30.房屋修理费报销</v>
          </cell>
          <cell r="H97" t="str">
            <v>房屋修理费在规定范围内报销</v>
          </cell>
          <cell r="I97" t="str">
            <v>员工报账业务-30.房屋修理费管控-控制措施01</v>
          </cell>
          <cell r="J97" t="str">
            <v>归口部门对工程施行全过程及结果监督，严格需求审核各单位提交的含维修内容、紧急程度的任务单，审核是否属于零星维修范围。</v>
          </cell>
          <cell r="K97" t="str">
            <v>√</v>
          </cell>
          <cell r="L97" t="str">
            <v>√</v>
          </cell>
          <cell r="M97" t="str">
            <v>√</v>
          </cell>
          <cell r="N97" t="str">
            <v>√</v>
          </cell>
          <cell r="O97" t="str">
            <v>√</v>
          </cell>
        </row>
        <row r="97">
          <cell r="T97" t="str">
            <v>线下管控</v>
          </cell>
        </row>
        <row r="97">
          <cell r="V97" t="str">
            <v>1.报销 ( 资金支付 )  审批单；          2.增值税发票或收据；                    3.合同；                 4.开工报告；               5.工程量签证单； 6.竣工验收报告； 7.项目结算表 、审计报告 ( 审定表签章页 )</v>
          </cell>
          <cell r="W97" t="str">
            <v>各级单位-后勤部（综合服务中心）-报账人员、各级单位-后勤部（综合服务中心）-负责人、各级单位-运维检修部-报账人员、各级单位-运维检修部-负责人</v>
          </cell>
          <cell r="X97" t="str">
            <v>每季度</v>
          </cell>
          <cell r="Y97" t="str">
            <v>抽查</v>
          </cell>
        </row>
        <row r="97">
          <cell r="AA97" t="str">
            <v>每年</v>
          </cell>
          <cell r="AB97" t="str">
            <v>抽查</v>
          </cell>
        </row>
        <row r="97">
          <cell r="AD97" t="str">
            <v>管理房屋维修费监督场景</v>
          </cell>
          <cell r="AE97" t="str">
            <v>每年</v>
          </cell>
          <cell r="AF97" t="str">
            <v>抽查</v>
          </cell>
        </row>
        <row r="97">
          <cell r="AH97" t="str">
            <v>是</v>
          </cell>
          <cell r="AI97" t="str">
            <v>是</v>
          </cell>
          <cell r="AJ97" t="str">
            <v>《国家电网有限公司会计基础管理办法 》（国网（财/2） 350-2018） （国家电网企管〔2019〕 132号） 、 《国家电网有限公司会计核算办法2021》 （国网（财/2） 469-2022）</v>
          </cell>
        </row>
        <row r="98">
          <cell r="I98" t="str">
            <v>员工报账业务-30.房屋修理费管控-控制措施02</v>
          </cell>
          <cell r="J98" t="str">
            <v>要求施工单位及时提交含施工照片、工程量明细的签证单，由需求单位与归口部门共同核对确认，避免工程量数据失真、台账不清。汇总整理任务单、签证单等全套台账资料，提交结算单位开展单价专项审核，规范资金使用，严控单价风险。</v>
          </cell>
          <cell r="K98" t="str">
            <v>√</v>
          </cell>
          <cell r="L98" t="str">
            <v>√</v>
          </cell>
          <cell r="M98" t="str">
            <v>√</v>
          </cell>
          <cell r="N98" t="str">
            <v>√</v>
          </cell>
          <cell r="O98" t="str">
            <v>√</v>
          </cell>
        </row>
        <row r="98">
          <cell r="T98" t="str">
            <v>线下管控</v>
          </cell>
        </row>
        <row r="98">
          <cell r="V98" t="str">
            <v>1.报销 ( 资金支付 )  审批单；          2.增值税发票或收据；                    3.合同；                 4.开工报告；               5.工程量签证单； 6.竣工验收报告； 7.项目结算表 、审计报告 ( 审定表签章页 )</v>
          </cell>
          <cell r="W98" t="str">
            <v>各级单位-后勤部（综合服务中心）-报账人员、各级单位-后勤部（综合服务中心）-负责人、各级单位-运维检修部-报账人员、各级单位-运维检修部-负责人</v>
          </cell>
          <cell r="X98" t="str">
            <v>每季度</v>
          </cell>
          <cell r="Y98" t="str">
            <v>抽查</v>
          </cell>
        </row>
        <row r="98">
          <cell r="AA98" t="str">
            <v>每年</v>
          </cell>
          <cell r="AB98" t="str">
            <v>抽查</v>
          </cell>
        </row>
        <row r="98">
          <cell r="AD98" t="str">
            <v>管理房屋维修费监督场景</v>
          </cell>
          <cell r="AE98" t="str">
            <v>每年</v>
          </cell>
          <cell r="AF98" t="str">
            <v>抽查</v>
          </cell>
        </row>
        <row r="98">
          <cell r="AH98" t="str">
            <v>是</v>
          </cell>
          <cell r="AI98" t="str">
            <v>是</v>
          </cell>
          <cell r="AJ98" t="str">
            <v>《国家电网有限公司会计基础管理办法 》（国网（财/2） 350-2018） （国家电网企管〔2019〕 132号） 、 《国家电网有限公司会计核算办法2021》 （国网（财/2） 469-2022）</v>
          </cell>
        </row>
        <row r="99">
          <cell r="I99" t="str">
            <v>员工报账业务-30.房屋修理费管控-控制措施03</v>
          </cell>
          <cell r="J99" t="str">
            <v>财务审核对合理性和资金安全做把控1.着重审核发票、结算清单金额 ，核对计价标准、工程量与验收资料是否匹配。2.严格规范报销附件要求，工程结算清单，施工合同和签证单缺一不可，对资料不全、单价异常的单据驳回，不予付款。</v>
          </cell>
          <cell r="K99" t="str">
            <v>√</v>
          </cell>
        </row>
        <row r="99">
          <cell r="N99" t="str">
            <v>√</v>
          </cell>
        </row>
        <row r="99">
          <cell r="Q99" t="str">
            <v>√</v>
          </cell>
        </row>
        <row r="99">
          <cell r="T99" t="str">
            <v>系统已建</v>
          </cell>
          <cell r="U99" t="str">
            <v>智慧共享财务平台</v>
          </cell>
          <cell r="V99" t="str">
            <v>1.报销 ( 资金支付 )  审批单；          2.增值税发票或收据；                    3.合同；                 4.开工报告；               5.工程量签证单； 6.竣工验收报告； 7.项目结算表 、审计报告 ( 审定表签章页 )</v>
          </cell>
          <cell r="W99" t="str">
            <v>各级单位-后勤部（综合服务中心）-报账人员、各级单位-后勤部（综合服务中心）-负责人、各级单位-运维检修部-报账人员、各级单位-运维检修部-负责人各级单位-财务部门-成本管理人员</v>
          </cell>
          <cell r="X99" t="str">
            <v>每季度</v>
          </cell>
          <cell r="Y99" t="str">
            <v>抽查</v>
          </cell>
        </row>
        <row r="99">
          <cell r="AA99" t="str">
            <v>每年</v>
          </cell>
          <cell r="AB99" t="str">
            <v>抽查</v>
          </cell>
        </row>
        <row r="99">
          <cell r="AD99" t="str">
            <v>管理房屋维修费监督场景</v>
          </cell>
          <cell r="AE99" t="str">
            <v>每年</v>
          </cell>
          <cell r="AF99" t="str">
            <v>抽查</v>
          </cell>
        </row>
        <row r="99">
          <cell r="AH99" t="str">
            <v>是</v>
          </cell>
          <cell r="AI99" t="str">
            <v>是</v>
          </cell>
          <cell r="AJ99" t="str">
            <v>《国家电网有限公司会计基础管理办法 》（国网（财/2） 350-2018） （国家电网企管〔2019〕 132号） 、 《国家电网有限公司会计核算办法2021》 （国网（财/2） 469-2022）</v>
          </cell>
        </row>
        <row r="100">
          <cell r="A100" t="str">
            <v>员工报账</v>
          </cell>
          <cell r="B100" t="str">
            <v>二、通用报账</v>
          </cell>
          <cell r="C100" t="str">
            <v>合规政策</v>
          </cell>
          <cell r="D100" t="str">
            <v>租赁费</v>
          </cell>
          <cell r="E100" t="str">
            <v>未规范区分租赁类型，合同管理滞后、超标准列支租金形成资金浪费带来审计、税务稽查合规风险，</v>
          </cell>
          <cell r="F100" t="str">
            <v>租赁业务从合同签订到资金保险全流程存在多项管控漏洞。             1.未按规定履行决策和审批程序或超越权限范围租赁资产。
2.资产租赁未履行评估备案和审批程序，导致公司利益损失；                                      3.违反资产评估相关规定，故意隐匿评估范围资产，或向评估机构提供虚假会计资料，导致评估结果失真，造成经济损失；                                          4.违反公平交易原则，以不合理价格出租资产，或低于租赁价转租资产；
5.因管理不善或人为故意等原因造成租赁资产盘亏、毁损等，造成资产损失。</v>
          </cell>
          <cell r="G100" t="str">
            <v>31.租赁费报销</v>
          </cell>
          <cell r="H100" t="str">
            <v>租赁费在规定范围内报销</v>
          </cell>
          <cell r="I100" t="str">
            <v>员工报账业务-31.租赁费管控-控制措施01</v>
          </cell>
          <cell r="J100" t="str">
            <v>实物资产管理部门负责提出资产承租、出租需求；负责承租、出租资产验收、盘点和移交，签订经营租赁合同；负责承租、出租资产实物账管理，做好经营性租赁合同的租金催收和支付。严格实行分类管理、分级审批管理，不得超范围出租或私自办理资产出租业务，不得无偿占有、使用公司资产。</v>
          </cell>
          <cell r="K100" t="str">
            <v>√</v>
          </cell>
        </row>
        <row r="100">
          <cell r="N100" t="str">
            <v>√</v>
          </cell>
        </row>
        <row r="100">
          <cell r="Q100" t="str">
            <v>√</v>
          </cell>
        </row>
        <row r="100">
          <cell r="T100" t="str">
            <v>线下管控</v>
          </cell>
        </row>
        <row r="100">
          <cell r="V100" t="str">
            <v>1.需求审批单            2.资产评估报告                                    3.合同或协议；                4产权证明材料；       </v>
          </cell>
          <cell r="W100" t="str">
            <v>各级单位-各部门-报账人员、各级单位-各部门-负责人、</v>
          </cell>
          <cell r="X100" t="str">
            <v>每季度</v>
          </cell>
          <cell r="Y100" t="str">
            <v>抽查</v>
          </cell>
        </row>
        <row r="100">
          <cell r="AA100" t="str">
            <v>每年</v>
          </cell>
          <cell r="AB100" t="str">
            <v>抽查</v>
          </cell>
        </row>
        <row r="100">
          <cell r="AD100" t="str">
            <v>管理租赁费监督场景</v>
          </cell>
          <cell r="AE100" t="str">
            <v>每年</v>
          </cell>
          <cell r="AF100" t="str">
            <v>抽查</v>
          </cell>
        </row>
        <row r="100">
          <cell r="AH100" t="str">
            <v>是</v>
          </cell>
          <cell r="AI100" t="str">
            <v>是</v>
          </cell>
          <cell r="AJ100" t="str">
            <v>《国家电网有限公司会计基础管理办法 》( 国网 ( 财/2) 350-2018)   ( 国家电网企管〔2019〕  132号 )  、《 国家电网有限公司会 计核算办法2021》 ( 国网 (财/2) 469- 2020)  、</v>
          </cell>
        </row>
        <row r="101">
          <cell r="I101" t="str">
            <v>员工报账业务-31.租赁费管控-控制措施02</v>
          </cell>
          <cell r="J101" t="str">
            <v>财务部门负责审核业务部门租赁业务需求，负责按要求开展租赁资产评估；协同业务部门做好租赁资产设备创建、变更、报废等联动管理；负责建立租赁资产帐簿和卡片。</v>
          </cell>
          <cell r="K101" t="str">
            <v>√</v>
          </cell>
        </row>
        <row r="101">
          <cell r="N101" t="str">
            <v>√</v>
          </cell>
        </row>
        <row r="101">
          <cell r="Q101" t="str">
            <v>√</v>
          </cell>
        </row>
        <row r="101">
          <cell r="T101" t="str">
            <v>系统已建</v>
          </cell>
          <cell r="U101" t="str">
            <v>智慧共享财务平台</v>
          </cell>
          <cell r="V101" t="str">
            <v>1.合同或协议.           2产权证明材料 </v>
          </cell>
          <cell r="W101" t="str">
            <v>各级单位-各部门-报账人员、各级单位-各部门-负责人、各级单位-费用归口管理部门-负责人、各级单位-财务部门-资产管理人员</v>
          </cell>
          <cell r="X101" t="str">
            <v>每季度</v>
          </cell>
          <cell r="Y101" t="str">
            <v>抽查</v>
          </cell>
        </row>
        <row r="101">
          <cell r="AA101" t="str">
            <v>每年</v>
          </cell>
          <cell r="AB101" t="str">
            <v>抽查</v>
          </cell>
        </row>
        <row r="101">
          <cell r="AD101" t="str">
            <v>管理租赁费监督场景</v>
          </cell>
          <cell r="AE101" t="str">
            <v>每年</v>
          </cell>
          <cell r="AF101" t="str">
            <v>抽查</v>
          </cell>
        </row>
        <row r="101">
          <cell r="AH101" t="str">
            <v>是</v>
          </cell>
          <cell r="AI101" t="str">
            <v>是</v>
          </cell>
          <cell r="AJ101" t="str">
            <v>《国家电网有限公司会计基础管理办法 》( 国网 ( 财/2) 350-2018)   ( 国家电网企管〔2019〕  132号 )  、《 国家电网有限公司会 计核算办法2021》 ( 国网 (财/2) 469-2020)  、国网湖南电力财务部关于进一步明确资产评估管理有关工作要求的通知</v>
          </cell>
        </row>
        <row r="102">
          <cell r="I102" t="str">
            <v>员工报账业务-31.租赁费管控-控制措施03</v>
          </cell>
          <cell r="J102" t="str">
            <v>财务审核时核验附件完整性和合规性，需有产权证明和个税完税证明；租赁个人房屋时，根据合同签订时间判断租赁类别，严格确保开票金额、租期与租赁合同保持一致，资料不符不允报销付款。</v>
          </cell>
          <cell r="K102" t="str">
            <v>√</v>
          </cell>
        </row>
        <row r="102">
          <cell r="N102" t="str">
            <v>√</v>
          </cell>
        </row>
        <row r="102">
          <cell r="Q102" t="str">
            <v>√</v>
          </cell>
        </row>
        <row r="102">
          <cell r="T102" t="str">
            <v>系统已建</v>
          </cell>
          <cell r="U102" t="str">
            <v>智慧共享财务平台</v>
          </cell>
          <cell r="V102" t="str">
            <v>1.报销 ( 资金支付 )  审批单；              2.增值税发票或收据；                      3.合同或协议；                4产权证明材料；       5.完税证明；         6.个人身份证、银行卡复印件</v>
          </cell>
          <cell r="W102" t="str">
            <v>各级单位-各部门-报账人员、各级单位-各部门-负责人、各级单位-财务部门-成本管理人员</v>
          </cell>
          <cell r="X102" t="str">
            <v>每季度</v>
          </cell>
          <cell r="Y102" t="str">
            <v>抽查</v>
          </cell>
        </row>
        <row r="102">
          <cell r="AA102" t="str">
            <v>每年</v>
          </cell>
          <cell r="AB102" t="str">
            <v>抽查</v>
          </cell>
        </row>
        <row r="102">
          <cell r="AD102" t="str">
            <v>管理租赁费监督场景</v>
          </cell>
          <cell r="AE102" t="str">
            <v>每年</v>
          </cell>
          <cell r="AF102" t="str">
            <v>抽查</v>
          </cell>
        </row>
        <row r="102">
          <cell r="AH102" t="str">
            <v>是</v>
          </cell>
          <cell r="AI102" t="str">
            <v>是</v>
          </cell>
          <cell r="AJ102" t="str">
            <v>《国家电网有限公司会计基础管理办法 》( 国网 ( 财/2) 350-2018)   ( 国家电网企管〔2019〕  132号 )  、《 国家电网有限公司会 计核算办法2021》 ( 国网 (财/2) 469- 2020)  、《国网湖南省电力有限公司关于进 一步加强资金支付安全管理的通知 》( 湘电 公司财〔2018〕940号 )</v>
          </cell>
        </row>
        <row r="103">
          <cell r="A103" t="str">
            <v>员工报账</v>
          </cell>
          <cell r="B103" t="str">
            <v>二、通用报账</v>
          </cell>
          <cell r="C103" t="str">
            <v>合规政策</v>
          </cell>
          <cell r="D103" t="str">
            <v>业务费</v>
          </cell>
          <cell r="E103" t="str">
            <v>超范围列支业务费引发合规风险。</v>
          </cell>
          <cell r="F103" t="str">
            <v>1.超预算开支。
2.礼品违规发放至员工个人。
3.票据真实合规。
4.发放产品置换。</v>
          </cell>
          <cell r="G103" t="str">
            <v>32.业务费</v>
          </cell>
          <cell r="H103" t="str">
            <v>业务费在规定范围内报销</v>
          </cell>
          <cell r="I103" t="str">
            <v>员工报账业务-25.业务费报销01</v>
          </cell>
          <cell r="J103" t="str">
            <v>
规范商品采购。通过电商平台或框架合同采购，最高限额不超过800元。避免分批采购商品，规避礼品单价限额，发放价格贵重的礼品。
</v>
          </cell>
          <cell r="K103" t="str">
            <v>√</v>
          </cell>
        </row>
        <row r="103">
          <cell r="N103" t="str">
            <v>√</v>
          </cell>
          <cell r="O103" t="str">
            <v>√</v>
          </cell>
        </row>
        <row r="103">
          <cell r="T103" t="str">
            <v>线下管控</v>
          </cell>
        </row>
        <row r="103">
          <cell r="V103" t="str">
            <v>1.合同或协议；
2.收料单；
3.领料单；
4.发票；
5.费用结算单
</v>
          </cell>
          <cell r="W103" t="str">
            <v>各级单位-营销部（供电服务指挥中心）-报账人员、各级单位-营销部（供电服务指挥中心）-负责人</v>
          </cell>
          <cell r="X103" t="str">
            <v>每季度</v>
          </cell>
          <cell r="Y103" t="str">
            <v>抽查</v>
          </cell>
        </row>
        <row r="103">
          <cell r="AA103" t="str">
            <v>每年</v>
          </cell>
          <cell r="AB103" t="str">
            <v>抽查</v>
          </cell>
        </row>
        <row r="103">
          <cell r="AD103" t="str">
            <v>业务费列支范围监督场景</v>
          </cell>
          <cell r="AE103" t="str">
            <v>每年</v>
          </cell>
          <cell r="AF103" t="str">
            <v>抽查</v>
          </cell>
        </row>
        <row r="103">
          <cell r="AH103" t="str">
            <v>是</v>
          </cell>
          <cell r="AI103" t="str">
            <v>是</v>
          </cell>
          <cell r="AJ103" t="str">
            <v>《国家电网有限公司会计基础管理办法》（国网（财/2）350-2018）（国家电网企管〔2019〕132号）、《国家电网有限公司会计核算办法2021》（国网（财/2）469-2020）</v>
          </cell>
        </row>
        <row r="104">
          <cell r="I104" t="str">
            <v>员工报账业务-25.业务费报销02</v>
          </cell>
          <cell r="J104" t="str">
            <v>归口管理部门对营销业务费进行复核，特别是用于推广业务的费用复核，其中礼品发放必须发放到个人。
1.检查礼品发放对象，排查内部员工。
2.核查发放礼品是否存在合理外部推广理由。
3.业务部门建立礼品出入库登记及发放台账，完整保存外部领取人员信息（姓名和电话），照片等其他活动佐证资料。</v>
          </cell>
        </row>
        <row r="104">
          <cell r="N104" t="str">
            <v>√</v>
          </cell>
          <cell r="O104" t="str">
            <v>√</v>
          </cell>
        </row>
        <row r="104">
          <cell r="T104" t="str">
            <v>线下管控</v>
          </cell>
        </row>
        <row r="104">
          <cell r="V104" t="str">
            <v>1.合同或协议；
2.收料单；
3.领料单；
4.发票；
5.礼品出入库台账
</v>
          </cell>
          <cell r="W104" t="str">
            <v>各级单位-营销部（供电服务指挥中心）-报账人员、各级单位-营销部（供电服务指挥中心）-负责人</v>
          </cell>
          <cell r="X104" t="str">
            <v>每季度</v>
          </cell>
          <cell r="Y104" t="str">
            <v>抽查</v>
          </cell>
        </row>
        <row r="104">
          <cell r="AA104" t="str">
            <v>每年</v>
          </cell>
          <cell r="AB104" t="str">
            <v>抽查</v>
          </cell>
        </row>
        <row r="104">
          <cell r="AD104" t="str">
            <v>业务费列支范围监督场景</v>
          </cell>
          <cell r="AE104" t="str">
            <v>每年</v>
          </cell>
          <cell r="AF104" t="str">
            <v>抽查</v>
          </cell>
        </row>
        <row r="104">
          <cell r="AH104" t="str">
            <v>是</v>
          </cell>
          <cell r="AI104" t="str">
            <v>是</v>
          </cell>
          <cell r="AJ104" t="str">
            <v>《国家电网有限公司会计基础管理办法》（国网（财/2）350-2018）（国家电网企管〔2019〕132号）、《国家电网有限公司会计核算办法2021》（国网（财/2）469-2020）</v>
          </cell>
        </row>
        <row r="105">
          <cell r="I105" t="str">
            <v>员工报账业务-25.业务费报销03</v>
          </cell>
          <cell r="J105" t="str">
            <v>财务人员审核发票和业务佐证资料齐全，确保完整性和合规性。
</v>
          </cell>
          <cell r="K105" t="str">
            <v>√</v>
          </cell>
        </row>
        <row r="105">
          <cell r="N105" t="str">
            <v>√</v>
          </cell>
          <cell r="O105" t="str">
            <v>√</v>
          </cell>
        </row>
        <row r="105">
          <cell r="Q105" t="str">
            <v>√</v>
          </cell>
        </row>
        <row r="105">
          <cell r="T105" t="str">
            <v>线下管控</v>
          </cell>
        </row>
        <row r="105">
          <cell r="V105" t="str">
            <v>1.合同或协议；
2.收料单；
3.领料单；
4.发票；
5.费用结算单
</v>
          </cell>
          <cell r="W105" t="str">
            <v>各级单位-营销部（供电服务指挥中心）-报账人员、各级单位-营销部（供电服务指挥中心）-负责人、各级单位-财务部门-成本管理人员</v>
          </cell>
          <cell r="X105" t="str">
            <v>每季度</v>
          </cell>
          <cell r="Y105" t="str">
            <v>抽查</v>
          </cell>
        </row>
        <row r="105">
          <cell r="AA105" t="str">
            <v>每年</v>
          </cell>
          <cell r="AB105" t="str">
            <v>抽查</v>
          </cell>
        </row>
        <row r="105">
          <cell r="AD105" t="str">
            <v>业务费列支范围监督场景</v>
          </cell>
          <cell r="AE105" t="str">
            <v>每年</v>
          </cell>
          <cell r="AF105" t="str">
            <v>抽查</v>
          </cell>
        </row>
        <row r="105">
          <cell r="AH105" t="str">
            <v>是</v>
          </cell>
          <cell r="AI105" t="str">
            <v>是</v>
          </cell>
          <cell r="AJ105" t="str">
            <v>《国家电网有限公司会计基础管理办法》（国网（财/2）350-2018）（国家电网企管〔2019〕132号）、《国家电网有限公司会计核算办法2021》（国网（财/2）469-2020）</v>
          </cell>
        </row>
      </sheetData>
      <sheetData sheetId="4"/>
      <sheetData sheetId="5"/>
      <sheetData sheetId="6"/>
      <sheetData sheetId="7"/>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系统控制规则清单"/>
      <sheetName val="岗位职责清单"/>
      <sheetName val="不相容岗位清单"/>
    </sheetNames>
    <sheetDataSet>
      <sheetData sheetId="0">
        <row r="2">
          <cell r="G2" t="str">
            <v>控制措施编号</v>
          </cell>
        </row>
        <row r="4">
          <cell r="G4" t="str">
            <v>员工报账业务-1.出差申请发起-控制措施01</v>
          </cell>
        </row>
        <row r="5">
          <cell r="G5" t="str">
            <v>员工报账业务-1.出差申请发起-控制措施02</v>
          </cell>
        </row>
        <row r="6">
          <cell r="G6" t="str">
            <v>员工报账业务-1.出差申请发起-控制措施02</v>
          </cell>
        </row>
        <row r="7">
          <cell r="G7" t="str">
            <v>员工报账业务-1.出差申请发起-控制措施03</v>
          </cell>
        </row>
        <row r="8">
          <cell r="G8" t="str">
            <v>员工报账业务-2.出差申请审批-控制措施01</v>
          </cell>
        </row>
        <row r="9">
          <cell r="G9" t="str">
            <v>员工报账业务-2.出差申请审批-控制措施02</v>
          </cell>
        </row>
        <row r="10">
          <cell r="G10" t="str">
            <v>员工报账业务-2.出差申请审批-控制措施03</v>
          </cell>
        </row>
        <row r="11">
          <cell r="G11" t="str">
            <v>员工报账业务-3.出差申请流程控制-控制措施01</v>
          </cell>
        </row>
        <row r="12">
          <cell r="G12" t="str">
            <v>员工报账业务-3.出差申请流程控制-控制措施02</v>
          </cell>
        </row>
        <row r="13">
          <cell r="G13" t="str">
            <v>员工报账业务-4.酒店入驻上架控制-控制措施01</v>
          </cell>
        </row>
        <row r="14">
          <cell r="G14" t="str">
            <v>员工报账业务-4.酒店入驻上架控制-控制措施02</v>
          </cell>
        </row>
        <row r="15">
          <cell r="G15" t="str">
            <v>员工报账业务-5.单体酒店上架及价格定价管控-控制措施01</v>
          </cell>
        </row>
        <row r="16">
          <cell r="G16" t="str">
            <v>员工报账业务-5.单体酒店上架及价格定价管控-控制措施02</v>
          </cell>
        </row>
        <row r="17">
          <cell r="G17" t="str">
            <v>员工报账业务-5.单体酒店上架及价格定价管控-控制措施03</v>
          </cell>
        </row>
        <row r="18">
          <cell r="G18" t="str">
            <v>员工报账业务-6.酒店预订-控制措施01</v>
          </cell>
        </row>
        <row r="19">
          <cell r="G19" t="str">
            <v>员工报账业务-6.酒店预订-控制措施02</v>
          </cell>
        </row>
        <row r="20">
          <cell r="G20" t="str">
            <v>员工报账业务-6.酒店预订-控制措施03</v>
          </cell>
        </row>
        <row r="21">
          <cell r="G21" t="str">
            <v>员工报账业务-7.差旅标准执行-控制措施01</v>
          </cell>
        </row>
        <row r="22">
          <cell r="G22" t="str">
            <v>员工报账业务-7.差旅标准执行-控制措施01</v>
          </cell>
        </row>
        <row r="23">
          <cell r="G23" t="str">
            <v>员工报账业务-7.差旅标准执行-控制措施01</v>
          </cell>
        </row>
        <row r="24">
          <cell r="G24" t="str">
            <v>员工报账业务-7.差旅标准执行-控制措施01</v>
          </cell>
        </row>
        <row r="25">
          <cell r="G25" t="str">
            <v>员工报账业务-7.差旅标准执行-控制措施02</v>
          </cell>
        </row>
        <row r="26">
          <cell r="G26" t="str">
            <v>员工报账业务-8.差旅报销合规性控制-控制措施01</v>
          </cell>
        </row>
        <row r="27">
          <cell r="G27" t="str">
            <v>员工报账业务-8.差旅报销合规性控制-控制措施01</v>
          </cell>
        </row>
        <row r="28">
          <cell r="G28" t="str">
            <v>员工报账业务-8.差旅报销合规性控制-控制措施01</v>
          </cell>
        </row>
        <row r="29">
          <cell r="G29" t="str">
            <v>员工报账业务-8.差旅报销合规性控制-控制措施01</v>
          </cell>
        </row>
        <row r="30">
          <cell r="G30" t="str">
            <v>员工报账业务-8.差旅报销合规性控制-控制措施01</v>
          </cell>
        </row>
        <row r="31">
          <cell r="G31" t="str">
            <v>员工报账业务-8.差旅报销合规性控制-控制措施02</v>
          </cell>
        </row>
        <row r="32">
          <cell r="G32" t="str">
            <v>员工报账业务-8.差旅报销合规性控制-控制措施02</v>
          </cell>
        </row>
        <row r="33">
          <cell r="G33" t="str">
            <v>员工报账业务-8.差旅报销合规性控制-控制措施02</v>
          </cell>
        </row>
        <row r="34">
          <cell r="G34" t="str">
            <v>员工报账业务-8.差旅报销合规性控制-控制措施03</v>
          </cell>
        </row>
        <row r="35">
          <cell r="G35" t="str">
            <v>员工报账业务-8.差旅报销合规性控制-控制措施04</v>
          </cell>
        </row>
        <row r="36">
          <cell r="G36" t="str">
            <v>员工报账业务-9.自付单据审核-控制措施01</v>
          </cell>
        </row>
        <row r="37">
          <cell r="G37" t="str">
            <v>员工报账业务-9.自付单据审核-控制措施03</v>
          </cell>
        </row>
        <row r="38">
          <cell r="G38" t="str">
            <v>员工报账业务-9.自付单据审核-控制措施03</v>
          </cell>
        </row>
        <row r="39">
          <cell r="G39" t="str">
            <v>员工报账业务-9.自付单据审核-控制措施03</v>
          </cell>
        </row>
        <row r="40">
          <cell r="G40" t="str">
            <v>员工报账业务-10.报销事项合规性控制-控制措施02</v>
          </cell>
        </row>
        <row r="41">
          <cell r="G41" t="str">
            <v>员工报账业务-10.报销事项合规性控制-控制措施02</v>
          </cell>
        </row>
        <row r="42">
          <cell r="G42" t="str">
            <v>员工报账业务-10.报销事项合规性控制-控制措施02</v>
          </cell>
        </row>
        <row r="43">
          <cell r="G43" t="str">
            <v>员工报账业务-10.报销事项合规性控制-控制措施02</v>
          </cell>
        </row>
        <row r="44">
          <cell r="G44" t="str">
            <v>员工报账业务-10.报销事项合规性控制-控制措施02</v>
          </cell>
        </row>
        <row r="45">
          <cell r="G45" t="str">
            <v>员工报账业务-10.报销事项合规性控制-控制措施02</v>
          </cell>
        </row>
        <row r="46">
          <cell r="G46" t="str">
            <v>员工报账业务-10.报销事项合规性控制-控制措施02</v>
          </cell>
        </row>
        <row r="47">
          <cell r="G47" t="str">
            <v>员工报账业务-10.报销事项合规性控制-控制措施02</v>
          </cell>
        </row>
        <row r="48">
          <cell r="G48" t="str">
            <v>员工报账业务-10.报销事项合规性控制-控制措施03</v>
          </cell>
        </row>
        <row r="49">
          <cell r="G49" t="str">
            <v>员工报账业务-11.报销发票审核-控制措施01</v>
          </cell>
        </row>
        <row r="50">
          <cell r="G50" t="str">
            <v>员工报账业务-11.报销发票审核-控制措施01</v>
          </cell>
        </row>
        <row r="51">
          <cell r="G51" t="str">
            <v>员工报账业务-11.报销发票审核-控制措施01</v>
          </cell>
        </row>
        <row r="52">
          <cell r="G52" t="str">
            <v>员工报账业务-11.报销发票审核-控制措施01</v>
          </cell>
        </row>
        <row r="53">
          <cell r="G53" t="str">
            <v>员工报账业务-11.报销发票审核-控制措施01</v>
          </cell>
        </row>
        <row r="54">
          <cell r="G54" t="str">
            <v>员工报账业务-11.报销发票审核-控制措施01</v>
          </cell>
        </row>
        <row r="55">
          <cell r="G55" t="str">
            <v>员工报账业务-11.报销发票审核-控制措施01</v>
          </cell>
        </row>
        <row r="56">
          <cell r="G56" t="str">
            <v>员工报账业务-11.报销发票审核-控制措施01</v>
          </cell>
        </row>
        <row r="57">
          <cell r="G57" t="str">
            <v>员工报账业务-11.报销发票审核-控制措施01</v>
          </cell>
        </row>
        <row r="58">
          <cell r="G58" t="str">
            <v>员工报账业务-11.报销发票审核-控制措施01</v>
          </cell>
        </row>
        <row r="59">
          <cell r="G59" t="str">
            <v>员工报账业务-11.报销发票审核-控制措施01</v>
          </cell>
        </row>
        <row r="60">
          <cell r="G60" t="str">
            <v>员工报账业务-11.报销发票审核-控制措施01</v>
          </cell>
        </row>
        <row r="61">
          <cell r="G61" t="str">
            <v>员工报账业务-11.报销发票审核-控制措施02</v>
          </cell>
        </row>
        <row r="62">
          <cell r="G62" t="str">
            <v>员工报账业务-11.报销发票审核-控制措施03</v>
          </cell>
        </row>
        <row r="63">
          <cell r="G63" t="str">
            <v>员工报账业务-11.报销发票审核-控制措施03</v>
          </cell>
        </row>
        <row r="64">
          <cell r="G64" t="str">
            <v>员工报账业务-13.公务车辆车辆单车核算管理-控制措施01</v>
          </cell>
        </row>
        <row r="65">
          <cell r="G65" t="str">
            <v>员工报账业务-13.公务车辆车辆单车核算管理-控制措施02</v>
          </cell>
        </row>
        <row r="66">
          <cell r="G66" t="str">
            <v>员工报账业务-19.安全费报销-控制措施01</v>
          </cell>
        </row>
        <row r="67">
          <cell r="G67" t="str">
            <v>员工报账业务-23.资金支付管理-控制措施03</v>
          </cell>
        </row>
        <row r="68">
          <cell r="G68" t="str">
            <v>员工报账业务-19.安全费报销-控制措施04</v>
          </cell>
        </row>
        <row r="69">
          <cell r="G69" t="str">
            <v>员工报账业务-31.租赁费报销-控制措施02</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3.8" outlineLevelCol="5"/>
  <cols>
    <col min="1" max="1" width="8.33333333333333" customWidth="1"/>
    <col min="2" max="2" width="13" customWidth="1"/>
    <col min="3" max="3" width="20.25" customWidth="1"/>
    <col min="4" max="4" width="11.3333333333333" customWidth="1"/>
    <col min="5" max="5" width="43" customWidth="1"/>
    <col min="6" max="6" width="21.4166666666667" style="103" customWidth="1"/>
  </cols>
  <sheetData>
    <row r="1" ht="28.8" spans="1:6">
      <c r="A1" s="104" t="s">
        <v>0</v>
      </c>
      <c r="B1" s="104" t="s">
        <v>1</v>
      </c>
      <c r="C1" s="104" t="s">
        <v>2</v>
      </c>
      <c r="D1" s="104" t="s">
        <v>3</v>
      </c>
      <c r="E1" s="104" t="s">
        <v>4</v>
      </c>
      <c r="F1" s="104" t="s">
        <v>5</v>
      </c>
    </row>
    <row r="2" ht="28.8" spans="1:6">
      <c r="A2" s="105" t="s">
        <v>6</v>
      </c>
      <c r="B2" s="105" t="s">
        <v>7</v>
      </c>
      <c r="C2" s="105" t="s">
        <v>8</v>
      </c>
      <c r="D2" s="106" t="s">
        <v>9</v>
      </c>
      <c r="E2" s="106" t="s">
        <v>10</v>
      </c>
      <c r="F2" s="107"/>
    </row>
    <row r="3" ht="28.8" spans="1:6">
      <c r="A3" s="105"/>
      <c r="B3" s="105"/>
      <c r="C3" s="105"/>
      <c r="D3" s="106" t="s">
        <v>11</v>
      </c>
      <c r="E3" s="106" t="s">
        <v>12</v>
      </c>
      <c r="F3" s="107"/>
    </row>
    <row r="4" ht="28.8" spans="1:6">
      <c r="A4" s="105"/>
      <c r="B4" s="105"/>
      <c r="C4" s="105"/>
      <c r="D4" s="106" t="s">
        <v>13</v>
      </c>
      <c r="E4" s="106" t="s">
        <v>14</v>
      </c>
      <c r="F4" s="107"/>
    </row>
    <row r="5" ht="28.8" spans="1:6">
      <c r="A5" s="105"/>
      <c r="B5" s="105"/>
      <c r="C5" s="105"/>
      <c r="D5" s="106" t="s">
        <v>15</v>
      </c>
      <c r="E5" s="106" t="s">
        <v>16</v>
      </c>
      <c r="F5" s="107"/>
    </row>
    <row r="6" ht="28.8" spans="1:6">
      <c r="A6" s="105"/>
      <c r="B6" s="105"/>
      <c r="C6" s="105"/>
      <c r="D6" s="106" t="s">
        <v>17</v>
      </c>
      <c r="E6" s="106" t="s">
        <v>18</v>
      </c>
      <c r="F6" s="107"/>
    </row>
    <row r="7" ht="28.8" spans="1:6">
      <c r="A7" s="105"/>
      <c r="B7" s="105"/>
      <c r="C7" s="105"/>
      <c r="D7" s="106" t="s">
        <v>19</v>
      </c>
      <c r="E7" s="106" t="s">
        <v>20</v>
      </c>
      <c r="F7" s="107"/>
    </row>
    <row r="8" ht="28.8" spans="1:6">
      <c r="A8" s="105"/>
      <c r="B8" s="105"/>
      <c r="C8" s="105" t="s">
        <v>21</v>
      </c>
      <c r="D8" s="106" t="s">
        <v>22</v>
      </c>
      <c r="E8" s="106" t="s">
        <v>23</v>
      </c>
      <c r="F8" s="107"/>
    </row>
    <row r="9" ht="28.8" spans="1:6">
      <c r="A9" s="105"/>
      <c r="B9" s="105"/>
      <c r="C9" s="105"/>
      <c r="D9" s="106" t="s">
        <v>24</v>
      </c>
      <c r="E9" s="106" t="s">
        <v>25</v>
      </c>
      <c r="F9" s="107"/>
    </row>
    <row r="10" ht="28.8" spans="1:6">
      <c r="A10" s="105"/>
      <c r="B10" s="105"/>
      <c r="C10" s="105" t="s">
        <v>26</v>
      </c>
      <c r="D10" s="106" t="s">
        <v>27</v>
      </c>
      <c r="E10" s="106" t="s">
        <v>28</v>
      </c>
      <c r="F10" s="107"/>
    </row>
    <row r="11" ht="28.8" spans="1:6">
      <c r="A11" s="105"/>
      <c r="B11" s="105"/>
      <c r="C11" s="105"/>
      <c r="D11" s="106" t="s">
        <v>29</v>
      </c>
      <c r="E11" s="106" t="s">
        <v>30</v>
      </c>
      <c r="F11" s="107"/>
    </row>
    <row r="12" ht="28.8" spans="1:6">
      <c r="A12" s="105"/>
      <c r="B12" s="105"/>
      <c r="C12" s="105"/>
      <c r="D12" s="106" t="s">
        <v>31</v>
      </c>
      <c r="E12" s="106" t="s">
        <v>32</v>
      </c>
      <c r="F12" s="107"/>
    </row>
    <row r="13" ht="14.5" customHeight="1" spans="1:6">
      <c r="A13" s="105"/>
      <c r="B13" s="105"/>
      <c r="C13" s="108" t="s">
        <v>33</v>
      </c>
      <c r="D13" s="109" t="s">
        <v>34</v>
      </c>
      <c r="E13" s="109" t="s">
        <v>35</v>
      </c>
      <c r="F13" s="110" t="s">
        <v>36</v>
      </c>
    </row>
    <row r="14" ht="14.5" customHeight="1" spans="1:6">
      <c r="A14" s="105"/>
      <c r="B14" s="105"/>
      <c r="C14" s="111"/>
      <c r="D14" s="109" t="s">
        <v>37</v>
      </c>
      <c r="E14" s="109" t="s">
        <v>38</v>
      </c>
      <c r="F14" s="112"/>
    </row>
    <row r="15" ht="28.8" spans="1:6">
      <c r="A15" s="105"/>
      <c r="B15" s="105"/>
      <c r="C15" s="105" t="s">
        <v>39</v>
      </c>
      <c r="D15" s="106" t="s">
        <v>34</v>
      </c>
      <c r="E15" s="106" t="s">
        <v>40</v>
      </c>
      <c r="F15" s="107"/>
    </row>
    <row r="16" ht="28.8" spans="1:6">
      <c r="A16" s="105"/>
      <c r="B16" s="105"/>
      <c r="C16" s="105" t="s">
        <v>41</v>
      </c>
      <c r="D16" s="106" t="s">
        <v>42</v>
      </c>
      <c r="E16" s="106" t="s">
        <v>43</v>
      </c>
      <c r="F16" s="107"/>
    </row>
    <row r="17" ht="28.8" spans="1:6">
      <c r="A17" s="105"/>
      <c r="B17" s="105"/>
      <c r="C17" s="105"/>
      <c r="D17" s="106" t="s">
        <v>44</v>
      </c>
      <c r="E17" s="106" t="s">
        <v>45</v>
      </c>
      <c r="F17" s="107"/>
    </row>
    <row r="18" ht="28.8" spans="1:6">
      <c r="A18" s="105"/>
      <c r="B18" s="105"/>
      <c r="C18" s="105"/>
      <c r="D18" s="106" t="s">
        <v>46</v>
      </c>
      <c r="E18" s="106" t="s">
        <v>47</v>
      </c>
      <c r="F18" s="107"/>
    </row>
    <row r="19" ht="28.8" spans="1:6">
      <c r="A19" s="105"/>
      <c r="B19" s="105" t="s">
        <v>48</v>
      </c>
      <c r="C19" s="105" t="s">
        <v>49</v>
      </c>
      <c r="D19" s="106" t="s">
        <v>50</v>
      </c>
      <c r="E19" s="106" t="s">
        <v>51</v>
      </c>
      <c r="F19" s="107"/>
    </row>
    <row r="20" ht="28.8" spans="1:6">
      <c r="A20" s="105"/>
      <c r="B20" s="105"/>
      <c r="C20" s="105"/>
      <c r="D20" s="106" t="s">
        <v>52</v>
      </c>
      <c r="E20" s="106" t="s">
        <v>53</v>
      </c>
      <c r="F20" s="107"/>
    </row>
    <row r="21" ht="28.8" spans="1:6">
      <c r="A21" s="105"/>
      <c r="B21" s="105"/>
      <c r="C21" s="113" t="s">
        <v>54</v>
      </c>
      <c r="D21" s="109" t="s">
        <v>55</v>
      </c>
      <c r="E21" s="109" t="s">
        <v>56</v>
      </c>
      <c r="F21" s="113" t="s">
        <v>36</v>
      </c>
    </row>
    <row r="22" ht="28.8" spans="1:6">
      <c r="A22" s="105"/>
      <c r="B22" s="105"/>
      <c r="C22" s="113"/>
      <c r="D22" s="109" t="s">
        <v>57</v>
      </c>
      <c r="E22" s="109" t="s">
        <v>58</v>
      </c>
      <c r="F22" s="113"/>
    </row>
    <row r="23" ht="28.8" spans="1:6">
      <c r="A23" s="105"/>
      <c r="B23" s="105"/>
      <c r="C23" s="113"/>
      <c r="D23" s="109" t="s">
        <v>59</v>
      </c>
      <c r="E23" s="109" t="s">
        <v>60</v>
      </c>
      <c r="F23" s="113"/>
    </row>
    <row r="24" ht="28.8" spans="1:6">
      <c r="A24" s="105"/>
      <c r="B24" s="105"/>
      <c r="C24" s="113"/>
      <c r="D24" s="109" t="s">
        <v>61</v>
      </c>
      <c r="E24" s="109" t="s">
        <v>62</v>
      </c>
      <c r="F24" s="113"/>
    </row>
    <row r="25" ht="28.8" spans="1:6">
      <c r="A25" s="105"/>
      <c r="B25" s="105"/>
      <c r="C25" s="113"/>
      <c r="D25" s="109" t="s">
        <v>63</v>
      </c>
      <c r="E25" s="109" t="s">
        <v>64</v>
      </c>
      <c r="F25" s="113"/>
    </row>
    <row r="26" ht="28.8" spans="1:6">
      <c r="A26" s="105"/>
      <c r="B26" s="105"/>
      <c r="C26" s="113"/>
      <c r="D26" s="109" t="s">
        <v>65</v>
      </c>
      <c r="E26" s="109" t="s">
        <v>66</v>
      </c>
      <c r="F26" s="113"/>
    </row>
    <row r="27" ht="28.8" spans="1:6">
      <c r="A27" s="105"/>
      <c r="B27" s="105"/>
      <c r="C27" s="113"/>
      <c r="D27" s="109" t="s">
        <v>67</v>
      </c>
      <c r="E27" s="109" t="s">
        <v>68</v>
      </c>
      <c r="F27" s="113"/>
    </row>
    <row r="28" ht="28.8" spans="1:6">
      <c r="A28" s="105"/>
      <c r="B28" s="105"/>
      <c r="C28" s="105" t="s">
        <v>69</v>
      </c>
      <c r="D28" s="106" t="s">
        <v>70</v>
      </c>
      <c r="E28" s="106" t="s">
        <v>71</v>
      </c>
      <c r="F28" s="107"/>
    </row>
    <row r="29" ht="28.8" spans="1:6">
      <c r="A29" s="105"/>
      <c r="B29" s="105"/>
      <c r="C29" s="105"/>
      <c r="D29" s="106" t="s">
        <v>72</v>
      </c>
      <c r="E29" s="106" t="s">
        <v>73</v>
      </c>
      <c r="F29" s="107"/>
    </row>
    <row r="30" ht="28.8" spans="1:6">
      <c r="A30" s="105"/>
      <c r="B30" s="105"/>
      <c r="C30" s="105"/>
      <c r="D30" s="106" t="s">
        <v>74</v>
      </c>
      <c r="E30" s="106" t="s">
        <v>75</v>
      </c>
      <c r="F30" s="107"/>
    </row>
    <row r="31" ht="28.8" spans="1:6">
      <c r="A31" s="105"/>
      <c r="B31" s="105"/>
      <c r="C31" s="105"/>
      <c r="D31" s="106" t="s">
        <v>76</v>
      </c>
      <c r="E31" s="106" t="s">
        <v>77</v>
      </c>
      <c r="F31" s="107"/>
    </row>
    <row r="32" ht="28.8" spans="1:6">
      <c r="A32" s="105"/>
      <c r="B32" s="105"/>
      <c r="C32" s="105"/>
      <c r="D32" s="106" t="s">
        <v>78</v>
      </c>
      <c r="E32" s="106" t="s">
        <v>79</v>
      </c>
      <c r="F32" s="107"/>
    </row>
    <row r="33" ht="28.8" spans="1:6">
      <c r="A33" s="105"/>
      <c r="B33" s="105"/>
      <c r="C33" s="105"/>
      <c r="D33" s="106" t="s">
        <v>80</v>
      </c>
      <c r="E33" s="106" t="s">
        <v>81</v>
      </c>
      <c r="F33" s="107"/>
    </row>
    <row r="34" ht="28.8" spans="1:6">
      <c r="A34" s="105"/>
      <c r="B34" s="105"/>
      <c r="C34" s="105"/>
      <c r="D34" s="106" t="s">
        <v>82</v>
      </c>
      <c r="E34" s="106" t="s">
        <v>83</v>
      </c>
      <c r="F34" s="107"/>
    </row>
    <row r="35" ht="28.8" spans="1:6">
      <c r="A35" s="105"/>
      <c r="B35" s="105"/>
      <c r="C35" s="105"/>
      <c r="D35" s="106" t="s">
        <v>84</v>
      </c>
      <c r="E35" s="106" t="s">
        <v>85</v>
      </c>
      <c r="F35" s="107"/>
    </row>
    <row r="36" ht="28.8" spans="1:6">
      <c r="A36" s="105"/>
      <c r="B36" s="105"/>
      <c r="C36" s="105"/>
      <c r="D36" s="106" t="s">
        <v>86</v>
      </c>
      <c r="E36" s="106" t="s">
        <v>87</v>
      </c>
      <c r="F36" s="107"/>
    </row>
    <row r="37" ht="28.8" spans="1:6">
      <c r="A37" s="105"/>
      <c r="B37" s="105"/>
      <c r="C37" s="105"/>
      <c r="D37" s="106" t="s">
        <v>88</v>
      </c>
      <c r="E37" s="106" t="s">
        <v>89</v>
      </c>
      <c r="F37" s="107"/>
    </row>
    <row r="38" ht="28.8" spans="1:6">
      <c r="A38" s="105"/>
      <c r="B38" s="105"/>
      <c r="C38" s="105"/>
      <c r="D38" s="106" t="s">
        <v>90</v>
      </c>
      <c r="E38" s="106" t="s">
        <v>91</v>
      </c>
      <c r="F38" s="107"/>
    </row>
    <row r="39" ht="28.8" spans="1:6">
      <c r="A39" s="105"/>
      <c r="B39" s="105"/>
      <c r="C39" s="105"/>
      <c r="D39" s="106" t="s">
        <v>92</v>
      </c>
      <c r="E39" s="106" t="s">
        <v>93</v>
      </c>
      <c r="F39" s="107"/>
    </row>
    <row r="40" ht="28.8" spans="1:6">
      <c r="A40" s="105"/>
      <c r="B40" s="105"/>
      <c r="C40" s="105"/>
      <c r="D40" s="106" t="s">
        <v>94</v>
      </c>
      <c r="E40" s="106" t="s">
        <v>95</v>
      </c>
      <c r="F40" s="107"/>
    </row>
    <row r="41" ht="28.8" spans="1:6">
      <c r="A41" s="105"/>
      <c r="B41" s="105"/>
      <c r="C41" s="105"/>
      <c r="D41" s="106" t="s">
        <v>96</v>
      </c>
      <c r="E41" s="106" t="s">
        <v>97</v>
      </c>
      <c r="F41" s="107"/>
    </row>
    <row r="42" ht="28.8" spans="1:6">
      <c r="A42" s="105"/>
      <c r="B42" s="105"/>
      <c r="C42" s="105"/>
      <c r="D42" s="106" t="s">
        <v>98</v>
      </c>
      <c r="E42" s="106" t="s">
        <v>99</v>
      </c>
      <c r="F42" s="107"/>
    </row>
    <row r="43" ht="28.8" spans="1:6">
      <c r="A43" s="105"/>
      <c r="B43" s="105"/>
      <c r="C43" s="105"/>
      <c r="D43" s="106" t="s">
        <v>100</v>
      </c>
      <c r="E43" s="106" t="s">
        <v>101</v>
      </c>
      <c r="F43" s="107"/>
    </row>
    <row r="44" ht="28.8" spans="1:6">
      <c r="A44" s="105"/>
      <c r="B44" s="105"/>
      <c r="C44" s="105"/>
      <c r="D44" s="106" t="s">
        <v>102</v>
      </c>
      <c r="E44" s="106" t="s">
        <v>103</v>
      </c>
      <c r="F44" s="107"/>
    </row>
    <row r="45" ht="28.8" spans="1:6">
      <c r="A45" s="105"/>
      <c r="B45" s="105"/>
      <c r="C45" s="105"/>
      <c r="D45" s="106" t="s">
        <v>104</v>
      </c>
      <c r="E45" s="106" t="s">
        <v>105</v>
      </c>
      <c r="F45" s="107"/>
    </row>
    <row r="46" ht="28.8" spans="1:6">
      <c r="A46" s="105"/>
      <c r="B46" s="105"/>
      <c r="C46" s="105"/>
      <c r="D46" s="106" t="s">
        <v>106</v>
      </c>
      <c r="E46" s="106" t="s">
        <v>107</v>
      </c>
      <c r="F46" s="107"/>
    </row>
    <row r="47" ht="28.8" spans="1:6">
      <c r="A47" s="105"/>
      <c r="B47" s="105"/>
      <c r="C47" s="105"/>
      <c r="D47" s="106" t="s">
        <v>108</v>
      </c>
      <c r="E47" s="106" t="s">
        <v>109</v>
      </c>
      <c r="F47" s="107"/>
    </row>
    <row r="48" ht="28.8" spans="1:6">
      <c r="A48" s="105"/>
      <c r="B48" s="105"/>
      <c r="C48" s="113" t="s">
        <v>110</v>
      </c>
      <c r="D48" s="109" t="s">
        <v>111</v>
      </c>
      <c r="E48" s="109" t="s">
        <v>112</v>
      </c>
      <c r="F48" s="113" t="s">
        <v>36</v>
      </c>
    </row>
    <row r="49" ht="28.8" spans="1:6">
      <c r="A49" s="105"/>
      <c r="B49" s="105"/>
      <c r="C49" s="113"/>
      <c r="D49" s="109" t="s">
        <v>113</v>
      </c>
      <c r="E49" s="109" t="s">
        <v>114</v>
      </c>
      <c r="F49" s="113"/>
    </row>
    <row r="50" ht="28.8" spans="1:6">
      <c r="A50" s="105"/>
      <c r="B50" s="105"/>
      <c r="C50" s="113"/>
      <c r="D50" s="109" t="s">
        <v>115</v>
      </c>
      <c r="E50" s="109" t="s">
        <v>116</v>
      </c>
      <c r="F50" s="113"/>
    </row>
    <row r="51" ht="28.8" spans="1:6">
      <c r="A51" s="105"/>
      <c r="B51" s="105"/>
      <c r="C51" s="113"/>
      <c r="D51" s="109" t="s">
        <v>117</v>
      </c>
      <c r="E51" s="109" t="s">
        <v>118</v>
      </c>
      <c r="F51" s="113"/>
    </row>
    <row r="52" ht="28.8" spans="1:6">
      <c r="A52" s="105"/>
      <c r="B52" s="105"/>
      <c r="C52" s="113" t="s">
        <v>119</v>
      </c>
      <c r="D52" s="109" t="s">
        <v>120</v>
      </c>
      <c r="E52" s="109" t="s">
        <v>121</v>
      </c>
      <c r="F52" s="113" t="s">
        <v>36</v>
      </c>
    </row>
    <row r="53" ht="28.8" spans="1:6">
      <c r="A53" s="105"/>
      <c r="B53" s="105"/>
      <c r="C53" s="113"/>
      <c r="D53" s="109" t="s">
        <v>122</v>
      </c>
      <c r="E53" s="109" t="s">
        <v>123</v>
      </c>
      <c r="F53" s="113"/>
    </row>
    <row r="54" ht="28.8" spans="1:6">
      <c r="A54" s="105"/>
      <c r="B54" s="105"/>
      <c r="C54" s="113"/>
      <c r="D54" s="109" t="s">
        <v>124</v>
      </c>
      <c r="E54" s="109" t="s">
        <v>125</v>
      </c>
      <c r="F54" s="113"/>
    </row>
    <row r="55" ht="28.8" spans="1:6">
      <c r="A55" s="105"/>
      <c r="B55" s="105"/>
      <c r="C55" s="113"/>
      <c r="D55" s="109" t="s">
        <v>126</v>
      </c>
      <c r="E55" s="109" t="s">
        <v>127</v>
      </c>
      <c r="F55" s="113"/>
    </row>
    <row r="56" ht="28.8" spans="1:6">
      <c r="A56" s="105"/>
      <c r="B56" s="105"/>
      <c r="C56" s="113"/>
      <c r="D56" s="109" t="s">
        <v>128</v>
      </c>
      <c r="E56" s="109" t="s">
        <v>129</v>
      </c>
      <c r="F56" s="113"/>
    </row>
    <row r="57" ht="28.8" spans="1:6">
      <c r="A57" s="105"/>
      <c r="B57" s="105"/>
      <c r="C57" s="113"/>
      <c r="D57" s="109" t="s">
        <v>130</v>
      </c>
      <c r="E57" s="109" t="s">
        <v>131</v>
      </c>
      <c r="F57" s="113"/>
    </row>
    <row r="58" ht="28.8" spans="1:6">
      <c r="A58" s="105"/>
      <c r="B58" s="105"/>
      <c r="C58" s="113"/>
      <c r="D58" s="109" t="s">
        <v>132</v>
      </c>
      <c r="E58" s="109" t="s">
        <v>133</v>
      </c>
      <c r="F58" s="113"/>
    </row>
    <row r="59" ht="28.8" spans="1:6">
      <c r="A59" s="105"/>
      <c r="B59" s="105"/>
      <c r="C59" s="113"/>
      <c r="D59" s="109" t="s">
        <v>134</v>
      </c>
      <c r="E59" s="109" t="s">
        <v>135</v>
      </c>
      <c r="F59" s="113"/>
    </row>
    <row r="60" ht="28.8" spans="1:6">
      <c r="A60" s="105"/>
      <c r="B60" s="105"/>
      <c r="C60" s="113"/>
      <c r="D60" s="109" t="s">
        <v>136</v>
      </c>
      <c r="E60" s="109" t="s">
        <v>137</v>
      </c>
      <c r="F60" s="113"/>
    </row>
    <row r="61" ht="28.8" spans="1:6">
      <c r="A61" s="105"/>
      <c r="B61" s="105"/>
      <c r="C61" s="113"/>
      <c r="D61" s="109" t="s">
        <v>138</v>
      </c>
      <c r="E61" s="109" t="s">
        <v>139</v>
      </c>
      <c r="F61" s="113"/>
    </row>
    <row r="62" ht="28.8" spans="1:6">
      <c r="A62" s="105"/>
      <c r="B62" s="105"/>
      <c r="C62" s="113"/>
      <c r="D62" s="109" t="s">
        <v>140</v>
      </c>
      <c r="E62" s="109" t="s">
        <v>141</v>
      </c>
      <c r="F62" s="113"/>
    </row>
    <row r="63" ht="28.8" spans="1:6">
      <c r="A63" s="105"/>
      <c r="B63" s="105"/>
      <c r="C63" s="113"/>
      <c r="D63" s="109" t="s">
        <v>142</v>
      </c>
      <c r="E63" s="109" t="s">
        <v>143</v>
      </c>
      <c r="F63" s="113"/>
    </row>
    <row r="64" ht="28.8" spans="1:6">
      <c r="A64" s="105"/>
      <c r="B64" s="105"/>
      <c r="C64" s="113"/>
      <c r="D64" s="109" t="s">
        <v>144</v>
      </c>
      <c r="E64" s="109" t="s">
        <v>145</v>
      </c>
      <c r="F64" s="113"/>
    </row>
    <row r="65" ht="28.8" spans="1:6">
      <c r="A65" s="105"/>
      <c r="B65" s="105"/>
      <c r="C65" s="113"/>
      <c r="D65" s="109" t="s">
        <v>146</v>
      </c>
      <c r="E65" s="109" t="s">
        <v>147</v>
      </c>
      <c r="F65" s="113"/>
    </row>
    <row r="66" ht="28.8" spans="1:6">
      <c r="A66" s="105"/>
      <c r="B66" s="105"/>
      <c r="C66" s="113"/>
      <c r="D66" s="109" t="s">
        <v>148</v>
      </c>
      <c r="E66" s="109" t="s">
        <v>149</v>
      </c>
      <c r="F66" s="113"/>
    </row>
    <row r="67" ht="28.8" spans="1:6">
      <c r="A67" s="105"/>
      <c r="B67" s="105"/>
      <c r="C67" s="113"/>
      <c r="D67" s="109" t="s">
        <v>150</v>
      </c>
      <c r="E67" s="109" t="s">
        <v>151</v>
      </c>
      <c r="F67" s="113"/>
    </row>
    <row r="68" ht="28.8" spans="1:6">
      <c r="A68" s="105"/>
      <c r="B68" s="105"/>
      <c r="C68" s="113"/>
      <c r="D68" s="114" t="s">
        <v>152</v>
      </c>
      <c r="E68" s="114" t="s">
        <v>153</v>
      </c>
      <c r="F68" s="113"/>
    </row>
    <row r="69" ht="28.8" spans="1:6">
      <c r="A69" s="105"/>
      <c r="B69" s="105"/>
      <c r="C69" s="113"/>
      <c r="D69" s="109" t="s">
        <v>154</v>
      </c>
      <c r="E69" s="109" t="s">
        <v>155</v>
      </c>
      <c r="F69" s="113"/>
    </row>
    <row r="70" ht="28.8" spans="1:6">
      <c r="A70" s="105"/>
      <c r="B70" s="105"/>
      <c r="C70" s="113"/>
      <c r="D70" s="109" t="s">
        <v>156</v>
      </c>
      <c r="E70" s="109" t="s">
        <v>157</v>
      </c>
      <c r="F70" s="113"/>
    </row>
    <row r="71" ht="28.8" spans="1:6">
      <c r="A71" s="105"/>
      <c r="B71" s="105"/>
      <c r="C71" s="113"/>
      <c r="D71" s="109" t="s">
        <v>158</v>
      </c>
      <c r="E71" s="109" t="s">
        <v>159</v>
      </c>
      <c r="F71" s="113"/>
    </row>
    <row r="72" ht="28.8" spans="1:6">
      <c r="A72" s="105"/>
      <c r="B72" s="105"/>
      <c r="C72" s="113"/>
      <c r="D72" s="109" t="s">
        <v>160</v>
      </c>
      <c r="E72" s="109" t="s">
        <v>161</v>
      </c>
      <c r="F72" s="113"/>
    </row>
    <row r="73" ht="28.8" spans="1:6">
      <c r="A73" s="105"/>
      <c r="B73" s="105"/>
      <c r="C73" s="113"/>
      <c r="D73" s="109" t="s">
        <v>162</v>
      </c>
      <c r="E73" s="109" t="s">
        <v>163</v>
      </c>
      <c r="F73" s="113"/>
    </row>
    <row r="74" ht="28.8" spans="1:6">
      <c r="A74" s="105"/>
      <c r="B74" s="105"/>
      <c r="C74" s="113"/>
      <c r="D74" s="109" t="s">
        <v>164</v>
      </c>
      <c r="E74" s="109" t="s">
        <v>165</v>
      </c>
      <c r="F74" s="113"/>
    </row>
    <row r="75" ht="28.8" spans="1:6">
      <c r="A75" s="105"/>
      <c r="B75" s="105"/>
      <c r="C75" s="113"/>
      <c r="D75" s="109" t="s">
        <v>166</v>
      </c>
      <c r="E75" s="109" t="s">
        <v>167</v>
      </c>
      <c r="F75" s="113"/>
    </row>
    <row r="76" ht="28.8" spans="1:6">
      <c r="A76" s="105"/>
      <c r="B76" s="105"/>
      <c r="C76" s="113"/>
      <c r="D76" s="109" t="s">
        <v>168</v>
      </c>
      <c r="E76" s="109" t="s">
        <v>169</v>
      </c>
      <c r="F76" s="113"/>
    </row>
    <row r="77" ht="28.8" spans="1:6">
      <c r="A77" s="105"/>
      <c r="B77" s="105"/>
      <c r="C77" s="113"/>
      <c r="D77" s="109" t="s">
        <v>170</v>
      </c>
      <c r="E77" s="109" t="s">
        <v>171</v>
      </c>
      <c r="F77" s="113"/>
    </row>
    <row r="78" ht="28.8" spans="1:6">
      <c r="A78" s="105"/>
      <c r="B78" s="105"/>
      <c r="C78" s="113"/>
      <c r="D78" s="109" t="s">
        <v>172</v>
      </c>
      <c r="E78" s="109" t="s">
        <v>173</v>
      </c>
      <c r="F78" s="113"/>
    </row>
    <row r="79" ht="28.8" spans="1:6">
      <c r="A79" s="105"/>
      <c r="B79" s="105"/>
      <c r="C79" s="113"/>
      <c r="D79" s="109" t="s">
        <v>174</v>
      </c>
      <c r="E79" s="109" t="s">
        <v>175</v>
      </c>
      <c r="F79" s="113"/>
    </row>
    <row r="80" ht="28.8" spans="1:6">
      <c r="A80" s="105"/>
      <c r="B80" s="105"/>
      <c r="C80" s="113"/>
      <c r="D80" s="109" t="s">
        <v>176</v>
      </c>
      <c r="E80" s="109" t="s">
        <v>177</v>
      </c>
      <c r="F80" s="113"/>
    </row>
    <row r="81" ht="28.8" spans="1:6">
      <c r="A81" s="105"/>
      <c r="B81" s="105"/>
      <c r="C81" s="113"/>
      <c r="D81" s="109" t="s">
        <v>178</v>
      </c>
      <c r="E81" s="109" t="s">
        <v>179</v>
      </c>
      <c r="F81" s="113"/>
    </row>
    <row r="82" ht="28.8" spans="1:6">
      <c r="A82" s="105"/>
      <c r="B82" s="105"/>
      <c r="C82" s="113"/>
      <c r="D82" s="109" t="s">
        <v>180</v>
      </c>
      <c r="E82" s="109" t="s">
        <v>181</v>
      </c>
      <c r="F82" s="113"/>
    </row>
    <row r="83" ht="28.8" spans="1:6">
      <c r="A83" s="105"/>
      <c r="B83" s="105"/>
      <c r="C83" s="113"/>
      <c r="D83" s="109" t="s">
        <v>182</v>
      </c>
      <c r="E83" s="109" t="s">
        <v>183</v>
      </c>
      <c r="F83" s="113"/>
    </row>
    <row r="84" ht="28.8" spans="1:6">
      <c r="A84" s="105"/>
      <c r="B84" s="105"/>
      <c r="C84" s="113"/>
      <c r="D84" s="109" t="s">
        <v>184</v>
      </c>
      <c r="E84" s="109" t="s">
        <v>185</v>
      </c>
      <c r="F84" s="113"/>
    </row>
    <row r="85" ht="28.8" spans="1:6">
      <c r="A85" s="105"/>
      <c r="B85" s="105"/>
      <c r="C85" s="113"/>
      <c r="D85" s="109" t="s">
        <v>186</v>
      </c>
      <c r="E85" s="109" t="s">
        <v>187</v>
      </c>
      <c r="F85" s="113"/>
    </row>
    <row r="86" ht="28.8" spans="1:6">
      <c r="A86" s="105"/>
      <c r="B86" s="105"/>
      <c r="C86" s="105" t="s">
        <v>188</v>
      </c>
      <c r="D86" s="106" t="s">
        <v>189</v>
      </c>
      <c r="E86" s="106" t="s">
        <v>190</v>
      </c>
      <c r="F86" s="107"/>
    </row>
    <row r="87" ht="28.8" spans="1:6">
      <c r="A87" s="105"/>
      <c r="B87" s="105"/>
      <c r="C87" s="105"/>
      <c r="D87" s="106" t="s">
        <v>191</v>
      </c>
      <c r="E87" s="106" t="s">
        <v>192</v>
      </c>
      <c r="F87" s="107"/>
    </row>
    <row r="88" ht="28.8" spans="1:6">
      <c r="A88" s="105"/>
      <c r="B88" s="105"/>
      <c r="C88" s="105" t="s">
        <v>193</v>
      </c>
      <c r="D88" s="106" t="s">
        <v>194</v>
      </c>
      <c r="E88" s="106" t="s">
        <v>195</v>
      </c>
      <c r="F88" s="107"/>
    </row>
    <row r="89" ht="28.8" spans="1:6">
      <c r="A89" s="105"/>
      <c r="B89" s="105"/>
      <c r="C89" s="105" t="s">
        <v>196</v>
      </c>
      <c r="D89" s="106" t="s">
        <v>197</v>
      </c>
      <c r="E89" s="106" t="s">
        <v>198</v>
      </c>
      <c r="F89" s="107"/>
    </row>
    <row r="90" ht="28.8" spans="1:6">
      <c r="A90" s="105"/>
      <c r="B90" s="105"/>
      <c r="C90" s="105"/>
      <c r="D90" s="106" t="s">
        <v>199</v>
      </c>
      <c r="E90" s="106" t="s">
        <v>200</v>
      </c>
      <c r="F90" s="107"/>
    </row>
    <row r="91" ht="28.8" spans="1:6">
      <c r="A91" s="105"/>
      <c r="B91" s="105"/>
      <c r="C91" s="105" t="s">
        <v>201</v>
      </c>
      <c r="D91" s="106" t="s">
        <v>202</v>
      </c>
      <c r="E91" s="106" t="s">
        <v>203</v>
      </c>
      <c r="F91" s="107"/>
    </row>
    <row r="92" ht="28.8" spans="1:6">
      <c r="A92" s="105"/>
      <c r="B92" s="105"/>
      <c r="C92" s="105"/>
      <c r="D92" s="106" t="s">
        <v>204</v>
      </c>
      <c r="E92" s="106" t="s">
        <v>205</v>
      </c>
      <c r="F92" s="107"/>
    </row>
    <row r="93" ht="28.8" spans="1:6">
      <c r="A93" s="105"/>
      <c r="B93" s="105"/>
      <c r="C93" s="105" t="s">
        <v>206</v>
      </c>
      <c r="D93" s="106" t="s">
        <v>207</v>
      </c>
      <c r="E93" s="106" t="s">
        <v>208</v>
      </c>
      <c r="F93" s="107"/>
    </row>
    <row r="94" ht="28.8" spans="1:6">
      <c r="A94" s="105"/>
      <c r="B94" s="105"/>
      <c r="C94" s="105"/>
      <c r="D94" s="106" t="s">
        <v>209</v>
      </c>
      <c r="E94" s="106" t="s">
        <v>210</v>
      </c>
      <c r="F94" s="107"/>
    </row>
    <row r="95" ht="28.8" spans="1:6">
      <c r="A95" s="105"/>
      <c r="B95" s="105"/>
      <c r="C95" s="113" t="s">
        <v>211</v>
      </c>
      <c r="D95" s="109" t="s">
        <v>212</v>
      </c>
      <c r="E95" s="109" t="s">
        <v>213</v>
      </c>
      <c r="F95" s="113" t="s">
        <v>36</v>
      </c>
    </row>
    <row r="96" ht="28.8" spans="1:6">
      <c r="A96" s="105"/>
      <c r="B96" s="105"/>
      <c r="C96" s="113"/>
      <c r="D96" s="109" t="s">
        <v>214</v>
      </c>
      <c r="E96" s="109" t="s">
        <v>215</v>
      </c>
      <c r="F96" s="113"/>
    </row>
    <row r="97" ht="28.8" spans="1:6">
      <c r="A97" s="105"/>
      <c r="B97" s="105"/>
      <c r="C97" s="113"/>
      <c r="D97" s="109" t="s">
        <v>216</v>
      </c>
      <c r="E97" s="109" t="s">
        <v>217</v>
      </c>
      <c r="F97" s="113"/>
    </row>
    <row r="98" ht="28.8" spans="1:6">
      <c r="A98" s="105"/>
      <c r="B98" s="105"/>
      <c r="C98" s="113"/>
      <c r="D98" s="109" t="s">
        <v>218</v>
      </c>
      <c r="E98" s="109" t="s">
        <v>219</v>
      </c>
      <c r="F98" s="113"/>
    </row>
    <row r="99" ht="28.8" spans="1:6">
      <c r="A99" s="105"/>
      <c r="B99" s="105"/>
      <c r="C99" s="113"/>
      <c r="D99" s="109" t="s">
        <v>220</v>
      </c>
      <c r="E99" s="109" t="s">
        <v>221</v>
      </c>
      <c r="F99" s="113"/>
    </row>
    <row r="100" ht="28.8" spans="1:6">
      <c r="A100" s="105"/>
      <c r="B100" s="105"/>
      <c r="C100" s="105" t="s">
        <v>222</v>
      </c>
      <c r="D100" s="106" t="s">
        <v>223</v>
      </c>
      <c r="E100" s="106" t="s">
        <v>224</v>
      </c>
      <c r="F100" s="107"/>
    </row>
    <row r="101" ht="28.8" spans="1:6">
      <c r="A101" s="105"/>
      <c r="B101" s="105"/>
      <c r="C101" s="105"/>
      <c r="D101" s="106" t="s">
        <v>225</v>
      </c>
      <c r="E101" s="106" t="s">
        <v>226</v>
      </c>
      <c r="F101" s="107"/>
    </row>
    <row r="102" ht="28.8" spans="1:6">
      <c r="A102" s="105"/>
      <c r="B102" s="105"/>
      <c r="C102" s="105"/>
      <c r="D102" s="106" t="s">
        <v>227</v>
      </c>
      <c r="E102" s="106" t="s">
        <v>228</v>
      </c>
      <c r="F102" s="107"/>
    </row>
    <row r="103" ht="28.8" spans="1:6">
      <c r="A103" s="105"/>
      <c r="B103" s="105"/>
      <c r="C103" s="105" t="s">
        <v>229</v>
      </c>
      <c r="D103" s="106" t="s">
        <v>230</v>
      </c>
      <c r="E103" s="106" t="s">
        <v>231</v>
      </c>
      <c r="F103" s="107"/>
    </row>
    <row r="104" ht="28.8" spans="1:6">
      <c r="A104" s="105"/>
      <c r="B104" s="105"/>
      <c r="C104" s="105"/>
      <c r="D104" s="106" t="s">
        <v>232</v>
      </c>
      <c r="E104" s="106" t="s">
        <v>233</v>
      </c>
      <c r="F104" s="107"/>
    </row>
    <row r="105" ht="28.8" spans="1:6">
      <c r="A105" s="105"/>
      <c r="B105" s="105"/>
      <c r="C105" s="105"/>
      <c r="D105" s="106" t="s">
        <v>234</v>
      </c>
      <c r="E105" s="106" t="s">
        <v>235</v>
      </c>
      <c r="F105" s="107"/>
    </row>
    <row r="106" ht="28.8" spans="1:6">
      <c r="A106" s="105"/>
      <c r="B106" s="105"/>
      <c r="C106" s="105" t="s">
        <v>236</v>
      </c>
      <c r="D106" s="106" t="s">
        <v>237</v>
      </c>
      <c r="E106" s="106" t="s">
        <v>238</v>
      </c>
      <c r="F106" s="107"/>
    </row>
    <row r="107" ht="28.8" spans="1:6">
      <c r="A107" s="105"/>
      <c r="B107" s="105" t="s">
        <v>239</v>
      </c>
      <c r="C107" s="105" t="s">
        <v>240</v>
      </c>
      <c r="D107" s="106" t="s">
        <v>241</v>
      </c>
      <c r="E107" s="106" t="s">
        <v>242</v>
      </c>
      <c r="F107" s="107"/>
    </row>
    <row r="108" ht="28.8" spans="1:6">
      <c r="A108" s="105"/>
      <c r="B108" s="105"/>
      <c r="C108" s="105"/>
      <c r="D108" s="106" t="s">
        <v>243</v>
      </c>
      <c r="E108" s="106" t="s">
        <v>244</v>
      </c>
      <c r="F108" s="107"/>
    </row>
    <row r="109" ht="28.8" spans="1:6">
      <c r="A109" s="105"/>
      <c r="B109" s="105"/>
      <c r="C109" s="105"/>
      <c r="D109" s="106" t="s">
        <v>245</v>
      </c>
      <c r="E109" s="106" t="s">
        <v>246</v>
      </c>
      <c r="F109" s="107"/>
    </row>
    <row r="110" ht="28.8" spans="1:6">
      <c r="A110" s="105"/>
      <c r="B110" s="105"/>
      <c r="C110" s="105"/>
      <c r="D110" s="106" t="s">
        <v>247</v>
      </c>
      <c r="E110" s="106" t="s">
        <v>248</v>
      </c>
      <c r="F110" s="107"/>
    </row>
    <row r="111" ht="28.8" spans="1:6">
      <c r="A111" s="105"/>
      <c r="B111" s="105"/>
      <c r="C111" s="105"/>
      <c r="D111" s="106" t="s">
        <v>249</v>
      </c>
      <c r="E111" s="106" t="s">
        <v>250</v>
      </c>
      <c r="F111" s="107"/>
    </row>
    <row r="112" ht="28.8" spans="1:6">
      <c r="A112" s="105"/>
      <c r="B112" s="105"/>
      <c r="C112" s="105"/>
      <c r="D112" s="106" t="s">
        <v>251</v>
      </c>
      <c r="E112" s="106" t="s">
        <v>252</v>
      </c>
      <c r="F112" s="107"/>
    </row>
    <row r="113" ht="28.8" spans="1:6">
      <c r="A113" s="105"/>
      <c r="B113" s="105"/>
      <c r="C113" s="105"/>
      <c r="D113" s="106" t="s">
        <v>253</v>
      </c>
      <c r="E113" s="106" t="s">
        <v>254</v>
      </c>
      <c r="F113" s="107"/>
    </row>
    <row r="114" ht="28.8" spans="1:6">
      <c r="A114" s="105"/>
      <c r="B114" s="105"/>
      <c r="C114" s="105"/>
      <c r="D114" s="106" t="s">
        <v>255</v>
      </c>
      <c r="E114" s="106" t="s">
        <v>256</v>
      </c>
      <c r="F114" s="107"/>
    </row>
    <row r="115" ht="28.8" spans="1:6">
      <c r="A115" s="105"/>
      <c r="B115" s="105"/>
      <c r="C115" s="105"/>
      <c r="D115" s="106" t="s">
        <v>257</v>
      </c>
      <c r="E115" s="106" t="s">
        <v>258</v>
      </c>
      <c r="F115" s="107"/>
    </row>
    <row r="116" ht="28.8" spans="1:6">
      <c r="A116" s="105"/>
      <c r="B116" s="105"/>
      <c r="C116" s="105"/>
      <c r="D116" s="106" t="s">
        <v>259</v>
      </c>
      <c r="E116" s="106" t="s">
        <v>260</v>
      </c>
      <c r="F116" s="107"/>
    </row>
    <row r="117" ht="28.8" spans="1:6">
      <c r="A117" s="105"/>
      <c r="B117" s="105"/>
      <c r="C117" s="105"/>
      <c r="D117" s="106" t="s">
        <v>261</v>
      </c>
      <c r="E117" s="106" t="s">
        <v>262</v>
      </c>
      <c r="F117" s="107"/>
    </row>
    <row r="118" ht="28.8" spans="1:6">
      <c r="A118" s="105"/>
      <c r="B118" s="105"/>
      <c r="C118" s="105"/>
      <c r="D118" s="106" t="s">
        <v>263</v>
      </c>
      <c r="E118" s="106" t="s">
        <v>264</v>
      </c>
      <c r="F118" s="107"/>
    </row>
    <row r="119" ht="28.8" spans="1:6">
      <c r="A119" s="105"/>
      <c r="B119" s="105"/>
      <c r="C119" s="105" t="s">
        <v>265</v>
      </c>
      <c r="D119" s="106" t="s">
        <v>266</v>
      </c>
      <c r="E119" s="106" t="s">
        <v>267</v>
      </c>
      <c r="F119" s="107"/>
    </row>
    <row r="120" ht="28.8" spans="1:6">
      <c r="A120" s="105"/>
      <c r="B120" s="105"/>
      <c r="C120" s="105"/>
      <c r="D120" s="106" t="s">
        <v>268</v>
      </c>
      <c r="E120" s="106" t="s">
        <v>269</v>
      </c>
      <c r="F120" s="107"/>
    </row>
    <row r="121" ht="28.8" spans="1:6">
      <c r="A121" s="105"/>
      <c r="B121" s="105"/>
      <c r="C121" s="105"/>
      <c r="D121" s="106" t="s">
        <v>270</v>
      </c>
      <c r="E121" s="106" t="s">
        <v>271</v>
      </c>
      <c r="F121" s="107"/>
    </row>
    <row r="122" ht="28.8" spans="1:6">
      <c r="A122" s="105"/>
      <c r="B122" s="105"/>
      <c r="C122" s="105" t="s">
        <v>272</v>
      </c>
      <c r="D122" s="106" t="s">
        <v>273</v>
      </c>
      <c r="E122" s="106" t="s">
        <v>274</v>
      </c>
      <c r="F122" s="107"/>
    </row>
    <row r="123" ht="28.8" spans="1:6">
      <c r="A123" s="105"/>
      <c r="B123" s="105"/>
      <c r="C123" s="105"/>
      <c r="D123" s="106" t="s">
        <v>275</v>
      </c>
      <c r="E123" s="106" t="s">
        <v>276</v>
      </c>
      <c r="F123" s="107"/>
    </row>
    <row r="124" ht="28.8" spans="1:6">
      <c r="A124" s="105"/>
      <c r="B124" s="105"/>
      <c r="C124" s="105"/>
      <c r="D124" s="106" t="s">
        <v>277</v>
      </c>
      <c r="E124" s="106" t="s">
        <v>278</v>
      </c>
      <c r="F124" s="107"/>
    </row>
    <row r="125" ht="28.8" spans="1:6">
      <c r="A125" s="105"/>
      <c r="B125" s="105"/>
      <c r="C125" s="105"/>
      <c r="D125" s="106" t="s">
        <v>279</v>
      </c>
      <c r="E125" s="106" t="s">
        <v>280</v>
      </c>
      <c r="F125" s="107"/>
    </row>
    <row r="126" ht="28.8" spans="1:6">
      <c r="A126" s="105"/>
      <c r="B126" s="105"/>
      <c r="C126" s="105"/>
      <c r="D126" s="106" t="s">
        <v>281</v>
      </c>
      <c r="E126" s="106" t="s">
        <v>282</v>
      </c>
      <c r="F126" s="107"/>
    </row>
    <row r="127" ht="28.8" spans="1:6">
      <c r="A127" s="105"/>
      <c r="B127" s="105"/>
      <c r="C127" s="105"/>
      <c r="D127" s="106" t="s">
        <v>283</v>
      </c>
      <c r="E127" s="106" t="s">
        <v>284</v>
      </c>
      <c r="F127" s="107"/>
    </row>
    <row r="128" ht="28.8" spans="1:6">
      <c r="A128" s="105"/>
      <c r="B128" s="105"/>
      <c r="C128" s="105"/>
      <c r="D128" s="106" t="s">
        <v>285</v>
      </c>
      <c r="E128" s="106" t="s">
        <v>286</v>
      </c>
      <c r="F128" s="107"/>
    </row>
    <row r="129" ht="28.8" spans="1:6">
      <c r="A129" s="105"/>
      <c r="B129" s="105"/>
      <c r="C129" s="105"/>
      <c r="D129" s="106" t="s">
        <v>287</v>
      </c>
      <c r="E129" s="106" t="s">
        <v>288</v>
      </c>
      <c r="F129" s="107"/>
    </row>
    <row r="130" ht="28.8" spans="1:6">
      <c r="A130" s="105"/>
      <c r="B130" s="105"/>
      <c r="C130" s="105"/>
      <c r="D130" s="106" t="s">
        <v>289</v>
      </c>
      <c r="E130" s="106" t="s">
        <v>290</v>
      </c>
      <c r="F130" s="107"/>
    </row>
    <row r="131" ht="28.8" spans="1:6">
      <c r="A131" s="105"/>
      <c r="B131" s="105"/>
      <c r="C131" s="105" t="s">
        <v>291</v>
      </c>
      <c r="D131" s="106" t="s">
        <v>292</v>
      </c>
      <c r="E131" s="106" t="s">
        <v>293</v>
      </c>
      <c r="F131" s="107"/>
    </row>
    <row r="132" ht="28.8" spans="1:6">
      <c r="A132" s="105"/>
      <c r="B132" s="105"/>
      <c r="C132" s="105"/>
      <c r="D132" s="106" t="s">
        <v>294</v>
      </c>
      <c r="E132" s="106" t="s">
        <v>295</v>
      </c>
      <c r="F132" s="107"/>
    </row>
    <row r="133" ht="28.8" spans="1:6">
      <c r="A133" s="105"/>
      <c r="B133" s="105"/>
      <c r="C133" s="105"/>
      <c r="D133" s="106" t="s">
        <v>296</v>
      </c>
      <c r="E133" s="106" t="s">
        <v>297</v>
      </c>
      <c r="F133" s="107"/>
    </row>
    <row r="134" ht="28.8" spans="1:6">
      <c r="A134" s="105"/>
      <c r="B134" s="105"/>
      <c r="C134" s="105"/>
      <c r="D134" s="106" t="s">
        <v>298</v>
      </c>
      <c r="E134" s="106" t="s">
        <v>299</v>
      </c>
      <c r="F134" s="107"/>
    </row>
    <row r="135" ht="28.8" spans="1:6">
      <c r="A135" s="105"/>
      <c r="B135" s="105"/>
      <c r="C135" s="105"/>
      <c r="D135" s="106" t="s">
        <v>300</v>
      </c>
      <c r="E135" s="106" t="s">
        <v>301</v>
      </c>
      <c r="F135" s="107"/>
    </row>
    <row r="136" ht="28.8" spans="1:6">
      <c r="A136" s="105"/>
      <c r="B136" s="105"/>
      <c r="C136" s="105"/>
      <c r="D136" s="106" t="s">
        <v>302</v>
      </c>
      <c r="E136" s="106" t="s">
        <v>303</v>
      </c>
      <c r="F136" s="107"/>
    </row>
    <row r="137" ht="28.8" spans="1:6">
      <c r="A137" s="105"/>
      <c r="B137" s="105"/>
      <c r="C137" s="105"/>
      <c r="D137" s="106" t="s">
        <v>304</v>
      </c>
      <c r="E137" s="106" t="s">
        <v>305</v>
      </c>
      <c r="F137" s="107"/>
    </row>
    <row r="138" ht="28.8" spans="1:6">
      <c r="A138" s="105"/>
      <c r="B138" s="105"/>
      <c r="C138" s="105"/>
      <c r="D138" s="106" t="s">
        <v>306</v>
      </c>
      <c r="E138" s="106" t="s">
        <v>307</v>
      </c>
      <c r="F138" s="107"/>
    </row>
    <row r="139" ht="28.8" spans="1:6">
      <c r="A139" s="105"/>
      <c r="B139" s="105"/>
      <c r="C139" s="105"/>
      <c r="D139" s="106" t="s">
        <v>308</v>
      </c>
      <c r="E139" s="106" t="s">
        <v>309</v>
      </c>
      <c r="F139" s="107"/>
    </row>
    <row r="140" ht="14.5" customHeight="1" spans="1:6">
      <c r="A140" s="105"/>
      <c r="B140" s="105"/>
      <c r="C140" s="113" t="s">
        <v>310</v>
      </c>
      <c r="D140" s="109" t="s">
        <v>311</v>
      </c>
      <c r="E140" s="109" t="s">
        <v>312</v>
      </c>
      <c r="F140" s="110" t="s">
        <v>36</v>
      </c>
    </row>
    <row r="141" ht="14.5" customHeight="1" spans="1:6">
      <c r="A141" s="105"/>
      <c r="B141" s="105"/>
      <c r="C141" s="113"/>
      <c r="D141" s="109" t="s">
        <v>313</v>
      </c>
      <c r="E141" s="109" t="s">
        <v>314</v>
      </c>
      <c r="F141" s="115"/>
    </row>
    <row r="142" ht="14.5" customHeight="1" spans="1:6">
      <c r="A142" s="105"/>
      <c r="B142" s="105"/>
      <c r="C142" s="113"/>
      <c r="D142" s="109" t="s">
        <v>315</v>
      </c>
      <c r="E142" s="109" t="s">
        <v>316</v>
      </c>
      <c r="F142" s="115"/>
    </row>
    <row r="143" ht="14.5" customHeight="1" spans="1:6">
      <c r="A143" s="105"/>
      <c r="B143" s="105"/>
      <c r="C143" s="113"/>
      <c r="D143" s="109" t="s">
        <v>317</v>
      </c>
      <c r="E143" s="109" t="s">
        <v>318</v>
      </c>
      <c r="F143" s="115"/>
    </row>
    <row r="144" ht="14.5" customHeight="1" spans="1:6">
      <c r="A144" s="105"/>
      <c r="B144" s="105"/>
      <c r="C144" s="113"/>
      <c r="D144" s="109" t="s">
        <v>319</v>
      </c>
      <c r="E144" s="109" t="s">
        <v>320</v>
      </c>
      <c r="F144" s="115"/>
    </row>
    <row r="145" ht="14.5" customHeight="1" spans="1:6">
      <c r="A145" s="105"/>
      <c r="B145" s="105"/>
      <c r="C145" s="113"/>
      <c r="D145" s="109" t="s">
        <v>321</v>
      </c>
      <c r="E145" s="109" t="s">
        <v>322</v>
      </c>
      <c r="F145" s="115"/>
    </row>
    <row r="146" ht="14.5" customHeight="1" spans="1:6">
      <c r="A146" s="105"/>
      <c r="B146" s="105"/>
      <c r="C146" s="113"/>
      <c r="D146" s="109" t="s">
        <v>323</v>
      </c>
      <c r="E146" s="109" t="s">
        <v>324</v>
      </c>
      <c r="F146" s="115"/>
    </row>
    <row r="147" ht="14.5" customHeight="1" spans="1:6">
      <c r="A147" s="105"/>
      <c r="B147" s="105"/>
      <c r="C147" s="113"/>
      <c r="D147" s="109" t="s">
        <v>325</v>
      </c>
      <c r="E147" s="109" t="s">
        <v>326</v>
      </c>
      <c r="F147" s="115"/>
    </row>
    <row r="148" ht="14.5" customHeight="1" spans="1:6">
      <c r="A148" s="105"/>
      <c r="B148" s="105"/>
      <c r="C148" s="113"/>
      <c r="D148" s="109" t="s">
        <v>327</v>
      </c>
      <c r="E148" s="109" t="s">
        <v>328</v>
      </c>
      <c r="F148" s="112"/>
    </row>
    <row r="149" ht="28.8" spans="1:6">
      <c r="A149" s="105"/>
      <c r="B149" s="105"/>
      <c r="C149" s="105" t="s">
        <v>329</v>
      </c>
      <c r="D149" s="106" t="s">
        <v>330</v>
      </c>
      <c r="E149" s="106" t="s">
        <v>331</v>
      </c>
      <c r="F149" s="107"/>
    </row>
    <row r="150" ht="28.8" spans="1:6">
      <c r="A150" s="105"/>
      <c r="B150" s="105"/>
      <c r="C150" s="105"/>
      <c r="D150" s="106" t="s">
        <v>332</v>
      </c>
      <c r="E150" s="106" t="s">
        <v>333</v>
      </c>
      <c r="F150" s="107"/>
    </row>
    <row r="151" ht="28.8" spans="1:6">
      <c r="A151" s="105"/>
      <c r="B151" s="105"/>
      <c r="C151" s="105"/>
      <c r="D151" s="106" t="s">
        <v>334</v>
      </c>
      <c r="E151" s="106" t="s">
        <v>335</v>
      </c>
      <c r="F151" s="107"/>
    </row>
    <row r="152" ht="28.8" spans="1:6">
      <c r="A152" s="105"/>
      <c r="B152" s="105"/>
      <c r="C152" s="105"/>
      <c r="D152" s="106" t="s">
        <v>336</v>
      </c>
      <c r="E152" s="106" t="s">
        <v>337</v>
      </c>
      <c r="F152" s="107"/>
    </row>
    <row r="153" ht="28.8" spans="1:6">
      <c r="A153" s="105"/>
      <c r="B153" s="105"/>
      <c r="C153" s="105"/>
      <c r="D153" s="106" t="s">
        <v>338</v>
      </c>
      <c r="E153" s="106" t="s">
        <v>339</v>
      </c>
      <c r="F153" s="107"/>
    </row>
    <row r="154" ht="28.8" spans="1:6">
      <c r="A154" s="105"/>
      <c r="B154" s="105"/>
      <c r="C154" s="105"/>
      <c r="D154" s="106" t="s">
        <v>340</v>
      </c>
      <c r="E154" s="106" t="s">
        <v>341</v>
      </c>
      <c r="F154" s="107"/>
    </row>
    <row r="155" ht="28.8" spans="1:6">
      <c r="A155" s="105"/>
      <c r="B155" s="105" t="s">
        <v>342</v>
      </c>
      <c r="C155" s="105" t="s">
        <v>343</v>
      </c>
      <c r="D155" s="106" t="s">
        <v>344</v>
      </c>
      <c r="E155" s="106" t="s">
        <v>345</v>
      </c>
      <c r="F155" s="107"/>
    </row>
    <row r="156" ht="28.8" spans="1:6">
      <c r="A156" s="105"/>
      <c r="B156" s="105"/>
      <c r="C156" s="105"/>
      <c r="D156" s="106" t="s">
        <v>346</v>
      </c>
      <c r="E156" s="106" t="s">
        <v>347</v>
      </c>
      <c r="F156" s="107"/>
    </row>
    <row r="157" ht="28.8" spans="1:6">
      <c r="A157" s="105"/>
      <c r="B157" s="105"/>
      <c r="C157" s="105"/>
      <c r="D157" s="106" t="s">
        <v>348</v>
      </c>
      <c r="E157" s="106" t="s">
        <v>349</v>
      </c>
      <c r="F157" s="107"/>
    </row>
    <row r="158" ht="28.8" spans="1:6">
      <c r="A158" s="105"/>
      <c r="B158" s="105"/>
      <c r="C158" s="105"/>
      <c r="D158" s="106" t="s">
        <v>350</v>
      </c>
      <c r="E158" s="106" t="s">
        <v>351</v>
      </c>
      <c r="F158" s="107"/>
    </row>
    <row r="159" ht="28.8" spans="1:6">
      <c r="A159" s="105"/>
      <c r="B159" s="105"/>
      <c r="C159" s="105" t="s">
        <v>352</v>
      </c>
      <c r="D159" s="106" t="s">
        <v>353</v>
      </c>
      <c r="E159" s="106" t="s">
        <v>354</v>
      </c>
      <c r="F159" s="107"/>
    </row>
    <row r="160" ht="28.8" spans="1:6">
      <c r="A160" s="105"/>
      <c r="B160" s="105"/>
      <c r="C160" s="105"/>
      <c r="D160" s="106" t="s">
        <v>355</v>
      </c>
      <c r="E160" s="106" t="s">
        <v>356</v>
      </c>
      <c r="F160" s="107"/>
    </row>
    <row r="161" ht="28.8" spans="1:6">
      <c r="A161" s="105"/>
      <c r="B161" s="105"/>
      <c r="C161" s="105"/>
      <c r="D161" s="106" t="s">
        <v>357</v>
      </c>
      <c r="E161" s="106" t="s">
        <v>358</v>
      </c>
      <c r="F161" s="107"/>
    </row>
    <row r="162" ht="28.8" spans="1:6">
      <c r="A162" s="105"/>
      <c r="B162" s="105"/>
      <c r="C162" s="105"/>
      <c r="D162" s="106" t="s">
        <v>359</v>
      </c>
      <c r="E162" s="106" t="s">
        <v>360</v>
      </c>
      <c r="F162" s="107"/>
    </row>
    <row r="163" ht="28.8" spans="1:6">
      <c r="A163" s="105"/>
      <c r="B163" s="105"/>
      <c r="C163" s="105"/>
      <c r="D163" s="106" t="s">
        <v>361</v>
      </c>
      <c r="E163" s="106" t="s">
        <v>362</v>
      </c>
      <c r="F163" s="107"/>
    </row>
    <row r="164" ht="28.8" spans="1:6">
      <c r="A164" s="105"/>
      <c r="B164" s="105"/>
      <c r="C164" s="105"/>
      <c r="D164" s="106" t="s">
        <v>363</v>
      </c>
      <c r="E164" s="106" t="s">
        <v>364</v>
      </c>
      <c r="F164" s="107"/>
    </row>
    <row r="165" ht="28.8" spans="1:6">
      <c r="A165" s="105"/>
      <c r="B165" s="105"/>
      <c r="C165" s="105"/>
      <c r="D165" s="106" t="s">
        <v>365</v>
      </c>
      <c r="E165" s="106" t="s">
        <v>366</v>
      </c>
      <c r="F165" s="107"/>
    </row>
    <row r="166" ht="28.8" spans="1:6">
      <c r="A166" s="105"/>
      <c r="B166" s="105"/>
      <c r="C166" s="105"/>
      <c r="D166" s="106" t="s">
        <v>367</v>
      </c>
      <c r="E166" s="106" t="s">
        <v>368</v>
      </c>
      <c r="F166" s="107"/>
    </row>
    <row r="167" ht="28.8" spans="1:6">
      <c r="A167" s="105"/>
      <c r="B167" s="105"/>
      <c r="C167" s="105"/>
      <c r="D167" s="106" t="s">
        <v>369</v>
      </c>
      <c r="E167" s="106" t="s">
        <v>370</v>
      </c>
      <c r="F167" s="107"/>
    </row>
    <row r="168" ht="28.8" spans="1:6">
      <c r="A168" s="105"/>
      <c r="B168" s="105"/>
      <c r="C168" s="105"/>
      <c r="D168" s="106" t="s">
        <v>371</v>
      </c>
      <c r="E168" s="106" t="s">
        <v>372</v>
      </c>
      <c r="F168" s="107"/>
    </row>
    <row r="169" ht="28.8" spans="1:6">
      <c r="A169" s="105"/>
      <c r="B169" s="105"/>
      <c r="C169" s="105"/>
      <c r="D169" s="106" t="s">
        <v>373</v>
      </c>
      <c r="E169" s="106" t="s">
        <v>374</v>
      </c>
      <c r="F169" s="107"/>
    </row>
    <row r="170" ht="28.8" spans="1:6">
      <c r="A170" s="105"/>
      <c r="B170" s="105"/>
      <c r="C170" s="105"/>
      <c r="D170" s="106" t="s">
        <v>375</v>
      </c>
      <c r="E170" s="106" t="s">
        <v>376</v>
      </c>
      <c r="F170" s="107"/>
    </row>
    <row r="171" ht="28.8" spans="1:6">
      <c r="A171" s="105"/>
      <c r="B171" s="105"/>
      <c r="C171" s="113" t="s">
        <v>377</v>
      </c>
      <c r="D171" s="109" t="s">
        <v>378</v>
      </c>
      <c r="E171" s="109" t="s">
        <v>379</v>
      </c>
      <c r="F171" s="113" t="s">
        <v>36</v>
      </c>
    </row>
    <row r="172" ht="28.8" spans="1:6">
      <c r="A172" s="105"/>
      <c r="B172" s="105"/>
      <c r="C172" s="113"/>
      <c r="D172" s="109" t="s">
        <v>380</v>
      </c>
      <c r="E172" s="109" t="s">
        <v>381</v>
      </c>
      <c r="F172" s="113"/>
    </row>
    <row r="173" ht="28.8" spans="1:6">
      <c r="A173" s="105"/>
      <c r="B173" s="105"/>
      <c r="C173" s="113" t="s">
        <v>382</v>
      </c>
      <c r="D173" s="109" t="s">
        <v>383</v>
      </c>
      <c r="E173" s="109" t="s">
        <v>384</v>
      </c>
      <c r="F173" s="113" t="s">
        <v>36</v>
      </c>
    </row>
    <row r="174" ht="28.8" spans="1:6">
      <c r="A174" s="105"/>
      <c r="B174" s="105"/>
      <c r="C174" s="113"/>
      <c r="D174" s="109" t="s">
        <v>385</v>
      </c>
      <c r="E174" s="109" t="s">
        <v>386</v>
      </c>
      <c r="F174" s="113"/>
    </row>
    <row r="175" ht="15" customHeight="1" spans="1:6">
      <c r="A175" s="105"/>
      <c r="B175" s="105"/>
      <c r="C175" s="105" t="s">
        <v>387</v>
      </c>
      <c r="D175" s="106" t="s">
        <v>388</v>
      </c>
      <c r="E175" s="106" t="s">
        <v>389</v>
      </c>
      <c r="F175" s="107"/>
    </row>
    <row r="176" ht="28.8" spans="1:6">
      <c r="A176" s="105"/>
      <c r="B176" s="105"/>
      <c r="C176" s="105" t="s">
        <v>390</v>
      </c>
      <c r="D176" s="106" t="s">
        <v>391</v>
      </c>
      <c r="E176" s="106" t="s">
        <v>392</v>
      </c>
      <c r="F176" s="107"/>
    </row>
    <row r="177" ht="28.8" spans="1:6">
      <c r="A177" s="105"/>
      <c r="B177" s="105"/>
      <c r="C177" s="105"/>
      <c r="D177" s="106" t="s">
        <v>393</v>
      </c>
      <c r="E177" s="106" t="s">
        <v>394</v>
      </c>
      <c r="F177" s="107"/>
    </row>
    <row r="178" ht="28.8" spans="1:6">
      <c r="A178" s="105"/>
      <c r="B178" s="105"/>
      <c r="C178" s="105"/>
      <c r="D178" s="106" t="s">
        <v>395</v>
      </c>
      <c r="E178" s="106" t="s">
        <v>396</v>
      </c>
      <c r="F178" s="107"/>
    </row>
    <row r="179" ht="28.8" spans="1:6">
      <c r="A179" s="105"/>
      <c r="B179" s="105"/>
      <c r="C179" s="105"/>
      <c r="D179" s="106" t="s">
        <v>397</v>
      </c>
      <c r="E179" s="106" t="s">
        <v>398</v>
      </c>
      <c r="F179" s="107"/>
    </row>
    <row r="180" ht="28.8" spans="1:6">
      <c r="A180" s="105"/>
      <c r="B180" s="105"/>
      <c r="C180" s="105"/>
      <c r="D180" s="106" t="s">
        <v>399</v>
      </c>
      <c r="E180" s="106" t="s">
        <v>400</v>
      </c>
      <c r="F180" s="107"/>
    </row>
    <row r="181" ht="28.8" spans="1:6">
      <c r="A181" s="105"/>
      <c r="B181" s="105" t="s">
        <v>401</v>
      </c>
      <c r="C181" s="113" t="s">
        <v>402</v>
      </c>
      <c r="D181" s="109" t="s">
        <v>403</v>
      </c>
      <c r="E181" s="109" t="s">
        <v>404</v>
      </c>
      <c r="F181" s="113" t="s">
        <v>36</v>
      </c>
    </row>
    <row r="182" ht="28.8" spans="1:6">
      <c r="A182" s="105"/>
      <c r="B182" s="105"/>
      <c r="C182" s="113"/>
      <c r="D182" s="109" t="s">
        <v>405</v>
      </c>
      <c r="E182" s="109" t="s">
        <v>406</v>
      </c>
      <c r="F182" s="113"/>
    </row>
    <row r="183" ht="28.8" spans="1:6">
      <c r="A183" s="105"/>
      <c r="B183" s="105"/>
      <c r="C183" s="113"/>
      <c r="D183" s="109" t="s">
        <v>407</v>
      </c>
      <c r="E183" s="109" t="s">
        <v>408</v>
      </c>
      <c r="F183" s="113"/>
    </row>
    <row r="184" ht="28.8" spans="1:6">
      <c r="A184" s="105"/>
      <c r="B184" s="105"/>
      <c r="C184" s="113"/>
      <c r="D184" s="109" t="s">
        <v>409</v>
      </c>
      <c r="E184" s="109" t="s">
        <v>410</v>
      </c>
      <c r="F184" s="113"/>
    </row>
    <row r="185" ht="16.5" customHeight="1" spans="1:6">
      <c r="A185" s="105"/>
      <c r="B185" s="105" t="s">
        <v>411</v>
      </c>
      <c r="C185" s="105" t="s">
        <v>412</v>
      </c>
      <c r="D185" s="106" t="s">
        <v>413</v>
      </c>
      <c r="E185" s="106" t="s">
        <v>414</v>
      </c>
      <c r="F185" s="107"/>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3.8"/>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BX99"/>
  <sheetViews>
    <sheetView zoomScale="55" zoomScaleNormal="55" workbookViewId="0">
      <pane xSplit="9" ySplit="3" topLeftCell="J97" activePane="bottomRight" state="frozen"/>
      <selection/>
      <selection pane="topRight"/>
      <selection pane="bottomLeft"/>
      <selection pane="bottomRight" activeCell="J100" sqref="J100"/>
    </sheetView>
  </sheetViews>
  <sheetFormatPr defaultColWidth="8.58333333333333" defaultRowHeight="21"/>
  <cols>
    <col min="1" max="2" width="2.75" style="2" customWidth="1"/>
    <col min="3" max="3" width="2.75" style="3" customWidth="1"/>
    <col min="4" max="4" width="2.75" style="1" customWidth="1"/>
    <col min="5" max="5" width="7.57407407407407" style="4" customWidth="1"/>
    <col min="6" max="6" width="7.41666666666667" style="4" customWidth="1"/>
    <col min="7" max="7" width="7.62962962962963" style="2" customWidth="1"/>
    <col min="8" max="8" width="9.37962962962963" style="50" customWidth="1"/>
    <col min="9" max="9" width="10.6296296296296" style="2" customWidth="1"/>
    <col min="10" max="10" width="28.8796296296296" style="50" customWidth="1"/>
    <col min="11" max="19" width="2.37962962962963" style="2" customWidth="1"/>
    <col min="20" max="20" width="5.62962962962963" style="1" customWidth="1"/>
    <col min="21" max="21" width="6.25" style="1" customWidth="1"/>
    <col min="22" max="22" width="15" style="5" customWidth="1"/>
    <col min="23" max="23" width="13.25" style="4" customWidth="1"/>
    <col min="24" max="29" width="2.62962962962963" style="3" customWidth="1"/>
    <col min="30" max="30" width="6.62962962962963" style="4" customWidth="1"/>
    <col min="31" max="35" width="2.12962962962963" style="3" customWidth="1"/>
    <col min="36" max="36" width="30.6296296296296" style="5" customWidth="1"/>
    <col min="37" max="37" width="10.3796296296296" style="1" customWidth="1"/>
    <col min="38" max="38" width="13.3796296296296" style="1" customWidth="1"/>
    <col min="39" max="39" width="15.6296296296296" style="3" customWidth="1"/>
    <col min="40" max="40" width="11.8981481481481" style="1" customWidth="1"/>
    <col min="41" max="16384" width="8.58333333333333" style="3"/>
  </cols>
  <sheetData>
    <row r="1" spans="1:76">
      <c r="A1" s="51" t="s">
        <v>415</v>
      </c>
      <c r="B1" s="51"/>
      <c r="C1" s="51"/>
      <c r="D1" s="51"/>
      <c r="E1" s="52"/>
      <c r="F1" s="52"/>
      <c r="G1" s="51"/>
      <c r="H1" s="52"/>
      <c r="I1" s="51"/>
      <c r="J1" s="51"/>
      <c r="K1" s="51"/>
      <c r="L1" s="51"/>
      <c r="M1" s="51"/>
      <c r="N1" s="51"/>
      <c r="O1" s="51"/>
      <c r="P1" s="51"/>
      <c r="Q1" s="51"/>
      <c r="R1" s="51"/>
      <c r="S1" s="51"/>
      <c r="T1" s="51"/>
      <c r="U1" s="51"/>
      <c r="V1" s="51"/>
      <c r="W1" s="52"/>
      <c r="X1" s="51"/>
      <c r="Y1" s="51"/>
      <c r="Z1" s="51"/>
      <c r="AA1" s="51"/>
      <c r="AB1" s="51"/>
      <c r="AC1" s="51"/>
      <c r="AD1" s="52"/>
      <c r="AE1" s="51"/>
      <c r="AF1" s="51"/>
      <c r="AG1" s="51"/>
      <c r="AH1" s="51"/>
      <c r="AI1" s="51"/>
      <c r="AJ1" s="51"/>
      <c r="AK1" s="51"/>
      <c r="AL1" s="53"/>
      <c r="AM1" s="54"/>
    </row>
    <row r="2" s="47" customFormat="1" ht="13.2" spans="1:76">
      <c r="A2" s="55" t="s">
        <v>416</v>
      </c>
      <c r="B2" s="55" t="s">
        <v>417</v>
      </c>
      <c r="C2" s="55" t="s">
        <v>418</v>
      </c>
      <c r="D2" s="55" t="s">
        <v>419</v>
      </c>
      <c r="E2" s="55" t="s">
        <v>420</v>
      </c>
      <c r="F2" s="55" t="s">
        <v>421</v>
      </c>
      <c r="G2" s="55" t="s">
        <v>422</v>
      </c>
      <c r="H2" s="55" t="s">
        <v>423</v>
      </c>
      <c r="I2" s="55" t="s">
        <v>424</v>
      </c>
      <c r="J2" s="55" t="s">
        <v>425</v>
      </c>
      <c r="K2" s="55" t="s">
        <v>426</v>
      </c>
      <c r="L2" s="55"/>
      <c r="M2" s="55"/>
      <c r="N2" s="55"/>
      <c r="O2" s="55"/>
      <c r="P2" s="55"/>
      <c r="Q2" s="55"/>
      <c r="R2" s="55"/>
      <c r="S2" s="55"/>
      <c r="T2" s="55" t="s">
        <v>427</v>
      </c>
      <c r="U2" s="55" t="s">
        <v>428</v>
      </c>
      <c r="V2" s="55" t="s">
        <v>429</v>
      </c>
      <c r="W2" s="55" t="s">
        <v>430</v>
      </c>
      <c r="X2" s="55" t="s">
        <v>431</v>
      </c>
      <c r="Y2" s="55"/>
      <c r="Z2" s="55"/>
      <c r="AA2" s="55" t="s">
        <v>432</v>
      </c>
      <c r="AB2" s="55"/>
      <c r="AC2" s="55"/>
      <c r="AD2" s="55" t="s">
        <v>433</v>
      </c>
      <c r="AE2" s="55"/>
      <c r="AF2" s="55"/>
      <c r="AG2" s="55"/>
      <c r="AH2" s="55" t="s">
        <v>434</v>
      </c>
      <c r="AI2" s="55"/>
      <c r="AJ2" s="55"/>
      <c r="AK2" s="55" t="s">
        <v>435</v>
      </c>
      <c r="AL2" s="55" t="s">
        <v>436</v>
      </c>
      <c r="AM2" s="55" t="s">
        <v>437</v>
      </c>
      <c r="AN2" s="102"/>
    </row>
    <row r="3" s="47" customFormat="1" ht="92.4" spans="1:76">
      <c r="A3" s="55"/>
      <c r="B3" s="55"/>
      <c r="C3" s="55"/>
      <c r="D3" s="55"/>
      <c r="E3" s="55"/>
      <c r="F3" s="55"/>
      <c r="G3" s="55"/>
      <c r="H3" s="55"/>
      <c r="I3" s="55"/>
      <c r="J3" s="55"/>
      <c r="K3" s="55" t="s">
        <v>438</v>
      </c>
      <c r="L3" s="55" t="s">
        <v>439</v>
      </c>
      <c r="M3" s="55" t="s">
        <v>440</v>
      </c>
      <c r="N3" s="55" t="s">
        <v>441</v>
      </c>
      <c r="O3" s="55" t="s">
        <v>442</v>
      </c>
      <c r="P3" s="55" t="s">
        <v>443</v>
      </c>
      <c r="Q3" s="55" t="s">
        <v>444</v>
      </c>
      <c r="R3" s="55" t="s">
        <v>445</v>
      </c>
      <c r="S3" s="55" t="s">
        <v>446</v>
      </c>
      <c r="T3" s="55"/>
      <c r="U3" s="55"/>
      <c r="V3" s="55"/>
      <c r="W3" s="55"/>
      <c r="X3" s="55" t="s">
        <v>447</v>
      </c>
      <c r="Y3" s="55" t="s">
        <v>448</v>
      </c>
      <c r="Z3" s="55" t="s">
        <v>449</v>
      </c>
      <c r="AA3" s="55" t="s">
        <v>447</v>
      </c>
      <c r="AB3" s="55" t="s">
        <v>448</v>
      </c>
      <c r="AC3" s="55" t="s">
        <v>449</v>
      </c>
      <c r="AD3" s="55" t="s">
        <v>433</v>
      </c>
      <c r="AE3" s="55" t="s">
        <v>447</v>
      </c>
      <c r="AF3" s="55" t="s">
        <v>448</v>
      </c>
      <c r="AG3" s="55" t="s">
        <v>449</v>
      </c>
      <c r="AH3" s="55" t="s">
        <v>450</v>
      </c>
      <c r="AI3" s="55" t="s">
        <v>451</v>
      </c>
      <c r="AJ3" s="55" t="s">
        <v>452</v>
      </c>
      <c r="AK3" s="55"/>
      <c r="AL3" s="55"/>
      <c r="AM3" s="55"/>
      <c r="AN3" s="102">
        <v>7.23</v>
      </c>
    </row>
    <row r="4" s="48" customFormat="1" ht="85" customHeight="1" spans="1:76">
      <c r="A4" s="56" t="s">
        <v>453</v>
      </c>
      <c r="B4" s="56" t="s">
        <v>454</v>
      </c>
      <c r="C4" s="57" t="s">
        <v>455</v>
      </c>
      <c r="D4" s="57" t="s">
        <v>456</v>
      </c>
      <c r="E4" s="58" t="s">
        <v>457</v>
      </c>
      <c r="F4" s="59" t="s">
        <v>458</v>
      </c>
      <c r="G4" s="57" t="s">
        <v>459</v>
      </c>
      <c r="H4" s="58" t="s">
        <v>460</v>
      </c>
      <c r="I4" s="35" t="s">
        <v>461</v>
      </c>
      <c r="J4" s="42" t="s">
        <v>462</v>
      </c>
      <c r="K4" s="35"/>
      <c r="L4" s="35"/>
      <c r="M4" s="35" t="s">
        <v>36</v>
      </c>
      <c r="N4" s="35"/>
      <c r="O4" s="35"/>
      <c r="P4" s="35"/>
      <c r="Q4" s="35"/>
      <c r="R4" s="35"/>
      <c r="S4" s="35"/>
      <c r="T4" s="43" t="s">
        <v>463</v>
      </c>
      <c r="U4" s="35" t="s">
        <v>464</v>
      </c>
      <c r="V4" s="42" t="s">
        <v>465</v>
      </c>
      <c r="W4" s="41" t="s">
        <v>466</v>
      </c>
      <c r="X4" s="43" t="s">
        <v>467</v>
      </c>
      <c r="Y4" s="43" t="s">
        <v>468</v>
      </c>
      <c r="Z4" s="43"/>
      <c r="AA4" s="43" t="s">
        <v>469</v>
      </c>
      <c r="AB4" s="43" t="s">
        <v>470</v>
      </c>
      <c r="AC4" s="43"/>
      <c r="AD4" s="41" t="s">
        <v>471</v>
      </c>
      <c r="AE4" s="43" t="s">
        <v>472</v>
      </c>
      <c r="AF4" s="43" t="s">
        <v>470</v>
      </c>
      <c r="AG4" s="43"/>
      <c r="AH4" s="43" t="s">
        <v>473</v>
      </c>
      <c r="AI4" s="43" t="s">
        <v>473</v>
      </c>
      <c r="AJ4" s="41" t="s">
        <v>474</v>
      </c>
      <c r="AK4" s="35" t="s">
        <v>475</v>
      </c>
      <c r="AL4" s="42" t="s">
        <v>476</v>
      </c>
      <c r="AM4" s="61"/>
      <c r="AN4" s="97" t="s">
        <v>477</v>
      </c>
      <c r="AO4" s="48" t="b">
        <f>A4=[1]员工报账!A4</f>
        <v>1</v>
      </c>
      <c r="AP4" s="48" t="b">
        <f>B4=[1]员工报账!B4</f>
        <v>1</v>
      </c>
      <c r="AQ4" s="48" t="b">
        <f>C4=[1]员工报账!C4</f>
        <v>1</v>
      </c>
      <c r="AR4" s="48" t="b">
        <f>D4=[1]员工报账!D4</f>
        <v>1</v>
      </c>
      <c r="AS4" s="48" t="b">
        <f>E4=[1]员工报账!E4</f>
        <v>1</v>
      </c>
      <c r="AT4" s="48" t="b">
        <f>F4=[1]员工报账!F4</f>
        <v>1</v>
      </c>
      <c r="AU4" s="48" t="b">
        <f>G4=[1]员工报账!G4</f>
        <v>1</v>
      </c>
      <c r="AV4" s="48" t="b">
        <f>H4=[1]员工报账!H4</f>
        <v>1</v>
      </c>
      <c r="AW4" s="48" t="b">
        <f>I4=[1]员工报账!I4</f>
        <v>1</v>
      </c>
      <c r="AX4" s="48" t="b">
        <f>J4=[1]员工报账!J4</f>
        <v>1</v>
      </c>
      <c r="AY4" s="48" t="b">
        <f>K4=[1]员工报账!K4</f>
        <v>1</v>
      </c>
      <c r="AZ4" s="48" t="b">
        <f>L4=[1]员工报账!L4</f>
        <v>1</v>
      </c>
      <c r="BA4" s="48" t="b">
        <f>M4=[1]员工报账!M4</f>
        <v>1</v>
      </c>
      <c r="BB4" s="48" t="b">
        <f>N4=[1]员工报账!N4</f>
        <v>1</v>
      </c>
      <c r="BC4" s="48" t="b">
        <f>O4=[1]员工报账!O4</f>
        <v>1</v>
      </c>
      <c r="BD4" s="48" t="b">
        <f>P4=[1]员工报账!P4</f>
        <v>1</v>
      </c>
      <c r="BE4" s="48" t="b">
        <f>Q4=[1]员工报账!Q4</f>
        <v>1</v>
      </c>
      <c r="BF4" s="48" t="b">
        <f>R4=[1]员工报账!R4</f>
        <v>1</v>
      </c>
      <c r="BG4" s="48" t="b">
        <f>S4=[1]员工报账!S4</f>
        <v>1</v>
      </c>
      <c r="BH4" s="48" t="b">
        <f>T4=[1]员工报账!T4</f>
        <v>1</v>
      </c>
      <c r="BI4" s="48" t="b">
        <f>U4=[1]员工报账!U4</f>
        <v>1</v>
      </c>
      <c r="BJ4" s="48" t="b">
        <f>V4=[1]员工报账!V4</f>
        <v>1</v>
      </c>
      <c r="BK4" s="48" t="b">
        <f>W4=[1]员工报账!W4</f>
        <v>1</v>
      </c>
      <c r="BL4" s="48" t="b">
        <f>X4=[1]员工报账!X4</f>
        <v>1</v>
      </c>
      <c r="BM4" s="48" t="b">
        <f>Y4=[1]员工报账!Y4</f>
        <v>1</v>
      </c>
      <c r="BN4" s="48" t="b">
        <f>Z4=[1]员工报账!Z4</f>
        <v>1</v>
      </c>
      <c r="BO4" s="48" t="b">
        <f>AA4=[1]员工报账!AA4</f>
        <v>1</v>
      </c>
      <c r="BP4" s="48" t="b">
        <f>AB4=[1]员工报账!AB4</f>
        <v>1</v>
      </c>
      <c r="BQ4" s="48" t="b">
        <f>AC4=[1]员工报账!AC4</f>
        <v>1</v>
      </c>
      <c r="BR4" s="48" t="b">
        <f>AD4=[1]员工报账!AD4</f>
        <v>1</v>
      </c>
      <c r="BS4" s="48" t="b">
        <f>AE4=[1]员工报账!AE4</f>
        <v>1</v>
      </c>
      <c r="BT4" s="48" t="b">
        <f>AF4=[1]员工报账!AF4</f>
        <v>1</v>
      </c>
      <c r="BU4" s="48" t="b">
        <f>AG4=[1]员工报账!AG4</f>
        <v>1</v>
      </c>
      <c r="BV4" s="48" t="b">
        <f>AH4=[1]员工报账!AH4</f>
        <v>1</v>
      </c>
      <c r="BW4" s="48" t="b">
        <f>AI4=[1]员工报账!AI4</f>
        <v>1</v>
      </c>
      <c r="BX4" s="48" t="b">
        <f>AJ4=[1]员工报账!AJ4</f>
        <v>0</v>
      </c>
    </row>
    <row r="5" s="48" customFormat="1" ht="79.2" spans="1:76">
      <c r="A5" s="62"/>
      <c r="B5" s="62"/>
      <c r="C5" s="63"/>
      <c r="D5" s="63"/>
      <c r="E5" s="64"/>
      <c r="F5" s="64"/>
      <c r="G5" s="63"/>
      <c r="H5" s="64"/>
      <c r="I5" s="35" t="s">
        <v>478</v>
      </c>
      <c r="J5" s="42" t="s">
        <v>479</v>
      </c>
      <c r="K5" s="35"/>
      <c r="L5" s="35"/>
      <c r="M5" s="35" t="s">
        <v>36</v>
      </c>
      <c r="N5" s="35" t="s">
        <v>36</v>
      </c>
      <c r="O5" s="35"/>
      <c r="P5" s="35"/>
      <c r="Q5" s="35"/>
      <c r="R5" s="35"/>
      <c r="S5" s="35"/>
      <c r="T5" s="43" t="s">
        <v>463</v>
      </c>
      <c r="U5" s="35" t="s">
        <v>464</v>
      </c>
      <c r="V5" s="42" t="s">
        <v>480</v>
      </c>
      <c r="W5" s="41" t="s">
        <v>481</v>
      </c>
      <c r="X5" s="43" t="s">
        <v>467</v>
      </c>
      <c r="Y5" s="43" t="s">
        <v>468</v>
      </c>
      <c r="Z5" s="43"/>
      <c r="AA5" s="43" t="s">
        <v>469</v>
      </c>
      <c r="AB5" s="43" t="s">
        <v>470</v>
      </c>
      <c r="AC5" s="43"/>
      <c r="AD5" s="41" t="s">
        <v>471</v>
      </c>
      <c r="AE5" s="43" t="s">
        <v>472</v>
      </c>
      <c r="AF5" s="43" t="s">
        <v>470</v>
      </c>
      <c r="AG5" s="43"/>
      <c r="AH5" s="43" t="s">
        <v>473</v>
      </c>
      <c r="AI5" s="43" t="s">
        <v>473</v>
      </c>
      <c r="AJ5" s="41" t="s">
        <v>474</v>
      </c>
      <c r="AK5" s="35" t="s">
        <v>475</v>
      </c>
      <c r="AL5" s="42" t="s">
        <v>476</v>
      </c>
      <c r="AM5" s="61"/>
      <c r="AN5" s="97" t="s">
        <v>477</v>
      </c>
      <c r="AO5" s="48" t="b">
        <f>A5=[1]员工报账!A5</f>
        <v>1</v>
      </c>
      <c r="AP5" s="48" t="b">
        <f>B5=[1]员工报账!B5</f>
        <v>1</v>
      </c>
      <c r="AQ5" s="48" t="b">
        <f>C5=[1]员工报账!C5</f>
        <v>1</v>
      </c>
      <c r="AR5" s="48" t="b">
        <f>D5=[1]员工报账!D5</f>
        <v>1</v>
      </c>
      <c r="AS5" s="48" t="b">
        <f>E5=[1]员工报账!E5</f>
        <v>1</v>
      </c>
      <c r="AT5" s="48" t="b">
        <f>F5=[1]员工报账!F5</f>
        <v>1</v>
      </c>
      <c r="AU5" s="48" t="b">
        <f>G5=[1]员工报账!G5</f>
        <v>1</v>
      </c>
      <c r="AV5" s="48" t="b">
        <f>H5=[1]员工报账!H5</f>
        <v>1</v>
      </c>
      <c r="AW5" s="48" t="b">
        <f>I5=[1]员工报账!I5</f>
        <v>1</v>
      </c>
      <c r="AX5" s="48" t="b">
        <f>J5=[1]员工报账!J5</f>
        <v>1</v>
      </c>
      <c r="AY5" s="48" t="b">
        <f>K5=[1]员工报账!K5</f>
        <v>1</v>
      </c>
      <c r="AZ5" s="48" t="b">
        <f>L5=[1]员工报账!L5</f>
        <v>1</v>
      </c>
      <c r="BA5" s="48" t="b">
        <f>M5=[1]员工报账!M5</f>
        <v>1</v>
      </c>
      <c r="BB5" s="48" t="b">
        <f>N5=[1]员工报账!N5</f>
        <v>1</v>
      </c>
      <c r="BC5" s="48" t="b">
        <f>O5=[1]员工报账!O5</f>
        <v>1</v>
      </c>
      <c r="BD5" s="48" t="b">
        <f>P5=[1]员工报账!P5</f>
        <v>1</v>
      </c>
      <c r="BE5" s="48" t="b">
        <f>Q5=[1]员工报账!Q5</f>
        <v>1</v>
      </c>
      <c r="BF5" s="48" t="b">
        <f>R5=[1]员工报账!R5</f>
        <v>1</v>
      </c>
      <c r="BG5" s="48" t="b">
        <f>S5=[1]员工报账!S5</f>
        <v>1</v>
      </c>
      <c r="BH5" s="48" t="b">
        <f>T5=[1]员工报账!T5</f>
        <v>1</v>
      </c>
      <c r="BI5" s="48" t="b">
        <f>U5=[1]员工报账!U5</f>
        <v>1</v>
      </c>
      <c r="BJ5" s="48" t="b">
        <f>V5=[1]员工报账!V5</f>
        <v>1</v>
      </c>
      <c r="BK5" s="48" t="b">
        <f>W5=[1]员工报账!W5</f>
        <v>1</v>
      </c>
      <c r="BL5" s="48" t="b">
        <f>X5=[1]员工报账!X5</f>
        <v>1</v>
      </c>
      <c r="BM5" s="48" t="b">
        <f>Y5=[1]员工报账!Y5</f>
        <v>1</v>
      </c>
      <c r="BN5" s="48" t="b">
        <f>Z5=[1]员工报账!Z5</f>
        <v>1</v>
      </c>
      <c r="BO5" s="48" t="b">
        <f>AA5=[1]员工报账!AA5</f>
        <v>1</v>
      </c>
      <c r="BP5" s="48" t="b">
        <f>AB5=[1]员工报账!AB5</f>
        <v>1</v>
      </c>
      <c r="BQ5" s="48" t="b">
        <f>AC5=[1]员工报账!AC5</f>
        <v>1</v>
      </c>
      <c r="BR5" s="48" t="b">
        <f>AD5=[1]员工报账!AD5</f>
        <v>1</v>
      </c>
      <c r="BS5" s="48" t="b">
        <f>AE5=[1]员工报账!AE5</f>
        <v>1</v>
      </c>
      <c r="BT5" s="48" t="b">
        <f>AF5=[1]员工报账!AF5</f>
        <v>1</v>
      </c>
      <c r="BU5" s="48" t="b">
        <f>AG5=[1]员工报账!AG5</f>
        <v>1</v>
      </c>
      <c r="BV5" s="48" t="b">
        <f>AH5=[1]员工报账!AH5</f>
        <v>1</v>
      </c>
      <c r="BW5" s="48" t="b">
        <f>AI5=[1]员工报账!AI5</f>
        <v>1</v>
      </c>
      <c r="BX5" s="48" t="b">
        <f>AJ5=[1]员工报账!AJ5</f>
        <v>0</v>
      </c>
    </row>
    <row r="6" s="48" customFormat="1" ht="79.2" spans="1:76">
      <c r="A6" s="62"/>
      <c r="B6" s="62"/>
      <c r="C6" s="63"/>
      <c r="D6" s="63"/>
      <c r="E6" s="64"/>
      <c r="F6" s="64"/>
      <c r="G6" s="38"/>
      <c r="H6" s="66"/>
      <c r="I6" s="35" t="s">
        <v>482</v>
      </c>
      <c r="J6" s="42" t="s">
        <v>483</v>
      </c>
      <c r="K6" s="35"/>
      <c r="L6" s="35"/>
      <c r="M6" s="35"/>
      <c r="N6" s="35" t="s">
        <v>36</v>
      </c>
      <c r="O6" s="35"/>
      <c r="P6" s="35"/>
      <c r="Q6" s="35" t="s">
        <v>36</v>
      </c>
      <c r="R6" s="35"/>
      <c r="S6" s="35"/>
      <c r="T6" s="43" t="s">
        <v>463</v>
      </c>
      <c r="U6" s="35" t="s">
        <v>464</v>
      </c>
      <c r="V6" s="42" t="s">
        <v>484</v>
      </c>
      <c r="W6" s="41" t="s">
        <v>481</v>
      </c>
      <c r="X6" s="43" t="s">
        <v>467</v>
      </c>
      <c r="Y6" s="43" t="s">
        <v>468</v>
      </c>
      <c r="Z6" s="43"/>
      <c r="AA6" s="43" t="s">
        <v>469</v>
      </c>
      <c r="AB6" s="43" t="s">
        <v>470</v>
      </c>
      <c r="AC6" s="43"/>
      <c r="AD6" s="41" t="s">
        <v>471</v>
      </c>
      <c r="AE6" s="43" t="s">
        <v>472</v>
      </c>
      <c r="AF6" s="43" t="s">
        <v>470</v>
      </c>
      <c r="AG6" s="43"/>
      <c r="AH6" s="43" t="s">
        <v>473</v>
      </c>
      <c r="AI6" s="43" t="s">
        <v>473</v>
      </c>
      <c r="AJ6" s="41" t="s">
        <v>474</v>
      </c>
      <c r="AK6" s="35" t="s">
        <v>475</v>
      </c>
      <c r="AL6" s="42" t="s">
        <v>476</v>
      </c>
      <c r="AM6" s="61"/>
      <c r="AN6" s="97" t="s">
        <v>477</v>
      </c>
      <c r="AO6" s="48" t="b">
        <f>A6=[1]员工报账!A6</f>
        <v>1</v>
      </c>
      <c r="AP6" s="48" t="b">
        <f>B6=[1]员工报账!B6</f>
        <v>1</v>
      </c>
      <c r="AQ6" s="48" t="b">
        <f>C6=[1]员工报账!C6</f>
        <v>1</v>
      </c>
      <c r="AR6" s="48" t="b">
        <f>D6=[1]员工报账!D6</f>
        <v>1</v>
      </c>
      <c r="AS6" s="48" t="b">
        <f>E6=[1]员工报账!E6</f>
        <v>1</v>
      </c>
      <c r="AT6" s="48" t="b">
        <f>F6=[1]员工报账!F6</f>
        <v>1</v>
      </c>
      <c r="AU6" s="48" t="b">
        <f>G6=[1]员工报账!G6</f>
        <v>1</v>
      </c>
      <c r="AV6" s="48" t="b">
        <f>H6=[1]员工报账!H6</f>
        <v>1</v>
      </c>
      <c r="AW6" s="48" t="b">
        <f>I6=[1]员工报账!I6</f>
        <v>1</v>
      </c>
      <c r="AX6" s="48" t="b">
        <f>J6=[1]员工报账!J6</f>
        <v>1</v>
      </c>
      <c r="AY6" s="48" t="b">
        <f>K6=[1]员工报账!K6</f>
        <v>1</v>
      </c>
      <c r="AZ6" s="48" t="b">
        <f>L6=[1]员工报账!L6</f>
        <v>1</v>
      </c>
      <c r="BA6" s="48" t="b">
        <f>M6=[1]员工报账!M6</f>
        <v>1</v>
      </c>
      <c r="BB6" s="48" t="b">
        <f>N6=[1]员工报账!N6</f>
        <v>1</v>
      </c>
      <c r="BC6" s="48" t="b">
        <f>O6=[1]员工报账!O6</f>
        <v>1</v>
      </c>
      <c r="BD6" s="48" t="b">
        <f>P6=[1]员工报账!P6</f>
        <v>1</v>
      </c>
      <c r="BE6" s="48" t="b">
        <f>Q6=[1]员工报账!Q6</f>
        <v>1</v>
      </c>
      <c r="BF6" s="48" t="b">
        <f>R6=[1]员工报账!R6</f>
        <v>1</v>
      </c>
      <c r="BG6" s="48" t="b">
        <f>S6=[1]员工报账!S6</f>
        <v>1</v>
      </c>
      <c r="BH6" s="48" t="b">
        <f>T6=[1]员工报账!T6</f>
        <v>1</v>
      </c>
      <c r="BI6" s="48" t="b">
        <f>U6=[1]员工报账!U6</f>
        <v>1</v>
      </c>
      <c r="BJ6" s="48" t="b">
        <f>V6=[1]员工报账!V6</f>
        <v>1</v>
      </c>
      <c r="BK6" s="48" t="b">
        <f>W6=[1]员工报账!W6</f>
        <v>1</v>
      </c>
      <c r="BL6" s="48" t="b">
        <f>X6=[1]员工报账!X6</f>
        <v>1</v>
      </c>
      <c r="BM6" s="48" t="b">
        <f>Y6=[1]员工报账!Y6</f>
        <v>1</v>
      </c>
      <c r="BN6" s="48" t="b">
        <f>Z6=[1]员工报账!Z6</f>
        <v>1</v>
      </c>
      <c r="BO6" s="48" t="b">
        <f>AA6=[1]员工报账!AA6</f>
        <v>1</v>
      </c>
      <c r="BP6" s="48" t="b">
        <f>AB6=[1]员工报账!AB6</f>
        <v>1</v>
      </c>
      <c r="BQ6" s="48" t="b">
        <f>AC6=[1]员工报账!AC6</f>
        <v>1</v>
      </c>
      <c r="BR6" s="48" t="b">
        <f>AD6=[1]员工报账!AD6</f>
        <v>1</v>
      </c>
      <c r="BS6" s="48" t="b">
        <f>AE6=[1]员工报账!AE6</f>
        <v>1</v>
      </c>
      <c r="BT6" s="48" t="b">
        <f>AF6=[1]员工报账!AF6</f>
        <v>1</v>
      </c>
      <c r="BU6" s="48" t="b">
        <f>AG6=[1]员工报账!AG6</f>
        <v>1</v>
      </c>
      <c r="BV6" s="48" t="b">
        <f>AH6=[1]员工报账!AH6</f>
        <v>1</v>
      </c>
      <c r="BW6" s="48" t="b">
        <f>AI6=[1]员工报账!AI6</f>
        <v>1</v>
      </c>
      <c r="BX6" s="48" t="b">
        <f>AJ6=[1]员工报账!AJ6</f>
        <v>0</v>
      </c>
    </row>
    <row r="7" s="48" customFormat="1" ht="79.2" spans="1:76">
      <c r="A7" s="62"/>
      <c r="B7" s="62"/>
      <c r="C7" s="63"/>
      <c r="D7" s="63"/>
      <c r="E7" s="64"/>
      <c r="F7" s="64"/>
      <c r="G7" s="57" t="s">
        <v>485</v>
      </c>
      <c r="H7" s="58" t="s">
        <v>486</v>
      </c>
      <c r="I7" s="35" t="s">
        <v>487</v>
      </c>
      <c r="J7" s="42" t="s">
        <v>488</v>
      </c>
      <c r="K7" s="35"/>
      <c r="L7" s="35" t="s">
        <v>36</v>
      </c>
      <c r="M7" s="35"/>
      <c r="N7" s="35"/>
      <c r="O7" s="35"/>
      <c r="P7" s="35"/>
      <c r="Q7" s="35" t="s">
        <v>36</v>
      </c>
      <c r="R7" s="35"/>
      <c r="S7" s="35"/>
      <c r="T7" s="43" t="s">
        <v>463</v>
      </c>
      <c r="U7" s="35" t="s">
        <v>464</v>
      </c>
      <c r="V7" s="42" t="s">
        <v>489</v>
      </c>
      <c r="W7" s="41" t="s">
        <v>481</v>
      </c>
      <c r="X7" s="43" t="s">
        <v>467</v>
      </c>
      <c r="Y7" s="43" t="s">
        <v>468</v>
      </c>
      <c r="Z7" s="43"/>
      <c r="AA7" s="43" t="s">
        <v>469</v>
      </c>
      <c r="AB7" s="43" t="s">
        <v>470</v>
      </c>
      <c r="AC7" s="43"/>
      <c r="AD7" s="41" t="s">
        <v>471</v>
      </c>
      <c r="AE7" s="43" t="s">
        <v>472</v>
      </c>
      <c r="AF7" s="43" t="s">
        <v>470</v>
      </c>
      <c r="AG7" s="43"/>
      <c r="AH7" s="43" t="s">
        <v>473</v>
      </c>
      <c r="AI7" s="43" t="s">
        <v>473</v>
      </c>
      <c r="AJ7" s="41" t="s">
        <v>490</v>
      </c>
      <c r="AK7" s="35" t="s">
        <v>475</v>
      </c>
      <c r="AL7" s="42" t="s">
        <v>476</v>
      </c>
      <c r="AM7" s="61"/>
      <c r="AN7" s="97"/>
      <c r="AO7" s="48" t="b">
        <f>A7=[1]员工报账!A7</f>
        <v>1</v>
      </c>
      <c r="AP7" s="48" t="b">
        <f>B7=[1]员工报账!B7</f>
        <v>1</v>
      </c>
      <c r="AQ7" s="48" t="b">
        <f>C7=[1]员工报账!C7</f>
        <v>1</v>
      </c>
      <c r="AR7" s="48" t="b">
        <f>D7=[1]员工报账!D7</f>
        <v>1</v>
      </c>
      <c r="AS7" s="48" t="b">
        <f>E7=[1]员工报账!E7</f>
        <v>1</v>
      </c>
      <c r="AT7" s="48" t="b">
        <f>F7=[1]员工报账!F7</f>
        <v>1</v>
      </c>
      <c r="AU7" s="48" t="b">
        <f>G7=[1]员工报账!G7</f>
        <v>1</v>
      </c>
      <c r="AV7" s="48" t="b">
        <f>H7=[1]员工报账!H7</f>
        <v>1</v>
      </c>
      <c r="AW7" s="48" t="b">
        <f>I7=[1]员工报账!I7</f>
        <v>1</v>
      </c>
      <c r="AX7" s="48" t="b">
        <f>J7=[1]员工报账!J7</f>
        <v>1</v>
      </c>
      <c r="AY7" s="48" t="b">
        <f>K7=[1]员工报账!K7</f>
        <v>1</v>
      </c>
      <c r="AZ7" s="48" t="b">
        <f>L7=[1]员工报账!L7</f>
        <v>1</v>
      </c>
      <c r="BA7" s="48" t="b">
        <f>M7=[1]员工报账!M7</f>
        <v>1</v>
      </c>
      <c r="BB7" s="48" t="b">
        <f>N7=[1]员工报账!N7</f>
        <v>1</v>
      </c>
      <c r="BC7" s="48" t="b">
        <f>O7=[1]员工报账!O7</f>
        <v>1</v>
      </c>
      <c r="BD7" s="48" t="b">
        <f>P7=[1]员工报账!P7</f>
        <v>1</v>
      </c>
      <c r="BE7" s="48" t="b">
        <f>Q7=[1]员工报账!Q7</f>
        <v>1</v>
      </c>
      <c r="BF7" s="48" t="b">
        <f>R7=[1]员工报账!R7</f>
        <v>1</v>
      </c>
      <c r="BG7" s="48" t="b">
        <f>S7=[1]员工报账!S7</f>
        <v>1</v>
      </c>
      <c r="BH7" s="48" t="b">
        <f>T7=[1]员工报账!T7</f>
        <v>1</v>
      </c>
      <c r="BI7" s="48" t="b">
        <f>U7=[1]员工报账!U7</f>
        <v>1</v>
      </c>
      <c r="BJ7" s="48" t="b">
        <f>V7=[1]员工报账!V7</f>
        <v>1</v>
      </c>
      <c r="BK7" s="48" t="b">
        <f>W7=[1]员工报账!W7</f>
        <v>1</v>
      </c>
      <c r="BL7" s="48" t="b">
        <f>X7=[1]员工报账!X7</f>
        <v>1</v>
      </c>
      <c r="BM7" s="48" t="b">
        <f>Y7=[1]员工报账!Y7</f>
        <v>1</v>
      </c>
      <c r="BN7" s="48" t="b">
        <f>Z7=[1]员工报账!Z7</f>
        <v>1</v>
      </c>
      <c r="BO7" s="48" t="b">
        <f>AA7=[1]员工报账!AA7</f>
        <v>1</v>
      </c>
      <c r="BP7" s="48" t="b">
        <f>AB7=[1]员工报账!AB7</f>
        <v>1</v>
      </c>
      <c r="BQ7" s="48" t="b">
        <f>AC7=[1]员工报账!AC7</f>
        <v>1</v>
      </c>
      <c r="BR7" s="48" t="b">
        <f>AD7=[1]员工报账!AD7</f>
        <v>1</v>
      </c>
      <c r="BS7" s="48" t="b">
        <f>AE7=[1]员工报账!AE7</f>
        <v>1</v>
      </c>
      <c r="BT7" s="48" t="b">
        <f>AF7=[1]员工报账!AF7</f>
        <v>1</v>
      </c>
      <c r="BU7" s="48" t="b">
        <f>AG7=[1]员工报账!AG7</f>
        <v>1</v>
      </c>
      <c r="BV7" s="48" t="b">
        <f>AH7=[1]员工报账!AH7</f>
        <v>1</v>
      </c>
      <c r="BW7" s="48" t="b">
        <f>AI7=[1]员工报账!AI7</f>
        <v>1</v>
      </c>
      <c r="BX7" s="48" t="b">
        <f>AJ7=[1]员工报账!AJ7</f>
        <v>1</v>
      </c>
    </row>
    <row r="8" s="48" customFormat="1" ht="79.2" spans="1:76">
      <c r="A8" s="62"/>
      <c r="B8" s="62"/>
      <c r="C8" s="63"/>
      <c r="D8" s="63"/>
      <c r="E8" s="64"/>
      <c r="F8" s="64"/>
      <c r="G8" s="63"/>
      <c r="H8" s="64"/>
      <c r="I8" s="35" t="s">
        <v>491</v>
      </c>
      <c r="J8" s="42" t="s">
        <v>492</v>
      </c>
      <c r="K8" s="35"/>
      <c r="L8" s="35"/>
      <c r="M8" s="35"/>
      <c r="N8" s="35"/>
      <c r="O8" s="35"/>
      <c r="P8" s="35"/>
      <c r="Q8" s="35" t="s">
        <v>36</v>
      </c>
      <c r="R8" s="35"/>
      <c r="S8" s="35"/>
      <c r="T8" s="43" t="s">
        <v>463</v>
      </c>
      <c r="U8" s="35" t="s">
        <v>464</v>
      </c>
      <c r="V8" s="42" t="s">
        <v>493</v>
      </c>
      <c r="W8" s="41" t="s">
        <v>481</v>
      </c>
      <c r="X8" s="43" t="s">
        <v>467</v>
      </c>
      <c r="Y8" s="43" t="s">
        <v>468</v>
      </c>
      <c r="Z8" s="43"/>
      <c r="AA8" s="43" t="s">
        <v>469</v>
      </c>
      <c r="AB8" s="43" t="s">
        <v>470</v>
      </c>
      <c r="AC8" s="43"/>
      <c r="AD8" s="41" t="s">
        <v>471</v>
      </c>
      <c r="AE8" s="43" t="s">
        <v>472</v>
      </c>
      <c r="AF8" s="43" t="s">
        <v>470</v>
      </c>
      <c r="AG8" s="43"/>
      <c r="AH8" s="43" t="s">
        <v>473</v>
      </c>
      <c r="AI8" s="43" t="s">
        <v>473</v>
      </c>
      <c r="AJ8" s="41" t="s">
        <v>494</v>
      </c>
      <c r="AK8" s="35" t="s">
        <v>475</v>
      </c>
      <c r="AL8" s="42" t="s">
        <v>476</v>
      </c>
      <c r="AM8" s="61"/>
      <c r="AN8" s="97"/>
      <c r="AO8" s="48" t="b">
        <f>A8=[1]员工报账!A8</f>
        <v>1</v>
      </c>
      <c r="AP8" s="48" t="b">
        <f>B8=[1]员工报账!B8</f>
        <v>1</v>
      </c>
      <c r="AQ8" s="48" t="b">
        <f>C8=[1]员工报账!C8</f>
        <v>1</v>
      </c>
      <c r="AR8" s="48" t="b">
        <f>D8=[1]员工报账!D8</f>
        <v>1</v>
      </c>
      <c r="AS8" s="48" t="b">
        <f>E8=[1]员工报账!E8</f>
        <v>1</v>
      </c>
      <c r="AT8" s="48" t="b">
        <f>F8=[1]员工报账!F8</f>
        <v>1</v>
      </c>
      <c r="AU8" s="48" t="b">
        <f>G8=[1]员工报账!G8</f>
        <v>1</v>
      </c>
      <c r="AV8" s="48" t="b">
        <f>H8=[1]员工报账!H8</f>
        <v>1</v>
      </c>
      <c r="AW8" s="48" t="b">
        <f>I8=[1]员工报账!I8</f>
        <v>1</v>
      </c>
      <c r="AX8" s="48" t="b">
        <f>J8=[1]员工报账!J8</f>
        <v>1</v>
      </c>
      <c r="AY8" s="48" t="b">
        <f>K8=[1]员工报账!K8</f>
        <v>1</v>
      </c>
      <c r="AZ8" s="48" t="b">
        <f>L8=[1]员工报账!L8</f>
        <v>1</v>
      </c>
      <c r="BA8" s="48" t="b">
        <f>M8=[1]员工报账!M8</f>
        <v>1</v>
      </c>
      <c r="BB8" s="48" t="b">
        <f>N8=[1]员工报账!N8</f>
        <v>1</v>
      </c>
      <c r="BC8" s="48" t="b">
        <f>O8=[1]员工报账!O8</f>
        <v>1</v>
      </c>
      <c r="BD8" s="48" t="b">
        <f>P8=[1]员工报账!P8</f>
        <v>1</v>
      </c>
      <c r="BE8" s="48" t="b">
        <f>Q8=[1]员工报账!Q8</f>
        <v>1</v>
      </c>
      <c r="BF8" s="48" t="b">
        <f>R8=[1]员工报账!R8</f>
        <v>1</v>
      </c>
      <c r="BG8" s="48" t="b">
        <f>S8=[1]员工报账!S8</f>
        <v>1</v>
      </c>
      <c r="BH8" s="48" t="b">
        <f>T8=[1]员工报账!T8</f>
        <v>1</v>
      </c>
      <c r="BI8" s="48" t="b">
        <f>U8=[1]员工报账!U8</f>
        <v>1</v>
      </c>
      <c r="BJ8" s="48" t="b">
        <f>V8=[1]员工报账!V8</f>
        <v>1</v>
      </c>
      <c r="BK8" s="48" t="b">
        <f>W8=[1]员工报账!W8</f>
        <v>1</v>
      </c>
      <c r="BL8" s="48" t="b">
        <f>X8=[1]员工报账!X8</f>
        <v>1</v>
      </c>
      <c r="BM8" s="48" t="b">
        <f>Y8=[1]员工报账!Y8</f>
        <v>1</v>
      </c>
      <c r="BN8" s="48" t="b">
        <f>Z8=[1]员工报账!Z8</f>
        <v>1</v>
      </c>
      <c r="BO8" s="48" t="b">
        <f>AA8=[1]员工报账!AA8</f>
        <v>1</v>
      </c>
      <c r="BP8" s="48" t="b">
        <f>AB8=[1]员工报账!AB8</f>
        <v>1</v>
      </c>
      <c r="BQ8" s="48" t="b">
        <f>AC8=[1]员工报账!AC8</f>
        <v>1</v>
      </c>
      <c r="BR8" s="48" t="b">
        <f>AD8=[1]员工报账!AD8</f>
        <v>1</v>
      </c>
      <c r="BS8" s="48" t="b">
        <f>AE8=[1]员工报账!AE8</f>
        <v>1</v>
      </c>
      <c r="BT8" s="48" t="b">
        <f>AF8=[1]员工报账!AF8</f>
        <v>1</v>
      </c>
      <c r="BU8" s="48" t="b">
        <f>AG8=[1]员工报账!AG8</f>
        <v>1</v>
      </c>
      <c r="BV8" s="48" t="b">
        <f>AH8=[1]员工报账!AH8</f>
        <v>1</v>
      </c>
      <c r="BW8" s="48" t="b">
        <f>AI8=[1]员工报账!AI8</f>
        <v>1</v>
      </c>
      <c r="BX8" s="48" t="b">
        <f>AJ8=[1]员工报账!AJ8</f>
        <v>1</v>
      </c>
    </row>
    <row r="9" s="48" customFormat="1" ht="79.2" spans="1:76">
      <c r="A9" s="67"/>
      <c r="B9" s="67"/>
      <c r="C9" s="38"/>
      <c r="D9" s="38"/>
      <c r="E9" s="66"/>
      <c r="F9" s="66"/>
      <c r="G9" s="38"/>
      <c r="H9" s="66"/>
      <c r="I9" s="35" t="s">
        <v>495</v>
      </c>
      <c r="J9" s="42" t="s">
        <v>496</v>
      </c>
      <c r="K9" s="35"/>
      <c r="L9" s="35"/>
      <c r="M9" s="35" t="s">
        <v>36</v>
      </c>
      <c r="N9" s="35"/>
      <c r="O9" s="35"/>
      <c r="P9" s="35"/>
      <c r="Q9" s="35"/>
      <c r="R9" s="35"/>
      <c r="S9" s="35"/>
      <c r="T9" s="35" t="s">
        <v>497</v>
      </c>
      <c r="U9" s="35" t="s">
        <v>464</v>
      </c>
      <c r="V9" s="42" t="s">
        <v>489</v>
      </c>
      <c r="W9" s="41" t="s">
        <v>481</v>
      </c>
      <c r="X9" s="43" t="s">
        <v>467</v>
      </c>
      <c r="Y9" s="43" t="s">
        <v>468</v>
      </c>
      <c r="Z9" s="43"/>
      <c r="AA9" s="43" t="s">
        <v>469</v>
      </c>
      <c r="AB9" s="43" t="s">
        <v>470</v>
      </c>
      <c r="AC9" s="43"/>
      <c r="AD9" s="41" t="s">
        <v>471</v>
      </c>
      <c r="AE9" s="43" t="s">
        <v>472</v>
      </c>
      <c r="AF9" s="43" t="s">
        <v>470</v>
      </c>
      <c r="AG9" s="43"/>
      <c r="AH9" s="43" t="s">
        <v>473</v>
      </c>
      <c r="AI9" s="43" t="s">
        <v>473</v>
      </c>
      <c r="AJ9" s="41" t="s">
        <v>494</v>
      </c>
      <c r="AK9" s="35" t="s">
        <v>475</v>
      </c>
      <c r="AL9" s="42" t="s">
        <v>476</v>
      </c>
      <c r="AM9" s="61"/>
      <c r="AN9" s="97"/>
      <c r="AO9" s="48" t="b">
        <f>A9=[1]员工报账!A9</f>
        <v>1</v>
      </c>
      <c r="AP9" s="48" t="b">
        <f>B9=[1]员工报账!B9</f>
        <v>1</v>
      </c>
      <c r="AQ9" s="48" t="b">
        <f>C9=[1]员工报账!C9</f>
        <v>1</v>
      </c>
      <c r="AR9" s="48" t="b">
        <f>D9=[1]员工报账!D9</f>
        <v>1</v>
      </c>
      <c r="AS9" s="48" t="b">
        <f>E9=[1]员工报账!E9</f>
        <v>1</v>
      </c>
      <c r="AT9" s="48" t="b">
        <f>F9=[1]员工报账!F9</f>
        <v>1</v>
      </c>
      <c r="AU9" s="48" t="b">
        <f>G9=[1]员工报账!G9</f>
        <v>1</v>
      </c>
      <c r="AV9" s="48" t="b">
        <f>H9=[1]员工报账!H9</f>
        <v>1</v>
      </c>
      <c r="AW9" s="48" t="b">
        <f>I9=[1]员工报账!I9</f>
        <v>1</v>
      </c>
      <c r="AX9" s="48" t="b">
        <f>J9=[1]员工报账!J9</f>
        <v>1</v>
      </c>
      <c r="AY9" s="48" t="b">
        <f>K9=[1]员工报账!K9</f>
        <v>1</v>
      </c>
      <c r="AZ9" s="48" t="b">
        <f>L9=[1]员工报账!L9</f>
        <v>1</v>
      </c>
      <c r="BA9" s="48" t="b">
        <f>M9=[1]员工报账!M9</f>
        <v>1</v>
      </c>
      <c r="BB9" s="48" t="b">
        <f>N9=[1]员工报账!N9</f>
        <v>1</v>
      </c>
      <c r="BC9" s="48" t="b">
        <f>O9=[1]员工报账!O9</f>
        <v>1</v>
      </c>
      <c r="BD9" s="48" t="b">
        <f>P9=[1]员工报账!P9</f>
        <v>1</v>
      </c>
      <c r="BE9" s="48" t="b">
        <f>Q9=[1]员工报账!Q9</f>
        <v>1</v>
      </c>
      <c r="BF9" s="48" t="b">
        <f>R9=[1]员工报账!R9</f>
        <v>1</v>
      </c>
      <c r="BG9" s="48" t="b">
        <f>S9=[1]员工报账!S9</f>
        <v>1</v>
      </c>
      <c r="BH9" s="48" t="b">
        <f>T9=[1]员工报账!T9</f>
        <v>1</v>
      </c>
      <c r="BI9" s="48" t="b">
        <f>U9=[1]员工报账!U9</f>
        <v>1</v>
      </c>
      <c r="BJ9" s="48" t="b">
        <f>V9=[1]员工报账!V9</f>
        <v>1</v>
      </c>
      <c r="BK9" s="48" t="b">
        <f>W9=[1]员工报账!W9</f>
        <v>1</v>
      </c>
      <c r="BL9" s="48" t="b">
        <f>X9=[1]员工报账!X9</f>
        <v>1</v>
      </c>
      <c r="BM9" s="48" t="b">
        <f>Y9=[1]员工报账!Y9</f>
        <v>1</v>
      </c>
      <c r="BN9" s="48" t="b">
        <f>Z9=[1]员工报账!Z9</f>
        <v>1</v>
      </c>
      <c r="BO9" s="48" t="b">
        <f>AA9=[1]员工报账!AA9</f>
        <v>1</v>
      </c>
      <c r="BP9" s="48" t="b">
        <f>AB9=[1]员工报账!AB9</f>
        <v>1</v>
      </c>
      <c r="BQ9" s="48" t="b">
        <f>AC9=[1]员工报账!AC9</f>
        <v>1</v>
      </c>
      <c r="BR9" s="48" t="b">
        <f>AD9=[1]员工报账!AD9</f>
        <v>1</v>
      </c>
      <c r="BS9" s="48" t="b">
        <f>AE9=[1]员工报账!AE9</f>
        <v>1</v>
      </c>
      <c r="BT9" s="48" t="b">
        <f>AF9=[1]员工报账!AF9</f>
        <v>1</v>
      </c>
      <c r="BU9" s="48" t="b">
        <f>AG9=[1]员工报账!AG9</f>
        <v>1</v>
      </c>
      <c r="BV9" s="48" t="b">
        <f>AH9=[1]员工报账!AH9</f>
        <v>1</v>
      </c>
      <c r="BW9" s="48" t="b">
        <f>AI9=[1]员工报账!AI9</f>
        <v>1</v>
      </c>
      <c r="BX9" s="48" t="b">
        <f>AJ9=[1]员工报账!AJ9</f>
        <v>1</v>
      </c>
    </row>
    <row r="10" s="48" customFormat="1" ht="79.2" spans="1:76">
      <c r="A10" s="56" t="s">
        <v>453</v>
      </c>
      <c r="B10" s="56" t="s">
        <v>454</v>
      </c>
      <c r="C10" s="57" t="s">
        <v>498</v>
      </c>
      <c r="D10" s="57" t="s">
        <v>456</v>
      </c>
      <c r="E10" s="58" t="s">
        <v>499</v>
      </c>
      <c r="F10" s="59" t="s">
        <v>500</v>
      </c>
      <c r="G10" s="57" t="s">
        <v>501</v>
      </c>
      <c r="H10" s="58" t="s">
        <v>502</v>
      </c>
      <c r="I10" s="35" t="s">
        <v>503</v>
      </c>
      <c r="J10" s="42" t="s">
        <v>504</v>
      </c>
      <c r="K10" s="35"/>
      <c r="L10" s="35"/>
      <c r="M10" s="35" t="s">
        <v>36</v>
      </c>
      <c r="N10" s="35"/>
      <c r="O10" s="35"/>
      <c r="P10" s="35"/>
      <c r="Q10" s="35"/>
      <c r="R10" s="35"/>
      <c r="S10" s="35"/>
      <c r="T10" s="43" t="s">
        <v>463</v>
      </c>
      <c r="U10" s="35" t="s">
        <v>464</v>
      </c>
      <c r="V10" s="42" t="s">
        <v>505</v>
      </c>
      <c r="W10" s="36" t="s">
        <v>506</v>
      </c>
      <c r="X10" s="43" t="s">
        <v>467</v>
      </c>
      <c r="Y10" s="43" t="s">
        <v>468</v>
      </c>
      <c r="Z10" s="43"/>
      <c r="AA10" s="43" t="s">
        <v>469</v>
      </c>
      <c r="AB10" s="43" t="s">
        <v>470</v>
      </c>
      <c r="AC10" s="43"/>
      <c r="AD10" s="41" t="s">
        <v>507</v>
      </c>
      <c r="AE10" s="43" t="s">
        <v>472</v>
      </c>
      <c r="AF10" s="43" t="s">
        <v>470</v>
      </c>
      <c r="AG10" s="43"/>
      <c r="AH10" s="43" t="s">
        <v>473</v>
      </c>
      <c r="AI10" s="43" t="s">
        <v>473</v>
      </c>
      <c r="AJ10" s="41" t="s">
        <v>508</v>
      </c>
      <c r="AK10" s="35" t="s">
        <v>475</v>
      </c>
      <c r="AL10" s="42" t="s">
        <v>476</v>
      </c>
      <c r="AM10" s="61"/>
      <c r="AN10" s="97" t="s">
        <v>509</v>
      </c>
      <c r="AO10" s="48" t="b">
        <f>A10=[1]员工报账!A10</f>
        <v>1</v>
      </c>
      <c r="AP10" s="48" t="b">
        <f>B10=[1]员工报账!B10</f>
        <v>1</v>
      </c>
      <c r="AQ10" s="48" t="b">
        <f>C10=[1]员工报账!C10</f>
        <v>1</v>
      </c>
      <c r="AR10" s="48" t="b">
        <f>D10=[1]员工报账!D10</f>
        <v>1</v>
      </c>
      <c r="AS10" s="48" t="b">
        <f>E10=[1]员工报账!E10</f>
        <v>1</v>
      </c>
      <c r="AT10" s="48" t="b">
        <f>F10=[1]员工报账!F10</f>
        <v>1</v>
      </c>
      <c r="AU10" s="48" t="b">
        <f>G10=[1]员工报账!G10</f>
        <v>1</v>
      </c>
      <c r="AV10" s="48" t="b">
        <f>H10=[1]员工报账!H10</f>
        <v>1</v>
      </c>
      <c r="AW10" s="48" t="b">
        <f>I10=[1]员工报账!I10</f>
        <v>1</v>
      </c>
      <c r="AX10" s="48" t="b">
        <f>J10=[1]员工报账!J10</f>
        <v>1</v>
      </c>
      <c r="AY10" s="48" t="b">
        <f>K10=[1]员工报账!K10</f>
        <v>1</v>
      </c>
      <c r="AZ10" s="48" t="b">
        <f>L10=[1]员工报账!L10</f>
        <v>1</v>
      </c>
      <c r="BA10" s="48" t="b">
        <f>M10=[1]员工报账!M10</f>
        <v>1</v>
      </c>
      <c r="BB10" s="48" t="b">
        <f>N10=[1]员工报账!N10</f>
        <v>1</v>
      </c>
      <c r="BC10" s="48" t="b">
        <f>O10=[1]员工报账!O10</f>
        <v>1</v>
      </c>
      <c r="BD10" s="48" t="b">
        <f>P10=[1]员工报账!P10</f>
        <v>1</v>
      </c>
      <c r="BE10" s="48" t="b">
        <f>Q10=[1]员工报账!Q10</f>
        <v>1</v>
      </c>
      <c r="BF10" s="48" t="b">
        <f>R10=[1]员工报账!R10</f>
        <v>1</v>
      </c>
      <c r="BG10" s="48" t="b">
        <f>S10=[1]员工报账!S10</f>
        <v>1</v>
      </c>
      <c r="BH10" s="48" t="b">
        <f>T10=[1]员工报账!T10</f>
        <v>1</v>
      </c>
      <c r="BI10" s="48" t="b">
        <f>U10=[1]员工报账!U10</f>
        <v>1</v>
      </c>
      <c r="BJ10" s="48" t="b">
        <f>V10=[1]员工报账!V10</f>
        <v>1</v>
      </c>
      <c r="BK10" s="48" t="b">
        <f>W10=[1]员工报账!W10</f>
        <v>0</v>
      </c>
      <c r="BL10" s="48" t="b">
        <f>X10=[1]员工报账!X10</f>
        <v>1</v>
      </c>
      <c r="BM10" s="48" t="b">
        <f>Y10=[1]员工报账!Y10</f>
        <v>1</v>
      </c>
      <c r="BN10" s="48" t="b">
        <f>Z10=[1]员工报账!Z10</f>
        <v>1</v>
      </c>
      <c r="BO10" s="48" t="b">
        <f>AA10=[1]员工报账!AA10</f>
        <v>1</v>
      </c>
      <c r="BP10" s="48" t="b">
        <f>AB10=[1]员工报账!AB10</f>
        <v>1</v>
      </c>
      <c r="BQ10" s="48" t="b">
        <f>AC10=[1]员工报账!AC10</f>
        <v>1</v>
      </c>
      <c r="BR10" s="48" t="b">
        <f>AD10=[1]员工报账!AD10</f>
        <v>1</v>
      </c>
      <c r="BS10" s="48" t="b">
        <f>AE10=[1]员工报账!AE10</f>
        <v>1</v>
      </c>
      <c r="BT10" s="48" t="b">
        <f>AF10=[1]员工报账!AF10</f>
        <v>1</v>
      </c>
      <c r="BU10" s="48" t="b">
        <f>AG10=[1]员工报账!AG10</f>
        <v>1</v>
      </c>
      <c r="BV10" s="48" t="b">
        <f>AH10=[1]员工报账!AH10</f>
        <v>1</v>
      </c>
      <c r="BW10" s="48" t="b">
        <f>AI10=[1]员工报账!AI10</f>
        <v>1</v>
      </c>
      <c r="BX10" s="48" t="b">
        <f>AJ10=[1]员工报账!AJ10</f>
        <v>1</v>
      </c>
    </row>
    <row r="11" s="48" customFormat="1" ht="79.2" spans="1:76">
      <c r="A11" s="62"/>
      <c r="B11" s="62"/>
      <c r="C11" s="63"/>
      <c r="D11" s="63"/>
      <c r="E11" s="64"/>
      <c r="F11" s="64"/>
      <c r="G11" s="63"/>
      <c r="H11" s="64"/>
      <c r="I11" s="35" t="s">
        <v>510</v>
      </c>
      <c r="J11" s="42" t="s">
        <v>511</v>
      </c>
      <c r="K11" s="35"/>
      <c r="L11" s="35"/>
      <c r="M11" s="35"/>
      <c r="N11" s="35"/>
      <c r="O11" s="35"/>
      <c r="P11" s="35"/>
      <c r="Q11" s="35"/>
      <c r="R11" s="35" t="s">
        <v>36</v>
      </c>
      <c r="S11" s="35"/>
      <c r="T11" s="43" t="s">
        <v>463</v>
      </c>
      <c r="U11" s="35" t="s">
        <v>464</v>
      </c>
      <c r="V11" s="42" t="s">
        <v>512</v>
      </c>
      <c r="W11" s="41" t="s">
        <v>513</v>
      </c>
      <c r="X11" s="43" t="s">
        <v>467</v>
      </c>
      <c r="Y11" s="43" t="s">
        <v>468</v>
      </c>
      <c r="Z11" s="43"/>
      <c r="AA11" s="43" t="s">
        <v>469</v>
      </c>
      <c r="AB11" s="43" t="s">
        <v>470</v>
      </c>
      <c r="AC11" s="43"/>
      <c r="AD11" s="41" t="s">
        <v>507</v>
      </c>
      <c r="AE11" s="43" t="s">
        <v>472</v>
      </c>
      <c r="AF11" s="43" t="s">
        <v>470</v>
      </c>
      <c r="AG11" s="43"/>
      <c r="AH11" s="43" t="s">
        <v>473</v>
      </c>
      <c r="AI11" s="43" t="s">
        <v>473</v>
      </c>
      <c r="AJ11" s="41" t="s">
        <v>508</v>
      </c>
      <c r="AK11" s="35" t="s">
        <v>475</v>
      </c>
      <c r="AL11" s="42" t="s">
        <v>476</v>
      </c>
      <c r="AM11" s="61"/>
      <c r="AN11" s="97"/>
      <c r="AO11" s="48" t="b">
        <f>A11=[1]员工报账!A11</f>
        <v>1</v>
      </c>
      <c r="AP11" s="48" t="b">
        <f>B11=[1]员工报账!B11</f>
        <v>1</v>
      </c>
      <c r="AQ11" s="48" t="b">
        <f>C11=[1]员工报账!C11</f>
        <v>1</v>
      </c>
      <c r="AR11" s="48" t="b">
        <f>D11=[1]员工报账!D11</f>
        <v>1</v>
      </c>
      <c r="AS11" s="48" t="b">
        <f>E11=[1]员工报账!E11</f>
        <v>1</v>
      </c>
      <c r="AT11" s="48" t="b">
        <f>F11=[1]员工报账!F11</f>
        <v>1</v>
      </c>
      <c r="AU11" s="48" t="b">
        <f>G11=[1]员工报账!G11</f>
        <v>1</v>
      </c>
      <c r="AV11" s="48" t="b">
        <f>H11=[1]员工报账!H11</f>
        <v>1</v>
      </c>
      <c r="AW11" s="48" t="b">
        <f>I11=[1]员工报账!I11</f>
        <v>1</v>
      </c>
      <c r="AX11" s="48" t="b">
        <f>J11=[1]员工报账!J11</f>
        <v>1</v>
      </c>
      <c r="AY11" s="48" t="b">
        <f>K11=[1]员工报账!K11</f>
        <v>1</v>
      </c>
      <c r="AZ11" s="48" t="b">
        <f>L11=[1]员工报账!L11</f>
        <v>1</v>
      </c>
      <c r="BA11" s="48" t="b">
        <f>M11=[1]员工报账!M11</f>
        <v>1</v>
      </c>
      <c r="BB11" s="48" t="b">
        <f>N11=[1]员工报账!N11</f>
        <v>1</v>
      </c>
      <c r="BC11" s="48" t="b">
        <f>O11=[1]员工报账!O11</f>
        <v>1</v>
      </c>
      <c r="BD11" s="48" t="b">
        <f>P11=[1]员工报账!P11</f>
        <v>1</v>
      </c>
      <c r="BE11" s="48" t="b">
        <f>Q11=[1]员工报账!Q11</f>
        <v>1</v>
      </c>
      <c r="BF11" s="48" t="b">
        <f>R11=[1]员工报账!R11</f>
        <v>1</v>
      </c>
      <c r="BG11" s="48" t="b">
        <f>S11=[1]员工报账!S11</f>
        <v>1</v>
      </c>
      <c r="BH11" s="48" t="b">
        <f>T11=[1]员工报账!T11</f>
        <v>1</v>
      </c>
      <c r="BI11" s="48" t="b">
        <f>U11=[1]员工报账!U11</f>
        <v>1</v>
      </c>
      <c r="BJ11" s="48" t="b">
        <f>V11=[1]员工报账!V11</f>
        <v>1</v>
      </c>
      <c r="BK11" s="48" t="b">
        <f>W11=[1]员工报账!W11</f>
        <v>1</v>
      </c>
      <c r="BL11" s="48" t="b">
        <f>X11=[1]员工报账!X11</f>
        <v>1</v>
      </c>
      <c r="BM11" s="48" t="b">
        <f>Y11=[1]员工报账!Y11</f>
        <v>1</v>
      </c>
      <c r="BN11" s="48" t="b">
        <f>Z11=[1]员工报账!Z11</f>
        <v>1</v>
      </c>
      <c r="BO11" s="48" t="b">
        <f>AA11=[1]员工报账!AA11</f>
        <v>1</v>
      </c>
      <c r="BP11" s="48" t="b">
        <f>AB11=[1]员工报账!AB11</f>
        <v>1</v>
      </c>
      <c r="BQ11" s="48" t="b">
        <f>AC11=[1]员工报账!AC11</f>
        <v>1</v>
      </c>
      <c r="BR11" s="48" t="b">
        <f>AD11=[1]员工报账!AD11</f>
        <v>1</v>
      </c>
      <c r="BS11" s="48" t="b">
        <f>AE11=[1]员工报账!AE11</f>
        <v>1</v>
      </c>
      <c r="BT11" s="48" t="b">
        <f>AF11=[1]员工报账!AF11</f>
        <v>1</v>
      </c>
      <c r="BU11" s="48" t="b">
        <f>AG11=[1]员工报账!AG11</f>
        <v>1</v>
      </c>
      <c r="BV11" s="48" t="b">
        <f>AH11=[1]员工报账!AH11</f>
        <v>1</v>
      </c>
      <c r="BW11" s="48" t="b">
        <f>AI11=[1]员工报账!AI11</f>
        <v>1</v>
      </c>
      <c r="BX11" s="48" t="b">
        <f>AJ11=[1]员工报账!AJ11</f>
        <v>1</v>
      </c>
    </row>
    <row r="12" s="48" customFormat="1" ht="79.2" spans="1:76">
      <c r="A12" s="62"/>
      <c r="B12" s="62"/>
      <c r="C12" s="38"/>
      <c r="D12" s="38"/>
      <c r="E12" s="66"/>
      <c r="F12" s="66"/>
      <c r="G12" s="38"/>
      <c r="H12" s="66"/>
      <c r="I12" s="35" t="s">
        <v>514</v>
      </c>
      <c r="J12" s="42" t="s">
        <v>515</v>
      </c>
      <c r="K12" s="35"/>
      <c r="L12" s="35"/>
      <c r="M12" s="35" t="s">
        <v>36</v>
      </c>
      <c r="N12" s="35"/>
      <c r="O12" s="35"/>
      <c r="P12" s="35"/>
      <c r="Q12" s="35"/>
      <c r="R12" s="35" t="s">
        <v>36</v>
      </c>
      <c r="S12" s="35" t="s">
        <v>36</v>
      </c>
      <c r="T12" s="35" t="s">
        <v>516</v>
      </c>
      <c r="U12" s="42"/>
      <c r="V12" s="42" t="s">
        <v>512</v>
      </c>
      <c r="W12" s="41" t="s">
        <v>517</v>
      </c>
      <c r="X12" s="43" t="s">
        <v>467</v>
      </c>
      <c r="Y12" s="43" t="s">
        <v>468</v>
      </c>
      <c r="Z12" s="43"/>
      <c r="AA12" s="43" t="s">
        <v>469</v>
      </c>
      <c r="AB12" s="43" t="s">
        <v>470</v>
      </c>
      <c r="AC12" s="43"/>
      <c r="AD12" s="41" t="s">
        <v>507</v>
      </c>
      <c r="AE12" s="43" t="s">
        <v>472</v>
      </c>
      <c r="AF12" s="43" t="s">
        <v>470</v>
      </c>
      <c r="AG12" s="43"/>
      <c r="AH12" s="43" t="s">
        <v>473</v>
      </c>
      <c r="AI12" s="43" t="s">
        <v>473</v>
      </c>
      <c r="AJ12" s="41" t="s">
        <v>508</v>
      </c>
      <c r="AK12" s="35" t="s">
        <v>475</v>
      </c>
      <c r="AL12" s="42" t="s">
        <v>476</v>
      </c>
      <c r="AM12" s="61"/>
      <c r="AN12" s="97" t="s">
        <v>509</v>
      </c>
      <c r="AO12" s="48" t="b">
        <f>A12=[1]员工报账!A12</f>
        <v>1</v>
      </c>
      <c r="AP12" s="48" t="b">
        <f>B12=[1]员工报账!B12</f>
        <v>1</v>
      </c>
      <c r="AQ12" s="48" t="b">
        <f>C12=[1]员工报账!C12</f>
        <v>1</v>
      </c>
      <c r="AR12" s="48" t="b">
        <f>D12=[1]员工报账!D12</f>
        <v>1</v>
      </c>
      <c r="AS12" s="48" t="b">
        <f>E12=[1]员工报账!E12</f>
        <v>1</v>
      </c>
      <c r="AT12" s="48" t="b">
        <f>F12=[1]员工报账!F12</f>
        <v>1</v>
      </c>
      <c r="AU12" s="48" t="b">
        <f>G12=[1]员工报账!G12</f>
        <v>1</v>
      </c>
      <c r="AV12" s="48" t="b">
        <f>H12=[1]员工报账!H12</f>
        <v>1</v>
      </c>
      <c r="AW12" s="48" t="b">
        <f>I12=[1]员工报账!I12</f>
        <v>1</v>
      </c>
      <c r="AX12" s="48" t="b">
        <f>J12=[1]员工报账!J12</f>
        <v>1</v>
      </c>
      <c r="AY12" s="48" t="b">
        <f>K12=[1]员工报账!K12</f>
        <v>1</v>
      </c>
      <c r="AZ12" s="48" t="b">
        <f>L12=[1]员工报账!L12</f>
        <v>1</v>
      </c>
      <c r="BA12" s="48" t="b">
        <f>M12=[1]员工报账!M12</f>
        <v>1</v>
      </c>
      <c r="BB12" s="48" t="b">
        <f>N12=[1]员工报账!N12</f>
        <v>1</v>
      </c>
      <c r="BC12" s="48" t="b">
        <f>O12=[1]员工报账!O12</f>
        <v>1</v>
      </c>
      <c r="BD12" s="48" t="b">
        <f>P12=[1]员工报账!P12</f>
        <v>1</v>
      </c>
      <c r="BE12" s="48" t="b">
        <f>Q12=[1]员工报账!Q12</f>
        <v>1</v>
      </c>
      <c r="BF12" s="48" t="b">
        <f>R12=[1]员工报账!R12</f>
        <v>1</v>
      </c>
      <c r="BG12" s="48" t="b">
        <f>S12=[1]员工报账!S12</f>
        <v>1</v>
      </c>
      <c r="BH12" s="48" t="b">
        <f>T12=[1]员工报账!T12</f>
        <v>1</v>
      </c>
      <c r="BI12" s="48" t="b">
        <f>U12=[1]员工报账!U12</f>
        <v>1</v>
      </c>
      <c r="BJ12" s="48" t="b">
        <f>V12=[1]员工报账!V12</f>
        <v>1</v>
      </c>
      <c r="BK12" s="48" t="b">
        <f>W12=[1]员工报账!W12</f>
        <v>0</v>
      </c>
      <c r="BL12" s="48" t="b">
        <f>X12=[1]员工报账!X12</f>
        <v>1</v>
      </c>
      <c r="BM12" s="48" t="b">
        <f>Y12=[1]员工报账!Y12</f>
        <v>1</v>
      </c>
      <c r="BN12" s="48" t="b">
        <f>Z12=[1]员工报账!Z12</f>
        <v>1</v>
      </c>
      <c r="BO12" s="48" t="b">
        <f>AA12=[1]员工报账!AA12</f>
        <v>1</v>
      </c>
      <c r="BP12" s="48" t="b">
        <f>AB12=[1]员工报账!AB12</f>
        <v>1</v>
      </c>
      <c r="BQ12" s="48" t="b">
        <f>AC12=[1]员工报账!AC12</f>
        <v>1</v>
      </c>
      <c r="BR12" s="48" t="b">
        <f>AD12=[1]员工报账!AD12</f>
        <v>1</v>
      </c>
      <c r="BS12" s="48" t="b">
        <f>AE12=[1]员工报账!AE12</f>
        <v>1</v>
      </c>
      <c r="BT12" s="48" t="b">
        <f>AF12=[1]员工报账!AF12</f>
        <v>1</v>
      </c>
      <c r="BU12" s="48" t="b">
        <f>AG12=[1]员工报账!AG12</f>
        <v>1</v>
      </c>
      <c r="BV12" s="48" t="b">
        <f>AH12=[1]员工报账!AH12</f>
        <v>1</v>
      </c>
      <c r="BW12" s="48" t="b">
        <f>AI12=[1]员工报账!AI12</f>
        <v>1</v>
      </c>
      <c r="BX12" s="48" t="b">
        <f>AJ12=[1]员工报账!AJ12</f>
        <v>1</v>
      </c>
    </row>
    <row r="13" s="48" customFormat="1" ht="66" spans="1:76">
      <c r="A13" s="62"/>
      <c r="B13" s="62"/>
      <c r="C13" s="57" t="s">
        <v>498</v>
      </c>
      <c r="D13" s="57" t="s">
        <v>518</v>
      </c>
      <c r="E13" s="58" t="s">
        <v>519</v>
      </c>
      <c r="F13" s="58"/>
      <c r="G13" s="57" t="s">
        <v>520</v>
      </c>
      <c r="H13" s="58" t="s">
        <v>521</v>
      </c>
      <c r="I13" s="35" t="s">
        <v>522</v>
      </c>
      <c r="J13" s="42" t="s">
        <v>523</v>
      </c>
      <c r="K13" s="35"/>
      <c r="L13" s="35"/>
      <c r="M13" s="35"/>
      <c r="N13" s="35"/>
      <c r="O13" s="35" t="s">
        <v>36</v>
      </c>
      <c r="P13" s="35"/>
      <c r="Q13" s="35"/>
      <c r="R13" s="35"/>
      <c r="S13" s="35"/>
      <c r="T13" s="35" t="s">
        <v>497</v>
      </c>
      <c r="U13" s="35" t="s">
        <v>464</v>
      </c>
      <c r="V13" s="42" t="s">
        <v>524</v>
      </c>
      <c r="W13" s="41" t="s">
        <v>525</v>
      </c>
      <c r="X13" s="43" t="s">
        <v>467</v>
      </c>
      <c r="Y13" s="43" t="s">
        <v>468</v>
      </c>
      <c r="Z13" s="43"/>
      <c r="AA13" s="43" t="s">
        <v>469</v>
      </c>
      <c r="AB13" s="43" t="s">
        <v>470</v>
      </c>
      <c r="AC13" s="43"/>
      <c r="AD13" s="41" t="s">
        <v>526</v>
      </c>
      <c r="AE13" s="43" t="s">
        <v>472</v>
      </c>
      <c r="AF13" s="43" t="s">
        <v>470</v>
      </c>
      <c r="AG13" s="43"/>
      <c r="AH13" s="43" t="s">
        <v>473</v>
      </c>
      <c r="AI13" s="43" t="s">
        <v>473</v>
      </c>
      <c r="AJ13" s="41" t="s">
        <v>508</v>
      </c>
      <c r="AK13" s="35" t="s">
        <v>475</v>
      </c>
      <c r="AL13" s="42" t="s">
        <v>476</v>
      </c>
      <c r="AM13" s="61"/>
      <c r="AN13" s="97"/>
      <c r="AO13" s="48" t="b">
        <f>A13=[1]员工报账!A13</f>
        <v>1</v>
      </c>
      <c r="AP13" s="48" t="b">
        <f>B13=[1]员工报账!B13</f>
        <v>1</v>
      </c>
      <c r="AQ13" s="48" t="b">
        <f>C13=[1]员工报账!C13</f>
        <v>1</v>
      </c>
      <c r="AR13" s="48" t="b">
        <f>D13=[1]员工报账!D13</f>
        <v>1</v>
      </c>
      <c r="AS13" s="48" t="b">
        <f>E13=[1]员工报账!E13</f>
        <v>1</v>
      </c>
      <c r="AT13" s="48" t="b">
        <f>F13=[1]员工报账!F13</f>
        <v>1</v>
      </c>
      <c r="AU13" s="48" t="b">
        <f>G13=[1]员工报账!G13</f>
        <v>1</v>
      </c>
      <c r="AV13" s="48" t="b">
        <f>H13=[1]员工报账!H13</f>
        <v>1</v>
      </c>
      <c r="AW13" s="48" t="b">
        <f>I13=[1]员工报账!I13</f>
        <v>1</v>
      </c>
      <c r="AX13" s="48" t="b">
        <f>J13=[1]员工报账!J13</f>
        <v>1</v>
      </c>
      <c r="AY13" s="48" t="b">
        <f>K13=[1]员工报账!K13</f>
        <v>1</v>
      </c>
      <c r="AZ13" s="48" t="b">
        <f>L13=[1]员工报账!L13</f>
        <v>1</v>
      </c>
      <c r="BA13" s="48" t="b">
        <f>M13=[1]员工报账!M13</f>
        <v>1</v>
      </c>
      <c r="BB13" s="48" t="b">
        <f>N13=[1]员工报账!N13</f>
        <v>1</v>
      </c>
      <c r="BC13" s="48" t="b">
        <f>O13=[1]员工报账!O13</f>
        <v>1</v>
      </c>
      <c r="BD13" s="48" t="b">
        <f>P13=[1]员工报账!P13</f>
        <v>1</v>
      </c>
      <c r="BE13" s="48" t="b">
        <f>Q13=[1]员工报账!Q13</f>
        <v>1</v>
      </c>
      <c r="BF13" s="48" t="b">
        <f>R13=[1]员工报账!R13</f>
        <v>1</v>
      </c>
      <c r="BG13" s="48" t="b">
        <f>S13=[1]员工报账!S13</f>
        <v>1</v>
      </c>
      <c r="BH13" s="48" t="b">
        <f>T13=[1]员工报账!T13</f>
        <v>1</v>
      </c>
      <c r="BI13" s="48" t="b">
        <f>U13=[1]员工报账!U13</f>
        <v>1</v>
      </c>
      <c r="BJ13" s="48" t="b">
        <f>V13=[1]员工报账!V13</f>
        <v>1</v>
      </c>
      <c r="BK13" s="48" t="b">
        <f>W13=[1]员工报账!W13</f>
        <v>1</v>
      </c>
      <c r="BL13" s="48" t="b">
        <f>X13=[1]员工报账!X13</f>
        <v>1</v>
      </c>
      <c r="BM13" s="48" t="b">
        <f>Y13=[1]员工报账!Y13</f>
        <v>1</v>
      </c>
      <c r="BN13" s="48" t="b">
        <f>Z13=[1]员工报账!Z13</f>
        <v>1</v>
      </c>
      <c r="BO13" s="48" t="b">
        <f>AA13=[1]员工报账!AA13</f>
        <v>1</v>
      </c>
      <c r="BP13" s="48" t="b">
        <f>AB13=[1]员工报账!AB13</f>
        <v>1</v>
      </c>
      <c r="BQ13" s="48" t="b">
        <f>AC13=[1]员工报账!AC13</f>
        <v>1</v>
      </c>
      <c r="BR13" s="48" t="b">
        <f>AD13=[1]员工报账!AD13</f>
        <v>1</v>
      </c>
      <c r="BS13" s="48" t="b">
        <f>AE13=[1]员工报账!AE13</f>
        <v>1</v>
      </c>
      <c r="BT13" s="48" t="b">
        <f>AF13=[1]员工报账!AF13</f>
        <v>1</v>
      </c>
      <c r="BU13" s="48" t="b">
        <f>AG13=[1]员工报账!AG13</f>
        <v>1</v>
      </c>
      <c r="BV13" s="48" t="b">
        <f>AH13=[1]员工报账!AH13</f>
        <v>1</v>
      </c>
      <c r="BW13" s="48" t="b">
        <f>AI13=[1]员工报账!AI13</f>
        <v>1</v>
      </c>
      <c r="BX13" s="48" t="b">
        <f>AJ13=[1]员工报账!AJ13</f>
        <v>1</v>
      </c>
    </row>
    <row r="14" s="48" customFormat="1" ht="66" spans="1:76">
      <c r="A14" s="62"/>
      <c r="B14" s="62"/>
      <c r="C14" s="63"/>
      <c r="D14" s="63"/>
      <c r="E14" s="64"/>
      <c r="F14" s="64"/>
      <c r="G14" s="63"/>
      <c r="H14" s="64"/>
      <c r="I14" s="35" t="s">
        <v>527</v>
      </c>
      <c r="J14" s="42" t="s">
        <v>528</v>
      </c>
      <c r="K14" s="35"/>
      <c r="L14" s="35"/>
      <c r="M14" s="35"/>
      <c r="N14" s="35"/>
      <c r="O14" s="35" t="s">
        <v>36</v>
      </c>
      <c r="P14" s="35"/>
      <c r="Q14" s="35" t="s">
        <v>36</v>
      </c>
      <c r="R14" s="35"/>
      <c r="S14" s="35" t="s">
        <v>36</v>
      </c>
      <c r="T14" s="35" t="s">
        <v>497</v>
      </c>
      <c r="U14" s="35" t="s">
        <v>464</v>
      </c>
      <c r="V14" s="42" t="s">
        <v>529</v>
      </c>
      <c r="W14" s="41" t="s">
        <v>525</v>
      </c>
      <c r="X14" s="43" t="s">
        <v>467</v>
      </c>
      <c r="Y14" s="43" t="s">
        <v>468</v>
      </c>
      <c r="Z14" s="43"/>
      <c r="AA14" s="43" t="s">
        <v>469</v>
      </c>
      <c r="AB14" s="43" t="s">
        <v>470</v>
      </c>
      <c r="AC14" s="43"/>
      <c r="AD14" s="41" t="s">
        <v>526</v>
      </c>
      <c r="AE14" s="43" t="s">
        <v>472</v>
      </c>
      <c r="AF14" s="43" t="s">
        <v>470</v>
      </c>
      <c r="AG14" s="43"/>
      <c r="AH14" s="43" t="s">
        <v>473</v>
      </c>
      <c r="AI14" s="43" t="s">
        <v>473</v>
      </c>
      <c r="AJ14" s="41" t="s">
        <v>508</v>
      </c>
      <c r="AK14" s="35" t="s">
        <v>475</v>
      </c>
      <c r="AL14" s="42" t="s">
        <v>476</v>
      </c>
      <c r="AM14" s="61"/>
      <c r="AN14" s="97"/>
      <c r="AO14" s="48" t="b">
        <f>A14=[1]员工报账!A14</f>
        <v>1</v>
      </c>
      <c r="AP14" s="48" t="b">
        <f>B14=[1]员工报账!B14</f>
        <v>1</v>
      </c>
      <c r="AQ14" s="48" t="b">
        <f>C14=[1]员工报账!C14</f>
        <v>1</v>
      </c>
      <c r="AR14" s="48" t="b">
        <f>D14=[1]员工报账!D14</f>
        <v>1</v>
      </c>
      <c r="AS14" s="48" t="b">
        <f>E14=[1]员工报账!E14</f>
        <v>1</v>
      </c>
      <c r="AT14" s="48" t="b">
        <f>F14=[1]员工报账!F14</f>
        <v>1</v>
      </c>
      <c r="AU14" s="48" t="b">
        <f>G14=[1]员工报账!G14</f>
        <v>1</v>
      </c>
      <c r="AV14" s="48" t="b">
        <f>H14=[1]员工报账!H14</f>
        <v>1</v>
      </c>
      <c r="AW14" s="48" t="b">
        <f>I14=[1]员工报账!I14</f>
        <v>1</v>
      </c>
      <c r="AX14" s="48" t="b">
        <f>J14=[1]员工报账!J14</f>
        <v>1</v>
      </c>
      <c r="AY14" s="48" t="b">
        <f>K14=[1]员工报账!K14</f>
        <v>1</v>
      </c>
      <c r="AZ14" s="48" t="b">
        <f>L14=[1]员工报账!L14</f>
        <v>1</v>
      </c>
      <c r="BA14" s="48" t="b">
        <f>M14=[1]员工报账!M14</f>
        <v>1</v>
      </c>
      <c r="BB14" s="48" t="b">
        <f>N14=[1]员工报账!N14</f>
        <v>1</v>
      </c>
      <c r="BC14" s="48" t="b">
        <f>O14=[1]员工报账!O14</f>
        <v>1</v>
      </c>
      <c r="BD14" s="48" t="b">
        <f>P14=[1]员工报账!P14</f>
        <v>1</v>
      </c>
      <c r="BE14" s="48" t="b">
        <f>Q14=[1]员工报账!Q14</f>
        <v>1</v>
      </c>
      <c r="BF14" s="48" t="b">
        <f>R14=[1]员工报账!R14</f>
        <v>1</v>
      </c>
      <c r="BG14" s="48" t="b">
        <f>S14=[1]员工报账!S14</f>
        <v>1</v>
      </c>
      <c r="BH14" s="48" t="b">
        <f>T14=[1]员工报账!T14</f>
        <v>1</v>
      </c>
      <c r="BI14" s="48" t="b">
        <f>U14=[1]员工报账!U14</f>
        <v>1</v>
      </c>
      <c r="BJ14" s="48" t="b">
        <f>V14=[1]员工报账!V14</f>
        <v>1</v>
      </c>
      <c r="BK14" s="48" t="b">
        <f>W14=[1]员工报账!W14</f>
        <v>1</v>
      </c>
      <c r="BL14" s="48" t="b">
        <f>X14=[1]员工报账!X14</f>
        <v>1</v>
      </c>
      <c r="BM14" s="48" t="b">
        <f>Y14=[1]员工报账!Y14</f>
        <v>1</v>
      </c>
      <c r="BN14" s="48" t="b">
        <f>Z14=[1]员工报账!Z14</f>
        <v>1</v>
      </c>
      <c r="BO14" s="48" t="b">
        <f>AA14=[1]员工报账!AA14</f>
        <v>1</v>
      </c>
      <c r="BP14" s="48" t="b">
        <f>AB14=[1]员工报账!AB14</f>
        <v>1</v>
      </c>
      <c r="BQ14" s="48" t="b">
        <f>AC14=[1]员工报账!AC14</f>
        <v>1</v>
      </c>
      <c r="BR14" s="48" t="b">
        <f>AD14=[1]员工报账!AD14</f>
        <v>1</v>
      </c>
      <c r="BS14" s="48" t="b">
        <f>AE14=[1]员工报账!AE14</f>
        <v>1</v>
      </c>
      <c r="BT14" s="48" t="b">
        <f>AF14=[1]员工报账!AF14</f>
        <v>1</v>
      </c>
      <c r="BU14" s="48" t="b">
        <f>AG14=[1]员工报账!AG14</f>
        <v>1</v>
      </c>
      <c r="BV14" s="48" t="b">
        <f>AH14=[1]员工报账!AH14</f>
        <v>1</v>
      </c>
      <c r="BW14" s="48" t="b">
        <f>AI14=[1]员工报账!AI14</f>
        <v>1</v>
      </c>
      <c r="BX14" s="48" t="b">
        <f>AJ14=[1]员工报账!AJ14</f>
        <v>1</v>
      </c>
    </row>
    <row r="15" s="48" customFormat="1" ht="66" spans="1:76">
      <c r="A15" s="62"/>
      <c r="B15" s="62"/>
      <c r="C15" s="38"/>
      <c r="D15" s="38"/>
      <c r="E15" s="66"/>
      <c r="F15" s="66"/>
      <c r="G15" s="38"/>
      <c r="H15" s="66"/>
      <c r="I15" s="35" t="s">
        <v>530</v>
      </c>
      <c r="J15" s="42" t="s">
        <v>531</v>
      </c>
      <c r="K15" s="35"/>
      <c r="L15" s="35"/>
      <c r="M15" s="35"/>
      <c r="N15" s="35"/>
      <c r="O15" s="35"/>
      <c r="P15" s="35"/>
      <c r="Q15" s="35"/>
      <c r="R15" s="35" t="s">
        <v>36</v>
      </c>
      <c r="S15" s="35" t="s">
        <v>36</v>
      </c>
      <c r="T15" s="35" t="s">
        <v>516</v>
      </c>
      <c r="U15" s="42"/>
      <c r="V15" s="42" t="s">
        <v>532</v>
      </c>
      <c r="W15" s="41" t="s">
        <v>525</v>
      </c>
      <c r="X15" s="43" t="s">
        <v>467</v>
      </c>
      <c r="Y15" s="43" t="s">
        <v>468</v>
      </c>
      <c r="Z15" s="43"/>
      <c r="AA15" s="43" t="s">
        <v>469</v>
      </c>
      <c r="AB15" s="43" t="s">
        <v>470</v>
      </c>
      <c r="AC15" s="43"/>
      <c r="AD15" s="41" t="s">
        <v>526</v>
      </c>
      <c r="AE15" s="43" t="s">
        <v>472</v>
      </c>
      <c r="AF15" s="43" t="s">
        <v>470</v>
      </c>
      <c r="AG15" s="43"/>
      <c r="AH15" s="43" t="s">
        <v>473</v>
      </c>
      <c r="AI15" s="43" t="s">
        <v>473</v>
      </c>
      <c r="AJ15" s="41" t="s">
        <v>508</v>
      </c>
      <c r="AK15" s="35" t="s">
        <v>475</v>
      </c>
      <c r="AL15" s="42" t="s">
        <v>476</v>
      </c>
      <c r="AM15" s="61"/>
      <c r="AN15" s="97"/>
      <c r="AO15" s="48" t="b">
        <f>A15=[1]员工报账!A15</f>
        <v>1</v>
      </c>
      <c r="AP15" s="48" t="b">
        <f>B15=[1]员工报账!B15</f>
        <v>1</v>
      </c>
      <c r="AQ15" s="48" t="b">
        <f>C15=[1]员工报账!C15</f>
        <v>1</v>
      </c>
      <c r="AR15" s="48" t="b">
        <f>D15=[1]员工报账!D15</f>
        <v>1</v>
      </c>
      <c r="AS15" s="48" t="b">
        <f>E15=[1]员工报账!E15</f>
        <v>1</v>
      </c>
      <c r="AT15" s="48" t="b">
        <f>F15=[1]员工报账!F15</f>
        <v>1</v>
      </c>
      <c r="AU15" s="48" t="b">
        <f>G15=[1]员工报账!G15</f>
        <v>1</v>
      </c>
      <c r="AV15" s="48" t="b">
        <f>H15=[1]员工报账!H15</f>
        <v>1</v>
      </c>
      <c r="AW15" s="48" t="b">
        <f>I15=[1]员工报账!I15</f>
        <v>1</v>
      </c>
      <c r="AX15" s="48" t="b">
        <f>J15=[1]员工报账!J15</f>
        <v>1</v>
      </c>
      <c r="AY15" s="48" t="b">
        <f>K15=[1]员工报账!K15</f>
        <v>1</v>
      </c>
      <c r="AZ15" s="48" t="b">
        <f>L15=[1]员工报账!L15</f>
        <v>1</v>
      </c>
      <c r="BA15" s="48" t="b">
        <f>M15=[1]员工报账!M15</f>
        <v>1</v>
      </c>
      <c r="BB15" s="48" t="b">
        <f>N15=[1]员工报账!N15</f>
        <v>1</v>
      </c>
      <c r="BC15" s="48" t="b">
        <f>O15=[1]员工报账!O15</f>
        <v>1</v>
      </c>
      <c r="BD15" s="48" t="b">
        <f>P15=[1]员工报账!P15</f>
        <v>1</v>
      </c>
      <c r="BE15" s="48" t="b">
        <f>Q15=[1]员工报账!Q15</f>
        <v>1</v>
      </c>
      <c r="BF15" s="48" t="b">
        <f>R15=[1]员工报账!R15</f>
        <v>1</v>
      </c>
      <c r="BG15" s="48" t="b">
        <f>S15=[1]员工报账!S15</f>
        <v>1</v>
      </c>
      <c r="BH15" s="48" t="b">
        <f>T15=[1]员工报账!T15</f>
        <v>1</v>
      </c>
      <c r="BI15" s="48" t="b">
        <f>U15=[1]员工报账!U15</f>
        <v>1</v>
      </c>
      <c r="BJ15" s="48" t="b">
        <f>V15=[1]员工报账!V15</f>
        <v>1</v>
      </c>
      <c r="BK15" s="48" t="b">
        <f>W15=[1]员工报账!W15</f>
        <v>1</v>
      </c>
      <c r="BL15" s="48" t="b">
        <f>X15=[1]员工报账!X15</f>
        <v>1</v>
      </c>
      <c r="BM15" s="48" t="b">
        <f>Y15=[1]员工报账!Y15</f>
        <v>1</v>
      </c>
      <c r="BN15" s="48" t="b">
        <f>Z15=[1]员工报账!Z15</f>
        <v>1</v>
      </c>
      <c r="BO15" s="48" t="b">
        <f>AA15=[1]员工报账!AA15</f>
        <v>1</v>
      </c>
      <c r="BP15" s="48" t="b">
        <f>AB15=[1]员工报账!AB15</f>
        <v>1</v>
      </c>
      <c r="BQ15" s="48" t="b">
        <f>AC15=[1]员工报账!AC15</f>
        <v>1</v>
      </c>
      <c r="BR15" s="48" t="b">
        <f>AD15=[1]员工报账!AD15</f>
        <v>1</v>
      </c>
      <c r="BS15" s="48" t="b">
        <f>AE15=[1]员工报账!AE15</f>
        <v>1</v>
      </c>
      <c r="BT15" s="48" t="b">
        <f>AF15=[1]员工报账!AF15</f>
        <v>1</v>
      </c>
      <c r="BU15" s="48" t="b">
        <f>AG15=[1]员工报账!AG15</f>
        <v>1</v>
      </c>
      <c r="BV15" s="48" t="b">
        <f>AH15=[1]员工报账!AH15</f>
        <v>1</v>
      </c>
      <c r="BW15" s="48" t="b">
        <f>AI15=[1]员工报账!AI15</f>
        <v>1</v>
      </c>
      <c r="BX15" s="48" t="b">
        <f>AJ15=[1]员工报账!AJ15</f>
        <v>1</v>
      </c>
    </row>
    <row r="16" s="48" customFormat="1" ht="92.4" spans="1:76">
      <c r="A16" s="62"/>
      <c r="B16" s="62"/>
      <c r="C16" s="57" t="s">
        <v>455</v>
      </c>
      <c r="D16" s="57" t="s">
        <v>518</v>
      </c>
      <c r="E16" s="58" t="s">
        <v>533</v>
      </c>
      <c r="F16" s="59" t="s">
        <v>500</v>
      </c>
      <c r="G16" s="57" t="s">
        <v>534</v>
      </c>
      <c r="H16" s="58" t="s">
        <v>535</v>
      </c>
      <c r="I16" s="35" t="s">
        <v>536</v>
      </c>
      <c r="J16" s="42" t="s">
        <v>537</v>
      </c>
      <c r="K16" s="35"/>
      <c r="L16" s="35" t="s">
        <v>36</v>
      </c>
      <c r="M16" s="35"/>
      <c r="N16" s="35"/>
      <c r="O16" s="35" t="s">
        <v>36</v>
      </c>
      <c r="P16" s="35"/>
      <c r="Q16" s="35"/>
      <c r="R16" s="35"/>
      <c r="S16" s="35"/>
      <c r="T16" s="43" t="s">
        <v>463</v>
      </c>
      <c r="U16" s="35" t="s">
        <v>464</v>
      </c>
      <c r="V16" s="42" t="s">
        <v>538</v>
      </c>
      <c r="W16" s="41" t="s">
        <v>539</v>
      </c>
      <c r="X16" s="43" t="s">
        <v>467</v>
      </c>
      <c r="Y16" s="43" t="s">
        <v>468</v>
      </c>
      <c r="Z16" s="43"/>
      <c r="AA16" s="43" t="s">
        <v>469</v>
      </c>
      <c r="AB16" s="43" t="s">
        <v>470</v>
      </c>
      <c r="AC16" s="43"/>
      <c r="AD16" s="41" t="s">
        <v>526</v>
      </c>
      <c r="AE16" s="43" t="s">
        <v>472</v>
      </c>
      <c r="AF16" s="43" t="s">
        <v>470</v>
      </c>
      <c r="AG16" s="43"/>
      <c r="AH16" s="43" t="s">
        <v>473</v>
      </c>
      <c r="AI16" s="43" t="s">
        <v>473</v>
      </c>
      <c r="AJ16" s="41" t="s">
        <v>508</v>
      </c>
      <c r="AK16" s="35" t="s">
        <v>475</v>
      </c>
      <c r="AL16" s="42" t="s">
        <v>476</v>
      </c>
      <c r="AM16" s="61"/>
      <c r="AN16" s="97" t="s">
        <v>509</v>
      </c>
      <c r="AO16" s="48" t="b">
        <f>A16=[1]员工报账!A16</f>
        <v>1</v>
      </c>
      <c r="AP16" s="48" t="b">
        <f>B16=[1]员工报账!B16</f>
        <v>1</v>
      </c>
      <c r="AQ16" s="48" t="b">
        <f>C16=[1]员工报账!C16</f>
        <v>1</v>
      </c>
      <c r="AR16" s="48" t="b">
        <f>D16=[1]员工报账!D16</f>
        <v>1</v>
      </c>
      <c r="AS16" s="48" t="b">
        <f>E16=[1]员工报账!E16</f>
        <v>1</v>
      </c>
      <c r="AT16" s="48" t="b">
        <f>F16=[1]员工报账!F16</f>
        <v>1</v>
      </c>
      <c r="AU16" s="48" t="b">
        <f>G16=[1]员工报账!G16</f>
        <v>1</v>
      </c>
      <c r="AV16" s="48" t="b">
        <f>H16=[1]员工报账!H16</f>
        <v>1</v>
      </c>
      <c r="AW16" s="48" t="b">
        <f>I16=[1]员工报账!I16</f>
        <v>1</v>
      </c>
      <c r="AX16" s="48" t="b">
        <f>J16=[1]员工报账!J16</f>
        <v>1</v>
      </c>
      <c r="AY16" s="48" t="b">
        <f>K16=[1]员工报账!K16</f>
        <v>1</v>
      </c>
      <c r="AZ16" s="48" t="b">
        <f>L16=[1]员工报账!L16</f>
        <v>1</v>
      </c>
      <c r="BA16" s="48" t="b">
        <f>M16=[1]员工报账!M16</f>
        <v>1</v>
      </c>
      <c r="BB16" s="48" t="b">
        <f>N16=[1]员工报账!N16</f>
        <v>1</v>
      </c>
      <c r="BC16" s="48" t="b">
        <f>O16=[1]员工报账!O16</f>
        <v>1</v>
      </c>
      <c r="BD16" s="48" t="b">
        <f>P16=[1]员工报账!P16</f>
        <v>1</v>
      </c>
      <c r="BE16" s="48" t="b">
        <f>Q16=[1]员工报账!Q16</f>
        <v>1</v>
      </c>
      <c r="BF16" s="48" t="b">
        <f>R16=[1]员工报账!R16</f>
        <v>1</v>
      </c>
      <c r="BG16" s="48" t="b">
        <f>S16=[1]员工报账!S16</f>
        <v>1</v>
      </c>
      <c r="BH16" s="48" t="b">
        <f>T16=[1]员工报账!T16</f>
        <v>1</v>
      </c>
      <c r="BI16" s="48" t="b">
        <f>U16=[1]员工报账!U16</f>
        <v>1</v>
      </c>
      <c r="BJ16" s="48" t="b">
        <f>V16=[1]员工报账!V16</f>
        <v>1</v>
      </c>
      <c r="BK16" s="48" t="b">
        <f>W16=[1]员工报账!W16</f>
        <v>0</v>
      </c>
      <c r="BL16" s="48" t="b">
        <f>X16=[1]员工报账!X16</f>
        <v>1</v>
      </c>
      <c r="BM16" s="48" t="b">
        <f>Y16=[1]员工报账!Y16</f>
        <v>1</v>
      </c>
      <c r="BN16" s="48" t="b">
        <f>Z16=[1]员工报账!Z16</f>
        <v>1</v>
      </c>
      <c r="BO16" s="48" t="b">
        <f>AA16=[1]员工报账!AA16</f>
        <v>1</v>
      </c>
      <c r="BP16" s="48" t="b">
        <f>AB16=[1]员工报账!AB16</f>
        <v>1</v>
      </c>
      <c r="BQ16" s="48" t="b">
        <f>AC16=[1]员工报账!AC16</f>
        <v>1</v>
      </c>
      <c r="BR16" s="48" t="b">
        <f>AD16=[1]员工报账!AD16</f>
        <v>1</v>
      </c>
      <c r="BS16" s="48" t="b">
        <f>AE16=[1]员工报账!AE16</f>
        <v>1</v>
      </c>
      <c r="BT16" s="48" t="b">
        <f>AF16=[1]员工报账!AF16</f>
        <v>1</v>
      </c>
      <c r="BU16" s="48" t="b">
        <f>AG16=[1]员工报账!AG16</f>
        <v>1</v>
      </c>
      <c r="BV16" s="48" t="b">
        <f>AH16=[1]员工报账!AH16</f>
        <v>1</v>
      </c>
      <c r="BW16" s="48" t="b">
        <f>AI16=[1]员工报账!AI16</f>
        <v>1</v>
      </c>
      <c r="BX16" s="48" t="b">
        <f>AJ16=[1]员工报账!AJ16</f>
        <v>1</v>
      </c>
    </row>
    <row r="17" s="48" customFormat="1" ht="79.2" spans="1:76">
      <c r="A17" s="62"/>
      <c r="B17" s="62"/>
      <c r="C17" s="63"/>
      <c r="D17" s="63"/>
      <c r="E17" s="64"/>
      <c r="F17" s="69"/>
      <c r="G17" s="63"/>
      <c r="H17" s="64"/>
      <c r="I17" s="35" t="s">
        <v>540</v>
      </c>
      <c r="J17" s="42" t="s">
        <v>541</v>
      </c>
      <c r="K17" s="35"/>
      <c r="L17" s="35"/>
      <c r="M17" s="35"/>
      <c r="N17" s="35"/>
      <c r="O17" s="35" t="s">
        <v>36</v>
      </c>
      <c r="P17" s="35"/>
      <c r="Q17" s="35"/>
      <c r="R17" s="35"/>
      <c r="S17" s="35"/>
      <c r="T17" s="43" t="s">
        <v>463</v>
      </c>
      <c r="U17" s="35" t="s">
        <v>464</v>
      </c>
      <c r="V17" s="42" t="s">
        <v>542</v>
      </c>
      <c r="W17" s="41" t="s">
        <v>525</v>
      </c>
      <c r="X17" s="43" t="s">
        <v>467</v>
      </c>
      <c r="Y17" s="43" t="s">
        <v>468</v>
      </c>
      <c r="Z17" s="43"/>
      <c r="AA17" s="43" t="s">
        <v>469</v>
      </c>
      <c r="AB17" s="43" t="s">
        <v>470</v>
      </c>
      <c r="AC17" s="43"/>
      <c r="AD17" s="41" t="s">
        <v>526</v>
      </c>
      <c r="AE17" s="43" t="s">
        <v>472</v>
      </c>
      <c r="AF17" s="43" t="s">
        <v>470</v>
      </c>
      <c r="AG17" s="43"/>
      <c r="AH17" s="43" t="s">
        <v>473</v>
      </c>
      <c r="AI17" s="43" t="s">
        <v>473</v>
      </c>
      <c r="AJ17" s="41" t="s">
        <v>508</v>
      </c>
      <c r="AK17" s="35" t="s">
        <v>475</v>
      </c>
      <c r="AL17" s="42" t="s">
        <v>476</v>
      </c>
      <c r="AM17" s="61"/>
      <c r="AN17" s="97"/>
      <c r="AO17" s="48" t="b">
        <f>A17=[1]员工报账!A17</f>
        <v>1</v>
      </c>
      <c r="AP17" s="48" t="b">
        <f>B17=[1]员工报账!B17</f>
        <v>1</v>
      </c>
      <c r="AQ17" s="48" t="b">
        <f>C17=[1]员工报账!C17</f>
        <v>1</v>
      </c>
      <c r="AR17" s="48" t="b">
        <f>D17=[1]员工报账!D17</f>
        <v>1</v>
      </c>
      <c r="AS17" s="48" t="b">
        <f>E17=[1]员工报账!E17</f>
        <v>1</v>
      </c>
      <c r="AT17" s="48" t="b">
        <f>F17=[1]员工报账!F17</f>
        <v>1</v>
      </c>
      <c r="AU17" s="48" t="b">
        <f>G17=[1]员工报账!G17</f>
        <v>1</v>
      </c>
      <c r="AV17" s="48" t="b">
        <f>H17=[1]员工报账!H17</f>
        <v>1</v>
      </c>
      <c r="AW17" s="48" t="b">
        <f>I17=[1]员工报账!I17</f>
        <v>1</v>
      </c>
      <c r="AX17" s="48" t="b">
        <f>J17=[1]员工报账!J17</f>
        <v>1</v>
      </c>
      <c r="AY17" s="48" t="b">
        <f>K17=[1]员工报账!K17</f>
        <v>1</v>
      </c>
      <c r="AZ17" s="48" t="b">
        <f>L17=[1]员工报账!L17</f>
        <v>1</v>
      </c>
      <c r="BA17" s="48" t="b">
        <f>M17=[1]员工报账!M17</f>
        <v>1</v>
      </c>
      <c r="BB17" s="48" t="b">
        <f>N17=[1]员工报账!N17</f>
        <v>1</v>
      </c>
      <c r="BC17" s="48" t="b">
        <f>O17=[1]员工报账!O17</f>
        <v>1</v>
      </c>
      <c r="BD17" s="48" t="b">
        <f>P17=[1]员工报账!P17</f>
        <v>1</v>
      </c>
      <c r="BE17" s="48" t="b">
        <f>Q17=[1]员工报账!Q17</f>
        <v>1</v>
      </c>
      <c r="BF17" s="48" t="b">
        <f>R17=[1]员工报账!R17</f>
        <v>1</v>
      </c>
      <c r="BG17" s="48" t="b">
        <f>S17=[1]员工报账!S17</f>
        <v>1</v>
      </c>
      <c r="BH17" s="48" t="b">
        <f>T17=[1]员工报账!T17</f>
        <v>1</v>
      </c>
      <c r="BI17" s="48" t="b">
        <f>U17=[1]员工报账!U17</f>
        <v>1</v>
      </c>
      <c r="BJ17" s="48" t="b">
        <f>V17=[1]员工报账!V17</f>
        <v>1</v>
      </c>
      <c r="BK17" s="48" t="b">
        <f>W17=[1]员工报账!W17</f>
        <v>1</v>
      </c>
      <c r="BL17" s="48" t="b">
        <f>X17=[1]员工报账!X17</f>
        <v>1</v>
      </c>
      <c r="BM17" s="48" t="b">
        <f>Y17=[1]员工报账!Y17</f>
        <v>1</v>
      </c>
      <c r="BN17" s="48" t="b">
        <f>Z17=[1]员工报账!Z17</f>
        <v>1</v>
      </c>
      <c r="BO17" s="48" t="b">
        <f>AA17=[1]员工报账!AA17</f>
        <v>1</v>
      </c>
      <c r="BP17" s="48" t="b">
        <f>AB17=[1]员工报账!AB17</f>
        <v>1</v>
      </c>
      <c r="BQ17" s="48" t="b">
        <f>AC17=[1]员工报账!AC17</f>
        <v>1</v>
      </c>
      <c r="BR17" s="48" t="b">
        <f>AD17=[1]员工报账!AD17</f>
        <v>1</v>
      </c>
      <c r="BS17" s="48" t="b">
        <f>AE17=[1]员工报账!AE17</f>
        <v>1</v>
      </c>
      <c r="BT17" s="48" t="b">
        <f>AF17=[1]员工报账!AF17</f>
        <v>1</v>
      </c>
      <c r="BU17" s="48" t="b">
        <f>AG17=[1]员工报账!AG17</f>
        <v>1</v>
      </c>
      <c r="BV17" s="48" t="b">
        <f>AH17=[1]员工报账!AH17</f>
        <v>1</v>
      </c>
      <c r="BW17" s="48" t="b">
        <f>AI17=[1]员工报账!AI17</f>
        <v>1</v>
      </c>
      <c r="BX17" s="48" t="b">
        <f>AJ17=[1]员工报账!AJ17</f>
        <v>1</v>
      </c>
    </row>
    <row r="18" s="48" customFormat="1" ht="92.4" spans="1:76">
      <c r="A18" s="67"/>
      <c r="B18" s="67"/>
      <c r="C18" s="38"/>
      <c r="D18" s="38"/>
      <c r="E18" s="66"/>
      <c r="F18" s="70"/>
      <c r="G18" s="38"/>
      <c r="H18" s="66"/>
      <c r="I18" s="35" t="s">
        <v>543</v>
      </c>
      <c r="J18" s="42" t="s">
        <v>544</v>
      </c>
      <c r="K18" s="35"/>
      <c r="L18" s="35"/>
      <c r="M18" s="35" t="s">
        <v>36</v>
      </c>
      <c r="N18" s="35"/>
      <c r="O18" s="35"/>
      <c r="P18" s="35"/>
      <c r="Q18" s="35"/>
      <c r="R18" s="35" t="s">
        <v>36</v>
      </c>
      <c r="S18" s="35"/>
      <c r="T18" s="43" t="s">
        <v>463</v>
      </c>
      <c r="U18" s="35" t="s">
        <v>464</v>
      </c>
      <c r="V18" s="42" t="s">
        <v>545</v>
      </c>
      <c r="W18" s="41" t="s">
        <v>525</v>
      </c>
      <c r="X18" s="43" t="s">
        <v>467</v>
      </c>
      <c r="Y18" s="43" t="s">
        <v>468</v>
      </c>
      <c r="Z18" s="43"/>
      <c r="AA18" s="43" t="s">
        <v>469</v>
      </c>
      <c r="AB18" s="43" t="s">
        <v>470</v>
      </c>
      <c r="AC18" s="43"/>
      <c r="AD18" s="41" t="s">
        <v>526</v>
      </c>
      <c r="AE18" s="43" t="s">
        <v>472</v>
      </c>
      <c r="AF18" s="43" t="s">
        <v>470</v>
      </c>
      <c r="AG18" s="43"/>
      <c r="AH18" s="43" t="s">
        <v>473</v>
      </c>
      <c r="AI18" s="43" t="s">
        <v>473</v>
      </c>
      <c r="AJ18" s="41" t="s">
        <v>508</v>
      </c>
      <c r="AK18" s="35" t="s">
        <v>475</v>
      </c>
      <c r="AL18" s="42" t="s">
        <v>476</v>
      </c>
      <c r="AM18" s="61"/>
      <c r="AN18" s="97"/>
      <c r="AO18" s="48" t="b">
        <f>A18=[1]员工报账!A18</f>
        <v>1</v>
      </c>
      <c r="AP18" s="48" t="b">
        <f>B18=[1]员工报账!B18</f>
        <v>1</v>
      </c>
      <c r="AQ18" s="48" t="b">
        <f>C18=[1]员工报账!C18</f>
        <v>1</v>
      </c>
      <c r="AR18" s="48" t="b">
        <f>D18=[1]员工报账!D18</f>
        <v>1</v>
      </c>
      <c r="AS18" s="48" t="b">
        <f>E18=[1]员工报账!E18</f>
        <v>1</v>
      </c>
      <c r="AT18" s="48" t="b">
        <f>F18=[1]员工报账!F18</f>
        <v>1</v>
      </c>
      <c r="AU18" s="48" t="b">
        <f>G18=[1]员工报账!G18</f>
        <v>1</v>
      </c>
      <c r="AV18" s="48" t="b">
        <f>H18=[1]员工报账!H18</f>
        <v>1</v>
      </c>
      <c r="AW18" s="48" t="b">
        <f>I18=[1]员工报账!I18</f>
        <v>1</v>
      </c>
      <c r="AX18" s="48" t="b">
        <f>J18=[1]员工报账!J18</f>
        <v>1</v>
      </c>
      <c r="AY18" s="48" t="b">
        <f>K18=[1]员工报账!K18</f>
        <v>1</v>
      </c>
      <c r="AZ18" s="48" t="b">
        <f>L18=[1]员工报账!L18</f>
        <v>1</v>
      </c>
      <c r="BA18" s="48" t="b">
        <f>M18=[1]员工报账!M18</f>
        <v>1</v>
      </c>
      <c r="BB18" s="48" t="b">
        <f>N18=[1]员工报账!N18</f>
        <v>1</v>
      </c>
      <c r="BC18" s="48" t="b">
        <f>O18=[1]员工报账!O18</f>
        <v>1</v>
      </c>
      <c r="BD18" s="48" t="b">
        <f>P18=[1]员工报账!P18</f>
        <v>1</v>
      </c>
      <c r="BE18" s="48" t="b">
        <f>Q18=[1]员工报账!Q18</f>
        <v>1</v>
      </c>
      <c r="BF18" s="48" t="b">
        <f>R18=[1]员工报账!R18</f>
        <v>1</v>
      </c>
      <c r="BG18" s="48" t="b">
        <f>S18=[1]员工报账!S18</f>
        <v>1</v>
      </c>
      <c r="BH18" s="48" t="b">
        <f>T18=[1]员工报账!T18</f>
        <v>1</v>
      </c>
      <c r="BI18" s="48" t="b">
        <f>U18=[1]员工报账!U18</f>
        <v>1</v>
      </c>
      <c r="BJ18" s="48" t="b">
        <f>V18=[1]员工报账!V18</f>
        <v>1</v>
      </c>
      <c r="BK18" s="48" t="b">
        <f>W18=[1]员工报账!W18</f>
        <v>1</v>
      </c>
      <c r="BL18" s="48" t="b">
        <f>X18=[1]员工报账!X18</f>
        <v>1</v>
      </c>
      <c r="BM18" s="48" t="b">
        <f>Y18=[1]员工报账!Y18</f>
        <v>1</v>
      </c>
      <c r="BN18" s="48" t="b">
        <f>Z18=[1]员工报账!Z18</f>
        <v>1</v>
      </c>
      <c r="BO18" s="48" t="b">
        <f>AA18=[1]员工报账!AA18</f>
        <v>1</v>
      </c>
      <c r="BP18" s="48" t="b">
        <f>AB18=[1]员工报账!AB18</f>
        <v>1</v>
      </c>
      <c r="BQ18" s="48" t="b">
        <f>AC18=[1]员工报账!AC18</f>
        <v>1</v>
      </c>
      <c r="BR18" s="48" t="b">
        <f>AD18=[1]员工报账!AD18</f>
        <v>1</v>
      </c>
      <c r="BS18" s="48" t="b">
        <f>AE18=[1]员工报账!AE18</f>
        <v>1</v>
      </c>
      <c r="BT18" s="48" t="b">
        <f>AF18=[1]员工报账!AF18</f>
        <v>1</v>
      </c>
      <c r="BU18" s="48" t="b">
        <f>AG18=[1]员工报账!AG18</f>
        <v>1</v>
      </c>
      <c r="BV18" s="48" t="b">
        <f>AH18=[1]员工报账!AH18</f>
        <v>1</v>
      </c>
      <c r="BW18" s="48" t="b">
        <f>AI18=[1]员工报账!AI18</f>
        <v>1</v>
      </c>
      <c r="BX18" s="48" t="b">
        <f>AJ18=[1]员工报账!AJ18</f>
        <v>1</v>
      </c>
    </row>
    <row r="19" s="48" customFormat="1" ht="132" spans="1:76">
      <c r="A19" s="56" t="s">
        <v>453</v>
      </c>
      <c r="B19" s="56" t="s">
        <v>454</v>
      </c>
      <c r="C19" s="63" t="s">
        <v>455</v>
      </c>
      <c r="D19" s="38" t="s">
        <v>518</v>
      </c>
      <c r="E19" s="66" t="s">
        <v>533</v>
      </c>
      <c r="F19" s="70" t="s">
        <v>500</v>
      </c>
      <c r="G19" s="38" t="s">
        <v>534</v>
      </c>
      <c r="H19" s="66" t="s">
        <v>535</v>
      </c>
      <c r="I19" s="35" t="s">
        <v>546</v>
      </c>
      <c r="J19" s="42" t="s">
        <v>547</v>
      </c>
      <c r="K19" s="35"/>
      <c r="L19" s="35"/>
      <c r="M19" s="35"/>
      <c r="N19" s="35"/>
      <c r="O19" s="35"/>
      <c r="P19" s="35"/>
      <c r="Q19" s="35"/>
      <c r="R19" s="35" t="s">
        <v>36</v>
      </c>
      <c r="S19" s="35" t="s">
        <v>36</v>
      </c>
      <c r="T19" s="35" t="s">
        <v>516</v>
      </c>
      <c r="U19" s="42"/>
      <c r="V19" s="42" t="s">
        <v>548</v>
      </c>
      <c r="W19" s="41" t="s">
        <v>525</v>
      </c>
      <c r="X19" s="43" t="s">
        <v>467</v>
      </c>
      <c r="Y19" s="43" t="s">
        <v>468</v>
      </c>
      <c r="Z19" s="43"/>
      <c r="AA19" s="43" t="s">
        <v>469</v>
      </c>
      <c r="AB19" s="43" t="s">
        <v>470</v>
      </c>
      <c r="AC19" s="43"/>
      <c r="AD19" s="41" t="s">
        <v>526</v>
      </c>
      <c r="AE19" s="43" t="s">
        <v>472</v>
      </c>
      <c r="AF19" s="43" t="s">
        <v>470</v>
      </c>
      <c r="AG19" s="43"/>
      <c r="AH19" s="43" t="s">
        <v>473</v>
      </c>
      <c r="AI19" s="43" t="s">
        <v>473</v>
      </c>
      <c r="AJ19" s="41" t="s">
        <v>508</v>
      </c>
      <c r="AK19" s="35" t="s">
        <v>475</v>
      </c>
      <c r="AL19" s="42" t="s">
        <v>476</v>
      </c>
      <c r="AM19" s="61"/>
      <c r="AN19" s="97"/>
      <c r="AO19" s="48" t="b">
        <f>A19=[1]员工报账!A19</f>
        <v>1</v>
      </c>
      <c r="AP19" s="48" t="b">
        <f>B19=[1]员工报账!B19</f>
        <v>1</v>
      </c>
      <c r="AQ19" s="48" t="b">
        <f>C19=[1]员工报账!C19</f>
        <v>1</v>
      </c>
      <c r="AR19" s="48" t="b">
        <f>D19=[1]员工报账!D19</f>
        <v>1</v>
      </c>
      <c r="AS19" s="48" t="b">
        <f>E19=[1]员工报账!E19</f>
        <v>1</v>
      </c>
      <c r="AT19" s="48" t="b">
        <f>F19=[1]员工报账!F19</f>
        <v>1</v>
      </c>
      <c r="AU19" s="48" t="b">
        <f>G19=[1]员工报账!G19</f>
        <v>1</v>
      </c>
      <c r="AV19" s="48" t="b">
        <f>H19=[1]员工报账!H19</f>
        <v>1</v>
      </c>
      <c r="AW19" s="48" t="b">
        <f>I19=[1]员工报账!I19</f>
        <v>1</v>
      </c>
      <c r="AX19" s="48" t="b">
        <f>J19=[1]员工报账!J19</f>
        <v>1</v>
      </c>
      <c r="AY19" s="48" t="b">
        <f>K19=[1]员工报账!K19</f>
        <v>1</v>
      </c>
      <c r="AZ19" s="48" t="b">
        <f>L19=[1]员工报账!L19</f>
        <v>1</v>
      </c>
      <c r="BA19" s="48" t="b">
        <f>M19=[1]员工报账!M19</f>
        <v>1</v>
      </c>
      <c r="BB19" s="48" t="b">
        <f>N19=[1]员工报账!N19</f>
        <v>1</v>
      </c>
      <c r="BC19" s="48" t="b">
        <f>O19=[1]员工报账!O19</f>
        <v>1</v>
      </c>
      <c r="BD19" s="48" t="b">
        <f>P19=[1]员工报账!P19</f>
        <v>1</v>
      </c>
      <c r="BE19" s="48" t="b">
        <f>Q19=[1]员工报账!Q19</f>
        <v>1</v>
      </c>
      <c r="BF19" s="48" t="b">
        <f>R19=[1]员工报账!R19</f>
        <v>1</v>
      </c>
      <c r="BG19" s="48" t="b">
        <f>S19=[1]员工报账!S19</f>
        <v>1</v>
      </c>
      <c r="BH19" s="48" t="b">
        <f>T19=[1]员工报账!T19</f>
        <v>1</v>
      </c>
      <c r="BI19" s="48" t="b">
        <f>U19=[1]员工报账!U19</f>
        <v>1</v>
      </c>
      <c r="BJ19" s="48" t="b">
        <f>V19=[1]员工报账!V19</f>
        <v>1</v>
      </c>
      <c r="BK19" s="48" t="b">
        <f>W19=[1]员工报账!W19</f>
        <v>1</v>
      </c>
      <c r="BL19" s="48" t="b">
        <f>X19=[1]员工报账!X19</f>
        <v>1</v>
      </c>
      <c r="BM19" s="48" t="b">
        <f>Y19=[1]员工报账!Y19</f>
        <v>1</v>
      </c>
      <c r="BN19" s="48" t="b">
        <f>Z19=[1]员工报账!Z19</f>
        <v>1</v>
      </c>
      <c r="BO19" s="48" t="b">
        <f>AA19=[1]员工报账!AA19</f>
        <v>1</v>
      </c>
      <c r="BP19" s="48" t="b">
        <f>AB19=[1]员工报账!AB19</f>
        <v>1</v>
      </c>
      <c r="BQ19" s="48" t="b">
        <f>AC19=[1]员工报账!AC19</f>
        <v>1</v>
      </c>
      <c r="BR19" s="48" t="b">
        <f>AD19=[1]员工报账!AD19</f>
        <v>1</v>
      </c>
      <c r="BS19" s="48" t="b">
        <f>AE19=[1]员工报账!AE19</f>
        <v>1</v>
      </c>
      <c r="BT19" s="48" t="b">
        <f>AF19=[1]员工报账!AF19</f>
        <v>1</v>
      </c>
      <c r="BU19" s="48" t="b">
        <f>AG19=[1]员工报账!AG19</f>
        <v>1</v>
      </c>
      <c r="BV19" s="48" t="b">
        <f>AH19=[1]员工报账!AH19</f>
        <v>1</v>
      </c>
      <c r="BW19" s="48" t="b">
        <f>AI19=[1]员工报账!AI19</f>
        <v>1</v>
      </c>
      <c r="BX19" s="48" t="b">
        <f>AJ19=[1]员工报账!AJ19</f>
        <v>1</v>
      </c>
    </row>
    <row r="20" s="48" customFormat="1" ht="66" spans="1:76">
      <c r="A20" s="62"/>
      <c r="B20" s="62"/>
      <c r="C20" s="63"/>
      <c r="D20" s="57" t="s">
        <v>518</v>
      </c>
      <c r="E20" s="58" t="s">
        <v>549</v>
      </c>
      <c r="F20" s="59" t="s">
        <v>458</v>
      </c>
      <c r="G20" s="57" t="s">
        <v>550</v>
      </c>
      <c r="H20" s="58" t="s">
        <v>551</v>
      </c>
      <c r="I20" s="35" t="s">
        <v>552</v>
      </c>
      <c r="J20" s="42" t="s">
        <v>553</v>
      </c>
      <c r="K20" s="35"/>
      <c r="L20" s="35"/>
      <c r="M20" s="35" t="s">
        <v>36</v>
      </c>
      <c r="N20" s="35"/>
      <c r="O20" s="35"/>
      <c r="P20" s="35"/>
      <c r="Q20" s="35"/>
      <c r="R20" s="35"/>
      <c r="S20" s="35"/>
      <c r="T20" s="43" t="s">
        <v>463</v>
      </c>
      <c r="U20" s="35" t="s">
        <v>464</v>
      </c>
      <c r="V20" s="42" t="s">
        <v>554</v>
      </c>
      <c r="W20" s="41" t="s">
        <v>481</v>
      </c>
      <c r="X20" s="43" t="s">
        <v>467</v>
      </c>
      <c r="Y20" s="43" t="s">
        <v>468</v>
      </c>
      <c r="Z20" s="43"/>
      <c r="AA20" s="43" t="s">
        <v>469</v>
      </c>
      <c r="AB20" s="43" t="s">
        <v>470</v>
      </c>
      <c r="AC20" s="43"/>
      <c r="AD20" s="41" t="s">
        <v>526</v>
      </c>
      <c r="AE20" s="43" t="s">
        <v>472</v>
      </c>
      <c r="AF20" s="43" t="s">
        <v>470</v>
      </c>
      <c r="AG20" s="43"/>
      <c r="AH20" s="43" t="s">
        <v>473</v>
      </c>
      <c r="AI20" s="43" t="s">
        <v>473</v>
      </c>
      <c r="AJ20" s="41" t="s">
        <v>555</v>
      </c>
      <c r="AK20" s="35" t="s">
        <v>475</v>
      </c>
      <c r="AL20" s="42" t="s">
        <v>476</v>
      </c>
      <c r="AM20" s="61"/>
      <c r="AN20" s="97"/>
      <c r="AO20" s="48" t="b">
        <f>A20=[1]员工报账!A20</f>
        <v>1</v>
      </c>
      <c r="AP20" s="48" t="b">
        <f>B20=[1]员工报账!B20</f>
        <v>1</v>
      </c>
      <c r="AQ20" s="48" t="b">
        <f>C20=[1]员工报账!C20</f>
        <v>1</v>
      </c>
      <c r="AR20" s="48" t="b">
        <f>D20=[1]员工报账!D20</f>
        <v>1</v>
      </c>
      <c r="AS20" s="48" t="b">
        <f>E20=[1]员工报账!E20</f>
        <v>1</v>
      </c>
      <c r="AT20" s="48" t="b">
        <f>F20=[1]员工报账!F20</f>
        <v>1</v>
      </c>
      <c r="AU20" s="48" t="b">
        <f>G20=[1]员工报账!G20</f>
        <v>1</v>
      </c>
      <c r="AV20" s="48" t="b">
        <f>H20=[1]员工报账!H20</f>
        <v>1</v>
      </c>
      <c r="AW20" s="48" t="b">
        <f>I20=[1]员工报账!I20</f>
        <v>1</v>
      </c>
      <c r="AX20" s="48" t="b">
        <f>J20=[1]员工报账!J20</f>
        <v>1</v>
      </c>
      <c r="AY20" s="48" t="b">
        <f>K20=[1]员工报账!K20</f>
        <v>1</v>
      </c>
      <c r="AZ20" s="48" t="b">
        <f>L20=[1]员工报账!L20</f>
        <v>1</v>
      </c>
      <c r="BA20" s="48" t="b">
        <f>M20=[1]员工报账!M20</f>
        <v>1</v>
      </c>
      <c r="BB20" s="48" t="b">
        <f>N20=[1]员工报账!N20</f>
        <v>1</v>
      </c>
      <c r="BC20" s="48" t="b">
        <f>O20=[1]员工报账!O20</f>
        <v>1</v>
      </c>
      <c r="BD20" s="48" t="b">
        <f>P20=[1]员工报账!P20</f>
        <v>1</v>
      </c>
      <c r="BE20" s="48" t="b">
        <f>Q20=[1]员工报账!Q20</f>
        <v>1</v>
      </c>
      <c r="BF20" s="48" t="b">
        <f>R20=[1]员工报账!R20</f>
        <v>1</v>
      </c>
      <c r="BG20" s="48" t="b">
        <f>S20=[1]员工报账!S20</f>
        <v>1</v>
      </c>
      <c r="BH20" s="48" t="b">
        <f>T20=[1]员工报账!T20</f>
        <v>1</v>
      </c>
      <c r="BI20" s="48" t="b">
        <f>U20=[1]员工报账!U20</f>
        <v>1</v>
      </c>
      <c r="BJ20" s="48" t="b">
        <f>V20=[1]员工报账!V20</f>
        <v>1</v>
      </c>
      <c r="BK20" s="48" t="b">
        <f>W20=[1]员工报账!W20</f>
        <v>1</v>
      </c>
      <c r="BL20" s="48" t="b">
        <f>X20=[1]员工报账!X20</f>
        <v>1</v>
      </c>
      <c r="BM20" s="48" t="b">
        <f>Y20=[1]员工报账!Y20</f>
        <v>1</v>
      </c>
      <c r="BN20" s="48" t="b">
        <f>Z20=[1]员工报账!Z20</f>
        <v>1</v>
      </c>
      <c r="BO20" s="48" t="b">
        <f>AA20=[1]员工报账!AA20</f>
        <v>1</v>
      </c>
      <c r="BP20" s="48" t="b">
        <f>AB20=[1]员工报账!AB20</f>
        <v>1</v>
      </c>
      <c r="BQ20" s="48" t="b">
        <f>AC20=[1]员工报账!AC20</f>
        <v>1</v>
      </c>
      <c r="BR20" s="48" t="b">
        <f>AD20=[1]员工报账!AD20</f>
        <v>1</v>
      </c>
      <c r="BS20" s="48" t="b">
        <f>AE20=[1]员工报账!AE20</f>
        <v>1</v>
      </c>
      <c r="BT20" s="48" t="b">
        <f>AF20=[1]员工报账!AF20</f>
        <v>1</v>
      </c>
      <c r="BU20" s="48" t="b">
        <f>AG20=[1]员工报账!AG20</f>
        <v>1</v>
      </c>
      <c r="BV20" s="48" t="b">
        <f>AH20=[1]员工报账!AH20</f>
        <v>1</v>
      </c>
      <c r="BW20" s="48" t="b">
        <f>AI20=[1]员工报账!AI20</f>
        <v>1</v>
      </c>
      <c r="BX20" s="48" t="b">
        <f>AJ20=[1]员工报账!AJ20</f>
        <v>1</v>
      </c>
    </row>
    <row r="21" s="48" customFormat="1" ht="66" spans="1:76">
      <c r="A21" s="62"/>
      <c r="B21" s="62"/>
      <c r="C21" s="63"/>
      <c r="D21" s="63"/>
      <c r="E21" s="64"/>
      <c r="F21" s="64"/>
      <c r="G21" s="63"/>
      <c r="H21" s="64"/>
      <c r="I21" s="35" t="s">
        <v>556</v>
      </c>
      <c r="J21" s="42" t="s">
        <v>557</v>
      </c>
      <c r="K21" s="35"/>
      <c r="L21" s="35"/>
      <c r="M21" s="35" t="s">
        <v>36</v>
      </c>
      <c r="N21" s="35"/>
      <c r="O21" s="35"/>
      <c r="P21" s="35"/>
      <c r="Q21" s="35"/>
      <c r="R21" s="35"/>
      <c r="S21" s="35" t="s">
        <v>36</v>
      </c>
      <c r="T21" s="43" t="s">
        <v>463</v>
      </c>
      <c r="U21" s="35" t="s">
        <v>464</v>
      </c>
      <c r="V21" s="42" t="s">
        <v>558</v>
      </c>
      <c r="W21" s="41" t="s">
        <v>481</v>
      </c>
      <c r="X21" s="43" t="s">
        <v>467</v>
      </c>
      <c r="Y21" s="43" t="s">
        <v>468</v>
      </c>
      <c r="Z21" s="43"/>
      <c r="AA21" s="43" t="s">
        <v>469</v>
      </c>
      <c r="AB21" s="43" t="s">
        <v>470</v>
      </c>
      <c r="AC21" s="43"/>
      <c r="AD21" s="41" t="s">
        <v>526</v>
      </c>
      <c r="AE21" s="43" t="s">
        <v>472</v>
      </c>
      <c r="AF21" s="43" t="s">
        <v>470</v>
      </c>
      <c r="AG21" s="43"/>
      <c r="AH21" s="43" t="s">
        <v>473</v>
      </c>
      <c r="AI21" s="43" t="s">
        <v>473</v>
      </c>
      <c r="AJ21" s="41" t="s">
        <v>555</v>
      </c>
      <c r="AK21" s="35" t="s">
        <v>475</v>
      </c>
      <c r="AL21" s="42" t="s">
        <v>476</v>
      </c>
      <c r="AM21" s="61"/>
      <c r="AN21" s="97"/>
      <c r="AO21" s="48" t="b">
        <f>A21=[1]员工报账!A21</f>
        <v>1</v>
      </c>
      <c r="AP21" s="48" t="b">
        <f>B21=[1]员工报账!B21</f>
        <v>1</v>
      </c>
      <c r="AQ21" s="48" t="b">
        <f>C21=[1]员工报账!C21</f>
        <v>1</v>
      </c>
      <c r="AR21" s="48" t="b">
        <f>D21=[1]员工报账!D21</f>
        <v>1</v>
      </c>
      <c r="AS21" s="48" t="b">
        <f>E21=[1]员工报账!E21</f>
        <v>1</v>
      </c>
      <c r="AT21" s="48" t="b">
        <f>F21=[1]员工报账!F21</f>
        <v>1</v>
      </c>
      <c r="AU21" s="48" t="b">
        <f>G21=[1]员工报账!G21</f>
        <v>1</v>
      </c>
      <c r="AV21" s="48" t="b">
        <f>H21=[1]员工报账!H21</f>
        <v>1</v>
      </c>
      <c r="AW21" s="48" t="b">
        <f>I21=[1]员工报账!I21</f>
        <v>1</v>
      </c>
      <c r="AX21" s="48" t="b">
        <f>J21=[1]员工报账!J21</f>
        <v>1</v>
      </c>
      <c r="AY21" s="48" t="b">
        <f>K21=[1]员工报账!K21</f>
        <v>1</v>
      </c>
      <c r="AZ21" s="48" t="b">
        <f>L21=[1]员工报账!L21</f>
        <v>1</v>
      </c>
      <c r="BA21" s="48" t="b">
        <f>M21=[1]员工报账!M21</f>
        <v>1</v>
      </c>
      <c r="BB21" s="48" t="b">
        <f>N21=[1]员工报账!N21</f>
        <v>1</v>
      </c>
      <c r="BC21" s="48" t="b">
        <f>O21=[1]员工报账!O21</f>
        <v>1</v>
      </c>
      <c r="BD21" s="48" t="b">
        <f>P21=[1]员工报账!P21</f>
        <v>1</v>
      </c>
      <c r="BE21" s="48" t="b">
        <f>Q21=[1]员工报账!Q21</f>
        <v>1</v>
      </c>
      <c r="BF21" s="48" t="b">
        <f>R21=[1]员工报账!R21</f>
        <v>1</v>
      </c>
      <c r="BG21" s="48" t="b">
        <f>S21=[1]员工报账!S21</f>
        <v>1</v>
      </c>
      <c r="BH21" s="48" t="b">
        <f>T21=[1]员工报账!T21</f>
        <v>1</v>
      </c>
      <c r="BI21" s="48" t="b">
        <f>U21=[1]员工报账!U21</f>
        <v>1</v>
      </c>
      <c r="BJ21" s="48" t="b">
        <f>V21=[1]员工报账!V21</f>
        <v>1</v>
      </c>
      <c r="BK21" s="48" t="b">
        <f>W21=[1]员工报账!W21</f>
        <v>1</v>
      </c>
      <c r="BL21" s="48" t="b">
        <f>X21=[1]员工报账!X21</f>
        <v>1</v>
      </c>
      <c r="BM21" s="48" t="b">
        <f>Y21=[1]员工报账!Y21</f>
        <v>1</v>
      </c>
      <c r="BN21" s="48" t="b">
        <f>Z21=[1]员工报账!Z21</f>
        <v>1</v>
      </c>
      <c r="BO21" s="48" t="b">
        <f>AA21=[1]员工报账!AA21</f>
        <v>1</v>
      </c>
      <c r="BP21" s="48" t="b">
        <f>AB21=[1]员工报账!AB21</f>
        <v>1</v>
      </c>
      <c r="BQ21" s="48" t="b">
        <f>AC21=[1]员工报账!AC21</f>
        <v>1</v>
      </c>
      <c r="BR21" s="48" t="b">
        <f>AD21=[1]员工报账!AD21</f>
        <v>1</v>
      </c>
      <c r="BS21" s="48" t="b">
        <f>AE21=[1]员工报账!AE21</f>
        <v>1</v>
      </c>
      <c r="BT21" s="48" t="b">
        <f>AF21=[1]员工报账!AF21</f>
        <v>1</v>
      </c>
      <c r="BU21" s="48" t="b">
        <f>AG21=[1]员工报账!AG21</f>
        <v>1</v>
      </c>
      <c r="BV21" s="48" t="b">
        <f>AH21=[1]员工报账!AH21</f>
        <v>1</v>
      </c>
      <c r="BW21" s="48" t="b">
        <f>AI21=[1]员工报账!AI21</f>
        <v>1</v>
      </c>
      <c r="BX21" s="48" t="b">
        <f>AJ21=[1]员工报账!AJ21</f>
        <v>1</v>
      </c>
    </row>
    <row r="22" s="48" customFormat="1" ht="79.2" spans="1:76">
      <c r="A22" s="62"/>
      <c r="B22" s="62"/>
      <c r="C22" s="38"/>
      <c r="D22" s="38"/>
      <c r="E22" s="66"/>
      <c r="F22" s="66"/>
      <c r="G22" s="38"/>
      <c r="H22" s="66"/>
      <c r="I22" s="35" t="s">
        <v>559</v>
      </c>
      <c r="J22" s="42" t="s">
        <v>560</v>
      </c>
      <c r="K22" s="35"/>
      <c r="L22" s="35"/>
      <c r="M22" s="35" t="s">
        <v>36</v>
      </c>
      <c r="N22" s="35"/>
      <c r="O22" s="35"/>
      <c r="P22" s="35"/>
      <c r="Q22" s="35"/>
      <c r="R22" s="35"/>
      <c r="S22" s="35"/>
      <c r="T22" s="43" t="s">
        <v>463</v>
      </c>
      <c r="U22" s="35" t="s">
        <v>464</v>
      </c>
      <c r="V22" s="42" t="s">
        <v>561</v>
      </c>
      <c r="W22" s="41" t="s">
        <v>562</v>
      </c>
      <c r="X22" s="43" t="s">
        <v>467</v>
      </c>
      <c r="Y22" s="43" t="s">
        <v>468</v>
      </c>
      <c r="Z22" s="43"/>
      <c r="AA22" s="43" t="s">
        <v>469</v>
      </c>
      <c r="AB22" s="43" t="s">
        <v>470</v>
      </c>
      <c r="AC22" s="43"/>
      <c r="AD22" s="41" t="s">
        <v>526</v>
      </c>
      <c r="AE22" s="43" t="s">
        <v>472</v>
      </c>
      <c r="AF22" s="43" t="s">
        <v>470</v>
      </c>
      <c r="AG22" s="43"/>
      <c r="AH22" s="43" t="s">
        <v>473</v>
      </c>
      <c r="AI22" s="43" t="s">
        <v>473</v>
      </c>
      <c r="AJ22" s="41" t="s">
        <v>555</v>
      </c>
      <c r="AK22" s="35" t="s">
        <v>475</v>
      </c>
      <c r="AL22" s="42" t="s">
        <v>476</v>
      </c>
      <c r="AM22" s="61"/>
      <c r="AN22" s="97" t="s">
        <v>509</v>
      </c>
      <c r="AO22" s="48" t="b">
        <f>A22=[1]员工报账!A22</f>
        <v>1</v>
      </c>
      <c r="AP22" s="48" t="b">
        <f>B22=[1]员工报账!B22</f>
        <v>1</v>
      </c>
      <c r="AQ22" s="48" t="b">
        <f>C22=[1]员工报账!C22</f>
        <v>1</v>
      </c>
      <c r="AR22" s="48" t="b">
        <f>D22=[1]员工报账!D22</f>
        <v>1</v>
      </c>
      <c r="AS22" s="48" t="b">
        <f>E22=[1]员工报账!E22</f>
        <v>1</v>
      </c>
      <c r="AT22" s="48" t="b">
        <f>F22=[1]员工报账!F22</f>
        <v>1</v>
      </c>
      <c r="AU22" s="48" t="b">
        <f>G22=[1]员工报账!G22</f>
        <v>1</v>
      </c>
      <c r="AV22" s="48" t="b">
        <f>H22=[1]员工报账!H22</f>
        <v>1</v>
      </c>
      <c r="AW22" s="48" t="b">
        <f>I22=[1]员工报账!I22</f>
        <v>1</v>
      </c>
      <c r="AX22" s="48" t="b">
        <f>J22=[1]员工报账!J22</f>
        <v>1</v>
      </c>
      <c r="AY22" s="48" t="b">
        <f>K22=[1]员工报账!K22</f>
        <v>1</v>
      </c>
      <c r="AZ22" s="48" t="b">
        <f>L22=[1]员工报账!L22</f>
        <v>1</v>
      </c>
      <c r="BA22" s="48" t="b">
        <f>M22=[1]员工报账!M22</f>
        <v>1</v>
      </c>
      <c r="BB22" s="48" t="b">
        <f>N22=[1]员工报账!N22</f>
        <v>1</v>
      </c>
      <c r="BC22" s="48" t="b">
        <f>O22=[1]员工报账!O22</f>
        <v>1</v>
      </c>
      <c r="BD22" s="48" t="b">
        <f>P22=[1]员工报账!P22</f>
        <v>1</v>
      </c>
      <c r="BE22" s="48" t="b">
        <f>Q22=[1]员工报账!Q22</f>
        <v>1</v>
      </c>
      <c r="BF22" s="48" t="b">
        <f>R22=[1]员工报账!R22</f>
        <v>1</v>
      </c>
      <c r="BG22" s="48" t="b">
        <f>S22=[1]员工报账!S22</f>
        <v>1</v>
      </c>
      <c r="BH22" s="48" t="b">
        <f>T22=[1]员工报账!T22</f>
        <v>1</v>
      </c>
      <c r="BI22" s="48" t="b">
        <f>U22=[1]员工报账!U22</f>
        <v>1</v>
      </c>
      <c r="BJ22" s="48" t="b">
        <f>V22=[1]员工报账!V22</f>
        <v>1</v>
      </c>
      <c r="BK22" s="48" t="b">
        <f>W22=[1]员工报账!W22</f>
        <v>0</v>
      </c>
      <c r="BL22" s="48" t="b">
        <f>X22=[1]员工报账!X22</f>
        <v>1</v>
      </c>
      <c r="BM22" s="48" t="b">
        <f>Y22=[1]员工报账!Y22</f>
        <v>1</v>
      </c>
      <c r="BN22" s="48" t="b">
        <f>Z22=[1]员工报账!Z22</f>
        <v>1</v>
      </c>
      <c r="BO22" s="48" t="b">
        <f>AA22=[1]员工报账!AA22</f>
        <v>1</v>
      </c>
      <c r="BP22" s="48" t="b">
        <f>AB22=[1]员工报账!AB22</f>
        <v>1</v>
      </c>
      <c r="BQ22" s="48" t="b">
        <f>AC22=[1]员工报账!AC22</f>
        <v>1</v>
      </c>
      <c r="BR22" s="48" t="b">
        <f>AD22=[1]员工报账!AD22</f>
        <v>1</v>
      </c>
      <c r="BS22" s="48" t="b">
        <f>AE22=[1]员工报账!AE22</f>
        <v>1</v>
      </c>
      <c r="BT22" s="48" t="b">
        <f>AF22=[1]员工报账!AF22</f>
        <v>1</v>
      </c>
      <c r="BU22" s="48" t="b">
        <f>AG22=[1]员工报账!AG22</f>
        <v>1</v>
      </c>
      <c r="BV22" s="48" t="b">
        <f>AH22=[1]员工报账!AH22</f>
        <v>1</v>
      </c>
      <c r="BW22" s="48" t="b">
        <f>AI22=[1]员工报账!AI22</f>
        <v>1</v>
      </c>
      <c r="BX22" s="48" t="b">
        <f>AJ22=[1]员工报账!AJ22</f>
        <v>1</v>
      </c>
    </row>
    <row r="23" s="48" customFormat="1" ht="145.2" spans="1:76">
      <c r="A23" s="62"/>
      <c r="B23" s="62"/>
      <c r="C23" s="57" t="s">
        <v>498</v>
      </c>
      <c r="D23" s="57" t="s">
        <v>563</v>
      </c>
      <c r="E23" s="58" t="s">
        <v>564</v>
      </c>
      <c r="F23" s="59" t="s">
        <v>500</v>
      </c>
      <c r="G23" s="57" t="s">
        <v>565</v>
      </c>
      <c r="H23" s="58" t="s">
        <v>566</v>
      </c>
      <c r="I23" s="35" t="s">
        <v>567</v>
      </c>
      <c r="J23" s="42" t="s">
        <v>568</v>
      </c>
      <c r="K23" s="35"/>
      <c r="L23" s="35"/>
      <c r="M23" s="35" t="s">
        <v>36</v>
      </c>
      <c r="N23" s="35"/>
      <c r="O23" s="35"/>
      <c r="P23" s="35"/>
      <c r="Q23" s="35"/>
      <c r="R23" s="35" t="s">
        <v>36</v>
      </c>
      <c r="S23" s="35"/>
      <c r="T23" s="43" t="s">
        <v>463</v>
      </c>
      <c r="U23" s="35" t="s">
        <v>464</v>
      </c>
      <c r="V23" s="42" t="s">
        <v>569</v>
      </c>
      <c r="W23" s="41" t="s">
        <v>570</v>
      </c>
      <c r="X23" s="43" t="s">
        <v>467</v>
      </c>
      <c r="Y23" s="43" t="s">
        <v>468</v>
      </c>
      <c r="Z23" s="43"/>
      <c r="AA23" s="43" t="s">
        <v>469</v>
      </c>
      <c r="AB23" s="43" t="s">
        <v>470</v>
      </c>
      <c r="AC23" s="43"/>
      <c r="AD23" s="41" t="s">
        <v>571</v>
      </c>
      <c r="AE23" s="43" t="s">
        <v>472</v>
      </c>
      <c r="AF23" s="43" t="s">
        <v>470</v>
      </c>
      <c r="AG23" s="43"/>
      <c r="AH23" s="43" t="s">
        <v>473</v>
      </c>
      <c r="AI23" s="43" t="s">
        <v>473</v>
      </c>
      <c r="AJ23" s="41" t="s">
        <v>572</v>
      </c>
      <c r="AK23" s="35" t="s">
        <v>475</v>
      </c>
      <c r="AL23" s="42" t="s">
        <v>476</v>
      </c>
      <c r="AM23" s="61"/>
      <c r="AN23" s="97"/>
      <c r="AO23" s="48" t="b">
        <f>A23=[1]员工报账!A23</f>
        <v>1</v>
      </c>
      <c r="AP23" s="48" t="b">
        <f>B23=[1]员工报账!B23</f>
        <v>1</v>
      </c>
      <c r="AQ23" s="48" t="b">
        <f>C23=[1]员工报账!C23</f>
        <v>1</v>
      </c>
      <c r="AR23" s="48" t="b">
        <f>D23=[1]员工报账!D23</f>
        <v>1</v>
      </c>
      <c r="AS23" s="48" t="b">
        <f>E23=[1]员工报账!E23</f>
        <v>1</v>
      </c>
      <c r="AT23" s="48" t="b">
        <f>F23=[1]员工报账!F23</f>
        <v>1</v>
      </c>
      <c r="AU23" s="48" t="b">
        <f>G23=[1]员工报账!G23</f>
        <v>1</v>
      </c>
      <c r="AV23" s="48" t="b">
        <f>H23=[1]员工报账!H23</f>
        <v>1</v>
      </c>
      <c r="AW23" s="48" t="b">
        <f>I23=[1]员工报账!I23</f>
        <v>1</v>
      </c>
      <c r="AX23" s="48" t="b">
        <f>J23=[1]员工报账!J23</f>
        <v>1</v>
      </c>
      <c r="AY23" s="48" t="b">
        <f>K23=[1]员工报账!K23</f>
        <v>1</v>
      </c>
      <c r="AZ23" s="48" t="b">
        <f>L23=[1]员工报账!L23</f>
        <v>1</v>
      </c>
      <c r="BA23" s="48" t="b">
        <f>M23=[1]员工报账!M23</f>
        <v>1</v>
      </c>
      <c r="BB23" s="48" t="b">
        <f>N23=[1]员工报账!N23</f>
        <v>1</v>
      </c>
      <c r="BC23" s="48" t="b">
        <f>O23=[1]员工报账!O23</f>
        <v>1</v>
      </c>
      <c r="BD23" s="48" t="b">
        <f>P23=[1]员工报账!P23</f>
        <v>1</v>
      </c>
      <c r="BE23" s="48" t="b">
        <f>Q23=[1]员工报账!Q23</f>
        <v>1</v>
      </c>
      <c r="BF23" s="48" t="b">
        <f>R23=[1]员工报账!R23</f>
        <v>1</v>
      </c>
      <c r="BG23" s="48" t="b">
        <f>S23=[1]员工报账!S23</f>
        <v>1</v>
      </c>
      <c r="BH23" s="48" t="b">
        <f>T23=[1]员工报账!T23</f>
        <v>1</v>
      </c>
      <c r="BI23" s="48" t="b">
        <f>U23=[1]员工报账!U23</f>
        <v>1</v>
      </c>
      <c r="BJ23" s="48" t="b">
        <f>V23=[1]员工报账!V23</f>
        <v>1</v>
      </c>
      <c r="BK23" s="48" t="b">
        <f>W23=[1]员工报账!W23</f>
        <v>1</v>
      </c>
      <c r="BL23" s="48" t="b">
        <f>X23=[1]员工报账!X23</f>
        <v>1</v>
      </c>
      <c r="BM23" s="48" t="b">
        <f>Y23=[1]员工报账!Y23</f>
        <v>1</v>
      </c>
      <c r="BN23" s="48" t="b">
        <f>Z23=[1]员工报账!Z23</f>
        <v>1</v>
      </c>
      <c r="BO23" s="48" t="b">
        <f>AA23=[1]员工报账!AA23</f>
        <v>1</v>
      </c>
      <c r="BP23" s="48" t="b">
        <f>AB23=[1]员工报账!AB23</f>
        <v>1</v>
      </c>
      <c r="BQ23" s="48" t="b">
        <f>AC23=[1]员工报账!AC23</f>
        <v>1</v>
      </c>
      <c r="BR23" s="48" t="b">
        <f>AD23=[1]员工报账!AD23</f>
        <v>1</v>
      </c>
      <c r="BS23" s="48" t="b">
        <f>AE23=[1]员工报账!AE23</f>
        <v>1</v>
      </c>
      <c r="BT23" s="48" t="b">
        <f>AF23=[1]员工报账!AF23</f>
        <v>1</v>
      </c>
      <c r="BU23" s="48" t="b">
        <f>AG23=[1]员工报账!AG23</f>
        <v>1</v>
      </c>
      <c r="BV23" s="48" t="b">
        <f>AH23=[1]员工报账!AH23</f>
        <v>1</v>
      </c>
      <c r="BW23" s="48" t="b">
        <f>AI23=[1]员工报账!AI23</f>
        <v>1</v>
      </c>
      <c r="BX23" s="48" t="b">
        <f>AJ23=[1]员工报账!AJ23</f>
        <v>1</v>
      </c>
    </row>
    <row r="24" s="48" customFormat="1" ht="118.8" spans="1:76">
      <c r="A24" s="62"/>
      <c r="B24" s="62"/>
      <c r="C24" s="63"/>
      <c r="D24" s="63"/>
      <c r="E24" s="64"/>
      <c r="F24" s="64"/>
      <c r="G24" s="63"/>
      <c r="H24" s="64"/>
      <c r="I24" s="35" t="s">
        <v>573</v>
      </c>
      <c r="J24" s="42" t="s">
        <v>574</v>
      </c>
      <c r="K24" s="35"/>
      <c r="L24" s="35"/>
      <c r="M24" s="35" t="s">
        <v>36</v>
      </c>
      <c r="N24" s="35"/>
      <c r="O24" s="35"/>
      <c r="P24" s="35"/>
      <c r="Q24" s="35" t="s">
        <v>36</v>
      </c>
      <c r="R24" s="35"/>
      <c r="S24" s="35"/>
      <c r="T24" s="43" t="s">
        <v>463</v>
      </c>
      <c r="U24" s="35" t="s">
        <v>464</v>
      </c>
      <c r="V24" s="42" t="s">
        <v>569</v>
      </c>
      <c r="W24" s="41" t="s">
        <v>575</v>
      </c>
      <c r="X24" s="43" t="s">
        <v>467</v>
      </c>
      <c r="Y24" s="43" t="s">
        <v>468</v>
      </c>
      <c r="Z24" s="43"/>
      <c r="AA24" s="43" t="s">
        <v>469</v>
      </c>
      <c r="AB24" s="43" t="s">
        <v>470</v>
      </c>
      <c r="AC24" s="43"/>
      <c r="AD24" s="41" t="s">
        <v>571</v>
      </c>
      <c r="AE24" s="43" t="s">
        <v>472</v>
      </c>
      <c r="AF24" s="43" t="s">
        <v>470</v>
      </c>
      <c r="AG24" s="43"/>
      <c r="AH24" s="43" t="s">
        <v>473</v>
      </c>
      <c r="AI24" s="43" t="s">
        <v>473</v>
      </c>
      <c r="AJ24" s="41" t="s">
        <v>572</v>
      </c>
      <c r="AK24" s="35" t="s">
        <v>475</v>
      </c>
      <c r="AL24" s="42" t="s">
        <v>476</v>
      </c>
      <c r="AM24" s="61"/>
      <c r="AN24" s="97"/>
      <c r="AO24" s="48" t="b">
        <f>A24=[1]员工报账!A24</f>
        <v>1</v>
      </c>
      <c r="AP24" s="48" t="b">
        <f>B24=[1]员工报账!B24</f>
        <v>1</v>
      </c>
      <c r="AQ24" s="48" t="b">
        <f>C24=[1]员工报账!C24</f>
        <v>1</v>
      </c>
      <c r="AR24" s="48" t="b">
        <f>D24=[1]员工报账!D24</f>
        <v>1</v>
      </c>
      <c r="AS24" s="48" t="b">
        <f>E24=[1]员工报账!E24</f>
        <v>1</v>
      </c>
      <c r="AT24" s="48" t="b">
        <f>F24=[1]员工报账!F24</f>
        <v>1</v>
      </c>
      <c r="AU24" s="48" t="b">
        <f>G24=[1]员工报账!G24</f>
        <v>1</v>
      </c>
      <c r="AV24" s="48" t="b">
        <f>H24=[1]员工报账!H24</f>
        <v>1</v>
      </c>
      <c r="AW24" s="48" t="b">
        <f>I24=[1]员工报账!I24</f>
        <v>1</v>
      </c>
      <c r="AX24" s="48" t="b">
        <f>J24=[1]员工报账!J24</f>
        <v>1</v>
      </c>
      <c r="AY24" s="48" t="b">
        <f>K24=[1]员工报账!K24</f>
        <v>1</v>
      </c>
      <c r="AZ24" s="48" t="b">
        <f>L24=[1]员工报账!L24</f>
        <v>1</v>
      </c>
      <c r="BA24" s="48" t="b">
        <f>M24=[1]员工报账!M24</f>
        <v>1</v>
      </c>
      <c r="BB24" s="48" t="b">
        <f>N24=[1]员工报账!N24</f>
        <v>1</v>
      </c>
      <c r="BC24" s="48" t="b">
        <f>O24=[1]员工报账!O24</f>
        <v>1</v>
      </c>
      <c r="BD24" s="48" t="b">
        <f>P24=[1]员工报账!P24</f>
        <v>1</v>
      </c>
      <c r="BE24" s="48" t="b">
        <f>Q24=[1]员工报账!Q24</f>
        <v>1</v>
      </c>
      <c r="BF24" s="48" t="b">
        <f>R24=[1]员工报账!R24</f>
        <v>1</v>
      </c>
      <c r="BG24" s="48" t="b">
        <f>S24=[1]员工报账!S24</f>
        <v>1</v>
      </c>
      <c r="BH24" s="48" t="b">
        <f>T24=[1]员工报账!T24</f>
        <v>1</v>
      </c>
      <c r="BI24" s="48" t="b">
        <f>U24=[1]员工报账!U24</f>
        <v>1</v>
      </c>
      <c r="BJ24" s="48" t="b">
        <f>V24=[1]员工报账!V24</f>
        <v>1</v>
      </c>
      <c r="BK24" s="48" t="b">
        <f>W24=[1]员工报账!W24</f>
        <v>1</v>
      </c>
      <c r="BL24" s="48" t="b">
        <f>X24=[1]员工报账!X24</f>
        <v>1</v>
      </c>
      <c r="BM24" s="48" t="b">
        <f>Y24=[1]员工报账!Y24</f>
        <v>1</v>
      </c>
      <c r="BN24" s="48" t="b">
        <f>Z24=[1]员工报账!Z24</f>
        <v>1</v>
      </c>
      <c r="BO24" s="48" t="b">
        <f>AA24=[1]员工报账!AA24</f>
        <v>1</v>
      </c>
      <c r="BP24" s="48" t="b">
        <f>AB24=[1]员工报账!AB24</f>
        <v>1</v>
      </c>
      <c r="BQ24" s="48" t="b">
        <f>AC24=[1]员工报账!AC24</f>
        <v>1</v>
      </c>
      <c r="BR24" s="48" t="b">
        <f>AD24=[1]员工报账!AD24</f>
        <v>1</v>
      </c>
      <c r="BS24" s="48" t="b">
        <f>AE24=[1]员工报账!AE24</f>
        <v>1</v>
      </c>
      <c r="BT24" s="48" t="b">
        <f>AF24=[1]员工报账!AF24</f>
        <v>1</v>
      </c>
      <c r="BU24" s="48" t="b">
        <f>AG24=[1]员工报账!AG24</f>
        <v>1</v>
      </c>
      <c r="BV24" s="48" t="b">
        <f>AH24=[1]员工报账!AH24</f>
        <v>1</v>
      </c>
      <c r="BW24" s="48" t="b">
        <f>AI24=[1]员工报账!AI24</f>
        <v>1</v>
      </c>
      <c r="BX24" s="48" t="b">
        <f>AJ24=[1]员工报账!AJ24</f>
        <v>1</v>
      </c>
    </row>
    <row r="25" s="48" customFormat="1" ht="184.8" spans="1:76">
      <c r="A25" s="67"/>
      <c r="B25" s="67"/>
      <c r="C25" s="38"/>
      <c r="D25" s="38"/>
      <c r="E25" s="66"/>
      <c r="F25" s="66"/>
      <c r="G25" s="38"/>
      <c r="H25" s="66"/>
      <c r="I25" s="35" t="s">
        <v>576</v>
      </c>
      <c r="J25" s="42" t="s">
        <v>577</v>
      </c>
      <c r="K25" s="35"/>
      <c r="L25" s="35"/>
      <c r="M25" s="35"/>
      <c r="N25" s="35"/>
      <c r="O25" s="35"/>
      <c r="P25" s="35"/>
      <c r="Q25" s="35"/>
      <c r="R25" s="35" t="s">
        <v>36</v>
      </c>
      <c r="S25" s="35" t="s">
        <v>36</v>
      </c>
      <c r="T25" s="35" t="s">
        <v>516</v>
      </c>
      <c r="U25" s="42"/>
      <c r="V25" s="42" t="s">
        <v>532</v>
      </c>
      <c r="W25" s="41" t="s">
        <v>578</v>
      </c>
      <c r="X25" s="43" t="s">
        <v>467</v>
      </c>
      <c r="Y25" s="43" t="s">
        <v>468</v>
      </c>
      <c r="Z25" s="43"/>
      <c r="AA25" s="43" t="s">
        <v>469</v>
      </c>
      <c r="AB25" s="43" t="s">
        <v>470</v>
      </c>
      <c r="AC25" s="43"/>
      <c r="AD25" s="41" t="s">
        <v>571</v>
      </c>
      <c r="AE25" s="43" t="s">
        <v>472</v>
      </c>
      <c r="AF25" s="43" t="s">
        <v>470</v>
      </c>
      <c r="AG25" s="43"/>
      <c r="AH25" s="43" t="s">
        <v>473</v>
      </c>
      <c r="AI25" s="43" t="s">
        <v>473</v>
      </c>
      <c r="AJ25" s="41" t="s">
        <v>579</v>
      </c>
      <c r="AK25" s="35" t="s">
        <v>475</v>
      </c>
      <c r="AL25" s="42" t="s">
        <v>476</v>
      </c>
      <c r="AM25" s="61"/>
      <c r="AN25" s="97" t="s">
        <v>477</v>
      </c>
      <c r="AO25" s="48" t="b">
        <f>A25=[1]员工报账!A25</f>
        <v>1</v>
      </c>
      <c r="AP25" s="48" t="b">
        <f>B25=[1]员工报账!B25</f>
        <v>1</v>
      </c>
      <c r="AQ25" s="48" t="b">
        <f>C25=[1]员工报账!C25</f>
        <v>1</v>
      </c>
      <c r="AR25" s="48" t="b">
        <f>D25=[1]员工报账!D25</f>
        <v>1</v>
      </c>
      <c r="AS25" s="48" t="b">
        <f>E25=[1]员工报账!E25</f>
        <v>1</v>
      </c>
      <c r="AT25" s="48" t="b">
        <f>F25=[1]员工报账!F25</f>
        <v>1</v>
      </c>
      <c r="AU25" s="48" t="b">
        <f>G25=[1]员工报账!G25</f>
        <v>1</v>
      </c>
      <c r="AV25" s="48" t="b">
        <f>H25=[1]员工报账!H25</f>
        <v>1</v>
      </c>
      <c r="AW25" s="48" t="b">
        <f>I25=[1]员工报账!I25</f>
        <v>1</v>
      </c>
      <c r="AX25" s="48" t="b">
        <f>J25=[1]员工报账!J25</f>
        <v>1</v>
      </c>
      <c r="AY25" s="48" t="b">
        <f>K25=[1]员工报账!K25</f>
        <v>1</v>
      </c>
      <c r="AZ25" s="48" t="b">
        <f>L25=[1]员工报账!L25</f>
        <v>1</v>
      </c>
      <c r="BA25" s="48" t="b">
        <f>M25=[1]员工报账!M25</f>
        <v>1</v>
      </c>
      <c r="BB25" s="48" t="b">
        <f>N25=[1]员工报账!N25</f>
        <v>1</v>
      </c>
      <c r="BC25" s="48" t="b">
        <f>O25=[1]员工报账!O25</f>
        <v>1</v>
      </c>
      <c r="BD25" s="48" t="b">
        <f>P25=[1]员工报账!P25</f>
        <v>1</v>
      </c>
      <c r="BE25" s="48" t="b">
        <f>Q25=[1]员工报账!Q25</f>
        <v>1</v>
      </c>
      <c r="BF25" s="48" t="b">
        <f>R25=[1]员工报账!R25</f>
        <v>1</v>
      </c>
      <c r="BG25" s="48" t="b">
        <f>S25=[1]员工报账!S25</f>
        <v>1</v>
      </c>
      <c r="BH25" s="48" t="b">
        <f>T25=[1]员工报账!T25</f>
        <v>1</v>
      </c>
      <c r="BI25" s="48" t="b">
        <f>U25=[1]员工报账!U25</f>
        <v>1</v>
      </c>
      <c r="BJ25" s="48" t="b">
        <f>V25=[1]员工报账!V25</f>
        <v>1</v>
      </c>
      <c r="BK25" s="48" t="b">
        <f>W25=[1]员工报账!W25</f>
        <v>1</v>
      </c>
      <c r="BL25" s="48" t="b">
        <f>X25=[1]员工报账!X25</f>
        <v>1</v>
      </c>
      <c r="BM25" s="48" t="b">
        <f>Y25=[1]员工报账!Y25</f>
        <v>1</v>
      </c>
      <c r="BN25" s="48" t="b">
        <f>Z25=[1]员工报账!Z25</f>
        <v>1</v>
      </c>
      <c r="BO25" s="48" t="b">
        <f>AA25=[1]员工报账!AA25</f>
        <v>1</v>
      </c>
      <c r="BP25" s="48" t="b">
        <f>AB25=[1]员工报账!AB25</f>
        <v>1</v>
      </c>
      <c r="BQ25" s="48" t="b">
        <f>AC25=[1]员工报账!AC25</f>
        <v>1</v>
      </c>
      <c r="BR25" s="48" t="b">
        <f>AD25=[1]员工报账!AD25</f>
        <v>1</v>
      </c>
      <c r="BS25" s="48" t="b">
        <f>AE25=[1]员工报账!AE25</f>
        <v>1</v>
      </c>
      <c r="BT25" s="48" t="b">
        <f>AF25=[1]员工报账!AF25</f>
        <v>1</v>
      </c>
      <c r="BU25" s="48" t="b">
        <f>AG25=[1]员工报账!AG25</f>
        <v>1</v>
      </c>
      <c r="BV25" s="48" t="b">
        <f>AH25=[1]员工报账!AH25</f>
        <v>1</v>
      </c>
      <c r="BW25" s="48" t="b">
        <f>AI25=[1]员工报账!AI25</f>
        <v>1</v>
      </c>
      <c r="BX25" s="48" t="b">
        <f>AJ25=[1]员工报账!AJ25</f>
        <v>0</v>
      </c>
    </row>
    <row r="26" s="48" customFormat="1" ht="118.8" spans="1:76">
      <c r="A26" s="56" t="s">
        <v>453</v>
      </c>
      <c r="B26" s="56" t="s">
        <v>454</v>
      </c>
      <c r="C26" s="57" t="s">
        <v>455</v>
      </c>
      <c r="D26" s="57" t="s">
        <v>563</v>
      </c>
      <c r="E26" s="58" t="s">
        <v>580</v>
      </c>
      <c r="F26" s="59" t="s">
        <v>500</v>
      </c>
      <c r="G26" s="57" t="s">
        <v>581</v>
      </c>
      <c r="H26" s="58" t="s">
        <v>582</v>
      </c>
      <c r="I26" s="35" t="s">
        <v>583</v>
      </c>
      <c r="J26" s="42" t="s">
        <v>584</v>
      </c>
      <c r="K26" s="35"/>
      <c r="L26" s="35"/>
      <c r="M26" s="35" t="s">
        <v>36</v>
      </c>
      <c r="N26" s="35"/>
      <c r="O26" s="35"/>
      <c r="P26" s="35"/>
      <c r="Q26" s="35" t="s">
        <v>36</v>
      </c>
      <c r="R26" s="35" t="s">
        <v>36</v>
      </c>
      <c r="S26" s="35"/>
      <c r="T26" s="43" t="s">
        <v>463</v>
      </c>
      <c r="U26" s="35" t="s">
        <v>464</v>
      </c>
      <c r="V26" s="42" t="s">
        <v>585</v>
      </c>
      <c r="W26" s="42" t="s">
        <v>586</v>
      </c>
      <c r="X26" s="35" t="s">
        <v>467</v>
      </c>
      <c r="Y26" s="35" t="s">
        <v>468</v>
      </c>
      <c r="Z26" s="35"/>
      <c r="AA26" s="35" t="s">
        <v>469</v>
      </c>
      <c r="AB26" s="35" t="s">
        <v>470</v>
      </c>
      <c r="AC26" s="35"/>
      <c r="AD26" s="42" t="s">
        <v>587</v>
      </c>
      <c r="AE26" s="35" t="s">
        <v>472</v>
      </c>
      <c r="AF26" s="35" t="s">
        <v>470</v>
      </c>
      <c r="AG26" s="35"/>
      <c r="AH26" s="35" t="s">
        <v>473</v>
      </c>
      <c r="AI26" s="35" t="s">
        <v>473</v>
      </c>
      <c r="AJ26" s="42" t="s">
        <v>588</v>
      </c>
      <c r="AK26" s="35" t="s">
        <v>475</v>
      </c>
      <c r="AL26" s="42" t="s">
        <v>476</v>
      </c>
      <c r="AM26" s="61"/>
      <c r="AN26" s="97"/>
      <c r="AO26" s="48" t="b">
        <f>A26=[1]员工报账!A26</f>
        <v>1</v>
      </c>
      <c r="AP26" s="48" t="b">
        <f>B26=[1]员工报账!B26</f>
        <v>1</v>
      </c>
      <c r="AQ26" s="48" t="b">
        <f>C26=[1]员工报账!C26</f>
        <v>1</v>
      </c>
      <c r="AR26" s="48" t="b">
        <f>D26=[1]员工报账!D26</f>
        <v>1</v>
      </c>
      <c r="AS26" s="48" t="b">
        <f>E26=[1]员工报账!E26</f>
        <v>1</v>
      </c>
      <c r="AT26" s="48" t="b">
        <f>F26=[1]员工报账!F26</f>
        <v>1</v>
      </c>
      <c r="AU26" s="48" t="b">
        <f>G26=[1]员工报账!G26</f>
        <v>1</v>
      </c>
      <c r="AV26" s="48" t="b">
        <f>H26=[1]员工报账!H26</f>
        <v>1</v>
      </c>
      <c r="AW26" s="48" t="b">
        <f>I26=[1]员工报账!I26</f>
        <v>1</v>
      </c>
      <c r="AX26" s="48" t="b">
        <f>J26=[1]员工报账!J26</f>
        <v>1</v>
      </c>
      <c r="AY26" s="48" t="b">
        <f>K26=[1]员工报账!K26</f>
        <v>1</v>
      </c>
      <c r="AZ26" s="48" t="b">
        <f>L26=[1]员工报账!L26</f>
        <v>1</v>
      </c>
      <c r="BA26" s="48" t="b">
        <f>M26=[1]员工报账!M26</f>
        <v>1</v>
      </c>
      <c r="BB26" s="48" t="b">
        <f>N26=[1]员工报账!N26</f>
        <v>1</v>
      </c>
      <c r="BC26" s="48" t="b">
        <f>O26=[1]员工报账!O26</f>
        <v>1</v>
      </c>
      <c r="BD26" s="48" t="b">
        <f>P26=[1]员工报账!P26</f>
        <v>1</v>
      </c>
      <c r="BE26" s="48" t="b">
        <f>Q26=[1]员工报账!Q26</f>
        <v>1</v>
      </c>
      <c r="BF26" s="48" t="b">
        <f>R26=[1]员工报账!R26</f>
        <v>1</v>
      </c>
      <c r="BG26" s="48" t="b">
        <f>S26=[1]员工报账!S26</f>
        <v>1</v>
      </c>
      <c r="BH26" s="48" t="b">
        <f>T26=[1]员工报账!T26</f>
        <v>1</v>
      </c>
      <c r="BI26" s="48" t="b">
        <f>U26=[1]员工报账!U26</f>
        <v>1</v>
      </c>
      <c r="BJ26" s="48" t="b">
        <f>V26=[1]员工报账!V26</f>
        <v>1</v>
      </c>
      <c r="BK26" s="48" t="b">
        <f>W26=[1]员工报账!W26</f>
        <v>1</v>
      </c>
      <c r="BL26" s="48" t="b">
        <f>X26=[1]员工报账!X26</f>
        <v>1</v>
      </c>
      <c r="BM26" s="48" t="b">
        <f>Y26=[1]员工报账!Y26</f>
        <v>1</v>
      </c>
      <c r="BN26" s="48" t="b">
        <f>Z26=[1]员工报账!Z26</f>
        <v>1</v>
      </c>
      <c r="BO26" s="48" t="b">
        <f>AA26=[1]员工报账!AA26</f>
        <v>1</v>
      </c>
      <c r="BP26" s="48" t="b">
        <f>AB26=[1]员工报账!AB26</f>
        <v>1</v>
      </c>
      <c r="BQ26" s="48" t="b">
        <f>AC26=[1]员工报账!AC26</f>
        <v>1</v>
      </c>
      <c r="BR26" s="48" t="b">
        <f>AD26=[1]员工报账!AD26</f>
        <v>1</v>
      </c>
      <c r="BS26" s="48" t="b">
        <f>AE26=[1]员工报账!AE26</f>
        <v>1</v>
      </c>
      <c r="BT26" s="48" t="b">
        <f>AF26=[1]员工报账!AF26</f>
        <v>1</v>
      </c>
      <c r="BU26" s="48" t="b">
        <f>AG26=[1]员工报账!AG26</f>
        <v>1</v>
      </c>
      <c r="BV26" s="48" t="b">
        <f>AH26=[1]员工报账!AH26</f>
        <v>1</v>
      </c>
      <c r="BW26" s="48" t="b">
        <f>AI26=[1]员工报账!AI26</f>
        <v>1</v>
      </c>
      <c r="BX26" s="48" t="b">
        <f>AJ26=[1]员工报账!AJ26</f>
        <v>1</v>
      </c>
    </row>
    <row r="27" s="48" customFormat="1" ht="105.6" spans="1:76">
      <c r="A27" s="62"/>
      <c r="B27" s="62"/>
      <c r="C27" s="63"/>
      <c r="D27" s="63"/>
      <c r="E27" s="64"/>
      <c r="F27" s="69"/>
      <c r="G27" s="63"/>
      <c r="H27" s="64"/>
      <c r="I27" s="35" t="s">
        <v>589</v>
      </c>
      <c r="J27" s="42" t="s">
        <v>590</v>
      </c>
      <c r="K27" s="35"/>
      <c r="L27" s="35"/>
      <c r="M27" s="35" t="s">
        <v>36</v>
      </c>
      <c r="N27" s="35"/>
      <c r="O27" s="35"/>
      <c r="P27" s="35"/>
      <c r="Q27" s="35" t="s">
        <v>36</v>
      </c>
      <c r="R27" s="35"/>
      <c r="S27" s="35"/>
      <c r="T27" s="43" t="s">
        <v>463</v>
      </c>
      <c r="U27" s="35" t="s">
        <v>464</v>
      </c>
      <c r="V27" s="42" t="s">
        <v>585</v>
      </c>
      <c r="W27" s="42" t="s">
        <v>525</v>
      </c>
      <c r="X27" s="35" t="s">
        <v>467</v>
      </c>
      <c r="Y27" s="35" t="s">
        <v>468</v>
      </c>
      <c r="Z27" s="35"/>
      <c r="AA27" s="35" t="s">
        <v>469</v>
      </c>
      <c r="AB27" s="35" t="s">
        <v>470</v>
      </c>
      <c r="AC27" s="35"/>
      <c r="AD27" s="42" t="s">
        <v>587</v>
      </c>
      <c r="AE27" s="35" t="s">
        <v>472</v>
      </c>
      <c r="AF27" s="35" t="s">
        <v>470</v>
      </c>
      <c r="AG27" s="35"/>
      <c r="AH27" s="35" t="s">
        <v>473</v>
      </c>
      <c r="AI27" s="35" t="s">
        <v>473</v>
      </c>
      <c r="AJ27" s="42" t="s">
        <v>591</v>
      </c>
      <c r="AK27" s="35" t="s">
        <v>475</v>
      </c>
      <c r="AL27" s="42" t="s">
        <v>476</v>
      </c>
      <c r="AM27" s="61"/>
      <c r="AN27" s="97"/>
      <c r="AO27" s="48" t="b">
        <f>A27=[1]员工报账!A27</f>
        <v>1</v>
      </c>
      <c r="AP27" s="48" t="b">
        <f>B27=[1]员工报账!B27</f>
        <v>1</v>
      </c>
      <c r="AQ27" s="48" t="b">
        <f>C27=[1]员工报账!C27</f>
        <v>1</v>
      </c>
      <c r="AR27" s="48" t="b">
        <f>D27=[1]员工报账!D27</f>
        <v>1</v>
      </c>
      <c r="AS27" s="48" t="b">
        <f>E27=[1]员工报账!E27</f>
        <v>1</v>
      </c>
      <c r="AT27" s="48" t="b">
        <f>F27=[1]员工报账!F27</f>
        <v>1</v>
      </c>
      <c r="AU27" s="48" t="b">
        <f>G27=[1]员工报账!G27</f>
        <v>1</v>
      </c>
      <c r="AV27" s="48" t="b">
        <f>H27=[1]员工报账!H27</f>
        <v>1</v>
      </c>
      <c r="AW27" s="48" t="b">
        <f>I27=[1]员工报账!I27</f>
        <v>1</v>
      </c>
      <c r="AX27" s="48" t="b">
        <f>J27=[1]员工报账!J27</f>
        <v>1</v>
      </c>
      <c r="AY27" s="48" t="b">
        <f>K27=[1]员工报账!K27</f>
        <v>1</v>
      </c>
      <c r="AZ27" s="48" t="b">
        <f>L27=[1]员工报账!L27</f>
        <v>1</v>
      </c>
      <c r="BA27" s="48" t="b">
        <f>M27=[1]员工报账!M27</f>
        <v>1</v>
      </c>
      <c r="BB27" s="48" t="b">
        <f>N27=[1]员工报账!N27</f>
        <v>1</v>
      </c>
      <c r="BC27" s="48" t="b">
        <f>O27=[1]员工报账!O27</f>
        <v>1</v>
      </c>
      <c r="BD27" s="48" t="b">
        <f>P27=[1]员工报账!P27</f>
        <v>1</v>
      </c>
      <c r="BE27" s="48" t="b">
        <f>Q27=[1]员工报账!Q27</f>
        <v>1</v>
      </c>
      <c r="BF27" s="48" t="b">
        <f>R27=[1]员工报账!R27</f>
        <v>1</v>
      </c>
      <c r="BG27" s="48" t="b">
        <f>S27=[1]员工报账!S27</f>
        <v>1</v>
      </c>
      <c r="BH27" s="48" t="b">
        <f>T27=[1]员工报账!T27</f>
        <v>1</v>
      </c>
      <c r="BI27" s="48" t="b">
        <f>U27=[1]员工报账!U27</f>
        <v>1</v>
      </c>
      <c r="BJ27" s="48" t="b">
        <f>V27=[1]员工报账!V27</f>
        <v>1</v>
      </c>
      <c r="BK27" s="48" t="b">
        <f>W27=[1]员工报账!W27</f>
        <v>1</v>
      </c>
      <c r="BL27" s="48" t="b">
        <f>X27=[1]员工报账!X27</f>
        <v>1</v>
      </c>
      <c r="BM27" s="48" t="b">
        <f>Y27=[1]员工报账!Y27</f>
        <v>1</v>
      </c>
      <c r="BN27" s="48" t="b">
        <f>Z27=[1]员工报账!Z27</f>
        <v>1</v>
      </c>
      <c r="BO27" s="48" t="b">
        <f>AA27=[1]员工报账!AA27</f>
        <v>1</v>
      </c>
      <c r="BP27" s="48" t="b">
        <f>AB27=[1]员工报账!AB27</f>
        <v>1</v>
      </c>
      <c r="BQ27" s="48" t="b">
        <f>AC27=[1]员工报账!AC27</f>
        <v>1</v>
      </c>
      <c r="BR27" s="48" t="b">
        <f>AD27=[1]员工报账!AD27</f>
        <v>1</v>
      </c>
      <c r="BS27" s="48" t="b">
        <f>AE27=[1]员工报账!AE27</f>
        <v>1</v>
      </c>
      <c r="BT27" s="48" t="b">
        <f>AF27=[1]员工报账!AF27</f>
        <v>1</v>
      </c>
      <c r="BU27" s="48" t="b">
        <f>AG27=[1]员工报账!AG27</f>
        <v>1</v>
      </c>
      <c r="BV27" s="48" t="b">
        <f>AH27=[1]员工报账!AH27</f>
        <v>1</v>
      </c>
      <c r="BW27" s="48" t="b">
        <f>AI27=[1]员工报账!AI27</f>
        <v>1</v>
      </c>
      <c r="BX27" s="48" t="b">
        <f>AJ27=[1]员工报账!AJ27</f>
        <v>1</v>
      </c>
    </row>
    <row r="28" s="48" customFormat="1" ht="118.8" spans="1:76">
      <c r="A28" s="62"/>
      <c r="B28" s="62"/>
      <c r="C28" s="63"/>
      <c r="D28" s="63"/>
      <c r="E28" s="64"/>
      <c r="F28" s="69"/>
      <c r="G28" s="63"/>
      <c r="H28" s="64"/>
      <c r="I28" s="35" t="s">
        <v>592</v>
      </c>
      <c r="J28" s="42" t="s">
        <v>593</v>
      </c>
      <c r="K28" s="35"/>
      <c r="L28" s="35"/>
      <c r="M28" s="35" t="s">
        <v>36</v>
      </c>
      <c r="N28" s="35"/>
      <c r="O28" s="35"/>
      <c r="P28" s="35"/>
      <c r="Q28" s="35"/>
      <c r="R28" s="35" t="s">
        <v>36</v>
      </c>
      <c r="S28" s="35"/>
      <c r="T28" s="43" t="s">
        <v>463</v>
      </c>
      <c r="U28" s="35" t="s">
        <v>464</v>
      </c>
      <c r="V28" s="42" t="s">
        <v>585</v>
      </c>
      <c r="W28" s="42" t="s">
        <v>586</v>
      </c>
      <c r="X28" s="35" t="s">
        <v>467</v>
      </c>
      <c r="Y28" s="35" t="s">
        <v>468</v>
      </c>
      <c r="Z28" s="35"/>
      <c r="AA28" s="35" t="s">
        <v>469</v>
      </c>
      <c r="AB28" s="35" t="s">
        <v>470</v>
      </c>
      <c r="AC28" s="35"/>
      <c r="AD28" s="42" t="s">
        <v>587</v>
      </c>
      <c r="AE28" s="35" t="s">
        <v>472</v>
      </c>
      <c r="AF28" s="35" t="s">
        <v>470</v>
      </c>
      <c r="AG28" s="35"/>
      <c r="AH28" s="35" t="s">
        <v>473</v>
      </c>
      <c r="AI28" s="35" t="s">
        <v>473</v>
      </c>
      <c r="AJ28" s="42" t="s">
        <v>594</v>
      </c>
      <c r="AK28" s="35" t="s">
        <v>475</v>
      </c>
      <c r="AL28" s="42" t="s">
        <v>476</v>
      </c>
      <c r="AM28" s="61"/>
      <c r="AN28" s="97"/>
      <c r="AO28" s="48" t="b">
        <f>A28=[1]员工报账!A28</f>
        <v>1</v>
      </c>
      <c r="AP28" s="48" t="b">
        <f>B28=[1]员工报账!B28</f>
        <v>1</v>
      </c>
      <c r="AQ28" s="48" t="b">
        <f>C28=[1]员工报账!C28</f>
        <v>1</v>
      </c>
      <c r="AR28" s="48" t="b">
        <f>D28=[1]员工报账!D28</f>
        <v>1</v>
      </c>
      <c r="AS28" s="48" t="b">
        <f>E28=[1]员工报账!E28</f>
        <v>1</v>
      </c>
      <c r="AT28" s="48" t="b">
        <f>F28=[1]员工报账!F28</f>
        <v>1</v>
      </c>
      <c r="AU28" s="48" t="b">
        <f>G28=[1]员工报账!G28</f>
        <v>1</v>
      </c>
      <c r="AV28" s="48" t="b">
        <f>H28=[1]员工报账!H28</f>
        <v>1</v>
      </c>
      <c r="AW28" s="48" t="b">
        <f>I28=[1]员工报账!I28</f>
        <v>1</v>
      </c>
      <c r="AX28" s="48" t="b">
        <f>J28=[1]员工报账!J28</f>
        <v>1</v>
      </c>
      <c r="AY28" s="48" t="b">
        <f>K28=[1]员工报账!K28</f>
        <v>1</v>
      </c>
      <c r="AZ28" s="48" t="b">
        <f>L28=[1]员工报账!L28</f>
        <v>1</v>
      </c>
      <c r="BA28" s="48" t="b">
        <f>M28=[1]员工报账!M28</f>
        <v>1</v>
      </c>
      <c r="BB28" s="48" t="b">
        <f>N28=[1]员工报账!N28</f>
        <v>1</v>
      </c>
      <c r="BC28" s="48" t="b">
        <f>O28=[1]员工报账!O28</f>
        <v>1</v>
      </c>
      <c r="BD28" s="48" t="b">
        <f>P28=[1]员工报账!P28</f>
        <v>1</v>
      </c>
      <c r="BE28" s="48" t="b">
        <f>Q28=[1]员工报账!Q28</f>
        <v>1</v>
      </c>
      <c r="BF28" s="48" t="b">
        <f>R28=[1]员工报账!R28</f>
        <v>1</v>
      </c>
      <c r="BG28" s="48" t="b">
        <f>S28=[1]员工报账!S28</f>
        <v>1</v>
      </c>
      <c r="BH28" s="48" t="b">
        <f>T28=[1]员工报账!T28</f>
        <v>1</v>
      </c>
      <c r="BI28" s="48" t="b">
        <f>U28=[1]员工报账!U28</f>
        <v>1</v>
      </c>
      <c r="BJ28" s="48" t="b">
        <f>V28=[1]员工报账!V28</f>
        <v>1</v>
      </c>
      <c r="BK28" s="48" t="b">
        <f>W28=[1]员工报账!W28</f>
        <v>1</v>
      </c>
      <c r="BL28" s="48" t="b">
        <f>X28=[1]员工报账!X28</f>
        <v>1</v>
      </c>
      <c r="BM28" s="48" t="b">
        <f>Y28=[1]员工报账!Y28</f>
        <v>1</v>
      </c>
      <c r="BN28" s="48" t="b">
        <f>Z28=[1]员工报账!Z28</f>
        <v>1</v>
      </c>
      <c r="BO28" s="48" t="b">
        <f>AA28=[1]员工报账!AA28</f>
        <v>1</v>
      </c>
      <c r="BP28" s="48" t="b">
        <f>AB28=[1]员工报账!AB28</f>
        <v>1</v>
      </c>
      <c r="BQ28" s="48" t="b">
        <f>AC28=[1]员工报账!AC28</f>
        <v>1</v>
      </c>
      <c r="BR28" s="48" t="b">
        <f>AD28=[1]员工报账!AD28</f>
        <v>1</v>
      </c>
      <c r="BS28" s="48" t="b">
        <f>AE28=[1]员工报账!AE28</f>
        <v>1</v>
      </c>
      <c r="BT28" s="48" t="b">
        <f>AF28=[1]员工报账!AF28</f>
        <v>1</v>
      </c>
      <c r="BU28" s="48" t="b">
        <f>AG28=[1]员工报账!AG28</f>
        <v>1</v>
      </c>
      <c r="BV28" s="48" t="b">
        <f>AH28=[1]员工报账!AH28</f>
        <v>1</v>
      </c>
      <c r="BW28" s="48" t="b">
        <f>AI28=[1]员工报账!AI28</f>
        <v>1</v>
      </c>
      <c r="BX28" s="48" t="b">
        <f>AJ28=[1]员工报账!AJ28</f>
        <v>1</v>
      </c>
    </row>
    <row r="29" s="48" customFormat="1" ht="118.8" spans="1:76">
      <c r="A29" s="67"/>
      <c r="B29" s="67"/>
      <c r="C29" s="38"/>
      <c r="D29" s="38"/>
      <c r="E29" s="66"/>
      <c r="F29" s="70"/>
      <c r="G29" s="38"/>
      <c r="H29" s="66"/>
      <c r="I29" s="35" t="s">
        <v>595</v>
      </c>
      <c r="J29" s="42" t="s">
        <v>596</v>
      </c>
      <c r="K29" s="35"/>
      <c r="L29" s="35"/>
      <c r="M29" s="35" t="s">
        <v>36</v>
      </c>
      <c r="N29" s="35"/>
      <c r="O29" s="35"/>
      <c r="P29" s="35"/>
      <c r="Q29" s="35" t="s">
        <v>36</v>
      </c>
      <c r="R29" s="35"/>
      <c r="S29" s="35"/>
      <c r="T29" s="43" t="s">
        <v>463</v>
      </c>
      <c r="U29" s="35" t="s">
        <v>464</v>
      </c>
      <c r="V29" s="42" t="s">
        <v>585</v>
      </c>
      <c r="W29" s="42" t="s">
        <v>586</v>
      </c>
      <c r="X29" s="35" t="s">
        <v>467</v>
      </c>
      <c r="Y29" s="35" t="s">
        <v>468</v>
      </c>
      <c r="Z29" s="35"/>
      <c r="AA29" s="35" t="s">
        <v>469</v>
      </c>
      <c r="AB29" s="35" t="s">
        <v>470</v>
      </c>
      <c r="AC29" s="35"/>
      <c r="AD29" s="42" t="s">
        <v>587</v>
      </c>
      <c r="AE29" s="35" t="s">
        <v>472</v>
      </c>
      <c r="AF29" s="35" t="s">
        <v>470</v>
      </c>
      <c r="AG29" s="35"/>
      <c r="AH29" s="35" t="s">
        <v>473</v>
      </c>
      <c r="AI29" s="35" t="s">
        <v>473</v>
      </c>
      <c r="AJ29" s="42" t="s">
        <v>591</v>
      </c>
      <c r="AK29" s="35" t="s">
        <v>475</v>
      </c>
      <c r="AL29" s="42" t="s">
        <v>476</v>
      </c>
      <c r="AM29" s="61"/>
      <c r="AN29" s="97"/>
      <c r="AO29" s="48" t="b">
        <f>A29=[1]员工报账!A29</f>
        <v>1</v>
      </c>
      <c r="AP29" s="48" t="b">
        <f>B29=[1]员工报账!B29</f>
        <v>1</v>
      </c>
      <c r="AQ29" s="48" t="b">
        <f>C29=[1]员工报账!C29</f>
        <v>1</v>
      </c>
      <c r="AR29" s="48" t="b">
        <f>D29=[1]员工报账!D29</f>
        <v>1</v>
      </c>
      <c r="AS29" s="48" t="b">
        <f>E29=[1]员工报账!E29</f>
        <v>1</v>
      </c>
      <c r="AT29" s="48" t="b">
        <f>F29=[1]员工报账!F29</f>
        <v>1</v>
      </c>
      <c r="AU29" s="48" t="b">
        <f>G29=[1]员工报账!G29</f>
        <v>1</v>
      </c>
      <c r="AV29" s="48" t="b">
        <f>H29=[1]员工报账!H29</f>
        <v>1</v>
      </c>
      <c r="AW29" s="48" t="b">
        <f>I29=[1]员工报账!I29</f>
        <v>1</v>
      </c>
      <c r="AX29" s="48" t="b">
        <f>J29=[1]员工报账!J29</f>
        <v>1</v>
      </c>
      <c r="AY29" s="48" t="b">
        <f>K29=[1]员工报账!K29</f>
        <v>1</v>
      </c>
      <c r="AZ29" s="48" t="b">
        <f>L29=[1]员工报账!L29</f>
        <v>1</v>
      </c>
      <c r="BA29" s="48" t="b">
        <f>M29=[1]员工报账!M29</f>
        <v>1</v>
      </c>
      <c r="BB29" s="48" t="b">
        <f>N29=[1]员工报账!N29</f>
        <v>1</v>
      </c>
      <c r="BC29" s="48" t="b">
        <f>O29=[1]员工报账!O29</f>
        <v>1</v>
      </c>
      <c r="BD29" s="48" t="b">
        <f>P29=[1]员工报账!P29</f>
        <v>1</v>
      </c>
      <c r="BE29" s="48" t="b">
        <f>Q29=[1]员工报账!Q29</f>
        <v>1</v>
      </c>
      <c r="BF29" s="48" t="b">
        <f>R29=[1]员工报账!R29</f>
        <v>1</v>
      </c>
      <c r="BG29" s="48" t="b">
        <f>S29=[1]员工报账!S29</f>
        <v>1</v>
      </c>
      <c r="BH29" s="48" t="b">
        <f>T29=[1]员工报账!T29</f>
        <v>1</v>
      </c>
      <c r="BI29" s="48" t="b">
        <f>U29=[1]员工报账!U29</f>
        <v>1</v>
      </c>
      <c r="BJ29" s="48" t="b">
        <f>V29=[1]员工报账!V29</f>
        <v>1</v>
      </c>
      <c r="BK29" s="48" t="b">
        <f>W29=[1]员工报账!W29</f>
        <v>1</v>
      </c>
      <c r="BL29" s="48" t="b">
        <f>X29=[1]员工报账!X29</f>
        <v>1</v>
      </c>
      <c r="BM29" s="48" t="b">
        <f>Y29=[1]员工报账!Y29</f>
        <v>1</v>
      </c>
      <c r="BN29" s="48" t="b">
        <f>Z29=[1]员工报账!Z29</f>
        <v>1</v>
      </c>
      <c r="BO29" s="48" t="b">
        <f>AA29=[1]员工报账!AA29</f>
        <v>1</v>
      </c>
      <c r="BP29" s="48" t="b">
        <f>AB29=[1]员工报账!AB29</f>
        <v>1</v>
      </c>
      <c r="BQ29" s="48" t="b">
        <f>AC29=[1]员工报账!AC29</f>
        <v>1</v>
      </c>
      <c r="BR29" s="48" t="b">
        <f>AD29=[1]员工报账!AD29</f>
        <v>1</v>
      </c>
      <c r="BS29" s="48" t="b">
        <f>AE29=[1]员工报账!AE29</f>
        <v>1</v>
      </c>
      <c r="BT29" s="48" t="b">
        <f>AF29=[1]员工报账!AF29</f>
        <v>1</v>
      </c>
      <c r="BU29" s="48" t="b">
        <f>AG29=[1]员工报账!AG29</f>
        <v>1</v>
      </c>
      <c r="BV29" s="48" t="b">
        <f>AH29=[1]员工报账!AH29</f>
        <v>1</v>
      </c>
      <c r="BW29" s="48" t="b">
        <f>AI29=[1]员工报账!AI29</f>
        <v>1</v>
      </c>
      <c r="BX29" s="48" t="b">
        <f>AJ29=[1]员工报账!AJ29</f>
        <v>1</v>
      </c>
    </row>
    <row r="30" s="48" customFormat="1" ht="158.4" spans="1:76">
      <c r="A30" s="56" t="s">
        <v>453</v>
      </c>
      <c r="B30" s="56" t="s">
        <v>454</v>
      </c>
      <c r="C30" s="63" t="s">
        <v>455</v>
      </c>
      <c r="D30" s="63" t="s">
        <v>563</v>
      </c>
      <c r="E30" s="66" t="s">
        <v>580</v>
      </c>
      <c r="F30" s="73" t="s">
        <v>500</v>
      </c>
      <c r="G30" s="38" t="s">
        <v>581</v>
      </c>
      <c r="H30" s="66" t="s">
        <v>582</v>
      </c>
      <c r="I30" s="35" t="s">
        <v>597</v>
      </c>
      <c r="J30" s="42" t="s">
        <v>598</v>
      </c>
      <c r="K30" s="35"/>
      <c r="L30" s="35"/>
      <c r="M30" s="35" t="s">
        <v>36</v>
      </c>
      <c r="N30" s="35"/>
      <c r="O30" s="35"/>
      <c r="P30" s="35"/>
      <c r="Q30" s="35"/>
      <c r="R30" s="35" t="s">
        <v>36</v>
      </c>
      <c r="S30" s="35" t="s">
        <v>36</v>
      </c>
      <c r="T30" s="35" t="s">
        <v>516</v>
      </c>
      <c r="U30" s="42"/>
      <c r="V30" s="42" t="s">
        <v>532</v>
      </c>
      <c r="W30" s="42" t="s">
        <v>599</v>
      </c>
      <c r="X30" s="35" t="s">
        <v>467</v>
      </c>
      <c r="Y30" s="35" t="s">
        <v>468</v>
      </c>
      <c r="Z30" s="35"/>
      <c r="AA30" s="35" t="s">
        <v>469</v>
      </c>
      <c r="AB30" s="35" t="s">
        <v>470</v>
      </c>
      <c r="AC30" s="35"/>
      <c r="AD30" s="42" t="s">
        <v>587</v>
      </c>
      <c r="AE30" s="35" t="s">
        <v>472</v>
      </c>
      <c r="AF30" s="35" t="s">
        <v>470</v>
      </c>
      <c r="AG30" s="35"/>
      <c r="AH30" s="35" t="s">
        <v>473</v>
      </c>
      <c r="AI30" s="35" t="s">
        <v>473</v>
      </c>
      <c r="AJ30" s="42" t="s">
        <v>600</v>
      </c>
      <c r="AK30" s="35" t="s">
        <v>475</v>
      </c>
      <c r="AL30" s="42" t="s">
        <v>476</v>
      </c>
      <c r="AM30" s="61"/>
      <c r="AN30" s="97" t="s">
        <v>477</v>
      </c>
      <c r="AO30" s="48" t="b">
        <f>A30=[1]员工报账!A30</f>
        <v>1</v>
      </c>
      <c r="AP30" s="48" t="b">
        <f>B30=[1]员工报账!B30</f>
        <v>1</v>
      </c>
      <c r="AQ30" s="48" t="b">
        <f>C30=[1]员工报账!C30</f>
        <v>1</v>
      </c>
      <c r="AR30" s="48" t="b">
        <f>D30=[1]员工报账!D30</f>
        <v>1</v>
      </c>
      <c r="AS30" s="48" t="b">
        <f>E30=[1]员工报账!E30</f>
        <v>1</v>
      </c>
      <c r="AT30" s="48" t="b">
        <f>F30=[1]员工报账!F30</f>
        <v>1</v>
      </c>
      <c r="AU30" s="48" t="b">
        <f>G30=[1]员工报账!G30</f>
        <v>1</v>
      </c>
      <c r="AV30" s="48" t="b">
        <f>H30=[1]员工报账!H30</f>
        <v>1</v>
      </c>
      <c r="AW30" s="48" t="b">
        <f>I30=[1]员工报账!I30</f>
        <v>1</v>
      </c>
      <c r="AX30" s="48" t="b">
        <f>J30=[1]员工报账!J30</f>
        <v>1</v>
      </c>
      <c r="AY30" s="48" t="b">
        <f>K30=[1]员工报账!K30</f>
        <v>1</v>
      </c>
      <c r="AZ30" s="48" t="b">
        <f>L30=[1]员工报账!L30</f>
        <v>1</v>
      </c>
      <c r="BA30" s="48" t="b">
        <f>M30=[1]员工报账!M30</f>
        <v>1</v>
      </c>
      <c r="BB30" s="48" t="b">
        <f>N30=[1]员工报账!N30</f>
        <v>1</v>
      </c>
      <c r="BC30" s="48" t="b">
        <f>O30=[1]员工报账!O30</f>
        <v>1</v>
      </c>
      <c r="BD30" s="48" t="b">
        <f>P30=[1]员工报账!P30</f>
        <v>1</v>
      </c>
      <c r="BE30" s="48" t="b">
        <f>Q30=[1]员工报账!Q30</f>
        <v>1</v>
      </c>
      <c r="BF30" s="48" t="b">
        <f>R30=[1]员工报账!R30</f>
        <v>1</v>
      </c>
      <c r="BG30" s="48" t="b">
        <f>S30=[1]员工报账!S30</f>
        <v>1</v>
      </c>
      <c r="BH30" s="48" t="b">
        <f>T30=[1]员工报账!T30</f>
        <v>1</v>
      </c>
      <c r="BI30" s="48" t="b">
        <f>U30=[1]员工报账!U30</f>
        <v>1</v>
      </c>
      <c r="BJ30" s="48" t="b">
        <f>V30=[1]员工报账!V30</f>
        <v>1</v>
      </c>
      <c r="BK30" s="48" t="b">
        <f>W30=[1]员工报账!W30</f>
        <v>1</v>
      </c>
      <c r="BL30" s="48" t="b">
        <f>X30=[1]员工报账!X30</f>
        <v>1</v>
      </c>
      <c r="BM30" s="48" t="b">
        <f>Y30=[1]员工报账!Y30</f>
        <v>1</v>
      </c>
      <c r="BN30" s="48" t="b">
        <f>Z30=[1]员工报账!Z30</f>
        <v>1</v>
      </c>
      <c r="BO30" s="48" t="b">
        <f>AA30=[1]员工报账!AA30</f>
        <v>1</v>
      </c>
      <c r="BP30" s="48" t="b">
        <f>AB30=[1]员工报账!AB30</f>
        <v>1</v>
      </c>
      <c r="BQ30" s="48" t="b">
        <f>AC30=[1]员工报账!AC30</f>
        <v>1</v>
      </c>
      <c r="BR30" s="48" t="b">
        <f>AD30=[1]员工报账!AD30</f>
        <v>1</v>
      </c>
      <c r="BS30" s="48" t="b">
        <f>AE30=[1]员工报账!AE30</f>
        <v>1</v>
      </c>
      <c r="BT30" s="48" t="b">
        <f>AF30=[1]员工报账!AF30</f>
        <v>1</v>
      </c>
      <c r="BU30" s="48" t="b">
        <f>AG30=[1]员工报账!AG30</f>
        <v>1</v>
      </c>
      <c r="BV30" s="48" t="b">
        <f>AH30=[1]员工报账!AH30</f>
        <v>1</v>
      </c>
      <c r="BW30" s="48" t="b">
        <f>AI30=[1]员工报账!AI30</f>
        <v>1</v>
      </c>
      <c r="BX30" s="48" t="b">
        <f>AJ30=[1]员工报账!AJ30</f>
        <v>0</v>
      </c>
    </row>
    <row r="31" s="48" customFormat="1" ht="92.4" spans="1:76">
      <c r="A31" s="62"/>
      <c r="B31" s="62"/>
      <c r="C31" s="63"/>
      <c r="D31" s="63"/>
      <c r="E31" s="58" t="s">
        <v>601</v>
      </c>
      <c r="F31" s="73"/>
      <c r="G31" s="57" t="s">
        <v>602</v>
      </c>
      <c r="H31" s="58" t="s">
        <v>603</v>
      </c>
      <c r="I31" s="35" t="s">
        <v>604</v>
      </c>
      <c r="J31" s="42" t="s">
        <v>605</v>
      </c>
      <c r="K31" s="35"/>
      <c r="L31" s="35"/>
      <c r="M31" s="35"/>
      <c r="N31" s="35"/>
      <c r="O31" s="35"/>
      <c r="P31" s="35"/>
      <c r="Q31" s="35"/>
      <c r="R31" s="35"/>
      <c r="S31" s="35" t="s">
        <v>36</v>
      </c>
      <c r="T31" s="35" t="s">
        <v>497</v>
      </c>
      <c r="U31" s="35" t="s">
        <v>464</v>
      </c>
      <c r="V31" s="42" t="s">
        <v>606</v>
      </c>
      <c r="W31" s="42" t="s">
        <v>481</v>
      </c>
      <c r="X31" s="35" t="s">
        <v>467</v>
      </c>
      <c r="Y31" s="35" t="s">
        <v>468</v>
      </c>
      <c r="Z31" s="35"/>
      <c r="AA31" s="35" t="s">
        <v>469</v>
      </c>
      <c r="AB31" s="35" t="s">
        <v>470</v>
      </c>
      <c r="AC31" s="35"/>
      <c r="AD31" s="42" t="s">
        <v>587</v>
      </c>
      <c r="AE31" s="35" t="s">
        <v>472</v>
      </c>
      <c r="AF31" s="35" t="s">
        <v>470</v>
      </c>
      <c r="AG31" s="35"/>
      <c r="AH31" s="35" t="s">
        <v>473</v>
      </c>
      <c r="AI31" s="35" t="s">
        <v>473</v>
      </c>
      <c r="AJ31" s="42" t="s">
        <v>607</v>
      </c>
      <c r="AK31" s="35" t="s">
        <v>475</v>
      </c>
      <c r="AL31" s="42" t="s">
        <v>476</v>
      </c>
      <c r="AM31" s="61"/>
      <c r="AN31" s="97"/>
      <c r="AO31" s="48" t="b">
        <f>A31=[1]员工报账!A31</f>
        <v>1</v>
      </c>
      <c r="AP31" s="48" t="b">
        <f>B31=[1]员工报账!B31</f>
        <v>1</v>
      </c>
      <c r="AQ31" s="48" t="b">
        <f>C31=[1]员工报账!C31</f>
        <v>1</v>
      </c>
      <c r="AR31" s="48" t="b">
        <f>D31=[1]员工报账!D31</f>
        <v>1</v>
      </c>
      <c r="AS31" s="48" t="b">
        <f>E31=[1]员工报账!E31</f>
        <v>1</v>
      </c>
      <c r="AT31" s="48" t="b">
        <f>F31=[1]员工报账!F31</f>
        <v>1</v>
      </c>
      <c r="AU31" s="48" t="b">
        <f>G31=[1]员工报账!G31</f>
        <v>1</v>
      </c>
      <c r="AV31" s="48" t="b">
        <f>H31=[1]员工报账!H31</f>
        <v>1</v>
      </c>
      <c r="AW31" s="48" t="b">
        <f>I31=[1]员工报账!I31</f>
        <v>1</v>
      </c>
      <c r="AX31" s="48" t="b">
        <f>J31=[1]员工报账!J31</f>
        <v>1</v>
      </c>
      <c r="AY31" s="48" t="b">
        <f>K31=[1]员工报账!K31</f>
        <v>1</v>
      </c>
      <c r="AZ31" s="48" t="b">
        <f>L31=[1]员工报账!L31</f>
        <v>1</v>
      </c>
      <c r="BA31" s="48" t="b">
        <f>M31=[1]员工报账!M31</f>
        <v>1</v>
      </c>
      <c r="BB31" s="48" t="b">
        <f>N31=[1]员工报账!N31</f>
        <v>1</v>
      </c>
      <c r="BC31" s="48" t="b">
        <f>O31=[1]员工报账!O31</f>
        <v>1</v>
      </c>
      <c r="BD31" s="48" t="b">
        <f>P31=[1]员工报账!P31</f>
        <v>1</v>
      </c>
      <c r="BE31" s="48" t="b">
        <f>Q31=[1]员工报账!Q31</f>
        <v>1</v>
      </c>
      <c r="BF31" s="48" t="b">
        <f>R31=[1]员工报账!R31</f>
        <v>1</v>
      </c>
      <c r="BG31" s="48" t="b">
        <f>S31=[1]员工报账!S31</f>
        <v>1</v>
      </c>
      <c r="BH31" s="48" t="b">
        <f>T31=[1]员工报账!T31</f>
        <v>1</v>
      </c>
      <c r="BI31" s="48" t="b">
        <f>U31=[1]员工报账!U31</f>
        <v>1</v>
      </c>
      <c r="BJ31" s="48" t="b">
        <f>V31=[1]员工报账!V31</f>
        <v>1</v>
      </c>
      <c r="BK31" s="48" t="b">
        <f>W31=[1]员工报账!W31</f>
        <v>1</v>
      </c>
      <c r="BL31" s="48" t="b">
        <f>X31=[1]员工报账!X31</f>
        <v>1</v>
      </c>
      <c r="BM31" s="48" t="b">
        <f>Y31=[1]员工报账!Y31</f>
        <v>1</v>
      </c>
      <c r="BN31" s="48" t="b">
        <f>Z31=[1]员工报账!Z31</f>
        <v>1</v>
      </c>
      <c r="BO31" s="48" t="b">
        <f>AA31=[1]员工报账!AA31</f>
        <v>1</v>
      </c>
      <c r="BP31" s="48" t="b">
        <f>AB31=[1]员工报账!AB31</f>
        <v>1</v>
      </c>
      <c r="BQ31" s="48" t="b">
        <f>AC31=[1]员工报账!AC31</f>
        <v>1</v>
      </c>
      <c r="BR31" s="48" t="b">
        <f>AD31=[1]员工报账!AD31</f>
        <v>1</v>
      </c>
      <c r="BS31" s="48" t="b">
        <f>AE31=[1]员工报账!AE31</f>
        <v>1</v>
      </c>
      <c r="BT31" s="48" t="b">
        <f>AF31=[1]员工报账!AF31</f>
        <v>1</v>
      </c>
      <c r="BU31" s="48" t="b">
        <f>AG31=[1]员工报账!AG31</f>
        <v>1</v>
      </c>
      <c r="BV31" s="48" t="b">
        <f>AH31=[1]员工报账!AH31</f>
        <v>1</v>
      </c>
      <c r="BW31" s="48" t="b">
        <f>AI31=[1]员工报账!AI31</f>
        <v>1</v>
      </c>
      <c r="BX31" s="48" t="b">
        <f>AJ31=[1]员工报账!AJ31</f>
        <v>1</v>
      </c>
    </row>
    <row r="32" s="48" customFormat="1" ht="92.4" spans="1:76">
      <c r="A32" s="62"/>
      <c r="B32" s="62"/>
      <c r="C32" s="63"/>
      <c r="D32" s="63"/>
      <c r="E32" s="64"/>
      <c r="F32" s="73"/>
      <c r="G32" s="63"/>
      <c r="H32" s="64"/>
      <c r="I32" s="35" t="s">
        <v>608</v>
      </c>
      <c r="J32" s="42" t="s">
        <v>609</v>
      </c>
      <c r="K32" s="35"/>
      <c r="L32" s="35"/>
      <c r="M32" s="35" t="s">
        <v>36</v>
      </c>
      <c r="N32" s="35"/>
      <c r="O32" s="35"/>
      <c r="P32" s="35"/>
      <c r="Q32" s="35" t="s">
        <v>36</v>
      </c>
      <c r="R32" s="35" t="s">
        <v>36</v>
      </c>
      <c r="S32" s="35"/>
      <c r="T32" s="35" t="s">
        <v>516</v>
      </c>
      <c r="U32" s="42"/>
      <c r="V32" s="42" t="s">
        <v>606</v>
      </c>
      <c r="W32" s="42" t="s">
        <v>610</v>
      </c>
      <c r="X32" s="35" t="s">
        <v>467</v>
      </c>
      <c r="Y32" s="35" t="s">
        <v>468</v>
      </c>
      <c r="Z32" s="35"/>
      <c r="AA32" s="35" t="s">
        <v>469</v>
      </c>
      <c r="AB32" s="35" t="s">
        <v>470</v>
      </c>
      <c r="AC32" s="35"/>
      <c r="AD32" s="42" t="s">
        <v>587</v>
      </c>
      <c r="AE32" s="35" t="s">
        <v>472</v>
      </c>
      <c r="AF32" s="35" t="s">
        <v>470</v>
      </c>
      <c r="AG32" s="35"/>
      <c r="AH32" s="35" t="s">
        <v>473</v>
      </c>
      <c r="AI32" s="35" t="s">
        <v>473</v>
      </c>
      <c r="AJ32" s="42" t="s">
        <v>607</v>
      </c>
      <c r="AK32" s="35" t="s">
        <v>475</v>
      </c>
      <c r="AL32" s="42" t="s">
        <v>476</v>
      </c>
      <c r="AM32" s="61"/>
      <c r="AN32" s="97" t="s">
        <v>509</v>
      </c>
      <c r="AO32" s="48" t="b">
        <f>A32=[1]员工报账!A32</f>
        <v>1</v>
      </c>
      <c r="AP32" s="48" t="b">
        <f>B32=[1]员工报账!B32</f>
        <v>1</v>
      </c>
      <c r="AQ32" s="48" t="b">
        <f>C32=[1]员工报账!C32</f>
        <v>1</v>
      </c>
      <c r="AR32" s="48" t="b">
        <f>D32=[1]员工报账!D32</f>
        <v>1</v>
      </c>
      <c r="AS32" s="48" t="b">
        <f>E32=[1]员工报账!E32</f>
        <v>1</v>
      </c>
      <c r="AT32" s="48" t="b">
        <f>F32=[1]员工报账!F32</f>
        <v>1</v>
      </c>
      <c r="AU32" s="48" t="b">
        <f>G32=[1]员工报账!G32</f>
        <v>1</v>
      </c>
      <c r="AV32" s="48" t="b">
        <f>H32=[1]员工报账!H32</f>
        <v>1</v>
      </c>
      <c r="AW32" s="48" t="b">
        <f>I32=[1]员工报账!I32</f>
        <v>1</v>
      </c>
      <c r="AX32" s="48" t="b">
        <f>J32=[1]员工报账!J32</f>
        <v>1</v>
      </c>
      <c r="AY32" s="48" t="b">
        <f>K32=[1]员工报账!K32</f>
        <v>1</v>
      </c>
      <c r="AZ32" s="48" t="b">
        <f>L32=[1]员工报账!L32</f>
        <v>1</v>
      </c>
      <c r="BA32" s="48" t="b">
        <f>M32=[1]员工报账!M32</f>
        <v>1</v>
      </c>
      <c r="BB32" s="48" t="b">
        <f>N32=[1]员工报账!N32</f>
        <v>1</v>
      </c>
      <c r="BC32" s="48" t="b">
        <f>O32=[1]员工报账!O32</f>
        <v>1</v>
      </c>
      <c r="BD32" s="48" t="b">
        <f>P32=[1]员工报账!P32</f>
        <v>1</v>
      </c>
      <c r="BE32" s="48" t="b">
        <f>Q32=[1]员工报账!Q32</f>
        <v>1</v>
      </c>
      <c r="BF32" s="48" t="b">
        <f>R32=[1]员工报账!R32</f>
        <v>1</v>
      </c>
      <c r="BG32" s="48" t="b">
        <f>S32=[1]员工报账!S32</f>
        <v>1</v>
      </c>
      <c r="BH32" s="48" t="b">
        <f>T32=[1]员工报账!T32</f>
        <v>1</v>
      </c>
      <c r="BI32" s="48" t="b">
        <f>U32=[1]员工报账!U32</f>
        <v>1</v>
      </c>
      <c r="BJ32" s="48" t="b">
        <f>V32=[1]员工报账!V32</f>
        <v>1</v>
      </c>
      <c r="BK32" s="48" t="b">
        <f>W32=[1]员工报账!W32</f>
        <v>0</v>
      </c>
      <c r="BL32" s="48" t="b">
        <f>X32=[1]员工报账!X32</f>
        <v>1</v>
      </c>
      <c r="BM32" s="48" t="b">
        <f>Y32=[1]员工报账!Y32</f>
        <v>1</v>
      </c>
      <c r="BN32" s="48" t="b">
        <f>Z32=[1]员工报账!Z32</f>
        <v>1</v>
      </c>
      <c r="BO32" s="48" t="b">
        <f>AA32=[1]员工报账!AA32</f>
        <v>1</v>
      </c>
      <c r="BP32" s="48" t="b">
        <f>AB32=[1]员工报账!AB32</f>
        <v>1</v>
      </c>
      <c r="BQ32" s="48" t="b">
        <f>AC32=[1]员工报账!AC32</f>
        <v>1</v>
      </c>
      <c r="BR32" s="48" t="b">
        <f>AD32=[1]员工报账!AD32</f>
        <v>1</v>
      </c>
      <c r="BS32" s="48" t="b">
        <f>AE32=[1]员工报账!AE32</f>
        <v>1</v>
      </c>
      <c r="BT32" s="48" t="b">
        <f>AF32=[1]员工报账!AF32</f>
        <v>1</v>
      </c>
      <c r="BU32" s="48" t="b">
        <f>AG32=[1]员工报账!AG32</f>
        <v>1</v>
      </c>
      <c r="BV32" s="48" t="b">
        <f>AH32=[1]员工报账!AH32</f>
        <v>1</v>
      </c>
      <c r="BW32" s="48" t="b">
        <f>AI32=[1]员工报账!AI32</f>
        <v>1</v>
      </c>
      <c r="BX32" s="48" t="b">
        <f>AJ32=[1]员工报账!AJ32</f>
        <v>1</v>
      </c>
    </row>
    <row r="33" s="48" customFormat="1" ht="92.4" spans="1:76">
      <c r="A33" s="62"/>
      <c r="B33" s="62"/>
      <c r="C33" s="63"/>
      <c r="D33" s="63"/>
      <c r="E33" s="64"/>
      <c r="F33" s="73"/>
      <c r="G33" s="63"/>
      <c r="H33" s="64"/>
      <c r="I33" s="35" t="s">
        <v>611</v>
      </c>
      <c r="J33" s="42" t="s">
        <v>612</v>
      </c>
      <c r="K33" s="35"/>
      <c r="L33" s="35"/>
      <c r="M33" s="35" t="s">
        <v>36</v>
      </c>
      <c r="N33" s="35"/>
      <c r="O33" s="35"/>
      <c r="P33" s="35"/>
      <c r="Q33" s="35" t="s">
        <v>36</v>
      </c>
      <c r="R33" s="35" t="s">
        <v>36</v>
      </c>
      <c r="S33" s="35"/>
      <c r="T33" s="43" t="s">
        <v>463</v>
      </c>
      <c r="U33" s="35" t="s">
        <v>464</v>
      </c>
      <c r="V33" s="42" t="s">
        <v>606</v>
      </c>
      <c r="W33" s="42" t="s">
        <v>613</v>
      </c>
      <c r="X33" s="35" t="s">
        <v>467</v>
      </c>
      <c r="Y33" s="35" t="s">
        <v>468</v>
      </c>
      <c r="Z33" s="35"/>
      <c r="AA33" s="35" t="s">
        <v>469</v>
      </c>
      <c r="AB33" s="35" t="s">
        <v>470</v>
      </c>
      <c r="AC33" s="35"/>
      <c r="AD33" s="42" t="s">
        <v>587</v>
      </c>
      <c r="AE33" s="35" t="s">
        <v>472</v>
      </c>
      <c r="AF33" s="35" t="s">
        <v>470</v>
      </c>
      <c r="AG33" s="35"/>
      <c r="AH33" s="35" t="s">
        <v>473</v>
      </c>
      <c r="AI33" s="35" t="s">
        <v>473</v>
      </c>
      <c r="AJ33" s="42" t="s">
        <v>607</v>
      </c>
      <c r="AK33" s="35" t="s">
        <v>475</v>
      </c>
      <c r="AL33" s="42" t="s">
        <v>476</v>
      </c>
      <c r="AM33" s="61"/>
      <c r="AN33" s="97"/>
      <c r="AO33" s="48" t="b">
        <f>A33=[1]员工报账!A33</f>
        <v>1</v>
      </c>
      <c r="AP33" s="48" t="b">
        <f>B33=[1]员工报账!B33</f>
        <v>1</v>
      </c>
      <c r="AQ33" s="48" t="b">
        <f>C33=[1]员工报账!C33</f>
        <v>1</v>
      </c>
      <c r="AR33" s="48" t="b">
        <f>D33=[1]员工报账!D33</f>
        <v>1</v>
      </c>
      <c r="AS33" s="48" t="b">
        <f>E33=[1]员工报账!E33</f>
        <v>1</v>
      </c>
      <c r="AT33" s="48" t="b">
        <f>F33=[1]员工报账!F33</f>
        <v>1</v>
      </c>
      <c r="AU33" s="48" t="b">
        <f>G33=[1]员工报账!G33</f>
        <v>1</v>
      </c>
      <c r="AV33" s="48" t="b">
        <f>H33=[1]员工报账!H33</f>
        <v>1</v>
      </c>
      <c r="AW33" s="48" t="b">
        <f>I33=[1]员工报账!I33</f>
        <v>1</v>
      </c>
      <c r="AX33" s="48" t="b">
        <f>J33=[1]员工报账!J33</f>
        <v>1</v>
      </c>
      <c r="AY33" s="48" t="b">
        <f>K33=[1]员工报账!K33</f>
        <v>1</v>
      </c>
      <c r="AZ33" s="48" t="b">
        <f>L33=[1]员工报账!L33</f>
        <v>1</v>
      </c>
      <c r="BA33" s="48" t="b">
        <f>M33=[1]员工报账!M33</f>
        <v>1</v>
      </c>
      <c r="BB33" s="48" t="b">
        <f>N33=[1]员工报账!N33</f>
        <v>1</v>
      </c>
      <c r="BC33" s="48" t="b">
        <f>O33=[1]员工报账!O33</f>
        <v>1</v>
      </c>
      <c r="BD33" s="48" t="b">
        <f>P33=[1]员工报账!P33</f>
        <v>1</v>
      </c>
      <c r="BE33" s="48" t="b">
        <f>Q33=[1]员工报账!Q33</f>
        <v>1</v>
      </c>
      <c r="BF33" s="48" t="b">
        <f>R33=[1]员工报账!R33</f>
        <v>1</v>
      </c>
      <c r="BG33" s="48" t="b">
        <f>S33=[1]员工报账!S33</f>
        <v>1</v>
      </c>
      <c r="BH33" s="48" t="b">
        <f>T33=[1]员工报账!T33</f>
        <v>1</v>
      </c>
      <c r="BI33" s="48" t="b">
        <f>U33=[1]员工报账!U33</f>
        <v>1</v>
      </c>
      <c r="BJ33" s="48" t="b">
        <f>V33=[1]员工报账!V33</f>
        <v>1</v>
      </c>
      <c r="BK33" s="48" t="b">
        <f>W33=[1]员工报账!W33</f>
        <v>1</v>
      </c>
      <c r="BL33" s="48" t="b">
        <f>X33=[1]员工报账!X33</f>
        <v>1</v>
      </c>
      <c r="BM33" s="48" t="b">
        <f>Y33=[1]员工报账!Y33</f>
        <v>1</v>
      </c>
      <c r="BN33" s="48" t="b">
        <f>Z33=[1]员工报账!Z33</f>
        <v>1</v>
      </c>
      <c r="BO33" s="48" t="b">
        <f>AA33=[1]员工报账!AA33</f>
        <v>1</v>
      </c>
      <c r="BP33" s="48" t="b">
        <f>AB33=[1]员工报账!AB33</f>
        <v>1</v>
      </c>
      <c r="BQ33" s="48" t="b">
        <f>AC33=[1]员工报账!AC33</f>
        <v>1</v>
      </c>
      <c r="BR33" s="48" t="b">
        <f>AD33=[1]员工报账!AD33</f>
        <v>1</v>
      </c>
      <c r="BS33" s="48" t="b">
        <f>AE33=[1]员工报账!AE33</f>
        <v>1</v>
      </c>
      <c r="BT33" s="48" t="b">
        <f>AF33=[1]员工报账!AF33</f>
        <v>1</v>
      </c>
      <c r="BU33" s="48" t="b">
        <f>AG33=[1]员工报账!AG33</f>
        <v>1</v>
      </c>
      <c r="BV33" s="48" t="b">
        <f>AH33=[1]员工报账!AH33</f>
        <v>1</v>
      </c>
      <c r="BW33" s="48" t="b">
        <f>AI33=[1]员工报账!AI33</f>
        <v>1</v>
      </c>
      <c r="BX33" s="48" t="b">
        <f>AJ33=[1]员工报账!AJ33</f>
        <v>1</v>
      </c>
    </row>
    <row r="34" s="48" customFormat="1" ht="79.2" spans="1:76">
      <c r="A34" s="67"/>
      <c r="B34" s="67"/>
      <c r="C34" s="38"/>
      <c r="D34" s="38"/>
      <c r="E34" s="66"/>
      <c r="F34" s="73"/>
      <c r="G34" s="38"/>
      <c r="H34" s="66"/>
      <c r="I34" s="35" t="s">
        <v>614</v>
      </c>
      <c r="J34" s="42" t="s">
        <v>615</v>
      </c>
      <c r="K34" s="35"/>
      <c r="L34" s="35"/>
      <c r="M34" s="35" t="s">
        <v>36</v>
      </c>
      <c r="N34" s="35"/>
      <c r="O34" s="35"/>
      <c r="P34" s="35"/>
      <c r="Q34" s="35"/>
      <c r="R34" s="35" t="s">
        <v>36</v>
      </c>
      <c r="S34" s="35"/>
      <c r="T34" s="35" t="s">
        <v>516</v>
      </c>
      <c r="U34" s="42"/>
      <c r="V34" s="42" t="s">
        <v>616</v>
      </c>
      <c r="W34" s="42" t="s">
        <v>617</v>
      </c>
      <c r="X34" s="35" t="s">
        <v>467</v>
      </c>
      <c r="Y34" s="35" t="s">
        <v>468</v>
      </c>
      <c r="Z34" s="35"/>
      <c r="AA34" s="35" t="s">
        <v>469</v>
      </c>
      <c r="AB34" s="35" t="s">
        <v>470</v>
      </c>
      <c r="AC34" s="35"/>
      <c r="AD34" s="42" t="s">
        <v>587</v>
      </c>
      <c r="AE34" s="35" t="s">
        <v>472</v>
      </c>
      <c r="AF34" s="35" t="s">
        <v>470</v>
      </c>
      <c r="AG34" s="35"/>
      <c r="AH34" s="35" t="s">
        <v>473</v>
      </c>
      <c r="AI34" s="35" t="s">
        <v>473</v>
      </c>
      <c r="AJ34" s="42" t="s">
        <v>618</v>
      </c>
      <c r="AK34" s="35" t="s">
        <v>475</v>
      </c>
      <c r="AL34" s="42" t="s">
        <v>476</v>
      </c>
      <c r="AM34" s="61"/>
      <c r="AN34" s="97" t="s">
        <v>477</v>
      </c>
      <c r="AO34" s="48" t="b">
        <f>A34=[1]员工报账!A34</f>
        <v>1</v>
      </c>
      <c r="AP34" s="48" t="b">
        <f>B34=[1]员工报账!B34</f>
        <v>1</v>
      </c>
      <c r="AQ34" s="48" t="b">
        <f>C34=[1]员工报账!C34</f>
        <v>1</v>
      </c>
      <c r="AR34" s="48" t="b">
        <f>D34=[1]员工报账!D34</f>
        <v>1</v>
      </c>
      <c r="AS34" s="48" t="b">
        <f>E34=[1]员工报账!E34</f>
        <v>1</v>
      </c>
      <c r="AT34" s="48" t="b">
        <f>F34=[1]员工报账!F34</f>
        <v>1</v>
      </c>
      <c r="AU34" s="48" t="b">
        <f>G34=[1]员工报账!G34</f>
        <v>1</v>
      </c>
      <c r="AV34" s="48" t="b">
        <f>H34=[1]员工报账!H34</f>
        <v>1</v>
      </c>
      <c r="AW34" s="48" t="b">
        <f>I34=[1]员工报账!I34</f>
        <v>1</v>
      </c>
      <c r="AX34" s="48" t="b">
        <f>J34=[1]员工报账!J34</f>
        <v>1</v>
      </c>
      <c r="AY34" s="48" t="b">
        <f>K34=[1]员工报账!K34</f>
        <v>1</v>
      </c>
      <c r="AZ34" s="48" t="b">
        <f>L34=[1]员工报账!L34</f>
        <v>1</v>
      </c>
      <c r="BA34" s="48" t="b">
        <f>M34=[1]员工报账!M34</f>
        <v>1</v>
      </c>
      <c r="BB34" s="48" t="b">
        <f>N34=[1]员工报账!N34</f>
        <v>1</v>
      </c>
      <c r="BC34" s="48" t="b">
        <f>O34=[1]员工报账!O34</f>
        <v>1</v>
      </c>
      <c r="BD34" s="48" t="b">
        <f>P34=[1]员工报账!P34</f>
        <v>1</v>
      </c>
      <c r="BE34" s="48" t="b">
        <f>Q34=[1]员工报账!Q34</f>
        <v>1</v>
      </c>
      <c r="BF34" s="48" t="b">
        <f>R34=[1]员工报账!R34</f>
        <v>1</v>
      </c>
      <c r="BG34" s="48" t="b">
        <f>S34=[1]员工报账!S34</f>
        <v>1</v>
      </c>
      <c r="BH34" s="48" t="b">
        <f>T34=[1]员工报账!T34</f>
        <v>1</v>
      </c>
      <c r="BI34" s="48" t="b">
        <f>U34=[1]员工报账!U34</f>
        <v>1</v>
      </c>
      <c r="BJ34" s="48" t="b">
        <f>V34=[1]员工报账!V34</f>
        <v>1</v>
      </c>
      <c r="BK34" s="48" t="b">
        <f>W34=[1]员工报账!W34</f>
        <v>1</v>
      </c>
      <c r="BL34" s="48" t="b">
        <f>X34=[1]员工报账!X34</f>
        <v>1</v>
      </c>
      <c r="BM34" s="48" t="b">
        <f>Y34=[1]员工报账!Y34</f>
        <v>1</v>
      </c>
      <c r="BN34" s="48" t="b">
        <f>Z34=[1]员工报账!Z34</f>
        <v>1</v>
      </c>
      <c r="BO34" s="48" t="b">
        <f>AA34=[1]员工报账!AA34</f>
        <v>1</v>
      </c>
      <c r="BP34" s="48" t="b">
        <f>AB34=[1]员工报账!AB34</f>
        <v>1</v>
      </c>
      <c r="BQ34" s="48" t="b">
        <f>AC34=[1]员工报账!AC34</f>
        <v>1</v>
      </c>
      <c r="BR34" s="48" t="b">
        <f>AD34=[1]员工报账!AD34</f>
        <v>1</v>
      </c>
      <c r="BS34" s="48" t="b">
        <f>AE34=[1]员工报账!AE34</f>
        <v>1</v>
      </c>
      <c r="BT34" s="48" t="b">
        <f>AF34=[1]员工报账!AF34</f>
        <v>1</v>
      </c>
      <c r="BU34" s="48" t="b">
        <f>AG34=[1]员工报账!AG34</f>
        <v>1</v>
      </c>
      <c r="BV34" s="48" t="b">
        <f>AH34=[1]员工报账!AH34</f>
        <v>1</v>
      </c>
      <c r="BW34" s="48" t="b">
        <f>AI34=[1]员工报账!AI34</f>
        <v>1</v>
      </c>
      <c r="BX34" s="48" t="b">
        <f>AJ34=[1]员工报账!AJ34</f>
        <v>0</v>
      </c>
    </row>
    <row r="35" s="48" customFormat="1" ht="118.8" spans="1:76">
      <c r="A35" s="56" t="s">
        <v>453</v>
      </c>
      <c r="B35" s="56" t="s">
        <v>454</v>
      </c>
      <c r="C35" s="57" t="s">
        <v>619</v>
      </c>
      <c r="D35" s="57" t="s">
        <v>620</v>
      </c>
      <c r="E35" s="58" t="s">
        <v>621</v>
      </c>
      <c r="F35" s="57"/>
      <c r="G35" s="57" t="s">
        <v>622</v>
      </c>
      <c r="H35" s="58" t="s">
        <v>623</v>
      </c>
      <c r="I35" s="35" t="s">
        <v>624</v>
      </c>
      <c r="J35" s="42" t="s">
        <v>625</v>
      </c>
      <c r="K35" s="35"/>
      <c r="L35" s="35" t="s">
        <v>36</v>
      </c>
      <c r="M35" s="35"/>
      <c r="N35" s="35"/>
      <c r="O35" s="35"/>
      <c r="P35" s="35"/>
      <c r="Q35" s="35"/>
      <c r="R35" s="35" t="s">
        <v>36</v>
      </c>
      <c r="S35" s="35"/>
      <c r="T35" s="35" t="s">
        <v>516</v>
      </c>
      <c r="U35" s="42"/>
      <c r="V35" s="42" t="s">
        <v>626</v>
      </c>
      <c r="W35" s="42" t="s">
        <v>627</v>
      </c>
      <c r="X35" s="35" t="s">
        <v>628</v>
      </c>
      <c r="Y35" s="35" t="s">
        <v>470</v>
      </c>
      <c r="Z35" s="35"/>
      <c r="AA35" s="35" t="s">
        <v>469</v>
      </c>
      <c r="AB35" s="35" t="s">
        <v>470</v>
      </c>
      <c r="AC35" s="35"/>
      <c r="AD35" s="42" t="s">
        <v>629</v>
      </c>
      <c r="AE35" s="35" t="s">
        <v>469</v>
      </c>
      <c r="AF35" s="35" t="s">
        <v>470</v>
      </c>
      <c r="AG35" s="35"/>
      <c r="AH35" s="35" t="s">
        <v>473</v>
      </c>
      <c r="AI35" s="35" t="s">
        <v>473</v>
      </c>
      <c r="AJ35" s="42" t="s">
        <v>630</v>
      </c>
      <c r="AK35" s="35" t="s">
        <v>631</v>
      </c>
      <c r="AL35" s="42" t="s">
        <v>632</v>
      </c>
      <c r="AM35" s="61"/>
      <c r="AN35" s="97" t="s">
        <v>477</v>
      </c>
      <c r="AO35" s="48" t="b">
        <f>A35=[1]员工报账!A35</f>
        <v>1</v>
      </c>
      <c r="AP35" s="48" t="b">
        <f>B35=[1]员工报账!B35</f>
        <v>1</v>
      </c>
      <c r="AQ35" s="48" t="b">
        <f>C35=[1]员工报账!C35</f>
        <v>1</v>
      </c>
      <c r="AR35" s="48" t="b">
        <f>D35=[1]员工报账!D35</f>
        <v>1</v>
      </c>
      <c r="AS35" s="48" t="b">
        <f>E35=[1]员工报账!E35</f>
        <v>1</v>
      </c>
      <c r="AT35" s="48" t="b">
        <f>F35=[1]员工报账!F35</f>
        <v>1</v>
      </c>
      <c r="AU35" s="48" t="b">
        <f>G35=[1]员工报账!G35</f>
        <v>1</v>
      </c>
      <c r="AV35" s="48" t="b">
        <f>H35=[1]员工报账!H35</f>
        <v>1</v>
      </c>
      <c r="AW35" s="48" t="b">
        <f>I35=[1]员工报账!I35</f>
        <v>1</v>
      </c>
      <c r="AX35" s="48" t="b">
        <f>J35=[1]员工报账!J35</f>
        <v>1</v>
      </c>
      <c r="AY35" s="48" t="b">
        <f>K35=[1]员工报账!K35</f>
        <v>1</v>
      </c>
      <c r="AZ35" s="48" t="b">
        <f>L35=[1]员工报账!L35</f>
        <v>1</v>
      </c>
      <c r="BA35" s="48" t="b">
        <f>M35=[1]员工报账!M35</f>
        <v>1</v>
      </c>
      <c r="BB35" s="48" t="b">
        <f>N35=[1]员工报账!N35</f>
        <v>1</v>
      </c>
      <c r="BC35" s="48" t="b">
        <f>O35=[1]员工报账!O35</f>
        <v>1</v>
      </c>
      <c r="BD35" s="48" t="b">
        <f>P35=[1]员工报账!P35</f>
        <v>1</v>
      </c>
      <c r="BE35" s="48" t="b">
        <f>Q35=[1]员工报账!Q35</f>
        <v>1</v>
      </c>
      <c r="BF35" s="48" t="b">
        <f>R35=[1]员工报账!R35</f>
        <v>1</v>
      </c>
      <c r="BG35" s="48" t="b">
        <f>S35=[1]员工报账!S35</f>
        <v>1</v>
      </c>
      <c r="BH35" s="48" t="b">
        <f>T35=[1]员工报账!T35</f>
        <v>1</v>
      </c>
      <c r="BI35" s="48" t="b">
        <f>U35=[1]员工报账!U35</f>
        <v>1</v>
      </c>
      <c r="BJ35" s="48" t="b">
        <f>V35=[1]员工报账!V35</f>
        <v>1</v>
      </c>
      <c r="BK35" s="48" t="b">
        <f>W35=[1]员工报账!W35</f>
        <v>1</v>
      </c>
      <c r="BL35" s="48" t="b">
        <f>X35=[1]员工报账!X35</f>
        <v>1</v>
      </c>
      <c r="BM35" s="48" t="b">
        <f>Y35=[1]员工报账!Y35</f>
        <v>1</v>
      </c>
      <c r="BN35" s="48" t="b">
        <f>Z35=[1]员工报账!Z35</f>
        <v>1</v>
      </c>
      <c r="BO35" s="48" t="b">
        <f>AA35=[1]员工报账!AA35</f>
        <v>1</v>
      </c>
      <c r="BP35" s="48" t="b">
        <f>AB35=[1]员工报账!AB35</f>
        <v>1</v>
      </c>
      <c r="BQ35" s="48" t="b">
        <f>AC35=[1]员工报账!AC35</f>
        <v>1</v>
      </c>
      <c r="BR35" s="48" t="b">
        <f>AD35=[1]员工报账!AD35</f>
        <v>1</v>
      </c>
      <c r="BS35" s="48" t="b">
        <f>AE35=[1]员工报账!AE35</f>
        <v>1</v>
      </c>
      <c r="BT35" s="48" t="b">
        <f>AF35=[1]员工报账!AF35</f>
        <v>1</v>
      </c>
      <c r="BU35" s="48" t="b">
        <f>AG35=[1]员工报账!AG35</f>
        <v>1</v>
      </c>
      <c r="BV35" s="48" t="b">
        <f>AH35=[1]员工报账!AH35</f>
        <v>1</v>
      </c>
      <c r="BW35" s="48" t="b">
        <f>AI35=[1]员工报账!AI35</f>
        <v>1</v>
      </c>
      <c r="BX35" s="48" t="b">
        <f>AJ35=[1]员工报账!AJ35</f>
        <v>0</v>
      </c>
    </row>
    <row r="36" s="48" customFormat="1" ht="118.8" spans="1:76">
      <c r="A36" s="62"/>
      <c r="B36" s="62"/>
      <c r="C36" s="63"/>
      <c r="D36" s="63"/>
      <c r="E36" s="64"/>
      <c r="F36" s="63"/>
      <c r="G36" s="63"/>
      <c r="H36" s="64"/>
      <c r="I36" s="35" t="s">
        <v>633</v>
      </c>
      <c r="J36" s="42" t="s">
        <v>634</v>
      </c>
      <c r="K36" s="35"/>
      <c r="L36" s="35"/>
      <c r="M36" s="35"/>
      <c r="N36" s="35"/>
      <c r="O36" s="35"/>
      <c r="P36" s="35"/>
      <c r="Q36" s="35" t="s">
        <v>36</v>
      </c>
      <c r="R36" s="35"/>
      <c r="S36" s="35"/>
      <c r="T36" s="43" t="s">
        <v>463</v>
      </c>
      <c r="U36" s="35" t="s">
        <v>635</v>
      </c>
      <c r="V36" s="42" t="s">
        <v>626</v>
      </c>
      <c r="W36" s="42" t="s">
        <v>627</v>
      </c>
      <c r="X36" s="35" t="s">
        <v>628</v>
      </c>
      <c r="Y36" s="35" t="s">
        <v>470</v>
      </c>
      <c r="Z36" s="35"/>
      <c r="AA36" s="35" t="s">
        <v>469</v>
      </c>
      <c r="AB36" s="35" t="s">
        <v>470</v>
      </c>
      <c r="AC36" s="35"/>
      <c r="AD36" s="42" t="s">
        <v>629</v>
      </c>
      <c r="AE36" s="35" t="s">
        <v>469</v>
      </c>
      <c r="AF36" s="35" t="s">
        <v>470</v>
      </c>
      <c r="AG36" s="35"/>
      <c r="AH36" s="35" t="s">
        <v>473</v>
      </c>
      <c r="AI36" s="35" t="s">
        <v>473</v>
      </c>
      <c r="AJ36" s="42" t="s">
        <v>636</v>
      </c>
      <c r="AK36" s="35" t="s">
        <v>631</v>
      </c>
      <c r="AL36" s="42" t="s">
        <v>632</v>
      </c>
      <c r="AM36" s="61"/>
      <c r="AN36" s="97" t="s">
        <v>477</v>
      </c>
      <c r="AO36" s="48" t="b">
        <f>A36=[1]员工报账!A36</f>
        <v>1</v>
      </c>
      <c r="AP36" s="48" t="b">
        <f>B36=[1]员工报账!B36</f>
        <v>1</v>
      </c>
      <c r="AQ36" s="48" t="b">
        <f>C36=[1]员工报账!C36</f>
        <v>1</v>
      </c>
      <c r="AR36" s="48" t="b">
        <f>D36=[1]员工报账!D36</f>
        <v>1</v>
      </c>
      <c r="AS36" s="48" t="b">
        <f>E36=[1]员工报账!E36</f>
        <v>1</v>
      </c>
      <c r="AT36" s="48" t="b">
        <f>F36=[1]员工报账!F36</f>
        <v>1</v>
      </c>
      <c r="AU36" s="48" t="b">
        <f>G36=[1]员工报账!G36</f>
        <v>1</v>
      </c>
      <c r="AV36" s="48" t="b">
        <f>H36=[1]员工报账!H36</f>
        <v>1</v>
      </c>
      <c r="AW36" s="48" t="b">
        <f>I36=[1]员工报账!I36</f>
        <v>1</v>
      </c>
      <c r="AX36" s="48" t="b">
        <f>J36=[1]员工报账!J36</f>
        <v>1</v>
      </c>
      <c r="AY36" s="48" t="b">
        <f>K36=[1]员工报账!K36</f>
        <v>1</v>
      </c>
      <c r="AZ36" s="48" t="b">
        <f>L36=[1]员工报账!L36</f>
        <v>1</v>
      </c>
      <c r="BA36" s="48" t="b">
        <f>M36=[1]员工报账!M36</f>
        <v>1</v>
      </c>
      <c r="BB36" s="48" t="b">
        <f>N36=[1]员工报账!N36</f>
        <v>1</v>
      </c>
      <c r="BC36" s="48" t="b">
        <f>O36=[1]员工报账!O36</f>
        <v>1</v>
      </c>
      <c r="BD36" s="48" t="b">
        <f>P36=[1]员工报账!P36</f>
        <v>1</v>
      </c>
      <c r="BE36" s="48" t="b">
        <f>Q36=[1]员工报账!Q36</f>
        <v>1</v>
      </c>
      <c r="BF36" s="48" t="b">
        <f>R36=[1]员工报账!R36</f>
        <v>1</v>
      </c>
      <c r="BG36" s="48" t="b">
        <f>S36=[1]员工报账!S36</f>
        <v>1</v>
      </c>
      <c r="BH36" s="48" t="b">
        <f>T36=[1]员工报账!T36</f>
        <v>1</v>
      </c>
      <c r="BI36" s="48" t="b">
        <f>U36=[1]员工报账!U36</f>
        <v>1</v>
      </c>
      <c r="BJ36" s="48" t="b">
        <f>V36=[1]员工报账!V36</f>
        <v>1</v>
      </c>
      <c r="BK36" s="48" t="b">
        <f>W36=[1]员工报账!W36</f>
        <v>1</v>
      </c>
      <c r="BL36" s="48" t="b">
        <f>X36=[1]员工报账!X36</f>
        <v>1</v>
      </c>
      <c r="BM36" s="48" t="b">
        <f>Y36=[1]员工报账!Y36</f>
        <v>1</v>
      </c>
      <c r="BN36" s="48" t="b">
        <f>Z36=[1]员工报账!Z36</f>
        <v>1</v>
      </c>
      <c r="BO36" s="48" t="b">
        <f>AA36=[1]员工报账!AA36</f>
        <v>1</v>
      </c>
      <c r="BP36" s="48" t="b">
        <f>AB36=[1]员工报账!AB36</f>
        <v>1</v>
      </c>
      <c r="BQ36" s="48" t="b">
        <f>AC36=[1]员工报账!AC36</f>
        <v>1</v>
      </c>
      <c r="BR36" s="48" t="b">
        <f>AD36=[1]员工报账!AD36</f>
        <v>1</v>
      </c>
      <c r="BS36" s="48" t="b">
        <f>AE36=[1]员工报账!AE36</f>
        <v>1</v>
      </c>
      <c r="BT36" s="48" t="b">
        <f>AF36=[1]员工报账!AF36</f>
        <v>1</v>
      </c>
      <c r="BU36" s="48" t="b">
        <f>AG36=[1]员工报账!AG36</f>
        <v>1</v>
      </c>
      <c r="BV36" s="48" t="b">
        <f>AH36=[1]员工报账!AH36</f>
        <v>1</v>
      </c>
      <c r="BW36" s="48" t="b">
        <f>AI36=[1]员工报账!AI36</f>
        <v>1</v>
      </c>
      <c r="BX36" s="48" t="b">
        <f>AJ36=[1]员工报账!AJ36</f>
        <v>0</v>
      </c>
    </row>
    <row r="37" s="48" customFormat="1" ht="105.6" spans="1:76">
      <c r="A37" s="62"/>
      <c r="B37" s="62"/>
      <c r="C37" s="63"/>
      <c r="D37" s="63"/>
      <c r="E37" s="64"/>
      <c r="F37" s="63"/>
      <c r="G37" s="63"/>
      <c r="H37" s="64"/>
      <c r="I37" s="35" t="s">
        <v>637</v>
      </c>
      <c r="J37" s="42" t="s">
        <v>638</v>
      </c>
      <c r="K37" s="35"/>
      <c r="L37" s="35"/>
      <c r="M37" s="35" t="s">
        <v>36</v>
      </c>
      <c r="N37" s="35"/>
      <c r="O37" s="35"/>
      <c r="P37" s="35"/>
      <c r="Q37" s="35" t="s">
        <v>36</v>
      </c>
      <c r="R37" s="35"/>
      <c r="S37" s="35"/>
      <c r="T37" s="43" t="s">
        <v>463</v>
      </c>
      <c r="U37" s="35" t="s">
        <v>635</v>
      </c>
      <c r="V37" s="42" t="s">
        <v>626</v>
      </c>
      <c r="W37" s="42" t="s">
        <v>627</v>
      </c>
      <c r="X37" s="35" t="s">
        <v>628</v>
      </c>
      <c r="Y37" s="35" t="s">
        <v>470</v>
      </c>
      <c r="Z37" s="35"/>
      <c r="AA37" s="35" t="s">
        <v>469</v>
      </c>
      <c r="AB37" s="35" t="s">
        <v>470</v>
      </c>
      <c r="AC37" s="35"/>
      <c r="AD37" s="42" t="s">
        <v>629</v>
      </c>
      <c r="AE37" s="35" t="s">
        <v>469</v>
      </c>
      <c r="AF37" s="35" t="s">
        <v>470</v>
      </c>
      <c r="AG37" s="35"/>
      <c r="AH37" s="35" t="s">
        <v>473</v>
      </c>
      <c r="AI37" s="35" t="s">
        <v>473</v>
      </c>
      <c r="AJ37" s="42" t="s">
        <v>639</v>
      </c>
      <c r="AK37" s="35" t="s">
        <v>631</v>
      </c>
      <c r="AL37" s="42" t="s">
        <v>632</v>
      </c>
      <c r="AM37" s="61"/>
      <c r="AN37" s="97"/>
      <c r="AO37" s="48" t="b">
        <f>A37=[1]员工报账!A37</f>
        <v>1</v>
      </c>
      <c r="AP37" s="48" t="b">
        <f>B37=[1]员工报账!B37</f>
        <v>1</v>
      </c>
      <c r="AQ37" s="48" t="b">
        <f>C37=[1]员工报账!C37</f>
        <v>1</v>
      </c>
      <c r="AR37" s="48" t="b">
        <f>D37=[1]员工报账!D37</f>
        <v>1</v>
      </c>
      <c r="AS37" s="48" t="b">
        <f>E37=[1]员工报账!E37</f>
        <v>1</v>
      </c>
      <c r="AT37" s="48" t="b">
        <f>F37=[1]员工报账!F37</f>
        <v>1</v>
      </c>
      <c r="AU37" s="48" t="b">
        <f>G37=[1]员工报账!G37</f>
        <v>1</v>
      </c>
      <c r="AV37" s="48" t="b">
        <f>H37=[1]员工报账!H37</f>
        <v>1</v>
      </c>
      <c r="AW37" s="48" t="b">
        <f>I37=[1]员工报账!I37</f>
        <v>1</v>
      </c>
      <c r="AX37" s="48" t="b">
        <f>J37=[1]员工报账!J37</f>
        <v>1</v>
      </c>
      <c r="AY37" s="48" t="b">
        <f>K37=[1]员工报账!K37</f>
        <v>1</v>
      </c>
      <c r="AZ37" s="48" t="b">
        <f>L37=[1]员工报账!L37</f>
        <v>1</v>
      </c>
      <c r="BA37" s="48" t="b">
        <f>M37=[1]员工报账!M37</f>
        <v>1</v>
      </c>
      <c r="BB37" s="48" t="b">
        <f>N37=[1]员工报账!N37</f>
        <v>1</v>
      </c>
      <c r="BC37" s="48" t="b">
        <f>O37=[1]员工报账!O37</f>
        <v>1</v>
      </c>
      <c r="BD37" s="48" t="b">
        <f>P37=[1]员工报账!P37</f>
        <v>1</v>
      </c>
      <c r="BE37" s="48" t="b">
        <f>Q37=[1]员工报账!Q37</f>
        <v>1</v>
      </c>
      <c r="BF37" s="48" t="b">
        <f>R37=[1]员工报账!R37</f>
        <v>1</v>
      </c>
      <c r="BG37" s="48" t="b">
        <f>S37=[1]员工报账!S37</f>
        <v>1</v>
      </c>
      <c r="BH37" s="48" t="b">
        <f>T37=[1]员工报账!T37</f>
        <v>1</v>
      </c>
      <c r="BI37" s="48" t="b">
        <f>U37=[1]员工报账!U37</f>
        <v>1</v>
      </c>
      <c r="BJ37" s="48" t="b">
        <f>V37=[1]员工报账!V37</f>
        <v>1</v>
      </c>
      <c r="BK37" s="48" t="b">
        <f>W37=[1]员工报账!W37</f>
        <v>1</v>
      </c>
      <c r="BL37" s="48" t="b">
        <f>X37=[1]员工报账!X37</f>
        <v>1</v>
      </c>
      <c r="BM37" s="48" t="b">
        <f>Y37=[1]员工报账!Y37</f>
        <v>1</v>
      </c>
      <c r="BN37" s="48" t="b">
        <f>Z37=[1]员工报账!Z37</f>
        <v>1</v>
      </c>
      <c r="BO37" s="48" t="b">
        <f>AA37=[1]员工报账!AA37</f>
        <v>1</v>
      </c>
      <c r="BP37" s="48" t="b">
        <f>AB37=[1]员工报账!AB37</f>
        <v>1</v>
      </c>
      <c r="BQ37" s="48" t="b">
        <f>AC37=[1]员工报账!AC37</f>
        <v>1</v>
      </c>
      <c r="BR37" s="48" t="b">
        <f>AD37=[1]员工报账!AD37</f>
        <v>1</v>
      </c>
      <c r="BS37" s="48" t="b">
        <f>AE37=[1]员工报账!AE37</f>
        <v>1</v>
      </c>
      <c r="BT37" s="48" t="b">
        <f>AF37=[1]员工报账!AF37</f>
        <v>1</v>
      </c>
      <c r="BU37" s="48" t="b">
        <f>AG37=[1]员工报账!AG37</f>
        <v>1</v>
      </c>
      <c r="BV37" s="48" t="b">
        <f>AH37=[1]员工报账!AH37</f>
        <v>1</v>
      </c>
      <c r="BW37" s="48" t="b">
        <f>AI37=[1]员工报账!AI37</f>
        <v>1</v>
      </c>
      <c r="BX37" s="48" t="b">
        <f>AJ37=[1]员工报账!AJ37</f>
        <v>1</v>
      </c>
    </row>
    <row r="38" s="48" customFormat="1" ht="132" spans="1:76">
      <c r="A38" s="62"/>
      <c r="B38" s="67"/>
      <c r="C38" s="38"/>
      <c r="D38" s="38"/>
      <c r="E38" s="66"/>
      <c r="F38" s="38"/>
      <c r="G38" s="38"/>
      <c r="H38" s="66"/>
      <c r="I38" s="35" t="s">
        <v>640</v>
      </c>
      <c r="J38" s="42" t="s">
        <v>641</v>
      </c>
      <c r="K38" s="35"/>
      <c r="L38" s="35"/>
      <c r="M38" s="35"/>
      <c r="N38" s="35"/>
      <c r="O38" s="35"/>
      <c r="P38" s="35"/>
      <c r="Q38" s="35"/>
      <c r="R38" s="35" t="s">
        <v>36</v>
      </c>
      <c r="S38" s="35"/>
      <c r="T38" s="35" t="s">
        <v>516</v>
      </c>
      <c r="U38" s="42"/>
      <c r="V38" s="42" t="s">
        <v>642</v>
      </c>
      <c r="W38" s="42" t="s">
        <v>643</v>
      </c>
      <c r="X38" s="35" t="s">
        <v>628</v>
      </c>
      <c r="Y38" s="35" t="s">
        <v>470</v>
      </c>
      <c r="Z38" s="35"/>
      <c r="AA38" s="35" t="s">
        <v>469</v>
      </c>
      <c r="AB38" s="35" t="s">
        <v>470</v>
      </c>
      <c r="AC38" s="35"/>
      <c r="AD38" s="42" t="s">
        <v>629</v>
      </c>
      <c r="AE38" s="35" t="s">
        <v>469</v>
      </c>
      <c r="AF38" s="35" t="s">
        <v>470</v>
      </c>
      <c r="AG38" s="35"/>
      <c r="AH38" s="35" t="s">
        <v>473</v>
      </c>
      <c r="AI38" s="35" t="s">
        <v>473</v>
      </c>
      <c r="AJ38" s="42" t="s">
        <v>639</v>
      </c>
      <c r="AK38" s="35" t="s">
        <v>631</v>
      </c>
      <c r="AL38" s="42" t="s">
        <v>632</v>
      </c>
      <c r="AM38" s="61"/>
      <c r="AN38" s="97"/>
      <c r="AO38" s="48" t="b">
        <f>A38=[1]员工报账!A38</f>
        <v>1</v>
      </c>
      <c r="AP38" s="48" t="b">
        <f>B38=[1]员工报账!B38</f>
        <v>1</v>
      </c>
      <c r="AQ38" s="48" t="b">
        <f>C38=[1]员工报账!C38</f>
        <v>1</v>
      </c>
      <c r="AR38" s="48" t="b">
        <f>D38=[1]员工报账!D38</f>
        <v>1</v>
      </c>
      <c r="AS38" s="48" t="b">
        <f>E38=[1]员工报账!E38</f>
        <v>1</v>
      </c>
      <c r="AT38" s="48" t="b">
        <f>F38=[1]员工报账!F38</f>
        <v>1</v>
      </c>
      <c r="AU38" s="48" t="b">
        <f>G38=[1]员工报账!G38</f>
        <v>1</v>
      </c>
      <c r="AV38" s="48" t="b">
        <f>H38=[1]员工报账!H38</f>
        <v>1</v>
      </c>
      <c r="AW38" s="48" t="b">
        <f>I38=[1]员工报账!I38</f>
        <v>1</v>
      </c>
      <c r="AX38" s="48" t="b">
        <f>J38=[1]员工报账!J38</f>
        <v>1</v>
      </c>
      <c r="AY38" s="48" t="b">
        <f>K38=[1]员工报账!K38</f>
        <v>1</v>
      </c>
      <c r="AZ38" s="48" t="b">
        <f>L38=[1]员工报账!L38</f>
        <v>1</v>
      </c>
      <c r="BA38" s="48" t="b">
        <f>M38=[1]员工报账!M38</f>
        <v>1</v>
      </c>
      <c r="BB38" s="48" t="b">
        <f>N38=[1]员工报账!N38</f>
        <v>1</v>
      </c>
      <c r="BC38" s="48" t="b">
        <f>O38=[1]员工报账!O38</f>
        <v>1</v>
      </c>
      <c r="BD38" s="48" t="b">
        <f>P38=[1]员工报账!P38</f>
        <v>1</v>
      </c>
      <c r="BE38" s="48" t="b">
        <f>Q38=[1]员工报账!Q38</f>
        <v>1</v>
      </c>
      <c r="BF38" s="48" t="b">
        <f>R38=[1]员工报账!R38</f>
        <v>1</v>
      </c>
      <c r="BG38" s="48" t="b">
        <f>S38=[1]员工报账!S38</f>
        <v>1</v>
      </c>
      <c r="BH38" s="48" t="b">
        <f>T38=[1]员工报账!T38</f>
        <v>1</v>
      </c>
      <c r="BI38" s="48" t="b">
        <f>U38=[1]员工报账!U38</f>
        <v>1</v>
      </c>
      <c r="BJ38" s="48" t="b">
        <f>V38=[1]员工报账!V38</f>
        <v>1</v>
      </c>
      <c r="BK38" s="48" t="b">
        <f>W38=[1]员工报账!W38</f>
        <v>1</v>
      </c>
      <c r="BL38" s="48" t="b">
        <f>X38=[1]员工报账!X38</f>
        <v>1</v>
      </c>
      <c r="BM38" s="48" t="b">
        <f>Y38=[1]员工报账!Y38</f>
        <v>1</v>
      </c>
      <c r="BN38" s="48" t="b">
        <f>Z38=[1]员工报账!Z38</f>
        <v>1</v>
      </c>
      <c r="BO38" s="48" t="b">
        <f>AA38=[1]员工报账!AA38</f>
        <v>1</v>
      </c>
      <c r="BP38" s="48" t="b">
        <f>AB38=[1]员工报账!AB38</f>
        <v>1</v>
      </c>
      <c r="BQ38" s="48" t="b">
        <f>AC38=[1]员工报账!AC38</f>
        <v>1</v>
      </c>
      <c r="BR38" s="48" t="b">
        <f>AD38=[1]员工报账!AD38</f>
        <v>1</v>
      </c>
      <c r="BS38" s="48" t="b">
        <f>AE38=[1]员工报账!AE38</f>
        <v>1</v>
      </c>
      <c r="BT38" s="48" t="b">
        <f>AF38=[1]员工报账!AF38</f>
        <v>1</v>
      </c>
      <c r="BU38" s="48" t="b">
        <f>AG38=[1]员工报账!AG38</f>
        <v>1</v>
      </c>
      <c r="BV38" s="48" t="b">
        <f>AH38=[1]员工报账!AH38</f>
        <v>1</v>
      </c>
      <c r="BW38" s="48" t="b">
        <f>AI38=[1]员工报账!AI38</f>
        <v>1</v>
      </c>
      <c r="BX38" s="48" t="b">
        <f>AJ38=[1]员工报账!AJ38</f>
        <v>1</v>
      </c>
    </row>
    <row r="39" s="48" customFormat="1" ht="92.4" spans="1:76">
      <c r="A39" s="62"/>
      <c r="B39" s="62" t="s">
        <v>644</v>
      </c>
      <c r="C39" s="63" t="s">
        <v>498</v>
      </c>
      <c r="D39" s="63" t="s">
        <v>645</v>
      </c>
      <c r="E39" s="64" t="s">
        <v>646</v>
      </c>
      <c r="F39" s="57"/>
      <c r="G39" s="63" t="s">
        <v>647</v>
      </c>
      <c r="H39" s="64" t="s">
        <v>648</v>
      </c>
      <c r="I39" s="38" t="s">
        <v>649</v>
      </c>
      <c r="J39" s="42" t="s">
        <v>650</v>
      </c>
      <c r="K39" s="35"/>
      <c r="L39" s="35" t="s">
        <v>36</v>
      </c>
      <c r="M39" s="35" t="s">
        <v>36</v>
      </c>
      <c r="N39" s="35"/>
      <c r="O39" s="35"/>
      <c r="P39" s="35"/>
      <c r="Q39" s="35"/>
      <c r="R39" s="35"/>
      <c r="S39" s="35"/>
      <c r="T39" s="43" t="s">
        <v>463</v>
      </c>
      <c r="U39" s="35" t="s">
        <v>635</v>
      </c>
      <c r="V39" s="42" t="s">
        <v>651</v>
      </c>
      <c r="W39" s="42" t="s">
        <v>627</v>
      </c>
      <c r="X39" s="35" t="s">
        <v>628</v>
      </c>
      <c r="Y39" s="35" t="s">
        <v>470</v>
      </c>
      <c r="Z39" s="35"/>
      <c r="AA39" s="35" t="s">
        <v>469</v>
      </c>
      <c r="AB39" s="35" t="s">
        <v>470</v>
      </c>
      <c r="AC39" s="35"/>
      <c r="AD39" s="42" t="s">
        <v>652</v>
      </c>
      <c r="AE39" s="35" t="s">
        <v>469</v>
      </c>
      <c r="AF39" s="35" t="s">
        <v>470</v>
      </c>
      <c r="AG39" s="35"/>
      <c r="AH39" s="35" t="s">
        <v>473</v>
      </c>
      <c r="AI39" s="35" t="s">
        <v>473</v>
      </c>
      <c r="AJ39" s="42" t="s">
        <v>653</v>
      </c>
      <c r="AK39" s="35" t="s">
        <v>631</v>
      </c>
      <c r="AL39" s="42" t="s">
        <v>632</v>
      </c>
      <c r="AM39" s="61"/>
      <c r="AN39" s="97"/>
      <c r="AO39" s="48" t="b">
        <f>A39=[1]员工报账!A39</f>
        <v>1</v>
      </c>
      <c r="AP39" s="48" t="b">
        <f>B39=[1]员工报账!B39</f>
        <v>1</v>
      </c>
      <c r="AQ39" s="48" t="b">
        <f>C39=[1]员工报账!C39</f>
        <v>1</v>
      </c>
      <c r="AR39" s="48" t="b">
        <f>D39=[1]员工报账!D39</f>
        <v>1</v>
      </c>
      <c r="AS39" s="48" t="b">
        <f>E39=[1]员工报账!E39</f>
        <v>1</v>
      </c>
      <c r="AT39" s="48" t="b">
        <f>F39=[1]员工报账!F39</f>
        <v>1</v>
      </c>
      <c r="AU39" s="48" t="b">
        <f>G39=[1]员工报账!G39</f>
        <v>1</v>
      </c>
      <c r="AV39" s="48" t="b">
        <f>H39=[1]员工报账!H39</f>
        <v>1</v>
      </c>
      <c r="AW39" s="48" t="b">
        <f>I39=[1]员工报账!I39</f>
        <v>1</v>
      </c>
      <c r="AX39" s="48" t="b">
        <f>J39=[1]员工报账!J39</f>
        <v>1</v>
      </c>
      <c r="AY39" s="48" t="b">
        <f>K39=[1]员工报账!K39</f>
        <v>1</v>
      </c>
      <c r="AZ39" s="48" t="b">
        <f>L39=[1]员工报账!L39</f>
        <v>1</v>
      </c>
      <c r="BA39" s="48" t="b">
        <f>M39=[1]员工报账!M39</f>
        <v>1</v>
      </c>
      <c r="BB39" s="48" t="b">
        <f>N39=[1]员工报账!N39</f>
        <v>1</v>
      </c>
      <c r="BC39" s="48" t="b">
        <f>O39=[1]员工报账!O39</f>
        <v>1</v>
      </c>
      <c r="BD39" s="48" t="b">
        <f>P39=[1]员工报账!P39</f>
        <v>1</v>
      </c>
      <c r="BE39" s="48" t="b">
        <f>Q39=[1]员工报账!Q39</f>
        <v>1</v>
      </c>
      <c r="BF39" s="48" t="b">
        <f>R39=[1]员工报账!R39</f>
        <v>1</v>
      </c>
      <c r="BG39" s="48" t="b">
        <f>S39=[1]员工报账!S39</f>
        <v>1</v>
      </c>
      <c r="BH39" s="48" t="b">
        <f>T39=[1]员工报账!T39</f>
        <v>1</v>
      </c>
      <c r="BI39" s="48" t="b">
        <f>U39=[1]员工报账!U39</f>
        <v>1</v>
      </c>
      <c r="BJ39" s="48" t="b">
        <f>V39=[1]员工报账!V39</f>
        <v>1</v>
      </c>
      <c r="BK39" s="48" t="b">
        <f>W39=[1]员工报账!W39</f>
        <v>1</v>
      </c>
      <c r="BL39" s="48" t="b">
        <f>X39=[1]员工报账!X39</f>
        <v>1</v>
      </c>
      <c r="BM39" s="48" t="b">
        <f>Y39=[1]员工报账!Y39</f>
        <v>1</v>
      </c>
      <c r="BN39" s="48" t="b">
        <f>Z39=[1]员工报账!Z39</f>
        <v>1</v>
      </c>
      <c r="BO39" s="48" t="b">
        <f>AA39=[1]员工报账!AA39</f>
        <v>1</v>
      </c>
      <c r="BP39" s="48" t="b">
        <f>AB39=[1]员工报账!AB39</f>
        <v>1</v>
      </c>
      <c r="BQ39" s="48" t="b">
        <f>AC39=[1]员工报账!AC39</f>
        <v>1</v>
      </c>
      <c r="BR39" s="48" t="b">
        <f>AD39=[1]员工报账!AD39</f>
        <v>1</v>
      </c>
      <c r="BS39" s="48" t="b">
        <f>AE39=[1]员工报账!AE39</f>
        <v>1</v>
      </c>
      <c r="BT39" s="48" t="b">
        <f>AF39=[1]员工报账!AF39</f>
        <v>1</v>
      </c>
      <c r="BU39" s="48" t="b">
        <f>AG39=[1]员工报账!AG39</f>
        <v>1</v>
      </c>
      <c r="BV39" s="48" t="b">
        <f>AH39=[1]员工报账!AH39</f>
        <v>1</v>
      </c>
      <c r="BW39" s="48" t="b">
        <f>AI39=[1]员工报账!AI39</f>
        <v>1</v>
      </c>
      <c r="BX39" s="48" t="b">
        <f>AJ39=[1]员工报账!AJ39</f>
        <v>1</v>
      </c>
    </row>
    <row r="40" s="48" customFormat="1" ht="92.4" spans="1:76">
      <c r="A40" s="67"/>
      <c r="B40" s="67"/>
      <c r="C40" s="38"/>
      <c r="D40" s="38"/>
      <c r="E40" s="66"/>
      <c r="F40" s="38"/>
      <c r="G40" s="38"/>
      <c r="H40" s="66"/>
      <c r="I40" s="35" t="s">
        <v>654</v>
      </c>
      <c r="J40" s="42" t="s">
        <v>655</v>
      </c>
      <c r="K40" s="35"/>
      <c r="L40" s="35"/>
      <c r="M40" s="35" t="s">
        <v>36</v>
      </c>
      <c r="N40" s="35"/>
      <c r="O40" s="35"/>
      <c r="P40" s="35"/>
      <c r="Q40" s="35"/>
      <c r="R40" s="35" t="s">
        <v>36</v>
      </c>
      <c r="S40" s="35"/>
      <c r="T40" s="43" t="s">
        <v>463</v>
      </c>
      <c r="U40" s="35" t="s">
        <v>635</v>
      </c>
      <c r="V40" s="42" t="s">
        <v>651</v>
      </c>
      <c r="W40" s="42" t="s">
        <v>656</v>
      </c>
      <c r="X40" s="35" t="s">
        <v>628</v>
      </c>
      <c r="Y40" s="35" t="s">
        <v>470</v>
      </c>
      <c r="Z40" s="35"/>
      <c r="AA40" s="35" t="s">
        <v>469</v>
      </c>
      <c r="AB40" s="35" t="s">
        <v>470</v>
      </c>
      <c r="AC40" s="35"/>
      <c r="AD40" s="42" t="s">
        <v>652</v>
      </c>
      <c r="AE40" s="35" t="s">
        <v>469</v>
      </c>
      <c r="AF40" s="35" t="s">
        <v>470</v>
      </c>
      <c r="AG40" s="35"/>
      <c r="AH40" s="35" t="s">
        <v>473</v>
      </c>
      <c r="AI40" s="35" t="s">
        <v>473</v>
      </c>
      <c r="AJ40" s="42" t="s">
        <v>653</v>
      </c>
      <c r="AK40" s="35" t="s">
        <v>657</v>
      </c>
      <c r="AL40" s="42" t="s">
        <v>658</v>
      </c>
      <c r="AM40" s="61"/>
      <c r="AN40" s="97"/>
      <c r="AO40" s="48" t="b">
        <f>A40=[1]员工报账!A40</f>
        <v>1</v>
      </c>
      <c r="AP40" s="48" t="b">
        <f>B40=[1]员工报账!B40</f>
        <v>1</v>
      </c>
      <c r="AQ40" s="48" t="b">
        <f>C40=[1]员工报账!C40</f>
        <v>1</v>
      </c>
      <c r="AR40" s="48" t="b">
        <f>D40=[1]员工报账!D40</f>
        <v>1</v>
      </c>
      <c r="AS40" s="48" t="b">
        <f>E40=[1]员工报账!E40</f>
        <v>1</v>
      </c>
      <c r="AT40" s="48" t="b">
        <f>F40=[1]员工报账!F40</f>
        <v>1</v>
      </c>
      <c r="AU40" s="48" t="b">
        <f>G40=[1]员工报账!G40</f>
        <v>1</v>
      </c>
      <c r="AV40" s="48" t="b">
        <f>H40=[1]员工报账!H40</f>
        <v>1</v>
      </c>
      <c r="AW40" s="48" t="b">
        <f>I40=[1]员工报账!I40</f>
        <v>1</v>
      </c>
      <c r="AX40" s="48" t="b">
        <f>J40=[1]员工报账!J40</f>
        <v>1</v>
      </c>
      <c r="AY40" s="48" t="b">
        <f>K40=[1]员工报账!K40</f>
        <v>1</v>
      </c>
      <c r="AZ40" s="48" t="b">
        <f>L40=[1]员工报账!L40</f>
        <v>1</v>
      </c>
      <c r="BA40" s="48" t="b">
        <f>M40=[1]员工报账!M40</f>
        <v>1</v>
      </c>
      <c r="BB40" s="48" t="b">
        <f>N40=[1]员工报账!N40</f>
        <v>1</v>
      </c>
      <c r="BC40" s="48" t="b">
        <f>O40=[1]员工报账!O40</f>
        <v>1</v>
      </c>
      <c r="BD40" s="48" t="b">
        <f>P40=[1]员工报账!P40</f>
        <v>1</v>
      </c>
      <c r="BE40" s="48" t="b">
        <f>Q40=[1]员工报账!Q40</f>
        <v>1</v>
      </c>
      <c r="BF40" s="48" t="b">
        <f>R40=[1]员工报账!R40</f>
        <v>1</v>
      </c>
      <c r="BG40" s="48" t="b">
        <f>S40=[1]员工报账!S40</f>
        <v>1</v>
      </c>
      <c r="BH40" s="48" t="b">
        <f>T40=[1]员工报账!T40</f>
        <v>1</v>
      </c>
      <c r="BI40" s="48" t="b">
        <f>U40=[1]员工报账!U40</f>
        <v>1</v>
      </c>
      <c r="BJ40" s="48" t="b">
        <f>V40=[1]员工报账!V40</f>
        <v>1</v>
      </c>
      <c r="BK40" s="48" t="b">
        <f>W40=[1]员工报账!W40</f>
        <v>1</v>
      </c>
      <c r="BL40" s="48" t="b">
        <f>X40=[1]员工报账!X40</f>
        <v>1</v>
      </c>
      <c r="BM40" s="48" t="b">
        <f>Y40=[1]员工报账!Y40</f>
        <v>1</v>
      </c>
      <c r="BN40" s="48" t="b">
        <f>Z40=[1]员工报账!Z40</f>
        <v>1</v>
      </c>
      <c r="BO40" s="48" t="b">
        <f>AA40=[1]员工报账!AA40</f>
        <v>1</v>
      </c>
      <c r="BP40" s="48" t="b">
        <f>AB40=[1]员工报账!AB40</f>
        <v>1</v>
      </c>
      <c r="BQ40" s="48" t="b">
        <f>AC40=[1]员工报账!AC40</f>
        <v>1</v>
      </c>
      <c r="BR40" s="48" t="b">
        <f>AD40=[1]员工报账!AD40</f>
        <v>1</v>
      </c>
      <c r="BS40" s="48" t="b">
        <f>AE40=[1]员工报账!AE40</f>
        <v>1</v>
      </c>
      <c r="BT40" s="48" t="b">
        <f>AF40=[1]员工报账!AF40</f>
        <v>1</v>
      </c>
      <c r="BU40" s="48" t="b">
        <f>AG40=[1]员工报账!AG40</f>
        <v>1</v>
      </c>
      <c r="BV40" s="48" t="b">
        <f>AH40=[1]员工报账!AH40</f>
        <v>1</v>
      </c>
      <c r="BW40" s="48" t="b">
        <f>AI40=[1]员工报账!AI40</f>
        <v>1</v>
      </c>
      <c r="BX40" s="48" t="b">
        <f>AJ40=[1]员工报账!AJ40</f>
        <v>1</v>
      </c>
    </row>
    <row r="41" s="48" customFormat="1" ht="118.8" spans="1:76">
      <c r="A41" s="56" t="s">
        <v>453</v>
      </c>
      <c r="B41" s="56" t="s">
        <v>644</v>
      </c>
      <c r="C41" s="57" t="s">
        <v>498</v>
      </c>
      <c r="D41" s="57" t="s">
        <v>645</v>
      </c>
      <c r="E41" s="58" t="s">
        <v>646</v>
      </c>
      <c r="F41" s="35"/>
      <c r="G41" s="57" t="s">
        <v>647</v>
      </c>
      <c r="H41" s="58" t="s">
        <v>648</v>
      </c>
      <c r="I41" s="35" t="s">
        <v>659</v>
      </c>
      <c r="J41" s="42" t="s">
        <v>660</v>
      </c>
      <c r="K41" s="35"/>
      <c r="L41" s="35"/>
      <c r="M41" s="35"/>
      <c r="N41" s="35"/>
      <c r="O41" s="35" t="s">
        <v>36</v>
      </c>
      <c r="P41" s="35"/>
      <c r="Q41" s="35"/>
      <c r="R41" s="35"/>
      <c r="S41" s="35"/>
      <c r="T41" s="37" t="s">
        <v>661</v>
      </c>
      <c r="U41" s="35" t="s">
        <v>635</v>
      </c>
      <c r="V41" s="42" t="s">
        <v>651</v>
      </c>
      <c r="W41" s="42" t="s">
        <v>656</v>
      </c>
      <c r="X41" s="35" t="s">
        <v>628</v>
      </c>
      <c r="Y41" s="35" t="s">
        <v>470</v>
      </c>
      <c r="Z41" s="35"/>
      <c r="AA41" s="35" t="s">
        <v>469</v>
      </c>
      <c r="AB41" s="35" t="s">
        <v>470</v>
      </c>
      <c r="AC41" s="35"/>
      <c r="AD41" s="42" t="s">
        <v>652</v>
      </c>
      <c r="AE41" s="35" t="s">
        <v>469</v>
      </c>
      <c r="AF41" s="35" t="s">
        <v>470</v>
      </c>
      <c r="AG41" s="35"/>
      <c r="AH41" s="35" t="s">
        <v>473</v>
      </c>
      <c r="AI41" s="35" t="s">
        <v>473</v>
      </c>
      <c r="AJ41" s="42" t="s">
        <v>653</v>
      </c>
      <c r="AK41" s="35" t="s">
        <v>631</v>
      </c>
      <c r="AL41" s="35" t="s">
        <v>658</v>
      </c>
      <c r="AM41" s="61"/>
      <c r="AN41" s="97" t="s">
        <v>662</v>
      </c>
      <c r="AO41" s="48" t="b">
        <f>A41=[1]员工报账!A41</f>
        <v>1</v>
      </c>
      <c r="AP41" s="48" t="b">
        <f>B41=[1]员工报账!B41</f>
        <v>1</v>
      </c>
      <c r="AQ41" s="48" t="b">
        <f>C41=[1]员工报账!C41</f>
        <v>1</v>
      </c>
      <c r="AR41" s="48" t="b">
        <f>D41=[1]员工报账!D41</f>
        <v>1</v>
      </c>
      <c r="AS41" s="48" t="b">
        <f>E41=[1]员工报账!E41</f>
        <v>1</v>
      </c>
      <c r="AT41" s="48" t="b">
        <f>F41=[1]员工报账!F41</f>
        <v>1</v>
      </c>
      <c r="AU41" s="48" t="b">
        <f>G41=[1]员工报账!G41</f>
        <v>1</v>
      </c>
      <c r="AV41" s="48" t="b">
        <f>H41=[1]员工报账!H41</f>
        <v>1</v>
      </c>
      <c r="AW41" s="48" t="b">
        <f>I41=[1]员工报账!I41</f>
        <v>1</v>
      </c>
      <c r="AX41" s="48" t="b">
        <f>J41=[1]员工报账!J41</f>
        <v>1</v>
      </c>
      <c r="AY41" s="48" t="b">
        <f>K41=[1]员工报账!K41</f>
        <v>1</v>
      </c>
      <c r="AZ41" s="48" t="b">
        <f>L41=[1]员工报账!L41</f>
        <v>1</v>
      </c>
      <c r="BA41" s="48" t="b">
        <f>M41=[1]员工报账!M41</f>
        <v>1</v>
      </c>
      <c r="BB41" s="48" t="b">
        <f>N41=[1]员工报账!N41</f>
        <v>1</v>
      </c>
      <c r="BC41" s="48" t="b">
        <f>O41=[1]员工报账!O41</f>
        <v>1</v>
      </c>
      <c r="BD41" s="48" t="b">
        <f>P41=[1]员工报账!P41</f>
        <v>1</v>
      </c>
      <c r="BE41" s="48" t="b">
        <f>Q41=[1]员工报账!Q41</f>
        <v>1</v>
      </c>
      <c r="BF41" s="48" t="b">
        <f>R41=[1]员工报账!R41</f>
        <v>1</v>
      </c>
      <c r="BG41" s="48" t="b">
        <f>S41=[1]员工报账!S41</f>
        <v>1</v>
      </c>
      <c r="BH41" s="48" t="b">
        <f>T41=[1]员工报账!T41</f>
        <v>0</v>
      </c>
      <c r="BI41" s="48" t="b">
        <f>U41=[1]员工报账!U41</f>
        <v>1</v>
      </c>
      <c r="BJ41" s="48" t="b">
        <f>V41=[1]员工报账!V41</f>
        <v>1</v>
      </c>
      <c r="BK41" s="48" t="b">
        <f>W41=[1]员工报账!W41</f>
        <v>1</v>
      </c>
      <c r="BL41" s="48" t="b">
        <f>X41=[1]员工报账!X41</f>
        <v>1</v>
      </c>
      <c r="BM41" s="48" t="b">
        <f>Y41=[1]员工报账!Y41</f>
        <v>1</v>
      </c>
      <c r="BN41" s="48" t="b">
        <f>Z41=[1]员工报账!Z41</f>
        <v>1</v>
      </c>
      <c r="BO41" s="48" t="b">
        <f>AA41=[1]员工报账!AA41</f>
        <v>1</v>
      </c>
      <c r="BP41" s="48" t="b">
        <f>AB41=[1]员工报账!AB41</f>
        <v>1</v>
      </c>
      <c r="BQ41" s="48" t="b">
        <f>AC41=[1]员工报账!AC41</f>
        <v>1</v>
      </c>
      <c r="BR41" s="48" t="b">
        <f>AD41=[1]员工报账!AD41</f>
        <v>1</v>
      </c>
      <c r="BS41" s="48" t="b">
        <f>AE41=[1]员工报账!AE41</f>
        <v>1</v>
      </c>
      <c r="BT41" s="48" t="b">
        <f>AF41=[1]员工报账!AF41</f>
        <v>1</v>
      </c>
      <c r="BU41" s="48" t="b">
        <f>AG41=[1]员工报账!AG41</f>
        <v>1</v>
      </c>
      <c r="BV41" s="48" t="b">
        <f>AH41=[1]员工报账!AH41</f>
        <v>1</v>
      </c>
      <c r="BW41" s="48" t="b">
        <f>AI41=[1]员工报账!AI41</f>
        <v>1</v>
      </c>
      <c r="BX41" s="48" t="b">
        <f>AJ41=[1]员工报账!AJ41</f>
        <v>1</v>
      </c>
    </row>
    <row r="42" s="48" customFormat="1" ht="92.4" spans="1:76">
      <c r="A42" s="62"/>
      <c r="B42" s="62"/>
      <c r="C42" s="63"/>
      <c r="D42" s="63"/>
      <c r="E42" s="64"/>
      <c r="F42" s="35"/>
      <c r="G42" s="63"/>
      <c r="H42" s="64"/>
      <c r="I42" s="35" t="s">
        <v>663</v>
      </c>
      <c r="J42" s="42" t="s">
        <v>664</v>
      </c>
      <c r="K42" s="35"/>
      <c r="L42" s="35"/>
      <c r="M42" s="35"/>
      <c r="N42" s="35"/>
      <c r="O42" s="35"/>
      <c r="P42" s="35"/>
      <c r="Q42" s="35" t="s">
        <v>36</v>
      </c>
      <c r="R42" s="35" t="s">
        <v>36</v>
      </c>
      <c r="S42" s="35"/>
      <c r="T42" s="35" t="s">
        <v>516</v>
      </c>
      <c r="U42" s="42"/>
      <c r="V42" s="42" t="s">
        <v>651</v>
      </c>
      <c r="W42" s="42" t="s">
        <v>627</v>
      </c>
      <c r="X42" s="35" t="s">
        <v>628</v>
      </c>
      <c r="Y42" s="35" t="s">
        <v>470</v>
      </c>
      <c r="Z42" s="35"/>
      <c r="AA42" s="35" t="s">
        <v>469</v>
      </c>
      <c r="AB42" s="35" t="s">
        <v>470</v>
      </c>
      <c r="AC42" s="35"/>
      <c r="AD42" s="42" t="s">
        <v>652</v>
      </c>
      <c r="AE42" s="35" t="s">
        <v>469</v>
      </c>
      <c r="AF42" s="35" t="s">
        <v>470</v>
      </c>
      <c r="AG42" s="35"/>
      <c r="AH42" s="35" t="s">
        <v>473</v>
      </c>
      <c r="AI42" s="35" t="s">
        <v>473</v>
      </c>
      <c r="AJ42" s="42" t="s">
        <v>653</v>
      </c>
      <c r="AK42" s="35" t="s">
        <v>631</v>
      </c>
      <c r="AL42" s="35" t="s">
        <v>658</v>
      </c>
      <c r="AM42" s="61"/>
      <c r="AN42" s="97"/>
      <c r="AO42" s="48" t="b">
        <f>A42=[1]员工报账!A42</f>
        <v>1</v>
      </c>
      <c r="AP42" s="48" t="b">
        <f>B42=[1]员工报账!B42</f>
        <v>1</v>
      </c>
      <c r="AQ42" s="48" t="b">
        <f>C42=[1]员工报账!C42</f>
        <v>1</v>
      </c>
      <c r="AR42" s="48" t="b">
        <f>D42=[1]员工报账!D42</f>
        <v>1</v>
      </c>
      <c r="AS42" s="48" t="b">
        <f>E42=[1]员工报账!E42</f>
        <v>1</v>
      </c>
      <c r="AT42" s="48" t="b">
        <f>F42=[1]员工报账!F42</f>
        <v>1</v>
      </c>
      <c r="AU42" s="48" t="b">
        <f>G42=[1]员工报账!G42</f>
        <v>1</v>
      </c>
      <c r="AV42" s="48" t="b">
        <f>H42=[1]员工报账!H42</f>
        <v>1</v>
      </c>
      <c r="AW42" s="48" t="b">
        <f>I42=[1]员工报账!I42</f>
        <v>1</v>
      </c>
      <c r="AX42" s="48" t="b">
        <f>J42=[1]员工报账!J42</f>
        <v>1</v>
      </c>
      <c r="AY42" s="48" t="b">
        <f>K42=[1]员工报账!K42</f>
        <v>1</v>
      </c>
      <c r="AZ42" s="48" t="b">
        <f>L42=[1]员工报账!L42</f>
        <v>1</v>
      </c>
      <c r="BA42" s="48" t="b">
        <f>M42=[1]员工报账!M42</f>
        <v>1</v>
      </c>
      <c r="BB42" s="48" t="b">
        <f>N42=[1]员工报账!N42</f>
        <v>1</v>
      </c>
      <c r="BC42" s="48" t="b">
        <f>O42=[1]员工报账!O42</f>
        <v>1</v>
      </c>
      <c r="BD42" s="48" t="b">
        <f>P42=[1]员工报账!P42</f>
        <v>1</v>
      </c>
      <c r="BE42" s="48" t="b">
        <f>Q42=[1]员工报账!Q42</f>
        <v>1</v>
      </c>
      <c r="BF42" s="48" t="b">
        <f>R42=[1]员工报账!R42</f>
        <v>1</v>
      </c>
      <c r="BG42" s="48" t="b">
        <f>S42=[1]员工报账!S42</f>
        <v>1</v>
      </c>
      <c r="BH42" s="48" t="b">
        <f>T42=[1]员工报账!T42</f>
        <v>1</v>
      </c>
      <c r="BI42" s="48" t="b">
        <f>U42=[1]员工报账!U42</f>
        <v>1</v>
      </c>
      <c r="BJ42" s="48" t="b">
        <f>V42=[1]员工报账!V42</f>
        <v>1</v>
      </c>
      <c r="BK42" s="48" t="b">
        <f>W42=[1]员工报账!W42</f>
        <v>1</v>
      </c>
      <c r="BL42" s="48" t="b">
        <f>X42=[1]员工报账!X42</f>
        <v>1</v>
      </c>
      <c r="BM42" s="48" t="b">
        <f>Y42=[1]员工报账!Y42</f>
        <v>1</v>
      </c>
      <c r="BN42" s="48" t="b">
        <f>Z42=[1]员工报账!Z42</f>
        <v>1</v>
      </c>
      <c r="BO42" s="48" t="b">
        <f>AA42=[1]员工报账!AA42</f>
        <v>1</v>
      </c>
      <c r="BP42" s="48" t="b">
        <f>AB42=[1]员工报账!AB42</f>
        <v>1</v>
      </c>
      <c r="BQ42" s="48" t="b">
        <f>AC42=[1]员工报账!AC42</f>
        <v>1</v>
      </c>
      <c r="BR42" s="48" t="b">
        <f>AD42=[1]员工报账!AD42</f>
        <v>1</v>
      </c>
      <c r="BS42" s="48" t="b">
        <f>AE42=[1]员工报账!AE42</f>
        <v>1</v>
      </c>
      <c r="BT42" s="48" t="b">
        <f>AF42=[1]员工报账!AF42</f>
        <v>1</v>
      </c>
      <c r="BU42" s="48" t="b">
        <f>AG42=[1]员工报账!AG42</f>
        <v>1</v>
      </c>
      <c r="BV42" s="48" t="b">
        <f>AH42=[1]员工报账!AH42</f>
        <v>1</v>
      </c>
      <c r="BW42" s="48" t="b">
        <f>AI42=[1]员工报账!AI42</f>
        <v>1</v>
      </c>
      <c r="BX42" s="48" t="b">
        <f>AJ42=[1]员工报账!AJ42</f>
        <v>1</v>
      </c>
    </row>
    <row r="43" s="48" customFormat="1" ht="132" spans="1:76">
      <c r="A43" s="62"/>
      <c r="B43" s="62"/>
      <c r="C43" s="63"/>
      <c r="D43" s="38"/>
      <c r="E43" s="66"/>
      <c r="F43" s="35"/>
      <c r="G43" s="38"/>
      <c r="H43" s="66"/>
      <c r="I43" s="35" t="s">
        <v>665</v>
      </c>
      <c r="J43" s="42" t="s">
        <v>666</v>
      </c>
      <c r="K43" s="35"/>
      <c r="L43" s="35"/>
      <c r="M43" s="35" t="s">
        <v>36</v>
      </c>
      <c r="N43" s="35"/>
      <c r="O43" s="35"/>
      <c r="P43" s="35"/>
      <c r="Q43" s="35" t="s">
        <v>36</v>
      </c>
      <c r="R43" s="35"/>
      <c r="S43" s="35"/>
      <c r="T43" s="35" t="s">
        <v>516</v>
      </c>
      <c r="U43" s="42"/>
      <c r="V43" s="42" t="s">
        <v>651</v>
      </c>
      <c r="W43" s="42" t="s">
        <v>667</v>
      </c>
      <c r="X43" s="35" t="s">
        <v>628</v>
      </c>
      <c r="Y43" s="35" t="s">
        <v>470</v>
      </c>
      <c r="Z43" s="35"/>
      <c r="AA43" s="35" t="s">
        <v>469</v>
      </c>
      <c r="AB43" s="35" t="s">
        <v>470</v>
      </c>
      <c r="AC43" s="35"/>
      <c r="AD43" s="42" t="s">
        <v>652</v>
      </c>
      <c r="AE43" s="35" t="s">
        <v>469</v>
      </c>
      <c r="AF43" s="35" t="s">
        <v>470</v>
      </c>
      <c r="AG43" s="35"/>
      <c r="AH43" s="35" t="s">
        <v>473</v>
      </c>
      <c r="AI43" s="35" t="s">
        <v>473</v>
      </c>
      <c r="AJ43" s="42" t="s">
        <v>653</v>
      </c>
      <c r="AK43" s="35" t="s">
        <v>631</v>
      </c>
      <c r="AL43" s="35" t="s">
        <v>658</v>
      </c>
      <c r="AM43" s="61"/>
      <c r="AN43" s="97" t="s">
        <v>509</v>
      </c>
      <c r="AO43" s="48" t="b">
        <f>A43=[1]员工报账!A43</f>
        <v>1</v>
      </c>
      <c r="AP43" s="48" t="b">
        <f>B43=[1]员工报账!B43</f>
        <v>1</v>
      </c>
      <c r="AQ43" s="48" t="b">
        <f>C43=[1]员工报账!C43</f>
        <v>1</v>
      </c>
      <c r="AR43" s="48" t="b">
        <f>D43=[1]员工报账!D43</f>
        <v>1</v>
      </c>
      <c r="AS43" s="48" t="b">
        <f>E43=[1]员工报账!E43</f>
        <v>1</v>
      </c>
      <c r="AT43" s="48" t="b">
        <f>F43=[1]员工报账!F43</f>
        <v>1</v>
      </c>
      <c r="AU43" s="48" t="b">
        <f>G43=[1]员工报账!G43</f>
        <v>1</v>
      </c>
      <c r="AV43" s="48" t="b">
        <f>H43=[1]员工报账!H43</f>
        <v>1</v>
      </c>
      <c r="AW43" s="48" t="b">
        <f>I43=[1]员工报账!I43</f>
        <v>1</v>
      </c>
      <c r="AX43" s="48" t="b">
        <f>J43=[1]员工报账!J43</f>
        <v>1</v>
      </c>
      <c r="AY43" s="48" t="b">
        <f>K43=[1]员工报账!K43</f>
        <v>1</v>
      </c>
      <c r="AZ43" s="48" t="b">
        <f>L43=[1]员工报账!L43</f>
        <v>1</v>
      </c>
      <c r="BA43" s="48" t="b">
        <f>M43=[1]员工报账!M43</f>
        <v>1</v>
      </c>
      <c r="BB43" s="48" t="b">
        <f>N43=[1]员工报账!N43</f>
        <v>1</v>
      </c>
      <c r="BC43" s="48" t="b">
        <f>O43=[1]员工报账!O43</f>
        <v>1</v>
      </c>
      <c r="BD43" s="48" t="b">
        <f>P43=[1]员工报账!P43</f>
        <v>1</v>
      </c>
      <c r="BE43" s="48" t="b">
        <f>Q43=[1]员工报账!Q43</f>
        <v>1</v>
      </c>
      <c r="BF43" s="48" t="b">
        <f>R43=[1]员工报账!R43</f>
        <v>1</v>
      </c>
      <c r="BG43" s="48" t="b">
        <f>S43=[1]员工报账!S43</f>
        <v>1</v>
      </c>
      <c r="BH43" s="48" t="b">
        <f>T43=[1]员工报账!T43</f>
        <v>1</v>
      </c>
      <c r="BI43" s="48" t="b">
        <f>U43=[1]员工报账!U43</f>
        <v>1</v>
      </c>
      <c r="BJ43" s="48" t="b">
        <f>V43=[1]员工报账!V43</f>
        <v>1</v>
      </c>
      <c r="BK43" s="48" t="b">
        <f>W43=[1]员工报账!W43</f>
        <v>0</v>
      </c>
      <c r="BL43" s="48" t="b">
        <f>X43=[1]员工报账!X43</f>
        <v>1</v>
      </c>
      <c r="BM43" s="48" t="b">
        <f>Y43=[1]员工报账!Y43</f>
        <v>1</v>
      </c>
      <c r="BN43" s="48" t="b">
        <f>Z43=[1]员工报账!Z43</f>
        <v>1</v>
      </c>
      <c r="BO43" s="48" t="b">
        <f>AA43=[1]员工报账!AA43</f>
        <v>1</v>
      </c>
      <c r="BP43" s="48" t="b">
        <f>AB43=[1]员工报账!AB43</f>
        <v>1</v>
      </c>
      <c r="BQ43" s="48" t="b">
        <f>AC43=[1]员工报账!AC43</f>
        <v>1</v>
      </c>
      <c r="BR43" s="48" t="b">
        <f>AD43=[1]员工报账!AD43</f>
        <v>1</v>
      </c>
      <c r="BS43" s="48" t="b">
        <f>AE43=[1]员工报账!AE43</f>
        <v>1</v>
      </c>
      <c r="BT43" s="48" t="b">
        <f>AF43=[1]员工报账!AF43</f>
        <v>1</v>
      </c>
      <c r="BU43" s="48" t="b">
        <f>AG43=[1]员工报账!AG43</f>
        <v>1</v>
      </c>
      <c r="BV43" s="48" t="b">
        <f>AH43=[1]员工报账!AH43</f>
        <v>1</v>
      </c>
      <c r="BW43" s="48" t="b">
        <f>AI43=[1]员工报账!AI43</f>
        <v>1</v>
      </c>
      <c r="BX43" s="48" t="b">
        <f>AJ43=[1]员工报账!AJ43</f>
        <v>1</v>
      </c>
    </row>
    <row r="44" s="48" customFormat="1" ht="290.4" spans="1:76">
      <c r="A44" s="67"/>
      <c r="B44" s="67"/>
      <c r="C44" s="38"/>
      <c r="D44" s="38" t="s">
        <v>668</v>
      </c>
      <c r="E44" s="66" t="s">
        <v>669</v>
      </c>
      <c r="F44" s="75"/>
      <c r="G44" s="38" t="s">
        <v>670</v>
      </c>
      <c r="H44" s="66" t="s">
        <v>671</v>
      </c>
      <c r="I44" s="38" t="s">
        <v>672</v>
      </c>
      <c r="J44" s="42" t="s">
        <v>673</v>
      </c>
      <c r="K44" s="35"/>
      <c r="L44" s="35"/>
      <c r="M44" s="35" t="s">
        <v>36</v>
      </c>
      <c r="N44" s="35"/>
      <c r="O44" s="35"/>
      <c r="P44" s="35"/>
      <c r="Q44" s="35"/>
      <c r="R44" s="35"/>
      <c r="S44" s="35"/>
      <c r="T44" s="35" t="s">
        <v>516</v>
      </c>
      <c r="U44" s="42"/>
      <c r="V44" s="42" t="s">
        <v>674</v>
      </c>
      <c r="W44" s="42" t="s">
        <v>675</v>
      </c>
      <c r="X44" s="35" t="s">
        <v>628</v>
      </c>
      <c r="Y44" s="35" t="s">
        <v>470</v>
      </c>
      <c r="Z44" s="35"/>
      <c r="AA44" s="35" t="s">
        <v>469</v>
      </c>
      <c r="AB44" s="35" t="s">
        <v>470</v>
      </c>
      <c r="AC44" s="35"/>
      <c r="AD44" s="42" t="s">
        <v>676</v>
      </c>
      <c r="AE44" s="35" t="s">
        <v>469</v>
      </c>
      <c r="AF44" s="35" t="s">
        <v>470</v>
      </c>
      <c r="AG44" s="35"/>
      <c r="AH44" s="35" t="s">
        <v>473</v>
      </c>
      <c r="AI44" s="35" t="s">
        <v>473</v>
      </c>
      <c r="AJ44" s="42" t="s">
        <v>677</v>
      </c>
      <c r="AK44" s="35" t="s">
        <v>678</v>
      </c>
      <c r="AL44" s="42" t="s">
        <v>679</v>
      </c>
      <c r="AM44" s="61"/>
      <c r="AN44" s="97"/>
      <c r="AO44" s="48" t="b">
        <f>A44=[1]员工报账!A44</f>
        <v>1</v>
      </c>
      <c r="AP44" s="48" t="b">
        <f>B44=[1]员工报账!B44</f>
        <v>1</v>
      </c>
      <c r="AQ44" s="48" t="b">
        <f>C44=[1]员工报账!C44</f>
        <v>1</v>
      </c>
      <c r="AR44" s="48" t="b">
        <f>D44=[1]员工报账!D44</f>
        <v>1</v>
      </c>
      <c r="AS44" s="48" t="b">
        <f>E44=[1]员工报账!E44</f>
        <v>1</v>
      </c>
      <c r="AT44" s="48" t="b">
        <f>F44=[1]员工报账!F44</f>
        <v>1</v>
      </c>
      <c r="AU44" s="48" t="b">
        <f>G44=[1]员工报账!G44</f>
        <v>1</v>
      </c>
      <c r="AV44" s="48" t="b">
        <f>H44=[1]员工报账!H44</f>
        <v>1</v>
      </c>
      <c r="AW44" s="48" t="b">
        <f>I44=[1]员工报账!I44</f>
        <v>1</v>
      </c>
      <c r="AX44" s="48" t="b">
        <f>J44=[1]员工报账!J44</f>
        <v>1</v>
      </c>
      <c r="AY44" s="48" t="b">
        <f>K44=[1]员工报账!K44</f>
        <v>1</v>
      </c>
      <c r="AZ44" s="48" t="b">
        <f>L44=[1]员工报账!L44</f>
        <v>1</v>
      </c>
      <c r="BA44" s="48" t="b">
        <f>M44=[1]员工报账!M44</f>
        <v>1</v>
      </c>
      <c r="BB44" s="48" t="b">
        <f>N44=[1]员工报账!N44</f>
        <v>1</v>
      </c>
      <c r="BC44" s="48" t="b">
        <f>O44=[1]员工报账!O44</f>
        <v>1</v>
      </c>
      <c r="BD44" s="48" t="b">
        <f>P44=[1]员工报账!P44</f>
        <v>1</v>
      </c>
      <c r="BE44" s="48" t="b">
        <f>Q44=[1]员工报账!Q44</f>
        <v>1</v>
      </c>
      <c r="BF44" s="48" t="b">
        <f>R44=[1]员工报账!R44</f>
        <v>1</v>
      </c>
      <c r="BG44" s="48" t="b">
        <f>S44=[1]员工报账!S44</f>
        <v>1</v>
      </c>
      <c r="BH44" s="48" t="b">
        <f>T44=[1]员工报账!T44</f>
        <v>1</v>
      </c>
      <c r="BI44" s="48" t="b">
        <f>U44=[1]员工报账!U44</f>
        <v>1</v>
      </c>
      <c r="BJ44" s="48" t="b">
        <f>V44=[1]员工报账!V44</f>
        <v>1</v>
      </c>
      <c r="BK44" s="48" t="b">
        <f>W44=[1]员工报账!W44</f>
        <v>1</v>
      </c>
      <c r="BL44" s="48" t="b">
        <f>X44=[1]员工报账!X44</f>
        <v>1</v>
      </c>
      <c r="BM44" s="48" t="b">
        <f>Y44=[1]员工报账!Y44</f>
        <v>1</v>
      </c>
      <c r="BN44" s="48" t="b">
        <f>Z44=[1]员工报账!Z44</f>
        <v>1</v>
      </c>
      <c r="BO44" s="48" t="b">
        <f>AA44=[1]员工报账!AA44</f>
        <v>1</v>
      </c>
      <c r="BP44" s="48" t="b">
        <f>AB44=[1]员工报账!AB44</f>
        <v>1</v>
      </c>
      <c r="BQ44" s="48" t="b">
        <f>AC44=[1]员工报账!AC44</f>
        <v>1</v>
      </c>
      <c r="BR44" s="48" t="b">
        <f>AD44=[1]员工报账!AD44</f>
        <v>1</v>
      </c>
      <c r="BS44" s="48" t="b">
        <f>AE44=[1]员工报账!AE44</f>
        <v>1</v>
      </c>
      <c r="BT44" s="48" t="b">
        <f>AF44=[1]员工报账!AF44</f>
        <v>1</v>
      </c>
      <c r="BU44" s="48" t="b">
        <f>AG44=[1]员工报账!AG44</f>
        <v>1</v>
      </c>
      <c r="BV44" s="48" t="b">
        <f>AH44=[1]员工报账!AH44</f>
        <v>1</v>
      </c>
      <c r="BW44" s="48" t="b">
        <f>AI44=[1]员工报账!AI44</f>
        <v>1</v>
      </c>
      <c r="BX44" s="48" t="b">
        <f>AJ44=[1]员工报账!AJ44</f>
        <v>1</v>
      </c>
    </row>
    <row r="45" s="48" customFormat="1" ht="158.4" spans="1:76">
      <c r="A45" s="56" t="s">
        <v>453</v>
      </c>
      <c r="B45" s="56" t="s">
        <v>644</v>
      </c>
      <c r="C45" s="57" t="s">
        <v>498</v>
      </c>
      <c r="D45" s="57" t="s">
        <v>668</v>
      </c>
      <c r="E45" s="58" t="s">
        <v>669</v>
      </c>
      <c r="F45" s="58"/>
      <c r="G45" s="57" t="s">
        <v>670</v>
      </c>
      <c r="H45" s="58" t="s">
        <v>671</v>
      </c>
      <c r="I45" s="35" t="s">
        <v>680</v>
      </c>
      <c r="J45" s="42" t="s">
        <v>681</v>
      </c>
      <c r="K45" s="35"/>
      <c r="L45" s="35" t="s">
        <v>36</v>
      </c>
      <c r="M45" s="35"/>
      <c r="N45" s="35"/>
      <c r="O45" s="35"/>
      <c r="P45" s="35"/>
      <c r="Q45" s="35"/>
      <c r="R45" s="35"/>
      <c r="S45" s="35"/>
      <c r="T45" s="35" t="s">
        <v>516</v>
      </c>
      <c r="U45" s="42"/>
      <c r="V45" s="42" t="s">
        <v>674</v>
      </c>
      <c r="W45" s="42" t="s">
        <v>675</v>
      </c>
      <c r="X45" s="35" t="s">
        <v>628</v>
      </c>
      <c r="Y45" s="35" t="s">
        <v>470</v>
      </c>
      <c r="Z45" s="35"/>
      <c r="AA45" s="35" t="s">
        <v>469</v>
      </c>
      <c r="AB45" s="35" t="s">
        <v>470</v>
      </c>
      <c r="AC45" s="35"/>
      <c r="AD45" s="42" t="s">
        <v>676</v>
      </c>
      <c r="AE45" s="35" t="s">
        <v>469</v>
      </c>
      <c r="AF45" s="35" t="s">
        <v>470</v>
      </c>
      <c r="AG45" s="35"/>
      <c r="AH45" s="35" t="s">
        <v>473</v>
      </c>
      <c r="AI45" s="35" t="s">
        <v>473</v>
      </c>
      <c r="AJ45" s="42" t="s">
        <v>682</v>
      </c>
      <c r="AK45" s="35" t="s">
        <v>678</v>
      </c>
      <c r="AL45" s="42" t="s">
        <v>679</v>
      </c>
      <c r="AM45" s="61"/>
      <c r="AN45" s="97"/>
      <c r="AO45" s="48" t="b">
        <f>A45=[1]员工报账!A45</f>
        <v>1</v>
      </c>
      <c r="AP45" s="48" t="b">
        <f>B45=[1]员工报账!B45</f>
        <v>1</v>
      </c>
      <c r="AQ45" s="48" t="b">
        <f>C45=[1]员工报账!C45</f>
        <v>1</v>
      </c>
      <c r="AR45" s="48" t="b">
        <f>D45=[1]员工报账!D45</f>
        <v>1</v>
      </c>
      <c r="AS45" s="48" t="b">
        <f>E45=[1]员工报账!E45</f>
        <v>1</v>
      </c>
      <c r="AT45" s="48" t="b">
        <f>F45=[1]员工报账!F45</f>
        <v>1</v>
      </c>
      <c r="AU45" s="48" t="b">
        <f>G45=[1]员工报账!G45</f>
        <v>1</v>
      </c>
      <c r="AV45" s="48" t="b">
        <f>H45=[1]员工报账!H45</f>
        <v>1</v>
      </c>
      <c r="AW45" s="48" t="b">
        <f>I45=[1]员工报账!I45</f>
        <v>1</v>
      </c>
      <c r="AX45" s="48" t="b">
        <f>J45=[1]员工报账!J45</f>
        <v>1</v>
      </c>
      <c r="AY45" s="48" t="b">
        <f>K45=[1]员工报账!K45</f>
        <v>1</v>
      </c>
      <c r="AZ45" s="48" t="b">
        <f>L45=[1]员工报账!L45</f>
        <v>1</v>
      </c>
      <c r="BA45" s="48" t="b">
        <f>M45=[1]员工报账!M45</f>
        <v>1</v>
      </c>
      <c r="BB45" s="48" t="b">
        <f>N45=[1]员工报账!N45</f>
        <v>1</v>
      </c>
      <c r="BC45" s="48" t="b">
        <f>O45=[1]员工报账!O45</f>
        <v>1</v>
      </c>
      <c r="BD45" s="48" t="b">
        <f>P45=[1]员工报账!P45</f>
        <v>1</v>
      </c>
      <c r="BE45" s="48" t="b">
        <f>Q45=[1]员工报账!Q45</f>
        <v>1</v>
      </c>
      <c r="BF45" s="48" t="b">
        <f>R45=[1]员工报账!R45</f>
        <v>1</v>
      </c>
      <c r="BG45" s="48" t="b">
        <f>S45=[1]员工报账!S45</f>
        <v>1</v>
      </c>
      <c r="BH45" s="48" t="b">
        <f>T45=[1]员工报账!T45</f>
        <v>1</v>
      </c>
      <c r="BI45" s="48" t="b">
        <f>U45=[1]员工报账!U45</f>
        <v>1</v>
      </c>
      <c r="BJ45" s="48" t="b">
        <f>V45=[1]员工报账!V45</f>
        <v>1</v>
      </c>
      <c r="BK45" s="48" t="b">
        <f>W45=[1]员工报账!W45</f>
        <v>1</v>
      </c>
      <c r="BL45" s="48" t="b">
        <f>X45=[1]员工报账!X45</f>
        <v>1</v>
      </c>
      <c r="BM45" s="48" t="b">
        <f>Y45=[1]员工报账!Y45</f>
        <v>1</v>
      </c>
      <c r="BN45" s="48" t="b">
        <f>Z45=[1]员工报账!Z45</f>
        <v>1</v>
      </c>
      <c r="BO45" s="48" t="b">
        <f>AA45=[1]员工报账!AA45</f>
        <v>1</v>
      </c>
      <c r="BP45" s="48" t="b">
        <f>AB45=[1]员工报账!AB45</f>
        <v>1</v>
      </c>
      <c r="BQ45" s="48" t="b">
        <f>AC45=[1]员工报账!AC45</f>
        <v>1</v>
      </c>
      <c r="BR45" s="48" t="b">
        <f>AD45=[1]员工报账!AD45</f>
        <v>1</v>
      </c>
      <c r="BS45" s="48" t="b">
        <f>AE45=[1]员工报账!AE45</f>
        <v>1</v>
      </c>
      <c r="BT45" s="48" t="b">
        <f>AF45=[1]员工报账!AF45</f>
        <v>1</v>
      </c>
      <c r="BU45" s="48" t="b">
        <f>AG45=[1]员工报账!AG45</f>
        <v>1</v>
      </c>
      <c r="BV45" s="48" t="b">
        <f>AH45=[1]员工报账!AH45</f>
        <v>1</v>
      </c>
      <c r="BW45" s="48" t="b">
        <f>AI45=[1]员工报账!AI45</f>
        <v>1</v>
      </c>
      <c r="BX45" s="48" t="b">
        <f>AJ45=[1]员工报账!AJ45</f>
        <v>1</v>
      </c>
    </row>
    <row r="46" s="48" customFormat="1" ht="184.8" spans="1:76">
      <c r="A46" s="62"/>
      <c r="B46" s="62"/>
      <c r="C46" s="38"/>
      <c r="D46" s="38"/>
      <c r="E46" s="66"/>
      <c r="F46" s="66"/>
      <c r="G46" s="38"/>
      <c r="H46" s="66"/>
      <c r="I46" s="35" t="s">
        <v>683</v>
      </c>
      <c r="J46" s="42" t="s">
        <v>684</v>
      </c>
      <c r="K46" s="35"/>
      <c r="L46" s="35"/>
      <c r="M46" s="35"/>
      <c r="N46" s="35"/>
      <c r="O46" s="35"/>
      <c r="P46" s="35"/>
      <c r="Q46" s="35" t="s">
        <v>36</v>
      </c>
      <c r="R46" s="35" t="s">
        <v>36</v>
      </c>
      <c r="S46" s="35"/>
      <c r="T46" s="35" t="s">
        <v>516</v>
      </c>
      <c r="U46" s="42"/>
      <c r="V46" s="42" t="s">
        <v>674</v>
      </c>
      <c r="W46" s="42" t="s">
        <v>685</v>
      </c>
      <c r="X46" s="35" t="s">
        <v>628</v>
      </c>
      <c r="Y46" s="35" t="s">
        <v>470</v>
      </c>
      <c r="Z46" s="35"/>
      <c r="AA46" s="35" t="s">
        <v>469</v>
      </c>
      <c r="AB46" s="35" t="s">
        <v>470</v>
      </c>
      <c r="AC46" s="35"/>
      <c r="AD46" s="42" t="s">
        <v>676</v>
      </c>
      <c r="AE46" s="35" t="s">
        <v>469</v>
      </c>
      <c r="AF46" s="35" t="s">
        <v>470</v>
      </c>
      <c r="AG46" s="35"/>
      <c r="AH46" s="35" t="s">
        <v>473</v>
      </c>
      <c r="AI46" s="35" t="s">
        <v>473</v>
      </c>
      <c r="AJ46" s="42" t="s">
        <v>682</v>
      </c>
      <c r="AK46" s="35" t="s">
        <v>678</v>
      </c>
      <c r="AL46" s="42" t="s">
        <v>679</v>
      </c>
      <c r="AM46" s="61"/>
      <c r="AN46" s="97"/>
      <c r="AO46" s="48" t="b">
        <f>A46=[1]员工报账!A46</f>
        <v>1</v>
      </c>
      <c r="AP46" s="48" t="b">
        <f>B46=[1]员工报账!B46</f>
        <v>1</v>
      </c>
      <c r="AQ46" s="48" t="b">
        <f>C46=[1]员工报账!C46</f>
        <v>1</v>
      </c>
      <c r="AR46" s="48" t="b">
        <f>D46=[1]员工报账!D46</f>
        <v>1</v>
      </c>
      <c r="AS46" s="48" t="b">
        <f>E46=[1]员工报账!E46</f>
        <v>1</v>
      </c>
      <c r="AT46" s="48" t="b">
        <f>F46=[1]员工报账!F46</f>
        <v>1</v>
      </c>
      <c r="AU46" s="48" t="b">
        <f>G46=[1]员工报账!G46</f>
        <v>1</v>
      </c>
      <c r="AV46" s="48" t="b">
        <f>H46=[1]员工报账!H46</f>
        <v>1</v>
      </c>
      <c r="AW46" s="48" t="b">
        <f>I46=[1]员工报账!I46</f>
        <v>1</v>
      </c>
      <c r="AX46" s="48" t="b">
        <f>J46=[1]员工报账!J46</f>
        <v>1</v>
      </c>
      <c r="AY46" s="48" t="b">
        <f>K46=[1]员工报账!K46</f>
        <v>1</v>
      </c>
      <c r="AZ46" s="48" t="b">
        <f>L46=[1]员工报账!L46</f>
        <v>1</v>
      </c>
      <c r="BA46" s="48" t="b">
        <f>M46=[1]员工报账!M46</f>
        <v>1</v>
      </c>
      <c r="BB46" s="48" t="b">
        <f>N46=[1]员工报账!N46</f>
        <v>1</v>
      </c>
      <c r="BC46" s="48" t="b">
        <f>O46=[1]员工报账!O46</f>
        <v>1</v>
      </c>
      <c r="BD46" s="48" t="b">
        <f>P46=[1]员工报账!P46</f>
        <v>1</v>
      </c>
      <c r="BE46" s="48" t="b">
        <f>Q46=[1]员工报账!Q46</f>
        <v>1</v>
      </c>
      <c r="BF46" s="48" t="b">
        <f>R46=[1]员工报账!R46</f>
        <v>1</v>
      </c>
      <c r="BG46" s="48" t="b">
        <f>S46=[1]员工报账!S46</f>
        <v>1</v>
      </c>
      <c r="BH46" s="48" t="b">
        <f>T46=[1]员工报账!T46</f>
        <v>1</v>
      </c>
      <c r="BI46" s="48" t="b">
        <f>U46=[1]员工报账!U46</f>
        <v>1</v>
      </c>
      <c r="BJ46" s="48" t="b">
        <f>V46=[1]员工报账!V46</f>
        <v>1</v>
      </c>
      <c r="BK46" s="48" t="b">
        <f>W46=[1]员工报账!W46</f>
        <v>1</v>
      </c>
      <c r="BL46" s="48" t="b">
        <f>X46=[1]员工报账!X46</f>
        <v>1</v>
      </c>
      <c r="BM46" s="48" t="b">
        <f>Y46=[1]员工报账!Y46</f>
        <v>1</v>
      </c>
      <c r="BN46" s="48" t="b">
        <f>Z46=[1]员工报账!Z46</f>
        <v>1</v>
      </c>
      <c r="BO46" s="48" t="b">
        <f>AA46=[1]员工报账!AA46</f>
        <v>1</v>
      </c>
      <c r="BP46" s="48" t="b">
        <f>AB46=[1]员工报账!AB46</f>
        <v>1</v>
      </c>
      <c r="BQ46" s="48" t="b">
        <f>AC46=[1]员工报账!AC46</f>
        <v>1</v>
      </c>
      <c r="BR46" s="48" t="b">
        <f>AD46=[1]员工报账!AD46</f>
        <v>1</v>
      </c>
      <c r="BS46" s="48" t="b">
        <f>AE46=[1]员工报账!AE46</f>
        <v>1</v>
      </c>
      <c r="BT46" s="48" t="b">
        <f>AF46=[1]员工报账!AF46</f>
        <v>1</v>
      </c>
      <c r="BU46" s="48" t="b">
        <f>AG46=[1]员工报账!AG46</f>
        <v>1</v>
      </c>
      <c r="BV46" s="48" t="b">
        <f>AH46=[1]员工报账!AH46</f>
        <v>1</v>
      </c>
      <c r="BW46" s="48" t="b">
        <f>AI46=[1]员工报账!AI46</f>
        <v>1</v>
      </c>
      <c r="BX46" s="48" t="b">
        <f>AJ46=[1]员工报账!AJ46</f>
        <v>1</v>
      </c>
    </row>
    <row r="47" s="48" customFormat="1" ht="132" spans="1:76">
      <c r="A47" s="62"/>
      <c r="B47" s="62"/>
      <c r="C47" s="57" t="s">
        <v>455</v>
      </c>
      <c r="D47" s="57" t="s">
        <v>686</v>
      </c>
      <c r="E47" s="58" t="s">
        <v>687</v>
      </c>
      <c r="F47" s="59" t="s">
        <v>688</v>
      </c>
      <c r="G47" s="57" t="s">
        <v>689</v>
      </c>
      <c r="H47" s="58" t="s">
        <v>690</v>
      </c>
      <c r="I47" s="35" t="s">
        <v>691</v>
      </c>
      <c r="J47" s="42" t="s">
        <v>692</v>
      </c>
      <c r="K47" s="35"/>
      <c r="L47" s="35"/>
      <c r="M47" s="35" t="s">
        <v>36</v>
      </c>
      <c r="N47" s="35"/>
      <c r="O47" s="35"/>
      <c r="P47" s="35"/>
      <c r="Q47" s="35"/>
      <c r="R47" s="35"/>
      <c r="S47" s="35"/>
      <c r="T47" s="35" t="s">
        <v>497</v>
      </c>
      <c r="U47" s="35" t="s">
        <v>693</v>
      </c>
      <c r="V47" s="42" t="s">
        <v>694</v>
      </c>
      <c r="W47" s="42" t="s">
        <v>695</v>
      </c>
      <c r="X47" s="35" t="s">
        <v>628</v>
      </c>
      <c r="Y47" s="35" t="s">
        <v>470</v>
      </c>
      <c r="Z47" s="35"/>
      <c r="AA47" s="35" t="s">
        <v>469</v>
      </c>
      <c r="AB47" s="35" t="s">
        <v>470</v>
      </c>
      <c r="AC47" s="35"/>
      <c r="AD47" s="42" t="s">
        <v>696</v>
      </c>
      <c r="AE47" s="35" t="s">
        <v>469</v>
      </c>
      <c r="AF47" s="35" t="s">
        <v>470</v>
      </c>
      <c r="AG47" s="35"/>
      <c r="AH47" s="35" t="s">
        <v>473</v>
      </c>
      <c r="AI47" s="35" t="s">
        <v>473</v>
      </c>
      <c r="AJ47" s="42" t="s">
        <v>697</v>
      </c>
      <c r="AK47" s="35" t="s">
        <v>698</v>
      </c>
      <c r="AL47" s="42" t="s">
        <v>699</v>
      </c>
      <c r="AM47" s="61"/>
      <c r="AN47" s="97"/>
      <c r="AO47" s="48" t="b">
        <f>A47=[1]员工报账!A47</f>
        <v>1</v>
      </c>
      <c r="AP47" s="48" t="b">
        <f>B47=[1]员工报账!B47</f>
        <v>1</v>
      </c>
      <c r="AQ47" s="48" t="b">
        <f>C47=[1]员工报账!C47</f>
        <v>1</v>
      </c>
      <c r="AR47" s="48" t="b">
        <f>D47=[1]员工报账!D47</f>
        <v>1</v>
      </c>
      <c r="AS47" s="48" t="b">
        <f>E47=[1]员工报账!E47</f>
        <v>1</v>
      </c>
      <c r="AT47" s="48" t="b">
        <f>F47=[1]员工报账!F47</f>
        <v>1</v>
      </c>
      <c r="AU47" s="48" t="b">
        <f>G47=[1]员工报账!G47</f>
        <v>1</v>
      </c>
      <c r="AV47" s="48" t="b">
        <f>H47=[1]员工报账!H47</f>
        <v>1</v>
      </c>
      <c r="AW47" s="48" t="b">
        <f>I47=[1]员工报账!I47</f>
        <v>1</v>
      </c>
      <c r="AX47" s="48" t="b">
        <f>J47=[1]员工报账!J47</f>
        <v>1</v>
      </c>
      <c r="AY47" s="48" t="b">
        <f>K47=[1]员工报账!K47</f>
        <v>1</v>
      </c>
      <c r="AZ47" s="48" t="b">
        <f>L47=[1]员工报账!L47</f>
        <v>1</v>
      </c>
      <c r="BA47" s="48" t="b">
        <f>M47=[1]员工报账!M47</f>
        <v>1</v>
      </c>
      <c r="BB47" s="48" t="b">
        <f>N47=[1]员工报账!N47</f>
        <v>1</v>
      </c>
      <c r="BC47" s="48" t="b">
        <f>O47=[1]员工报账!O47</f>
        <v>1</v>
      </c>
      <c r="BD47" s="48" t="b">
        <f>P47=[1]员工报账!P47</f>
        <v>1</v>
      </c>
      <c r="BE47" s="48" t="b">
        <f>Q47=[1]员工报账!Q47</f>
        <v>1</v>
      </c>
      <c r="BF47" s="48" t="b">
        <f>R47=[1]员工报账!R47</f>
        <v>1</v>
      </c>
      <c r="BG47" s="48" t="b">
        <f>S47=[1]员工报账!S47</f>
        <v>1</v>
      </c>
      <c r="BH47" s="48" t="b">
        <f>T47=[1]员工报账!T47</f>
        <v>1</v>
      </c>
      <c r="BI47" s="48" t="b">
        <f>U47=[1]员工报账!U47</f>
        <v>1</v>
      </c>
      <c r="BJ47" s="48" t="b">
        <f>V47=[1]员工报账!V47</f>
        <v>1</v>
      </c>
      <c r="BK47" s="48" t="b">
        <f>W47=[1]员工报账!W47</f>
        <v>1</v>
      </c>
      <c r="BL47" s="48" t="b">
        <f>X47=[1]员工报账!X47</f>
        <v>1</v>
      </c>
      <c r="BM47" s="48" t="b">
        <f>Y47=[1]员工报账!Y47</f>
        <v>1</v>
      </c>
      <c r="BN47" s="48" t="b">
        <f>Z47=[1]员工报账!Z47</f>
        <v>1</v>
      </c>
      <c r="BO47" s="48" t="b">
        <f>AA47=[1]员工报账!AA47</f>
        <v>1</v>
      </c>
      <c r="BP47" s="48" t="b">
        <f>AB47=[1]员工报账!AB47</f>
        <v>1</v>
      </c>
      <c r="BQ47" s="48" t="b">
        <f>AC47=[1]员工报账!AC47</f>
        <v>1</v>
      </c>
      <c r="BR47" s="48" t="b">
        <f>AD47=[1]员工报账!AD47</f>
        <v>1</v>
      </c>
      <c r="BS47" s="48" t="b">
        <f>AE47=[1]员工报账!AE47</f>
        <v>1</v>
      </c>
      <c r="BT47" s="48" t="b">
        <f>AF47=[1]员工报账!AF47</f>
        <v>1</v>
      </c>
      <c r="BU47" s="48" t="b">
        <f>AG47=[1]员工报账!AG47</f>
        <v>1</v>
      </c>
      <c r="BV47" s="48" t="b">
        <f>AH47=[1]员工报账!AH47</f>
        <v>1</v>
      </c>
      <c r="BW47" s="48" t="b">
        <f>AI47=[1]员工报账!AI47</f>
        <v>1</v>
      </c>
      <c r="BX47" s="48" t="b">
        <f>AJ47=[1]员工报账!AJ47</f>
        <v>1</v>
      </c>
    </row>
    <row r="48" s="48" customFormat="1" ht="132" spans="1:76">
      <c r="A48" s="67"/>
      <c r="B48" s="67"/>
      <c r="C48" s="38"/>
      <c r="D48" s="38"/>
      <c r="E48" s="66"/>
      <c r="F48" s="70"/>
      <c r="G48" s="38"/>
      <c r="H48" s="66"/>
      <c r="I48" s="35" t="s">
        <v>700</v>
      </c>
      <c r="J48" s="42" t="s">
        <v>701</v>
      </c>
      <c r="K48" s="35"/>
      <c r="L48" s="35"/>
      <c r="M48" s="35"/>
      <c r="N48" s="35" t="s">
        <v>36</v>
      </c>
      <c r="O48" s="35" t="s">
        <v>36</v>
      </c>
      <c r="P48" s="35"/>
      <c r="Q48" s="35"/>
      <c r="R48" s="35"/>
      <c r="S48" s="35"/>
      <c r="T48" s="35" t="s">
        <v>497</v>
      </c>
      <c r="U48" s="35" t="s">
        <v>635</v>
      </c>
      <c r="V48" s="42" t="s">
        <v>694</v>
      </c>
      <c r="W48" s="42" t="s">
        <v>695</v>
      </c>
      <c r="X48" s="35" t="s">
        <v>628</v>
      </c>
      <c r="Y48" s="35" t="s">
        <v>470</v>
      </c>
      <c r="Z48" s="35"/>
      <c r="AA48" s="35" t="s">
        <v>469</v>
      </c>
      <c r="AB48" s="35" t="s">
        <v>470</v>
      </c>
      <c r="AC48" s="35"/>
      <c r="AD48" s="42" t="s">
        <v>696</v>
      </c>
      <c r="AE48" s="35" t="s">
        <v>469</v>
      </c>
      <c r="AF48" s="35" t="s">
        <v>470</v>
      </c>
      <c r="AG48" s="35"/>
      <c r="AH48" s="35" t="s">
        <v>473</v>
      </c>
      <c r="AI48" s="35" t="s">
        <v>473</v>
      </c>
      <c r="AJ48" s="42" t="s">
        <v>697</v>
      </c>
      <c r="AK48" s="35" t="s">
        <v>698</v>
      </c>
      <c r="AL48" s="42" t="s">
        <v>699</v>
      </c>
      <c r="AM48" s="61"/>
      <c r="AN48" s="97"/>
      <c r="AO48" s="48" t="b">
        <f>A48=[1]员工报账!A48</f>
        <v>1</v>
      </c>
      <c r="AP48" s="48" t="b">
        <f>B48=[1]员工报账!B48</f>
        <v>1</v>
      </c>
      <c r="AQ48" s="48" t="b">
        <f>C48=[1]员工报账!C48</f>
        <v>1</v>
      </c>
      <c r="AR48" s="48" t="b">
        <f>D48=[1]员工报账!D48</f>
        <v>1</v>
      </c>
      <c r="AS48" s="48" t="b">
        <f>E48=[1]员工报账!E48</f>
        <v>1</v>
      </c>
      <c r="AT48" s="48" t="b">
        <f>F48=[1]员工报账!F48</f>
        <v>1</v>
      </c>
      <c r="AU48" s="48" t="b">
        <f>G48=[1]员工报账!G48</f>
        <v>1</v>
      </c>
      <c r="AV48" s="48" t="b">
        <f>H48=[1]员工报账!H48</f>
        <v>1</v>
      </c>
      <c r="AW48" s="48" t="b">
        <f>I48=[1]员工报账!I48</f>
        <v>1</v>
      </c>
      <c r="AX48" s="48" t="b">
        <f>J48=[1]员工报账!J48</f>
        <v>1</v>
      </c>
      <c r="AY48" s="48" t="b">
        <f>K48=[1]员工报账!K48</f>
        <v>1</v>
      </c>
      <c r="AZ48" s="48" t="b">
        <f>L48=[1]员工报账!L48</f>
        <v>1</v>
      </c>
      <c r="BA48" s="48" t="b">
        <f>M48=[1]员工报账!M48</f>
        <v>1</v>
      </c>
      <c r="BB48" s="48" t="b">
        <f>N48=[1]员工报账!N48</f>
        <v>1</v>
      </c>
      <c r="BC48" s="48" t="b">
        <f>O48=[1]员工报账!O48</f>
        <v>1</v>
      </c>
      <c r="BD48" s="48" t="b">
        <f>P48=[1]员工报账!P48</f>
        <v>1</v>
      </c>
      <c r="BE48" s="48" t="b">
        <f>Q48=[1]员工报账!Q48</f>
        <v>1</v>
      </c>
      <c r="BF48" s="48" t="b">
        <f>R48=[1]员工报账!R48</f>
        <v>1</v>
      </c>
      <c r="BG48" s="48" t="b">
        <f>S48=[1]员工报账!S48</f>
        <v>1</v>
      </c>
      <c r="BH48" s="48" t="b">
        <f>T48=[1]员工报账!T48</f>
        <v>1</v>
      </c>
      <c r="BI48" s="48" t="b">
        <f>U48=[1]员工报账!U48</f>
        <v>1</v>
      </c>
      <c r="BJ48" s="48" t="b">
        <f>V48=[1]员工报账!V48</f>
        <v>1</v>
      </c>
      <c r="BK48" s="48" t="b">
        <f>W48=[1]员工报账!W48</f>
        <v>1</v>
      </c>
      <c r="BL48" s="48" t="b">
        <f>X48=[1]员工报账!X48</f>
        <v>1</v>
      </c>
      <c r="BM48" s="48" t="b">
        <f>Y48=[1]员工报账!Y48</f>
        <v>1</v>
      </c>
      <c r="BN48" s="48" t="b">
        <f>Z48=[1]员工报账!Z48</f>
        <v>1</v>
      </c>
      <c r="BO48" s="48" t="b">
        <f>AA48=[1]员工报账!AA48</f>
        <v>1</v>
      </c>
      <c r="BP48" s="48" t="b">
        <f>AB48=[1]员工报账!AB48</f>
        <v>1</v>
      </c>
      <c r="BQ48" s="48" t="b">
        <f>AC48=[1]员工报账!AC48</f>
        <v>1</v>
      </c>
      <c r="BR48" s="48" t="b">
        <f>AD48=[1]员工报账!AD48</f>
        <v>1</v>
      </c>
      <c r="BS48" s="48" t="b">
        <f>AE48=[1]员工报账!AE48</f>
        <v>1</v>
      </c>
      <c r="BT48" s="48" t="b">
        <f>AF48=[1]员工报账!AF48</f>
        <v>1</v>
      </c>
      <c r="BU48" s="48" t="b">
        <f>AG48=[1]员工报账!AG48</f>
        <v>1</v>
      </c>
      <c r="BV48" s="48" t="b">
        <f>AH48=[1]员工报账!AH48</f>
        <v>1</v>
      </c>
      <c r="BW48" s="48" t="b">
        <f>AI48=[1]员工报账!AI48</f>
        <v>1</v>
      </c>
      <c r="BX48" s="48" t="b">
        <f>AJ48=[1]员工报账!AJ48</f>
        <v>1</v>
      </c>
    </row>
    <row r="49" s="48" customFormat="1" ht="409.5" spans="1:76">
      <c r="A49" s="56" t="s">
        <v>453</v>
      </c>
      <c r="B49" s="56" t="s">
        <v>644</v>
      </c>
      <c r="C49" s="35" t="s">
        <v>455</v>
      </c>
      <c r="D49" s="35" t="s">
        <v>686</v>
      </c>
      <c r="E49" s="42" t="s">
        <v>687</v>
      </c>
      <c r="F49" s="73" t="s">
        <v>688</v>
      </c>
      <c r="G49" s="35"/>
      <c r="H49" s="42"/>
      <c r="I49" s="35" t="s">
        <v>702</v>
      </c>
      <c r="J49" s="66" t="s">
        <v>703</v>
      </c>
      <c r="K49" s="35"/>
      <c r="L49" s="35"/>
      <c r="M49" s="35" t="s">
        <v>36</v>
      </c>
      <c r="N49" s="35"/>
      <c r="O49" s="35"/>
      <c r="P49" s="35"/>
      <c r="Q49" s="35"/>
      <c r="R49" s="35" t="s">
        <v>36</v>
      </c>
      <c r="S49" s="35"/>
      <c r="T49" s="35" t="s">
        <v>516</v>
      </c>
      <c r="U49" s="42"/>
      <c r="V49" s="42" t="s">
        <v>694</v>
      </c>
      <c r="W49" s="42" t="s">
        <v>704</v>
      </c>
      <c r="X49" s="35" t="s">
        <v>628</v>
      </c>
      <c r="Y49" s="35" t="s">
        <v>470</v>
      </c>
      <c r="Z49" s="35"/>
      <c r="AA49" s="35" t="s">
        <v>469</v>
      </c>
      <c r="AB49" s="35" t="s">
        <v>470</v>
      </c>
      <c r="AC49" s="35"/>
      <c r="AD49" s="42" t="s">
        <v>696</v>
      </c>
      <c r="AE49" s="35" t="s">
        <v>469</v>
      </c>
      <c r="AF49" s="35" t="s">
        <v>470</v>
      </c>
      <c r="AG49" s="35"/>
      <c r="AH49" s="35" t="s">
        <v>473</v>
      </c>
      <c r="AI49" s="35" t="s">
        <v>473</v>
      </c>
      <c r="AJ49" s="42" t="s">
        <v>697</v>
      </c>
      <c r="AK49" s="35" t="s">
        <v>698</v>
      </c>
      <c r="AL49" s="42" t="s">
        <v>699</v>
      </c>
      <c r="AM49" s="61"/>
      <c r="AN49" s="97"/>
      <c r="AO49" s="48" t="b">
        <f>A49=[1]员工报账!A49</f>
        <v>1</v>
      </c>
      <c r="AP49" s="48" t="b">
        <f>B49=[1]员工报账!B49</f>
        <v>1</v>
      </c>
      <c r="AQ49" s="48" t="b">
        <f>C49=[1]员工报账!C49</f>
        <v>1</v>
      </c>
      <c r="AR49" s="48" t="b">
        <f>D49=[1]员工报账!D49</f>
        <v>1</v>
      </c>
      <c r="AS49" s="48" t="b">
        <f>E49=[1]员工报账!E49</f>
        <v>1</v>
      </c>
      <c r="AT49" s="48" t="b">
        <f>F49=[1]员工报账!F49</f>
        <v>1</v>
      </c>
      <c r="AU49" s="48" t="b">
        <f>G49=[1]员工报账!G49</f>
        <v>1</v>
      </c>
      <c r="AV49" s="48" t="b">
        <f>H49=[1]员工报账!H49</f>
        <v>1</v>
      </c>
      <c r="AW49" s="48" t="b">
        <f>I49=[1]员工报账!I49</f>
        <v>1</v>
      </c>
      <c r="AX49" s="48" t="b">
        <f>J49=[1]员工报账!J49</f>
        <v>1</v>
      </c>
      <c r="AY49" s="48" t="b">
        <f>K49=[1]员工报账!K49</f>
        <v>1</v>
      </c>
      <c r="AZ49" s="48" t="b">
        <f>L49=[1]员工报账!L49</f>
        <v>1</v>
      </c>
      <c r="BA49" s="48" t="b">
        <f>M49=[1]员工报账!M49</f>
        <v>1</v>
      </c>
      <c r="BB49" s="48" t="b">
        <f>N49=[1]员工报账!N49</f>
        <v>1</v>
      </c>
      <c r="BC49" s="48" t="b">
        <f>O49=[1]员工报账!O49</f>
        <v>1</v>
      </c>
      <c r="BD49" s="48" t="b">
        <f>P49=[1]员工报账!P49</f>
        <v>1</v>
      </c>
      <c r="BE49" s="48" t="b">
        <f>Q49=[1]员工报账!Q49</f>
        <v>1</v>
      </c>
      <c r="BF49" s="48" t="b">
        <f>R49=[1]员工报账!R49</f>
        <v>1</v>
      </c>
      <c r="BG49" s="48" t="b">
        <f>S49=[1]员工报账!S49</f>
        <v>1</v>
      </c>
      <c r="BH49" s="48" t="b">
        <f>T49=[1]员工报账!T49</f>
        <v>1</v>
      </c>
      <c r="BI49" s="48" t="b">
        <f>U49=[1]员工报账!U49</f>
        <v>1</v>
      </c>
      <c r="BJ49" s="48" t="b">
        <f>V49=[1]员工报账!V49</f>
        <v>1</v>
      </c>
      <c r="BK49" s="48" t="b">
        <f>W49=[1]员工报账!W49</f>
        <v>1</v>
      </c>
      <c r="BL49" s="48" t="b">
        <f>X49=[1]员工报账!X49</f>
        <v>1</v>
      </c>
      <c r="BM49" s="48" t="b">
        <f>Y49=[1]员工报账!Y49</f>
        <v>1</v>
      </c>
      <c r="BN49" s="48" t="b">
        <f>Z49=[1]员工报账!Z49</f>
        <v>1</v>
      </c>
      <c r="BO49" s="48" t="b">
        <f>AA49=[1]员工报账!AA49</f>
        <v>1</v>
      </c>
      <c r="BP49" s="48" t="b">
        <f>AB49=[1]员工报账!AB49</f>
        <v>1</v>
      </c>
      <c r="BQ49" s="48" t="b">
        <f>AC49=[1]员工报账!AC49</f>
        <v>1</v>
      </c>
      <c r="BR49" s="48" t="b">
        <f>AD49=[1]员工报账!AD49</f>
        <v>1</v>
      </c>
      <c r="BS49" s="48" t="b">
        <f>AE49=[1]员工报账!AE49</f>
        <v>1</v>
      </c>
      <c r="BT49" s="48" t="b">
        <f>AF49=[1]员工报账!AF49</f>
        <v>1</v>
      </c>
      <c r="BU49" s="48" t="b">
        <f>AG49=[1]员工报账!AG49</f>
        <v>1</v>
      </c>
      <c r="BV49" s="48" t="b">
        <f>AH49=[1]员工报账!AH49</f>
        <v>1</v>
      </c>
      <c r="BW49" s="48" t="b">
        <f>AI49=[1]员工报账!AI49</f>
        <v>1</v>
      </c>
      <c r="BX49" s="48" t="b">
        <f>AJ49=[1]员工报账!AJ49</f>
        <v>1</v>
      </c>
    </row>
    <row r="50" s="48" customFormat="1" ht="158.4" spans="1:76">
      <c r="A50" s="62"/>
      <c r="B50" s="62"/>
      <c r="C50" s="57" t="s">
        <v>498</v>
      </c>
      <c r="D50" s="57" t="s">
        <v>705</v>
      </c>
      <c r="E50" s="58" t="s">
        <v>706</v>
      </c>
      <c r="F50" s="58"/>
      <c r="G50" s="57" t="s">
        <v>707</v>
      </c>
      <c r="H50" s="58" t="s">
        <v>708</v>
      </c>
      <c r="I50" s="35" t="s">
        <v>709</v>
      </c>
      <c r="J50" s="42" t="s">
        <v>710</v>
      </c>
      <c r="K50" s="35"/>
      <c r="L50" s="35"/>
      <c r="M50" s="35"/>
      <c r="N50" s="35" t="s">
        <v>36</v>
      </c>
      <c r="O50" s="35"/>
      <c r="P50" s="35"/>
      <c r="Q50" s="35"/>
      <c r="R50" s="35" t="s">
        <v>36</v>
      </c>
      <c r="S50" s="35"/>
      <c r="T50" s="35" t="s">
        <v>516</v>
      </c>
      <c r="U50" s="42"/>
      <c r="V50" s="42" t="s">
        <v>711</v>
      </c>
      <c r="W50" s="42" t="s">
        <v>712</v>
      </c>
      <c r="X50" s="35" t="s">
        <v>628</v>
      </c>
      <c r="Y50" s="35" t="s">
        <v>470</v>
      </c>
      <c r="Z50" s="35"/>
      <c r="AA50" s="35" t="s">
        <v>469</v>
      </c>
      <c r="AB50" s="35" t="s">
        <v>470</v>
      </c>
      <c r="AC50" s="35"/>
      <c r="AD50" s="42" t="s">
        <v>713</v>
      </c>
      <c r="AE50" s="35" t="s">
        <v>469</v>
      </c>
      <c r="AF50" s="35" t="s">
        <v>470</v>
      </c>
      <c r="AG50" s="35"/>
      <c r="AH50" s="35" t="s">
        <v>473</v>
      </c>
      <c r="AI50" s="35" t="s">
        <v>473</v>
      </c>
      <c r="AJ50" s="42" t="s">
        <v>714</v>
      </c>
      <c r="AK50" s="35" t="s">
        <v>715</v>
      </c>
      <c r="AL50" s="42"/>
      <c r="AM50" s="61"/>
      <c r="AN50" s="97"/>
      <c r="AO50" s="48" t="b">
        <f>A50=[1]员工报账!A50</f>
        <v>1</v>
      </c>
      <c r="AP50" s="48" t="b">
        <f>B50=[1]员工报账!B50</f>
        <v>1</v>
      </c>
      <c r="AQ50" s="48" t="b">
        <f>C50=[1]员工报账!C50</f>
        <v>1</v>
      </c>
      <c r="AR50" s="48" t="b">
        <f>D50=[1]员工报账!D50</f>
        <v>1</v>
      </c>
      <c r="AS50" s="48" t="b">
        <f>E50=[1]员工报账!E50</f>
        <v>1</v>
      </c>
      <c r="AT50" s="48" t="b">
        <f>F50=[1]员工报账!F50</f>
        <v>1</v>
      </c>
      <c r="AU50" s="48" t="b">
        <f>G50=[1]员工报账!G50</f>
        <v>1</v>
      </c>
      <c r="AV50" s="48" t="b">
        <f>H50=[1]员工报账!H50</f>
        <v>1</v>
      </c>
      <c r="AW50" s="48" t="b">
        <f>I50=[1]员工报账!I50</f>
        <v>1</v>
      </c>
      <c r="AX50" s="48" t="b">
        <f>J50=[1]员工报账!J50</f>
        <v>1</v>
      </c>
      <c r="AY50" s="48" t="b">
        <f>K50=[1]员工报账!K50</f>
        <v>1</v>
      </c>
      <c r="AZ50" s="48" t="b">
        <f>L50=[1]员工报账!L50</f>
        <v>1</v>
      </c>
      <c r="BA50" s="48" t="b">
        <f>M50=[1]员工报账!M50</f>
        <v>1</v>
      </c>
      <c r="BB50" s="48" t="b">
        <f>N50=[1]员工报账!N50</f>
        <v>1</v>
      </c>
      <c r="BC50" s="48" t="b">
        <f>O50=[1]员工报账!O50</f>
        <v>1</v>
      </c>
      <c r="BD50" s="48" t="b">
        <f>P50=[1]员工报账!P50</f>
        <v>1</v>
      </c>
      <c r="BE50" s="48" t="b">
        <f>Q50=[1]员工报账!Q50</f>
        <v>1</v>
      </c>
      <c r="BF50" s="48" t="b">
        <f>R50=[1]员工报账!R50</f>
        <v>1</v>
      </c>
      <c r="BG50" s="48" t="b">
        <f>S50=[1]员工报账!S50</f>
        <v>1</v>
      </c>
      <c r="BH50" s="48" t="b">
        <f>T50=[1]员工报账!T50</f>
        <v>1</v>
      </c>
      <c r="BI50" s="48" t="b">
        <f>U50=[1]员工报账!U50</f>
        <v>1</v>
      </c>
      <c r="BJ50" s="48" t="b">
        <f>V50=[1]员工报账!V50</f>
        <v>1</v>
      </c>
      <c r="BK50" s="48" t="b">
        <f>W50=[1]员工报账!W50</f>
        <v>1</v>
      </c>
      <c r="BL50" s="48" t="b">
        <f>X50=[1]员工报账!X50</f>
        <v>1</v>
      </c>
      <c r="BM50" s="48" t="b">
        <f>Y50=[1]员工报账!Y50</f>
        <v>1</v>
      </c>
      <c r="BN50" s="48" t="b">
        <f>Z50=[1]员工报账!Z50</f>
        <v>1</v>
      </c>
      <c r="BO50" s="48" t="b">
        <f>AA50=[1]员工报账!AA50</f>
        <v>1</v>
      </c>
      <c r="BP50" s="48" t="b">
        <f>AB50=[1]员工报账!AB50</f>
        <v>1</v>
      </c>
      <c r="BQ50" s="48" t="b">
        <f>AC50=[1]员工报账!AC50</f>
        <v>1</v>
      </c>
      <c r="BR50" s="48" t="b">
        <f>AD50=[1]员工报账!AD50</f>
        <v>1</v>
      </c>
      <c r="BS50" s="48" t="b">
        <f>AE50=[1]员工报账!AE50</f>
        <v>1</v>
      </c>
      <c r="BT50" s="48" t="b">
        <f>AF50=[1]员工报账!AF50</f>
        <v>1</v>
      </c>
      <c r="BU50" s="48" t="b">
        <f>AG50=[1]员工报账!AG50</f>
        <v>1</v>
      </c>
      <c r="BV50" s="48" t="b">
        <f>AH50=[1]员工报账!AH50</f>
        <v>1</v>
      </c>
      <c r="BW50" s="48" t="b">
        <f>AI50=[1]员工报账!AI50</f>
        <v>1</v>
      </c>
      <c r="BX50" s="48" t="b">
        <f>AJ50=[1]员工报账!AJ50</f>
        <v>1</v>
      </c>
    </row>
    <row r="51" s="48" customFormat="1" ht="158.4" spans="1:76">
      <c r="A51" s="62"/>
      <c r="B51" s="62"/>
      <c r="C51" s="63"/>
      <c r="D51" s="63"/>
      <c r="E51" s="64"/>
      <c r="F51" s="64"/>
      <c r="G51" s="63"/>
      <c r="H51" s="64"/>
      <c r="I51" s="35" t="s">
        <v>716</v>
      </c>
      <c r="J51" s="42" t="s">
        <v>717</v>
      </c>
      <c r="K51" s="35"/>
      <c r="L51" s="35" t="s">
        <v>36</v>
      </c>
      <c r="M51" s="35" t="s">
        <v>36</v>
      </c>
      <c r="N51" s="35"/>
      <c r="O51" s="35" t="s">
        <v>36</v>
      </c>
      <c r="P51" s="35"/>
      <c r="Q51" s="35"/>
      <c r="R51" s="35"/>
      <c r="S51" s="35"/>
      <c r="T51" s="35" t="s">
        <v>516</v>
      </c>
      <c r="U51" s="42"/>
      <c r="V51" s="42" t="s">
        <v>711</v>
      </c>
      <c r="W51" s="42" t="s">
        <v>718</v>
      </c>
      <c r="X51" s="35" t="s">
        <v>628</v>
      </c>
      <c r="Y51" s="35" t="s">
        <v>470</v>
      </c>
      <c r="Z51" s="35"/>
      <c r="AA51" s="35" t="s">
        <v>469</v>
      </c>
      <c r="AB51" s="35" t="s">
        <v>470</v>
      </c>
      <c r="AC51" s="35"/>
      <c r="AD51" s="42" t="s">
        <v>713</v>
      </c>
      <c r="AE51" s="35" t="s">
        <v>469</v>
      </c>
      <c r="AF51" s="35" t="s">
        <v>470</v>
      </c>
      <c r="AG51" s="35"/>
      <c r="AH51" s="35" t="s">
        <v>473</v>
      </c>
      <c r="AI51" s="35" t="s">
        <v>473</v>
      </c>
      <c r="AJ51" s="42" t="s">
        <v>714</v>
      </c>
      <c r="AK51" s="35" t="s">
        <v>715</v>
      </c>
      <c r="AL51" s="42"/>
      <c r="AM51" s="61"/>
      <c r="AN51" s="97"/>
      <c r="AO51" s="48" t="b">
        <f>A51=[1]员工报账!A51</f>
        <v>1</v>
      </c>
      <c r="AP51" s="48" t="b">
        <f>B51=[1]员工报账!B51</f>
        <v>1</v>
      </c>
      <c r="AQ51" s="48" t="b">
        <f>C51=[1]员工报账!C51</f>
        <v>1</v>
      </c>
      <c r="AR51" s="48" t="b">
        <f>D51=[1]员工报账!D51</f>
        <v>1</v>
      </c>
      <c r="AS51" s="48" t="b">
        <f>E51=[1]员工报账!E51</f>
        <v>1</v>
      </c>
      <c r="AT51" s="48" t="b">
        <f>F51=[1]员工报账!F51</f>
        <v>1</v>
      </c>
      <c r="AU51" s="48" t="b">
        <f>G51=[1]员工报账!G51</f>
        <v>1</v>
      </c>
      <c r="AV51" s="48" t="b">
        <f>H51=[1]员工报账!H51</f>
        <v>1</v>
      </c>
      <c r="AW51" s="48" t="b">
        <f>I51=[1]员工报账!I51</f>
        <v>1</v>
      </c>
      <c r="AX51" s="48" t="b">
        <f>J51=[1]员工报账!J51</f>
        <v>1</v>
      </c>
      <c r="AY51" s="48" t="b">
        <f>K51=[1]员工报账!K51</f>
        <v>1</v>
      </c>
      <c r="AZ51" s="48" t="b">
        <f>L51=[1]员工报账!L51</f>
        <v>1</v>
      </c>
      <c r="BA51" s="48" t="b">
        <f>M51=[1]员工报账!M51</f>
        <v>1</v>
      </c>
      <c r="BB51" s="48" t="b">
        <f>N51=[1]员工报账!N51</f>
        <v>1</v>
      </c>
      <c r="BC51" s="48" t="b">
        <f>O51=[1]员工报账!O51</f>
        <v>1</v>
      </c>
      <c r="BD51" s="48" t="b">
        <f>P51=[1]员工报账!P51</f>
        <v>1</v>
      </c>
      <c r="BE51" s="48" t="b">
        <f>Q51=[1]员工报账!Q51</f>
        <v>1</v>
      </c>
      <c r="BF51" s="48" t="b">
        <f>R51=[1]员工报账!R51</f>
        <v>1</v>
      </c>
      <c r="BG51" s="48" t="b">
        <f>S51=[1]员工报账!S51</f>
        <v>1</v>
      </c>
      <c r="BH51" s="48" t="b">
        <f>T51=[1]员工报账!T51</f>
        <v>1</v>
      </c>
      <c r="BI51" s="48" t="b">
        <f>U51=[1]员工报账!U51</f>
        <v>1</v>
      </c>
      <c r="BJ51" s="48" t="b">
        <f>V51=[1]员工报账!V51</f>
        <v>1</v>
      </c>
      <c r="BK51" s="48" t="b">
        <f>W51=[1]员工报账!W51</f>
        <v>1</v>
      </c>
      <c r="BL51" s="48" t="b">
        <f>X51=[1]员工报账!X51</f>
        <v>1</v>
      </c>
      <c r="BM51" s="48" t="b">
        <f>Y51=[1]员工报账!Y51</f>
        <v>1</v>
      </c>
      <c r="BN51" s="48" t="b">
        <f>Z51=[1]员工报账!Z51</f>
        <v>1</v>
      </c>
      <c r="BO51" s="48" t="b">
        <f>AA51=[1]员工报账!AA51</f>
        <v>1</v>
      </c>
      <c r="BP51" s="48" t="b">
        <f>AB51=[1]员工报账!AB51</f>
        <v>1</v>
      </c>
      <c r="BQ51" s="48" t="b">
        <f>AC51=[1]员工报账!AC51</f>
        <v>1</v>
      </c>
      <c r="BR51" s="48" t="b">
        <f>AD51=[1]员工报账!AD51</f>
        <v>1</v>
      </c>
      <c r="BS51" s="48" t="b">
        <f>AE51=[1]员工报账!AE51</f>
        <v>1</v>
      </c>
      <c r="BT51" s="48" t="b">
        <f>AF51=[1]员工报账!AF51</f>
        <v>1</v>
      </c>
      <c r="BU51" s="48" t="b">
        <f>AG51=[1]员工报账!AG51</f>
        <v>1</v>
      </c>
      <c r="BV51" s="48" t="b">
        <f>AH51=[1]员工报账!AH51</f>
        <v>1</v>
      </c>
      <c r="BW51" s="48" t="b">
        <f>AI51=[1]员工报账!AI51</f>
        <v>1</v>
      </c>
      <c r="BX51" s="48" t="b">
        <f>AJ51=[1]员工报账!AJ51</f>
        <v>1</v>
      </c>
    </row>
    <row r="52" s="48" customFormat="1" ht="158.4" spans="1:76">
      <c r="A52" s="67"/>
      <c r="B52" s="67"/>
      <c r="C52" s="38"/>
      <c r="D52" s="38"/>
      <c r="E52" s="66"/>
      <c r="F52" s="66"/>
      <c r="G52" s="38"/>
      <c r="H52" s="66"/>
      <c r="I52" s="35" t="s">
        <v>719</v>
      </c>
      <c r="J52" s="42" t="s">
        <v>720</v>
      </c>
      <c r="K52" s="35"/>
      <c r="L52" s="35"/>
      <c r="M52" s="35"/>
      <c r="N52" s="35"/>
      <c r="O52" s="35"/>
      <c r="P52" s="35"/>
      <c r="Q52" s="35" t="s">
        <v>36</v>
      </c>
      <c r="R52" s="35" t="s">
        <v>36</v>
      </c>
      <c r="S52" s="35"/>
      <c r="T52" s="35" t="s">
        <v>516</v>
      </c>
      <c r="U52" s="42"/>
      <c r="V52" s="42" t="s">
        <v>711</v>
      </c>
      <c r="W52" s="42" t="s">
        <v>712</v>
      </c>
      <c r="X52" s="35" t="s">
        <v>628</v>
      </c>
      <c r="Y52" s="35" t="s">
        <v>470</v>
      </c>
      <c r="Z52" s="35"/>
      <c r="AA52" s="35" t="s">
        <v>469</v>
      </c>
      <c r="AB52" s="35" t="s">
        <v>470</v>
      </c>
      <c r="AC52" s="35"/>
      <c r="AD52" s="42" t="s">
        <v>713</v>
      </c>
      <c r="AE52" s="35" t="s">
        <v>469</v>
      </c>
      <c r="AF52" s="35" t="s">
        <v>470</v>
      </c>
      <c r="AG52" s="35"/>
      <c r="AH52" s="35" t="s">
        <v>473</v>
      </c>
      <c r="AI52" s="35" t="s">
        <v>473</v>
      </c>
      <c r="AJ52" s="42" t="s">
        <v>714</v>
      </c>
      <c r="AK52" s="35" t="s">
        <v>715</v>
      </c>
      <c r="AL52" s="42"/>
      <c r="AM52" s="61"/>
      <c r="AN52" s="97"/>
      <c r="AO52" s="48" t="b">
        <f>A52=[1]员工报账!A52</f>
        <v>1</v>
      </c>
      <c r="AP52" s="48" t="b">
        <f>B52=[1]员工报账!B52</f>
        <v>1</v>
      </c>
      <c r="AQ52" s="48" t="b">
        <f>C52=[1]员工报账!C52</f>
        <v>1</v>
      </c>
      <c r="AR52" s="48" t="b">
        <f>D52=[1]员工报账!D52</f>
        <v>1</v>
      </c>
      <c r="AS52" s="48" t="b">
        <f>E52=[1]员工报账!E52</f>
        <v>1</v>
      </c>
      <c r="AT52" s="48" t="b">
        <f>F52=[1]员工报账!F52</f>
        <v>1</v>
      </c>
      <c r="AU52" s="48" t="b">
        <f>G52=[1]员工报账!G52</f>
        <v>1</v>
      </c>
      <c r="AV52" s="48" t="b">
        <f>H52=[1]员工报账!H52</f>
        <v>1</v>
      </c>
      <c r="AW52" s="48" t="b">
        <f>I52=[1]员工报账!I52</f>
        <v>1</v>
      </c>
      <c r="AX52" s="48" t="b">
        <f>J52=[1]员工报账!J52</f>
        <v>1</v>
      </c>
      <c r="AY52" s="48" t="b">
        <f>K52=[1]员工报账!K52</f>
        <v>1</v>
      </c>
      <c r="AZ52" s="48" t="b">
        <f>L52=[1]员工报账!L52</f>
        <v>1</v>
      </c>
      <c r="BA52" s="48" t="b">
        <f>M52=[1]员工报账!M52</f>
        <v>1</v>
      </c>
      <c r="BB52" s="48" t="b">
        <f>N52=[1]员工报账!N52</f>
        <v>1</v>
      </c>
      <c r="BC52" s="48" t="b">
        <f>O52=[1]员工报账!O52</f>
        <v>1</v>
      </c>
      <c r="BD52" s="48" t="b">
        <f>P52=[1]员工报账!P52</f>
        <v>1</v>
      </c>
      <c r="BE52" s="48" t="b">
        <f>Q52=[1]员工报账!Q52</f>
        <v>1</v>
      </c>
      <c r="BF52" s="48" t="b">
        <f>R52=[1]员工报账!R52</f>
        <v>1</v>
      </c>
      <c r="BG52" s="48" t="b">
        <f>S52=[1]员工报账!S52</f>
        <v>1</v>
      </c>
      <c r="BH52" s="48" t="b">
        <f>T52=[1]员工报账!T52</f>
        <v>1</v>
      </c>
      <c r="BI52" s="48" t="b">
        <f>U52=[1]员工报账!U52</f>
        <v>1</v>
      </c>
      <c r="BJ52" s="48" t="b">
        <f>V52=[1]员工报账!V52</f>
        <v>1</v>
      </c>
      <c r="BK52" s="48" t="b">
        <f>W52=[1]员工报账!W52</f>
        <v>1</v>
      </c>
      <c r="BL52" s="48" t="b">
        <f>X52=[1]员工报账!X52</f>
        <v>1</v>
      </c>
      <c r="BM52" s="48" t="b">
        <f>Y52=[1]员工报账!Y52</f>
        <v>1</v>
      </c>
      <c r="BN52" s="48" t="b">
        <f>Z52=[1]员工报账!Z52</f>
        <v>1</v>
      </c>
      <c r="BO52" s="48" t="b">
        <f>AA52=[1]员工报账!AA52</f>
        <v>1</v>
      </c>
      <c r="BP52" s="48" t="b">
        <f>AB52=[1]员工报账!AB52</f>
        <v>1</v>
      </c>
      <c r="BQ52" s="48" t="b">
        <f>AC52=[1]员工报账!AC52</f>
        <v>1</v>
      </c>
      <c r="BR52" s="48" t="b">
        <f>AD52=[1]员工报账!AD52</f>
        <v>1</v>
      </c>
      <c r="BS52" s="48" t="b">
        <f>AE52=[1]员工报账!AE52</f>
        <v>1</v>
      </c>
      <c r="BT52" s="48" t="b">
        <f>AF52=[1]员工报账!AF52</f>
        <v>1</v>
      </c>
      <c r="BU52" s="48" t="b">
        <f>AG52=[1]员工报账!AG52</f>
        <v>1</v>
      </c>
      <c r="BV52" s="48" t="b">
        <f>AH52=[1]员工报账!AH52</f>
        <v>1</v>
      </c>
      <c r="BW52" s="48" t="b">
        <f>AI52=[1]员工报账!AI52</f>
        <v>1</v>
      </c>
      <c r="BX52" s="48" t="b">
        <f>AJ52=[1]员工报账!AJ52</f>
        <v>1</v>
      </c>
    </row>
    <row r="53" s="48" customFormat="1" ht="264" spans="1:76">
      <c r="A53" s="56" t="s">
        <v>453</v>
      </c>
      <c r="B53" s="56" t="s">
        <v>644</v>
      </c>
      <c r="C53" s="57" t="s">
        <v>455</v>
      </c>
      <c r="D53" s="57" t="s">
        <v>721</v>
      </c>
      <c r="E53" s="58" t="s">
        <v>722</v>
      </c>
      <c r="F53" s="58"/>
      <c r="G53" s="57" t="s">
        <v>723</v>
      </c>
      <c r="H53" s="58" t="s">
        <v>724</v>
      </c>
      <c r="I53" s="35" t="s">
        <v>725</v>
      </c>
      <c r="J53" s="42" t="s">
        <v>726</v>
      </c>
      <c r="K53" s="35"/>
      <c r="L53" s="35" t="s">
        <v>36</v>
      </c>
      <c r="M53" s="35" t="s">
        <v>36</v>
      </c>
      <c r="N53" s="35"/>
      <c r="O53" s="35"/>
      <c r="P53" s="35"/>
      <c r="Q53" s="35"/>
      <c r="R53" s="35"/>
      <c r="S53" s="35"/>
      <c r="T53" s="35" t="s">
        <v>516</v>
      </c>
      <c r="U53" s="42"/>
      <c r="V53" s="42" t="s">
        <v>727</v>
      </c>
      <c r="W53" s="42" t="s">
        <v>728</v>
      </c>
      <c r="X53" s="35" t="s">
        <v>628</v>
      </c>
      <c r="Y53" s="35" t="s">
        <v>470</v>
      </c>
      <c r="Z53" s="35"/>
      <c r="AA53" s="35" t="s">
        <v>469</v>
      </c>
      <c r="AB53" s="35" t="s">
        <v>470</v>
      </c>
      <c r="AC53" s="35"/>
      <c r="AD53" s="42" t="s">
        <v>729</v>
      </c>
      <c r="AE53" s="35" t="s">
        <v>469</v>
      </c>
      <c r="AF53" s="35" t="s">
        <v>470</v>
      </c>
      <c r="AG53" s="35"/>
      <c r="AH53" s="35" t="s">
        <v>473</v>
      </c>
      <c r="AI53" s="35" t="s">
        <v>473</v>
      </c>
      <c r="AJ53" s="42" t="s">
        <v>730</v>
      </c>
      <c r="AK53" s="35" t="s">
        <v>678</v>
      </c>
      <c r="AL53" s="42" t="s">
        <v>679</v>
      </c>
      <c r="AM53" s="61"/>
      <c r="AN53" s="97"/>
      <c r="AO53" s="48" t="b">
        <f>A53=[1]员工报账!A53</f>
        <v>1</v>
      </c>
      <c r="AP53" s="48" t="b">
        <f>B53=[1]员工报账!B53</f>
        <v>1</v>
      </c>
      <c r="AQ53" s="48" t="b">
        <f>C53=[1]员工报账!C53</f>
        <v>1</v>
      </c>
      <c r="AR53" s="48" t="b">
        <f>D53=[1]员工报账!D53</f>
        <v>1</v>
      </c>
      <c r="AS53" s="48" t="b">
        <f>E53=[1]员工报账!E53</f>
        <v>1</v>
      </c>
      <c r="AT53" s="48" t="b">
        <f>F53=[1]员工报账!F53</f>
        <v>1</v>
      </c>
      <c r="AU53" s="48" t="b">
        <f>G53=[1]员工报账!G53</f>
        <v>1</v>
      </c>
      <c r="AV53" s="48" t="b">
        <f>H53=[1]员工报账!H53</f>
        <v>1</v>
      </c>
      <c r="AW53" s="48" t="b">
        <f>I53=[1]员工报账!I53</f>
        <v>1</v>
      </c>
      <c r="AX53" s="48" t="b">
        <f>J53=[1]员工报账!J53</f>
        <v>1</v>
      </c>
      <c r="AY53" s="48" t="b">
        <f>K53=[1]员工报账!K53</f>
        <v>1</v>
      </c>
      <c r="AZ53" s="48" t="b">
        <f>L53=[1]员工报账!L53</f>
        <v>1</v>
      </c>
      <c r="BA53" s="48" t="b">
        <f>M53=[1]员工报账!M53</f>
        <v>1</v>
      </c>
      <c r="BB53" s="48" t="b">
        <f>N53=[1]员工报账!N53</f>
        <v>1</v>
      </c>
      <c r="BC53" s="48" t="b">
        <f>O53=[1]员工报账!O53</f>
        <v>1</v>
      </c>
      <c r="BD53" s="48" t="b">
        <f>P53=[1]员工报账!P53</f>
        <v>1</v>
      </c>
      <c r="BE53" s="48" t="b">
        <f>Q53=[1]员工报账!Q53</f>
        <v>1</v>
      </c>
      <c r="BF53" s="48" t="b">
        <f>R53=[1]员工报账!R53</f>
        <v>1</v>
      </c>
      <c r="BG53" s="48" t="b">
        <f>S53=[1]员工报账!S53</f>
        <v>1</v>
      </c>
      <c r="BH53" s="48" t="b">
        <f>T53=[1]员工报账!T53</f>
        <v>1</v>
      </c>
      <c r="BI53" s="48" t="b">
        <f>U53=[1]员工报账!U53</f>
        <v>1</v>
      </c>
      <c r="BJ53" s="48" t="b">
        <f>V53=[1]员工报账!V53</f>
        <v>1</v>
      </c>
      <c r="BK53" s="48" t="b">
        <f>W53=[1]员工报账!W53</f>
        <v>1</v>
      </c>
      <c r="BL53" s="48" t="b">
        <f>X53=[1]员工报账!X53</f>
        <v>1</v>
      </c>
      <c r="BM53" s="48" t="b">
        <f>Y53=[1]员工报账!Y53</f>
        <v>1</v>
      </c>
      <c r="BN53" s="48" t="b">
        <f>Z53=[1]员工报账!Z53</f>
        <v>1</v>
      </c>
      <c r="BO53" s="48" t="b">
        <f>AA53=[1]员工报账!AA53</f>
        <v>1</v>
      </c>
      <c r="BP53" s="48" t="b">
        <f>AB53=[1]员工报账!AB53</f>
        <v>1</v>
      </c>
      <c r="BQ53" s="48" t="b">
        <f>AC53=[1]员工报账!AC53</f>
        <v>1</v>
      </c>
      <c r="BR53" s="48" t="b">
        <f>AD53=[1]员工报账!AD53</f>
        <v>1</v>
      </c>
      <c r="BS53" s="48" t="b">
        <f>AE53=[1]员工报账!AE53</f>
        <v>1</v>
      </c>
      <c r="BT53" s="48" t="b">
        <f>AF53=[1]员工报账!AF53</f>
        <v>1</v>
      </c>
      <c r="BU53" s="48" t="b">
        <f>AG53=[1]员工报账!AG53</f>
        <v>1</v>
      </c>
      <c r="BV53" s="48" t="b">
        <f>AH53=[1]员工报账!AH53</f>
        <v>1</v>
      </c>
      <c r="BW53" s="48" t="b">
        <f>AI53=[1]员工报账!AI53</f>
        <v>1</v>
      </c>
      <c r="BX53" s="48" t="b">
        <f>AJ53=[1]员工报账!AJ53</f>
        <v>1</v>
      </c>
    </row>
    <row r="54" s="48" customFormat="1" ht="158.4" spans="1:76">
      <c r="A54" s="62"/>
      <c r="B54" s="62"/>
      <c r="C54" s="63"/>
      <c r="D54" s="63"/>
      <c r="E54" s="64"/>
      <c r="F54" s="64"/>
      <c r="G54" s="63"/>
      <c r="H54" s="64"/>
      <c r="I54" s="35" t="s">
        <v>731</v>
      </c>
      <c r="J54" s="42" t="s">
        <v>732</v>
      </c>
      <c r="K54" s="35"/>
      <c r="L54" s="35"/>
      <c r="M54" s="35"/>
      <c r="N54" s="35" t="s">
        <v>36</v>
      </c>
      <c r="O54" s="35" t="s">
        <v>36</v>
      </c>
      <c r="P54" s="35"/>
      <c r="Q54" s="35"/>
      <c r="R54" s="35"/>
      <c r="S54" s="35"/>
      <c r="T54" s="35" t="s">
        <v>516</v>
      </c>
      <c r="U54" s="42"/>
      <c r="V54" s="42" t="s">
        <v>727</v>
      </c>
      <c r="W54" s="42" t="s">
        <v>728</v>
      </c>
      <c r="X54" s="35" t="s">
        <v>628</v>
      </c>
      <c r="Y54" s="35" t="s">
        <v>470</v>
      </c>
      <c r="Z54" s="35"/>
      <c r="AA54" s="35" t="s">
        <v>469</v>
      </c>
      <c r="AB54" s="35" t="s">
        <v>470</v>
      </c>
      <c r="AC54" s="35"/>
      <c r="AD54" s="42" t="s">
        <v>729</v>
      </c>
      <c r="AE54" s="35" t="s">
        <v>469</v>
      </c>
      <c r="AF54" s="35" t="s">
        <v>470</v>
      </c>
      <c r="AG54" s="35"/>
      <c r="AH54" s="35" t="s">
        <v>473</v>
      </c>
      <c r="AI54" s="35" t="s">
        <v>473</v>
      </c>
      <c r="AJ54" s="42" t="s">
        <v>730</v>
      </c>
      <c r="AK54" s="35" t="s">
        <v>678</v>
      </c>
      <c r="AL54" s="42" t="s">
        <v>679</v>
      </c>
      <c r="AM54" s="61"/>
      <c r="AN54" s="97"/>
      <c r="AO54" s="48" t="b">
        <f>A54=[1]员工报账!A54</f>
        <v>1</v>
      </c>
      <c r="AP54" s="48" t="b">
        <f>B54=[1]员工报账!B54</f>
        <v>1</v>
      </c>
      <c r="AQ54" s="48" t="b">
        <f>C54=[1]员工报账!C54</f>
        <v>1</v>
      </c>
      <c r="AR54" s="48" t="b">
        <f>D54=[1]员工报账!D54</f>
        <v>1</v>
      </c>
      <c r="AS54" s="48" t="b">
        <f>E54=[1]员工报账!E54</f>
        <v>1</v>
      </c>
      <c r="AT54" s="48" t="b">
        <f>F54=[1]员工报账!F54</f>
        <v>1</v>
      </c>
      <c r="AU54" s="48" t="b">
        <f>G54=[1]员工报账!G54</f>
        <v>1</v>
      </c>
      <c r="AV54" s="48" t="b">
        <f>H54=[1]员工报账!H54</f>
        <v>1</v>
      </c>
      <c r="AW54" s="48" t="b">
        <f>I54=[1]员工报账!I54</f>
        <v>1</v>
      </c>
      <c r="AX54" s="48" t="b">
        <f>J54=[1]员工报账!J54</f>
        <v>1</v>
      </c>
      <c r="AY54" s="48" t="b">
        <f>K54=[1]员工报账!K54</f>
        <v>1</v>
      </c>
      <c r="AZ54" s="48" t="b">
        <f>L54=[1]员工报账!L54</f>
        <v>1</v>
      </c>
      <c r="BA54" s="48" t="b">
        <f>M54=[1]员工报账!M54</f>
        <v>1</v>
      </c>
      <c r="BB54" s="48" t="b">
        <f>N54=[1]员工报账!N54</f>
        <v>1</v>
      </c>
      <c r="BC54" s="48" t="b">
        <f>O54=[1]员工报账!O54</f>
        <v>1</v>
      </c>
      <c r="BD54" s="48" t="b">
        <f>P54=[1]员工报账!P54</f>
        <v>1</v>
      </c>
      <c r="BE54" s="48" t="b">
        <f>Q54=[1]员工报账!Q54</f>
        <v>1</v>
      </c>
      <c r="BF54" s="48" t="b">
        <f>R54=[1]员工报账!R54</f>
        <v>1</v>
      </c>
      <c r="BG54" s="48" t="b">
        <f>S54=[1]员工报账!S54</f>
        <v>1</v>
      </c>
      <c r="BH54" s="48" t="b">
        <f>T54=[1]员工报账!T54</f>
        <v>1</v>
      </c>
      <c r="BI54" s="48" t="b">
        <f>U54=[1]员工报账!U54</f>
        <v>1</v>
      </c>
      <c r="BJ54" s="48" t="b">
        <f>V54=[1]员工报账!V54</f>
        <v>1</v>
      </c>
      <c r="BK54" s="48" t="b">
        <f>W54=[1]员工报账!W54</f>
        <v>1</v>
      </c>
      <c r="BL54" s="48" t="b">
        <f>X54=[1]员工报账!X54</f>
        <v>1</v>
      </c>
      <c r="BM54" s="48" t="b">
        <f>Y54=[1]员工报账!Y54</f>
        <v>1</v>
      </c>
      <c r="BN54" s="48" t="b">
        <f>Z54=[1]员工报账!Z54</f>
        <v>1</v>
      </c>
      <c r="BO54" s="48" t="b">
        <f>AA54=[1]员工报账!AA54</f>
        <v>1</v>
      </c>
      <c r="BP54" s="48" t="b">
        <f>AB54=[1]员工报账!AB54</f>
        <v>1</v>
      </c>
      <c r="BQ54" s="48" t="b">
        <f>AC54=[1]员工报账!AC54</f>
        <v>1</v>
      </c>
      <c r="BR54" s="48" t="b">
        <f>AD54=[1]员工报账!AD54</f>
        <v>1</v>
      </c>
      <c r="BS54" s="48" t="b">
        <f>AE54=[1]员工报账!AE54</f>
        <v>1</v>
      </c>
      <c r="BT54" s="48" t="b">
        <f>AF54=[1]员工报账!AF54</f>
        <v>1</v>
      </c>
      <c r="BU54" s="48" t="b">
        <f>AG54=[1]员工报账!AG54</f>
        <v>1</v>
      </c>
      <c r="BV54" s="48" t="b">
        <f>AH54=[1]员工报账!AH54</f>
        <v>1</v>
      </c>
      <c r="BW54" s="48" t="b">
        <f>AI54=[1]员工报账!AI54</f>
        <v>1</v>
      </c>
      <c r="BX54" s="48" t="b">
        <f>AJ54=[1]员工报账!AJ54</f>
        <v>1</v>
      </c>
    </row>
    <row r="55" s="48" customFormat="1" ht="184.8" spans="1:76">
      <c r="A55" s="67"/>
      <c r="B55" s="67"/>
      <c r="C55" s="38"/>
      <c r="D55" s="38"/>
      <c r="E55" s="66"/>
      <c r="F55" s="66"/>
      <c r="G55" s="38"/>
      <c r="H55" s="66"/>
      <c r="I55" s="35" t="s">
        <v>733</v>
      </c>
      <c r="J55" s="42" t="s">
        <v>684</v>
      </c>
      <c r="K55" s="35"/>
      <c r="L55" s="35"/>
      <c r="M55" s="35"/>
      <c r="N55" s="35"/>
      <c r="O55" s="35"/>
      <c r="P55" s="35"/>
      <c r="Q55" s="35" t="s">
        <v>36</v>
      </c>
      <c r="R55" s="35" t="s">
        <v>36</v>
      </c>
      <c r="S55" s="35"/>
      <c r="T55" s="35" t="s">
        <v>516</v>
      </c>
      <c r="U55" s="42"/>
      <c r="V55" s="42" t="s">
        <v>727</v>
      </c>
      <c r="W55" s="42" t="s">
        <v>734</v>
      </c>
      <c r="X55" s="35" t="s">
        <v>628</v>
      </c>
      <c r="Y55" s="35" t="s">
        <v>470</v>
      </c>
      <c r="Z55" s="35"/>
      <c r="AA55" s="35" t="s">
        <v>469</v>
      </c>
      <c r="AB55" s="35" t="s">
        <v>470</v>
      </c>
      <c r="AC55" s="35"/>
      <c r="AD55" s="42" t="s">
        <v>729</v>
      </c>
      <c r="AE55" s="35" t="s">
        <v>469</v>
      </c>
      <c r="AF55" s="35" t="s">
        <v>470</v>
      </c>
      <c r="AG55" s="35"/>
      <c r="AH55" s="35" t="s">
        <v>473</v>
      </c>
      <c r="AI55" s="35" t="s">
        <v>473</v>
      </c>
      <c r="AJ55" s="42" t="s">
        <v>730</v>
      </c>
      <c r="AK55" s="35" t="s">
        <v>678</v>
      </c>
      <c r="AL55" s="42" t="s">
        <v>679</v>
      </c>
      <c r="AM55" s="61"/>
      <c r="AN55" s="97"/>
      <c r="AO55" s="48" t="b">
        <f>A55=[1]员工报账!A55</f>
        <v>1</v>
      </c>
      <c r="AP55" s="48" t="b">
        <f>B55=[1]员工报账!B55</f>
        <v>1</v>
      </c>
      <c r="AQ55" s="48" t="b">
        <f>C55=[1]员工报账!C55</f>
        <v>1</v>
      </c>
      <c r="AR55" s="48" t="b">
        <f>D55=[1]员工报账!D55</f>
        <v>1</v>
      </c>
      <c r="AS55" s="48" t="b">
        <f>E55=[1]员工报账!E55</f>
        <v>1</v>
      </c>
      <c r="AT55" s="48" t="b">
        <f>F55=[1]员工报账!F55</f>
        <v>1</v>
      </c>
      <c r="AU55" s="48" t="b">
        <f>G55=[1]员工报账!G55</f>
        <v>1</v>
      </c>
      <c r="AV55" s="48" t="b">
        <f>H55=[1]员工报账!H55</f>
        <v>1</v>
      </c>
      <c r="AW55" s="48" t="b">
        <f>I55=[1]员工报账!I55</f>
        <v>1</v>
      </c>
      <c r="AX55" s="48" t="b">
        <f>J55=[1]员工报账!J55</f>
        <v>1</v>
      </c>
      <c r="AY55" s="48" t="b">
        <f>K55=[1]员工报账!K55</f>
        <v>1</v>
      </c>
      <c r="AZ55" s="48" t="b">
        <f>L55=[1]员工报账!L55</f>
        <v>1</v>
      </c>
      <c r="BA55" s="48" t="b">
        <f>M55=[1]员工报账!M55</f>
        <v>1</v>
      </c>
      <c r="BB55" s="48" t="b">
        <f>N55=[1]员工报账!N55</f>
        <v>1</v>
      </c>
      <c r="BC55" s="48" t="b">
        <f>O55=[1]员工报账!O55</f>
        <v>1</v>
      </c>
      <c r="BD55" s="48" t="b">
        <f>P55=[1]员工报账!P55</f>
        <v>1</v>
      </c>
      <c r="BE55" s="48" t="b">
        <f>Q55=[1]员工报账!Q55</f>
        <v>1</v>
      </c>
      <c r="BF55" s="48" t="b">
        <f>R55=[1]员工报账!R55</f>
        <v>1</v>
      </c>
      <c r="BG55" s="48" t="b">
        <f>S55=[1]员工报账!S55</f>
        <v>1</v>
      </c>
      <c r="BH55" s="48" t="b">
        <f>T55=[1]员工报账!T55</f>
        <v>1</v>
      </c>
      <c r="BI55" s="48" t="b">
        <f>U55=[1]员工报账!U55</f>
        <v>1</v>
      </c>
      <c r="BJ55" s="48" t="b">
        <f>V55=[1]员工报账!V55</f>
        <v>1</v>
      </c>
      <c r="BK55" s="48" t="b">
        <f>W55=[1]员工报账!W55</f>
        <v>1</v>
      </c>
      <c r="BL55" s="48" t="b">
        <f>X55=[1]员工报账!X55</f>
        <v>1</v>
      </c>
      <c r="BM55" s="48" t="b">
        <f>Y55=[1]员工报账!Y55</f>
        <v>1</v>
      </c>
      <c r="BN55" s="48" t="b">
        <f>Z55=[1]员工报账!Z55</f>
        <v>1</v>
      </c>
      <c r="BO55" s="48" t="b">
        <f>AA55=[1]员工报账!AA55</f>
        <v>1</v>
      </c>
      <c r="BP55" s="48" t="b">
        <f>AB55=[1]员工报账!AB55</f>
        <v>1</v>
      </c>
      <c r="BQ55" s="48" t="b">
        <f>AC55=[1]员工报账!AC55</f>
        <v>1</v>
      </c>
      <c r="BR55" s="48" t="b">
        <f>AD55=[1]员工报账!AD55</f>
        <v>1</v>
      </c>
      <c r="BS55" s="48" t="b">
        <f>AE55=[1]员工报账!AE55</f>
        <v>1</v>
      </c>
      <c r="BT55" s="48" t="b">
        <f>AF55=[1]员工报账!AF55</f>
        <v>1</v>
      </c>
      <c r="BU55" s="48" t="b">
        <f>AG55=[1]员工报账!AG55</f>
        <v>1</v>
      </c>
      <c r="BV55" s="48" t="b">
        <f>AH55=[1]员工报账!AH55</f>
        <v>1</v>
      </c>
      <c r="BW55" s="48" t="b">
        <f>AI55=[1]员工报账!AI55</f>
        <v>1</v>
      </c>
      <c r="BX55" s="48" t="b">
        <f>AJ55=[1]员工报账!AJ55</f>
        <v>1</v>
      </c>
    </row>
    <row r="56" s="48" customFormat="1" ht="145.2" spans="1:76">
      <c r="A56" s="56" t="s">
        <v>453</v>
      </c>
      <c r="B56" s="56" t="s">
        <v>644</v>
      </c>
      <c r="C56" s="57" t="s">
        <v>455</v>
      </c>
      <c r="D56" s="57" t="s">
        <v>735</v>
      </c>
      <c r="E56" s="58" t="s">
        <v>736</v>
      </c>
      <c r="F56" s="35"/>
      <c r="G56" s="57" t="s">
        <v>737</v>
      </c>
      <c r="H56" s="58" t="s">
        <v>738</v>
      </c>
      <c r="I56" s="35" t="s">
        <v>739</v>
      </c>
      <c r="J56" s="42" t="s">
        <v>740</v>
      </c>
      <c r="K56" s="35"/>
      <c r="L56" s="35" t="s">
        <v>36</v>
      </c>
      <c r="M56" s="35" t="s">
        <v>36</v>
      </c>
      <c r="N56" s="35"/>
      <c r="O56" s="35" t="s">
        <v>36</v>
      </c>
      <c r="P56" s="35"/>
      <c r="Q56" s="35"/>
      <c r="R56" s="35"/>
      <c r="S56" s="35"/>
      <c r="T56" s="35" t="s">
        <v>516</v>
      </c>
      <c r="U56" s="42"/>
      <c r="V56" s="42" t="s">
        <v>741</v>
      </c>
      <c r="W56" s="42" t="s">
        <v>742</v>
      </c>
      <c r="X56" s="35" t="s">
        <v>628</v>
      </c>
      <c r="Y56" s="35" t="s">
        <v>470</v>
      </c>
      <c r="Z56" s="35"/>
      <c r="AA56" s="35" t="s">
        <v>469</v>
      </c>
      <c r="AB56" s="35" t="s">
        <v>470</v>
      </c>
      <c r="AC56" s="35"/>
      <c r="AD56" s="42" t="s">
        <v>743</v>
      </c>
      <c r="AE56" s="35" t="s">
        <v>469</v>
      </c>
      <c r="AF56" s="35" t="s">
        <v>470</v>
      </c>
      <c r="AG56" s="35"/>
      <c r="AH56" s="35" t="s">
        <v>473</v>
      </c>
      <c r="AI56" s="35" t="s">
        <v>473</v>
      </c>
      <c r="AJ56" s="42" t="s">
        <v>744</v>
      </c>
      <c r="AK56" s="35" t="s">
        <v>698</v>
      </c>
      <c r="AL56" s="42" t="s">
        <v>679</v>
      </c>
      <c r="AM56" s="61"/>
      <c r="AN56" s="97"/>
      <c r="AO56" s="48" t="b">
        <f>A56=[1]员工报账!A56</f>
        <v>1</v>
      </c>
      <c r="AP56" s="48" t="b">
        <f>B56=[1]员工报账!B56</f>
        <v>1</v>
      </c>
      <c r="AQ56" s="48" t="b">
        <f>C56=[1]员工报账!C56</f>
        <v>1</v>
      </c>
      <c r="AR56" s="48" t="b">
        <f>D56=[1]员工报账!D56</f>
        <v>1</v>
      </c>
      <c r="AS56" s="48" t="b">
        <f>E56=[1]员工报账!E56</f>
        <v>1</v>
      </c>
      <c r="AT56" s="48" t="b">
        <f>F56=[1]员工报账!F56</f>
        <v>1</v>
      </c>
      <c r="AU56" s="48" t="b">
        <f>G56=[1]员工报账!G56</f>
        <v>1</v>
      </c>
      <c r="AV56" s="48" t="b">
        <f>H56=[1]员工报账!H56</f>
        <v>1</v>
      </c>
      <c r="AW56" s="48" t="b">
        <f>I56=[1]员工报账!I56</f>
        <v>1</v>
      </c>
      <c r="AX56" s="48" t="b">
        <f>J56=[1]员工报账!J56</f>
        <v>1</v>
      </c>
      <c r="AY56" s="48" t="b">
        <f>K56=[1]员工报账!K56</f>
        <v>1</v>
      </c>
      <c r="AZ56" s="48" t="b">
        <f>L56=[1]员工报账!L56</f>
        <v>1</v>
      </c>
      <c r="BA56" s="48" t="b">
        <f>M56=[1]员工报账!M56</f>
        <v>1</v>
      </c>
      <c r="BB56" s="48" t="b">
        <f>N56=[1]员工报账!N56</f>
        <v>1</v>
      </c>
      <c r="BC56" s="48" t="b">
        <f>O56=[1]员工报账!O56</f>
        <v>1</v>
      </c>
      <c r="BD56" s="48" t="b">
        <f>P56=[1]员工报账!P56</f>
        <v>1</v>
      </c>
      <c r="BE56" s="48" t="b">
        <f>Q56=[1]员工报账!Q56</f>
        <v>1</v>
      </c>
      <c r="BF56" s="48" t="b">
        <f>R56=[1]员工报账!R56</f>
        <v>1</v>
      </c>
      <c r="BG56" s="48" t="b">
        <f>S56=[1]员工报账!S56</f>
        <v>1</v>
      </c>
      <c r="BH56" s="48" t="b">
        <f>T56=[1]员工报账!T56</f>
        <v>1</v>
      </c>
      <c r="BI56" s="48" t="b">
        <f>U56=[1]员工报账!U56</f>
        <v>1</v>
      </c>
      <c r="BJ56" s="48" t="b">
        <f>V56=[1]员工报账!V56</f>
        <v>1</v>
      </c>
      <c r="BK56" s="48" t="b">
        <f>W56=[1]员工报账!W56</f>
        <v>1</v>
      </c>
      <c r="BL56" s="48" t="b">
        <f>X56=[1]员工报账!X56</f>
        <v>1</v>
      </c>
      <c r="BM56" s="48" t="b">
        <f>Y56=[1]员工报账!Y56</f>
        <v>1</v>
      </c>
      <c r="BN56" s="48" t="b">
        <f>Z56=[1]员工报账!Z56</f>
        <v>1</v>
      </c>
      <c r="BO56" s="48" t="b">
        <f>AA56=[1]员工报账!AA56</f>
        <v>1</v>
      </c>
      <c r="BP56" s="48" t="b">
        <f>AB56=[1]员工报账!AB56</f>
        <v>1</v>
      </c>
      <c r="BQ56" s="48" t="b">
        <f>AC56=[1]员工报账!AC56</f>
        <v>1</v>
      </c>
      <c r="BR56" s="48" t="b">
        <f>AD56=[1]员工报账!AD56</f>
        <v>1</v>
      </c>
      <c r="BS56" s="48" t="b">
        <f>AE56=[1]员工报账!AE56</f>
        <v>1</v>
      </c>
      <c r="BT56" s="48" t="b">
        <f>AF56=[1]员工报账!AF56</f>
        <v>1</v>
      </c>
      <c r="BU56" s="48" t="b">
        <f>AG56=[1]员工报账!AG56</f>
        <v>1</v>
      </c>
      <c r="BV56" s="48" t="b">
        <f>AH56=[1]员工报账!AH56</f>
        <v>1</v>
      </c>
      <c r="BW56" s="48" t="b">
        <f>AI56=[1]员工报账!AI56</f>
        <v>1</v>
      </c>
      <c r="BX56" s="48" t="b">
        <f>AJ56=[1]员工报账!AJ56</f>
        <v>1</v>
      </c>
    </row>
    <row r="57" s="48" customFormat="1" ht="184.8" spans="1:76">
      <c r="A57" s="62"/>
      <c r="B57" s="62"/>
      <c r="C57" s="38"/>
      <c r="D57" s="38"/>
      <c r="E57" s="66"/>
      <c r="F57" s="35"/>
      <c r="G57" s="38"/>
      <c r="H57" s="66"/>
      <c r="I57" s="35" t="s">
        <v>745</v>
      </c>
      <c r="J57" s="42" t="s">
        <v>746</v>
      </c>
      <c r="K57" s="35"/>
      <c r="L57" s="35"/>
      <c r="M57" s="35"/>
      <c r="N57" s="35"/>
      <c r="O57" s="35"/>
      <c r="P57" s="35"/>
      <c r="Q57" s="35" t="s">
        <v>36</v>
      </c>
      <c r="R57" s="35" t="s">
        <v>36</v>
      </c>
      <c r="S57" s="35"/>
      <c r="T57" s="35" t="s">
        <v>516</v>
      </c>
      <c r="U57" s="42"/>
      <c r="V57" s="42" t="s">
        <v>741</v>
      </c>
      <c r="W57" s="42" t="s">
        <v>747</v>
      </c>
      <c r="X57" s="35" t="s">
        <v>628</v>
      </c>
      <c r="Y57" s="35" t="s">
        <v>470</v>
      </c>
      <c r="Z57" s="35"/>
      <c r="AA57" s="35" t="s">
        <v>469</v>
      </c>
      <c r="AB57" s="35" t="s">
        <v>470</v>
      </c>
      <c r="AC57" s="35"/>
      <c r="AD57" s="42" t="s">
        <v>743</v>
      </c>
      <c r="AE57" s="35" t="s">
        <v>469</v>
      </c>
      <c r="AF57" s="35" t="s">
        <v>470</v>
      </c>
      <c r="AG57" s="35"/>
      <c r="AH57" s="35" t="s">
        <v>473</v>
      </c>
      <c r="AI57" s="35" t="s">
        <v>473</v>
      </c>
      <c r="AJ57" s="42" t="s">
        <v>744</v>
      </c>
      <c r="AK57" s="35" t="s">
        <v>698</v>
      </c>
      <c r="AL57" s="42" t="s">
        <v>679</v>
      </c>
      <c r="AM57" s="61"/>
      <c r="AN57" s="97"/>
      <c r="AO57" s="48" t="b">
        <f>A57=[1]员工报账!A57</f>
        <v>1</v>
      </c>
      <c r="AP57" s="48" t="b">
        <f>B57=[1]员工报账!B57</f>
        <v>1</v>
      </c>
      <c r="AQ57" s="48" t="b">
        <f>C57=[1]员工报账!C57</f>
        <v>1</v>
      </c>
      <c r="AR57" s="48" t="b">
        <f>D57=[1]员工报账!D57</f>
        <v>1</v>
      </c>
      <c r="AS57" s="48" t="b">
        <f>E57=[1]员工报账!E57</f>
        <v>1</v>
      </c>
      <c r="AT57" s="48" t="b">
        <f>F57=[1]员工报账!F57</f>
        <v>1</v>
      </c>
      <c r="AU57" s="48" t="b">
        <f>G57=[1]员工报账!G57</f>
        <v>1</v>
      </c>
      <c r="AV57" s="48" t="b">
        <f>H57=[1]员工报账!H57</f>
        <v>1</v>
      </c>
      <c r="AW57" s="48" t="b">
        <f>I57=[1]员工报账!I57</f>
        <v>1</v>
      </c>
      <c r="AX57" s="48" t="b">
        <f>J57=[1]员工报账!J57</f>
        <v>1</v>
      </c>
      <c r="AY57" s="48" t="b">
        <f>K57=[1]员工报账!K57</f>
        <v>1</v>
      </c>
      <c r="AZ57" s="48" t="b">
        <f>L57=[1]员工报账!L57</f>
        <v>1</v>
      </c>
      <c r="BA57" s="48" t="b">
        <f>M57=[1]员工报账!M57</f>
        <v>1</v>
      </c>
      <c r="BB57" s="48" t="b">
        <f>N57=[1]员工报账!N57</f>
        <v>1</v>
      </c>
      <c r="BC57" s="48" t="b">
        <f>O57=[1]员工报账!O57</f>
        <v>1</v>
      </c>
      <c r="BD57" s="48" t="b">
        <f>P57=[1]员工报账!P57</f>
        <v>1</v>
      </c>
      <c r="BE57" s="48" t="b">
        <f>Q57=[1]员工报账!Q57</f>
        <v>1</v>
      </c>
      <c r="BF57" s="48" t="b">
        <f>R57=[1]员工报账!R57</f>
        <v>1</v>
      </c>
      <c r="BG57" s="48" t="b">
        <f>S57=[1]员工报账!S57</f>
        <v>1</v>
      </c>
      <c r="BH57" s="48" t="b">
        <f>T57=[1]员工报账!T57</f>
        <v>1</v>
      </c>
      <c r="BI57" s="48" t="b">
        <f>U57=[1]员工报账!U57</f>
        <v>1</v>
      </c>
      <c r="BJ57" s="48" t="b">
        <f>V57=[1]员工报账!V57</f>
        <v>1</v>
      </c>
      <c r="BK57" s="48" t="b">
        <f>W57=[1]员工报账!W57</f>
        <v>1</v>
      </c>
      <c r="BL57" s="48" t="b">
        <f>X57=[1]员工报账!X57</f>
        <v>1</v>
      </c>
      <c r="BM57" s="48" t="b">
        <f>Y57=[1]员工报账!Y57</f>
        <v>1</v>
      </c>
      <c r="BN57" s="48" t="b">
        <f>Z57=[1]员工报账!Z57</f>
        <v>1</v>
      </c>
      <c r="BO57" s="48" t="b">
        <f>AA57=[1]员工报账!AA57</f>
        <v>1</v>
      </c>
      <c r="BP57" s="48" t="b">
        <f>AB57=[1]员工报账!AB57</f>
        <v>1</v>
      </c>
      <c r="BQ57" s="48" t="b">
        <f>AC57=[1]员工报账!AC57</f>
        <v>1</v>
      </c>
      <c r="BR57" s="48" t="b">
        <f>AD57=[1]员工报账!AD57</f>
        <v>1</v>
      </c>
      <c r="BS57" s="48" t="b">
        <f>AE57=[1]员工报账!AE57</f>
        <v>1</v>
      </c>
      <c r="BT57" s="48" t="b">
        <f>AF57=[1]员工报账!AF57</f>
        <v>1</v>
      </c>
      <c r="BU57" s="48" t="b">
        <f>AG57=[1]员工报账!AG57</f>
        <v>1</v>
      </c>
      <c r="BV57" s="48" t="b">
        <f>AH57=[1]员工报账!AH57</f>
        <v>1</v>
      </c>
      <c r="BW57" s="48" t="b">
        <f>AI57=[1]员工报账!AI57</f>
        <v>1</v>
      </c>
      <c r="BX57" s="48" t="b">
        <f>AJ57=[1]员工报账!AJ57</f>
        <v>1</v>
      </c>
    </row>
    <row r="58" s="48" customFormat="1" ht="171.6" spans="1:76">
      <c r="A58" s="62"/>
      <c r="B58" s="62"/>
      <c r="C58" s="57" t="s">
        <v>498</v>
      </c>
      <c r="D58" s="57" t="s">
        <v>748</v>
      </c>
      <c r="E58" s="58" t="s">
        <v>749</v>
      </c>
      <c r="F58" s="63"/>
      <c r="G58" s="57" t="s">
        <v>750</v>
      </c>
      <c r="H58" s="58" t="s">
        <v>751</v>
      </c>
      <c r="I58" s="35" t="s">
        <v>752</v>
      </c>
      <c r="J58" s="42" t="s">
        <v>753</v>
      </c>
      <c r="K58" s="35"/>
      <c r="L58" s="35"/>
      <c r="M58" s="35"/>
      <c r="N58" s="35"/>
      <c r="O58" s="35" t="s">
        <v>36</v>
      </c>
      <c r="P58" s="35"/>
      <c r="Q58" s="35"/>
      <c r="R58" s="35"/>
      <c r="S58" s="35"/>
      <c r="T58" s="35" t="s">
        <v>516</v>
      </c>
      <c r="U58" s="42"/>
      <c r="V58" s="42" t="s">
        <v>754</v>
      </c>
      <c r="W58" s="42" t="s">
        <v>755</v>
      </c>
      <c r="X58" s="35" t="s">
        <v>628</v>
      </c>
      <c r="Y58" s="35" t="s">
        <v>470</v>
      </c>
      <c r="Z58" s="35"/>
      <c r="AA58" s="35" t="s">
        <v>469</v>
      </c>
      <c r="AB58" s="35" t="s">
        <v>470</v>
      </c>
      <c r="AC58" s="35"/>
      <c r="AD58" s="42" t="s">
        <v>756</v>
      </c>
      <c r="AE58" s="35" t="s">
        <v>469</v>
      </c>
      <c r="AF58" s="35" t="s">
        <v>470</v>
      </c>
      <c r="AG58" s="35"/>
      <c r="AH58" s="35" t="s">
        <v>473</v>
      </c>
      <c r="AI58" s="35" t="s">
        <v>473</v>
      </c>
      <c r="AJ58" s="42" t="s">
        <v>757</v>
      </c>
      <c r="AK58" s="35" t="s">
        <v>758</v>
      </c>
      <c r="AL58" s="42" t="s">
        <v>759</v>
      </c>
      <c r="AM58" s="61"/>
      <c r="AN58" s="97"/>
      <c r="AO58" s="48" t="b">
        <f>A58=[1]员工报账!A58</f>
        <v>1</v>
      </c>
      <c r="AP58" s="48" t="b">
        <f>B58=[1]员工报账!B58</f>
        <v>1</v>
      </c>
      <c r="AQ58" s="48" t="b">
        <f>C58=[1]员工报账!C58</f>
        <v>1</v>
      </c>
      <c r="AR58" s="48" t="b">
        <f>D58=[1]员工报账!D58</f>
        <v>1</v>
      </c>
      <c r="AS58" s="48" t="b">
        <f>E58=[1]员工报账!E58</f>
        <v>1</v>
      </c>
      <c r="AT58" s="48" t="b">
        <f>F58=[1]员工报账!F58</f>
        <v>1</v>
      </c>
      <c r="AU58" s="48" t="b">
        <f>G58=[1]员工报账!G58</f>
        <v>1</v>
      </c>
      <c r="AV58" s="48" t="b">
        <f>H58=[1]员工报账!H58</f>
        <v>1</v>
      </c>
      <c r="AW58" s="48" t="b">
        <f>I58=[1]员工报账!I58</f>
        <v>1</v>
      </c>
      <c r="AX58" s="48" t="b">
        <f>J58=[1]员工报账!J58</f>
        <v>1</v>
      </c>
      <c r="AY58" s="48" t="b">
        <f>K58=[1]员工报账!K58</f>
        <v>1</v>
      </c>
      <c r="AZ58" s="48" t="b">
        <f>L58=[1]员工报账!L58</f>
        <v>1</v>
      </c>
      <c r="BA58" s="48" t="b">
        <f>M58=[1]员工报账!M58</f>
        <v>1</v>
      </c>
      <c r="BB58" s="48" t="b">
        <f>N58=[1]员工报账!N58</f>
        <v>1</v>
      </c>
      <c r="BC58" s="48" t="b">
        <f>O58=[1]员工报账!O58</f>
        <v>1</v>
      </c>
      <c r="BD58" s="48" t="b">
        <f>P58=[1]员工报账!P58</f>
        <v>1</v>
      </c>
      <c r="BE58" s="48" t="b">
        <f>Q58=[1]员工报账!Q58</f>
        <v>1</v>
      </c>
      <c r="BF58" s="48" t="b">
        <f>R58=[1]员工报账!R58</f>
        <v>1</v>
      </c>
      <c r="BG58" s="48" t="b">
        <f>S58=[1]员工报账!S58</f>
        <v>1</v>
      </c>
      <c r="BH58" s="48" t="b">
        <f>T58=[1]员工报账!T58</f>
        <v>1</v>
      </c>
      <c r="BI58" s="48" t="b">
        <f>U58=[1]员工报账!U58</f>
        <v>1</v>
      </c>
      <c r="BJ58" s="48" t="b">
        <f>V58=[1]员工报账!V58</f>
        <v>1</v>
      </c>
      <c r="BK58" s="48" t="b">
        <f>W58=[1]员工报账!W58</f>
        <v>1</v>
      </c>
      <c r="BL58" s="48" t="b">
        <f>X58=[1]员工报账!X58</f>
        <v>1</v>
      </c>
      <c r="BM58" s="48" t="b">
        <f>Y58=[1]员工报账!Y58</f>
        <v>1</v>
      </c>
      <c r="BN58" s="48" t="b">
        <f>Z58=[1]员工报账!Z58</f>
        <v>1</v>
      </c>
      <c r="BO58" s="48" t="b">
        <f>AA58=[1]员工报账!AA58</f>
        <v>1</v>
      </c>
      <c r="BP58" s="48" t="b">
        <f>AB58=[1]员工报账!AB58</f>
        <v>1</v>
      </c>
      <c r="BQ58" s="48" t="b">
        <f>AC58=[1]员工报账!AC58</f>
        <v>1</v>
      </c>
      <c r="BR58" s="48" t="b">
        <f>AD58=[1]员工报账!AD58</f>
        <v>1</v>
      </c>
      <c r="BS58" s="48" t="b">
        <f>AE58=[1]员工报账!AE58</f>
        <v>1</v>
      </c>
      <c r="BT58" s="48" t="b">
        <f>AF58=[1]员工报账!AF58</f>
        <v>1</v>
      </c>
      <c r="BU58" s="48" t="b">
        <f>AG58=[1]员工报账!AG58</f>
        <v>1</v>
      </c>
      <c r="BV58" s="48" t="b">
        <f>AH58=[1]员工报账!AH58</f>
        <v>1</v>
      </c>
      <c r="BW58" s="48" t="b">
        <f>AI58=[1]员工报账!AI58</f>
        <v>1</v>
      </c>
      <c r="BX58" s="48" t="b">
        <f>AJ58=[1]员工报账!AJ58</f>
        <v>1</v>
      </c>
    </row>
    <row r="59" s="48" customFormat="1" ht="171.6" spans="1:76">
      <c r="A59" s="62"/>
      <c r="B59" s="62"/>
      <c r="C59" s="63"/>
      <c r="D59" s="63"/>
      <c r="E59" s="64"/>
      <c r="F59" s="63"/>
      <c r="G59" s="63"/>
      <c r="H59" s="64"/>
      <c r="I59" s="35" t="s">
        <v>760</v>
      </c>
      <c r="J59" s="42" t="s">
        <v>761</v>
      </c>
      <c r="K59" s="35"/>
      <c r="L59" s="35" t="s">
        <v>36</v>
      </c>
      <c r="M59" s="35"/>
      <c r="N59" s="35"/>
      <c r="O59" s="35"/>
      <c r="P59" s="35"/>
      <c r="Q59" s="35"/>
      <c r="R59" s="35"/>
      <c r="S59" s="35"/>
      <c r="T59" s="35" t="s">
        <v>516</v>
      </c>
      <c r="U59" s="42"/>
      <c r="V59" s="42" t="s">
        <v>754</v>
      </c>
      <c r="W59" s="42" t="s">
        <v>755</v>
      </c>
      <c r="X59" s="35" t="s">
        <v>628</v>
      </c>
      <c r="Y59" s="35" t="s">
        <v>470</v>
      </c>
      <c r="Z59" s="35"/>
      <c r="AA59" s="35" t="s">
        <v>469</v>
      </c>
      <c r="AB59" s="35" t="s">
        <v>470</v>
      </c>
      <c r="AC59" s="35"/>
      <c r="AD59" s="42" t="s">
        <v>756</v>
      </c>
      <c r="AE59" s="35" t="s">
        <v>469</v>
      </c>
      <c r="AF59" s="35" t="s">
        <v>470</v>
      </c>
      <c r="AG59" s="35"/>
      <c r="AH59" s="35" t="s">
        <v>473</v>
      </c>
      <c r="AI59" s="35" t="s">
        <v>473</v>
      </c>
      <c r="AJ59" s="42" t="s">
        <v>757</v>
      </c>
      <c r="AK59" s="35" t="s">
        <v>758</v>
      </c>
      <c r="AL59" s="42" t="s">
        <v>759</v>
      </c>
      <c r="AM59" s="61"/>
      <c r="AN59" s="97"/>
      <c r="AO59" s="48" t="b">
        <f>A59=[1]员工报账!A59</f>
        <v>1</v>
      </c>
      <c r="AP59" s="48" t="b">
        <f>B59=[1]员工报账!B59</f>
        <v>1</v>
      </c>
      <c r="AQ59" s="48" t="b">
        <f>C59=[1]员工报账!C59</f>
        <v>1</v>
      </c>
      <c r="AR59" s="48" t="b">
        <f>D59=[1]员工报账!D59</f>
        <v>1</v>
      </c>
      <c r="AS59" s="48" t="b">
        <f>E59=[1]员工报账!E59</f>
        <v>1</v>
      </c>
      <c r="AT59" s="48" t="b">
        <f>F59=[1]员工报账!F59</f>
        <v>1</v>
      </c>
      <c r="AU59" s="48" t="b">
        <f>G59=[1]员工报账!G59</f>
        <v>1</v>
      </c>
      <c r="AV59" s="48" t="b">
        <f>H59=[1]员工报账!H59</f>
        <v>1</v>
      </c>
      <c r="AW59" s="48" t="b">
        <f>I59=[1]员工报账!I59</f>
        <v>1</v>
      </c>
      <c r="AX59" s="48" t="b">
        <f>J59=[1]员工报账!J59</f>
        <v>1</v>
      </c>
      <c r="AY59" s="48" t="b">
        <f>K59=[1]员工报账!K59</f>
        <v>1</v>
      </c>
      <c r="AZ59" s="48" t="b">
        <f>L59=[1]员工报账!L59</f>
        <v>1</v>
      </c>
      <c r="BA59" s="48" t="b">
        <f>M59=[1]员工报账!M59</f>
        <v>1</v>
      </c>
      <c r="BB59" s="48" t="b">
        <f>N59=[1]员工报账!N59</f>
        <v>1</v>
      </c>
      <c r="BC59" s="48" t="b">
        <f>O59=[1]员工报账!O59</f>
        <v>1</v>
      </c>
      <c r="BD59" s="48" t="b">
        <f>P59=[1]员工报账!P59</f>
        <v>1</v>
      </c>
      <c r="BE59" s="48" t="b">
        <f>Q59=[1]员工报账!Q59</f>
        <v>1</v>
      </c>
      <c r="BF59" s="48" t="b">
        <f>R59=[1]员工报账!R59</f>
        <v>1</v>
      </c>
      <c r="BG59" s="48" t="b">
        <f>S59=[1]员工报账!S59</f>
        <v>1</v>
      </c>
      <c r="BH59" s="48" t="b">
        <f>T59=[1]员工报账!T59</f>
        <v>1</v>
      </c>
      <c r="BI59" s="48" t="b">
        <f>U59=[1]员工报账!U59</f>
        <v>1</v>
      </c>
      <c r="BJ59" s="48" t="b">
        <f>V59=[1]员工报账!V59</f>
        <v>1</v>
      </c>
      <c r="BK59" s="48" t="b">
        <f>W59=[1]员工报账!W59</f>
        <v>1</v>
      </c>
      <c r="BL59" s="48" t="b">
        <f>X59=[1]员工报账!X59</f>
        <v>1</v>
      </c>
      <c r="BM59" s="48" t="b">
        <f>Y59=[1]员工报账!Y59</f>
        <v>1</v>
      </c>
      <c r="BN59" s="48" t="b">
        <f>Z59=[1]员工报账!Z59</f>
        <v>1</v>
      </c>
      <c r="BO59" s="48" t="b">
        <f>AA59=[1]员工报账!AA59</f>
        <v>1</v>
      </c>
      <c r="BP59" s="48" t="b">
        <f>AB59=[1]员工报账!AB59</f>
        <v>1</v>
      </c>
      <c r="BQ59" s="48" t="b">
        <f>AC59=[1]员工报账!AC59</f>
        <v>1</v>
      </c>
      <c r="BR59" s="48" t="b">
        <f>AD59=[1]员工报账!AD59</f>
        <v>1</v>
      </c>
      <c r="BS59" s="48" t="b">
        <f>AE59=[1]员工报账!AE59</f>
        <v>1</v>
      </c>
      <c r="BT59" s="48" t="b">
        <f>AF59=[1]员工报账!AF59</f>
        <v>1</v>
      </c>
      <c r="BU59" s="48" t="b">
        <f>AG59=[1]员工报账!AG59</f>
        <v>1</v>
      </c>
      <c r="BV59" s="48" t="b">
        <f>AH59=[1]员工报账!AH59</f>
        <v>1</v>
      </c>
      <c r="BW59" s="48" t="b">
        <f>AI59=[1]员工报账!AI59</f>
        <v>1</v>
      </c>
      <c r="BX59" s="48" t="b">
        <f>AJ59=[1]员工报账!AJ59</f>
        <v>1</v>
      </c>
    </row>
    <row r="60" s="48" customFormat="1" ht="171.6" spans="1:76">
      <c r="A60" s="67"/>
      <c r="B60" s="67"/>
      <c r="C60" s="38"/>
      <c r="D60" s="38"/>
      <c r="E60" s="66"/>
      <c r="F60" s="38"/>
      <c r="G60" s="38"/>
      <c r="H60" s="66"/>
      <c r="I60" s="35" t="s">
        <v>762</v>
      </c>
      <c r="J60" s="42" t="s">
        <v>763</v>
      </c>
      <c r="K60" s="35"/>
      <c r="L60" s="35"/>
      <c r="M60" s="35"/>
      <c r="N60" s="35"/>
      <c r="O60" s="35" t="s">
        <v>36</v>
      </c>
      <c r="P60" s="35"/>
      <c r="Q60" s="35"/>
      <c r="R60" s="35" t="s">
        <v>36</v>
      </c>
      <c r="S60" s="35"/>
      <c r="T60" s="35" t="s">
        <v>516</v>
      </c>
      <c r="U60" s="42"/>
      <c r="V60" s="42" t="s">
        <v>754</v>
      </c>
      <c r="W60" s="42" t="s">
        <v>755</v>
      </c>
      <c r="X60" s="35" t="s">
        <v>628</v>
      </c>
      <c r="Y60" s="35" t="s">
        <v>470</v>
      </c>
      <c r="Z60" s="35"/>
      <c r="AA60" s="35" t="s">
        <v>469</v>
      </c>
      <c r="AB60" s="35" t="s">
        <v>470</v>
      </c>
      <c r="AC60" s="35"/>
      <c r="AD60" s="42" t="s">
        <v>756</v>
      </c>
      <c r="AE60" s="35" t="s">
        <v>469</v>
      </c>
      <c r="AF60" s="35" t="s">
        <v>470</v>
      </c>
      <c r="AG60" s="35"/>
      <c r="AH60" s="35" t="s">
        <v>473</v>
      </c>
      <c r="AI60" s="35" t="s">
        <v>473</v>
      </c>
      <c r="AJ60" s="42" t="s">
        <v>757</v>
      </c>
      <c r="AK60" s="35" t="s">
        <v>758</v>
      </c>
      <c r="AL60" s="42" t="s">
        <v>759</v>
      </c>
      <c r="AM60" s="61"/>
      <c r="AN60" s="97"/>
      <c r="AO60" s="48" t="b">
        <f>A60=[1]员工报账!A60</f>
        <v>1</v>
      </c>
      <c r="AP60" s="48" t="b">
        <f>B60=[1]员工报账!B60</f>
        <v>1</v>
      </c>
      <c r="AQ60" s="48" t="b">
        <f>C60=[1]员工报账!C60</f>
        <v>1</v>
      </c>
      <c r="AR60" s="48" t="b">
        <f>D60=[1]员工报账!D60</f>
        <v>1</v>
      </c>
      <c r="AS60" s="48" t="b">
        <f>E60=[1]员工报账!E60</f>
        <v>1</v>
      </c>
      <c r="AT60" s="48" t="b">
        <f>F60=[1]员工报账!F60</f>
        <v>1</v>
      </c>
      <c r="AU60" s="48" t="b">
        <f>G60=[1]员工报账!G60</f>
        <v>1</v>
      </c>
      <c r="AV60" s="48" t="b">
        <f>H60=[1]员工报账!H60</f>
        <v>1</v>
      </c>
      <c r="AW60" s="48" t="b">
        <f>I60=[1]员工报账!I60</f>
        <v>1</v>
      </c>
      <c r="AX60" s="48" t="b">
        <f>J60=[1]员工报账!J60</f>
        <v>1</v>
      </c>
      <c r="AY60" s="48" t="b">
        <f>K60=[1]员工报账!K60</f>
        <v>1</v>
      </c>
      <c r="AZ60" s="48" t="b">
        <f>L60=[1]员工报账!L60</f>
        <v>1</v>
      </c>
      <c r="BA60" s="48" t="b">
        <f>M60=[1]员工报账!M60</f>
        <v>1</v>
      </c>
      <c r="BB60" s="48" t="b">
        <f>N60=[1]员工报账!N60</f>
        <v>1</v>
      </c>
      <c r="BC60" s="48" t="b">
        <f>O60=[1]员工报账!O60</f>
        <v>1</v>
      </c>
      <c r="BD60" s="48" t="b">
        <f>P60=[1]员工报账!P60</f>
        <v>1</v>
      </c>
      <c r="BE60" s="48" t="b">
        <f>Q60=[1]员工报账!Q60</f>
        <v>1</v>
      </c>
      <c r="BF60" s="48" t="b">
        <f>R60=[1]员工报账!R60</f>
        <v>1</v>
      </c>
      <c r="BG60" s="48" t="b">
        <f>S60=[1]员工报账!S60</f>
        <v>1</v>
      </c>
      <c r="BH60" s="48" t="b">
        <f>T60=[1]员工报账!T60</f>
        <v>1</v>
      </c>
      <c r="BI60" s="48" t="b">
        <f>U60=[1]员工报账!U60</f>
        <v>1</v>
      </c>
      <c r="BJ60" s="48" t="b">
        <f>V60=[1]员工报账!V60</f>
        <v>1</v>
      </c>
      <c r="BK60" s="48" t="b">
        <f>W60=[1]员工报账!W60</f>
        <v>1</v>
      </c>
      <c r="BL60" s="48" t="b">
        <f>X60=[1]员工报账!X60</f>
        <v>1</v>
      </c>
      <c r="BM60" s="48" t="b">
        <f>Y60=[1]员工报账!Y60</f>
        <v>1</v>
      </c>
      <c r="BN60" s="48" t="b">
        <f>Z60=[1]员工报账!Z60</f>
        <v>1</v>
      </c>
      <c r="BO60" s="48" t="b">
        <f>AA60=[1]员工报账!AA60</f>
        <v>1</v>
      </c>
      <c r="BP60" s="48" t="b">
        <f>AB60=[1]员工报账!AB60</f>
        <v>1</v>
      </c>
      <c r="BQ60" s="48" t="b">
        <f>AC60=[1]员工报账!AC60</f>
        <v>1</v>
      </c>
      <c r="BR60" s="48" t="b">
        <f>AD60=[1]员工报账!AD60</f>
        <v>1</v>
      </c>
      <c r="BS60" s="48" t="b">
        <f>AE60=[1]员工报账!AE60</f>
        <v>1</v>
      </c>
      <c r="BT60" s="48" t="b">
        <f>AF60=[1]员工报账!AF60</f>
        <v>1</v>
      </c>
      <c r="BU60" s="48" t="b">
        <f>AG60=[1]员工报账!AG60</f>
        <v>1</v>
      </c>
      <c r="BV60" s="48" t="b">
        <f>AH60=[1]员工报账!AH60</f>
        <v>1</v>
      </c>
      <c r="BW60" s="48" t="b">
        <f>AI60=[1]员工报账!AI60</f>
        <v>1</v>
      </c>
      <c r="BX60" s="48" t="b">
        <f>AJ60=[1]员工报账!AJ60</f>
        <v>1</v>
      </c>
    </row>
    <row r="61" s="48" customFormat="1" ht="145.2" spans="1:76">
      <c r="A61" s="56" t="s">
        <v>453</v>
      </c>
      <c r="B61" s="56" t="s">
        <v>644</v>
      </c>
      <c r="C61" s="35" t="s">
        <v>498</v>
      </c>
      <c r="D61" s="35" t="s">
        <v>748</v>
      </c>
      <c r="E61" s="42" t="s">
        <v>749</v>
      </c>
      <c r="F61" s="76"/>
      <c r="G61" s="35" t="s">
        <v>750</v>
      </c>
      <c r="H61" s="42" t="s">
        <v>751</v>
      </c>
      <c r="I61" s="35" t="s">
        <v>764</v>
      </c>
      <c r="J61" s="42" t="s">
        <v>765</v>
      </c>
      <c r="K61" s="35"/>
      <c r="L61" s="35"/>
      <c r="M61" s="35"/>
      <c r="N61" s="35"/>
      <c r="O61" s="35"/>
      <c r="P61" s="35"/>
      <c r="Q61" s="35"/>
      <c r="R61" s="35" t="s">
        <v>36</v>
      </c>
      <c r="S61" s="35"/>
      <c r="T61" s="35" t="s">
        <v>516</v>
      </c>
      <c r="U61" s="42"/>
      <c r="V61" s="42" t="s">
        <v>766</v>
      </c>
      <c r="W61" s="42" t="s">
        <v>767</v>
      </c>
      <c r="X61" s="35" t="s">
        <v>628</v>
      </c>
      <c r="Y61" s="35" t="s">
        <v>470</v>
      </c>
      <c r="Z61" s="35"/>
      <c r="AA61" s="35" t="s">
        <v>469</v>
      </c>
      <c r="AB61" s="35" t="s">
        <v>470</v>
      </c>
      <c r="AC61" s="35"/>
      <c r="AD61" s="42" t="s">
        <v>756</v>
      </c>
      <c r="AE61" s="35" t="s">
        <v>469</v>
      </c>
      <c r="AF61" s="35" t="s">
        <v>470</v>
      </c>
      <c r="AG61" s="35"/>
      <c r="AH61" s="35" t="s">
        <v>473</v>
      </c>
      <c r="AI61" s="35" t="s">
        <v>473</v>
      </c>
      <c r="AJ61" s="42" t="s">
        <v>757</v>
      </c>
      <c r="AK61" s="35" t="s">
        <v>698</v>
      </c>
      <c r="AL61" s="42" t="s">
        <v>768</v>
      </c>
      <c r="AM61" s="61"/>
      <c r="AN61" s="97"/>
      <c r="AO61" s="48" t="b">
        <f>A61=[1]员工报账!A61</f>
        <v>1</v>
      </c>
      <c r="AP61" s="48" t="b">
        <f>B61=[1]员工报账!B61</f>
        <v>1</v>
      </c>
      <c r="AQ61" s="48" t="b">
        <f>C61=[1]员工报账!C61</f>
        <v>1</v>
      </c>
      <c r="AR61" s="48" t="b">
        <f>D61=[1]员工报账!D61</f>
        <v>1</v>
      </c>
      <c r="AS61" s="48" t="b">
        <f>E61=[1]员工报账!E61</f>
        <v>1</v>
      </c>
      <c r="AT61" s="48" t="b">
        <f>F61=[1]员工报账!F61</f>
        <v>1</v>
      </c>
      <c r="AU61" s="48" t="b">
        <f>G61=[1]员工报账!G61</f>
        <v>1</v>
      </c>
      <c r="AV61" s="48" t="b">
        <f>H61=[1]员工报账!H61</f>
        <v>1</v>
      </c>
      <c r="AW61" s="48" t="b">
        <f>I61=[1]员工报账!I61</f>
        <v>1</v>
      </c>
      <c r="AX61" s="48" t="b">
        <f>J61=[1]员工报账!J61</f>
        <v>1</v>
      </c>
      <c r="AY61" s="48" t="b">
        <f>K61=[1]员工报账!K61</f>
        <v>1</v>
      </c>
      <c r="AZ61" s="48" t="b">
        <f>L61=[1]员工报账!L61</f>
        <v>1</v>
      </c>
      <c r="BA61" s="48" t="b">
        <f>M61=[1]员工报账!M61</f>
        <v>1</v>
      </c>
      <c r="BB61" s="48" t="b">
        <f>N61=[1]员工报账!N61</f>
        <v>1</v>
      </c>
      <c r="BC61" s="48" t="b">
        <f>O61=[1]员工报账!O61</f>
        <v>1</v>
      </c>
      <c r="BD61" s="48" t="b">
        <f>P61=[1]员工报账!P61</f>
        <v>1</v>
      </c>
      <c r="BE61" s="48" t="b">
        <f>Q61=[1]员工报账!Q61</f>
        <v>1</v>
      </c>
      <c r="BF61" s="48" t="b">
        <f>R61=[1]员工报账!R61</f>
        <v>1</v>
      </c>
      <c r="BG61" s="48" t="b">
        <f>S61=[1]员工报账!S61</f>
        <v>1</v>
      </c>
      <c r="BH61" s="48" t="b">
        <f>T61=[1]员工报账!T61</f>
        <v>1</v>
      </c>
      <c r="BI61" s="48" t="b">
        <f>U61=[1]员工报账!U61</f>
        <v>1</v>
      </c>
      <c r="BJ61" s="48" t="b">
        <f>V61=[1]员工报账!V61</f>
        <v>1</v>
      </c>
      <c r="BK61" s="48" t="b">
        <f>W61=[1]员工报账!W61</f>
        <v>1</v>
      </c>
      <c r="BL61" s="48" t="b">
        <f>X61=[1]员工报账!X61</f>
        <v>1</v>
      </c>
      <c r="BM61" s="48" t="b">
        <f>Y61=[1]员工报账!Y61</f>
        <v>1</v>
      </c>
      <c r="BN61" s="48" t="b">
        <f>Z61=[1]员工报账!Z61</f>
        <v>1</v>
      </c>
      <c r="BO61" s="48" t="b">
        <f>AA61=[1]员工报账!AA61</f>
        <v>1</v>
      </c>
      <c r="BP61" s="48" t="b">
        <f>AB61=[1]员工报账!AB61</f>
        <v>1</v>
      </c>
      <c r="BQ61" s="48" t="b">
        <f>AC61=[1]员工报账!AC61</f>
        <v>1</v>
      </c>
      <c r="BR61" s="48" t="b">
        <f>AD61=[1]员工报账!AD61</f>
        <v>1</v>
      </c>
      <c r="BS61" s="48" t="b">
        <f>AE61=[1]员工报账!AE61</f>
        <v>1</v>
      </c>
      <c r="BT61" s="48" t="b">
        <f>AF61=[1]员工报账!AF61</f>
        <v>1</v>
      </c>
      <c r="BU61" s="48" t="b">
        <f>AG61=[1]员工报账!AG61</f>
        <v>1</v>
      </c>
      <c r="BV61" s="48" t="b">
        <f>AH61=[1]员工报账!AH61</f>
        <v>1</v>
      </c>
      <c r="BW61" s="48" t="b">
        <f>AI61=[1]员工报账!AI61</f>
        <v>1</v>
      </c>
      <c r="BX61" s="48" t="b">
        <f>AJ61=[1]员工报账!AJ61</f>
        <v>1</v>
      </c>
    </row>
    <row r="62" s="48" customFormat="1" ht="92.4" spans="1:76">
      <c r="A62" s="62"/>
      <c r="B62" s="62"/>
      <c r="C62" s="57" t="s">
        <v>498</v>
      </c>
      <c r="D62" s="57" t="s">
        <v>769</v>
      </c>
      <c r="E62" s="58" t="s">
        <v>770</v>
      </c>
      <c r="F62" s="35"/>
      <c r="G62" s="57" t="s">
        <v>771</v>
      </c>
      <c r="H62" s="58" t="s">
        <v>772</v>
      </c>
      <c r="I62" s="35" t="s">
        <v>773</v>
      </c>
      <c r="J62" s="42" t="s">
        <v>774</v>
      </c>
      <c r="K62" s="35"/>
      <c r="L62" s="35" t="s">
        <v>36</v>
      </c>
      <c r="M62" s="35"/>
      <c r="N62" s="35"/>
      <c r="O62" s="35"/>
      <c r="P62" s="35"/>
      <c r="Q62" s="35"/>
      <c r="R62" s="35"/>
      <c r="S62" s="35"/>
      <c r="T62" s="35" t="s">
        <v>516</v>
      </c>
      <c r="U62" s="42"/>
      <c r="V62" s="42" t="s">
        <v>775</v>
      </c>
      <c r="W62" s="42" t="s">
        <v>776</v>
      </c>
      <c r="X62" s="35" t="s">
        <v>628</v>
      </c>
      <c r="Y62" s="35" t="s">
        <v>470</v>
      </c>
      <c r="Z62" s="35"/>
      <c r="AA62" s="35" t="s">
        <v>469</v>
      </c>
      <c r="AB62" s="35" t="s">
        <v>470</v>
      </c>
      <c r="AC62" s="35"/>
      <c r="AD62" s="42" t="s">
        <v>777</v>
      </c>
      <c r="AE62" s="35" t="s">
        <v>469</v>
      </c>
      <c r="AF62" s="35" t="s">
        <v>470</v>
      </c>
      <c r="AG62" s="35"/>
      <c r="AH62" s="35" t="s">
        <v>473</v>
      </c>
      <c r="AI62" s="35" t="s">
        <v>473</v>
      </c>
      <c r="AJ62" s="42" t="s">
        <v>778</v>
      </c>
      <c r="AK62" s="35" t="s">
        <v>779</v>
      </c>
      <c r="AL62" s="42" t="s">
        <v>780</v>
      </c>
      <c r="AM62" s="61"/>
      <c r="AN62" s="97"/>
      <c r="AO62" s="48" t="b">
        <f>A62=[1]员工报账!A62</f>
        <v>1</v>
      </c>
      <c r="AP62" s="48" t="b">
        <f>B62=[1]员工报账!B62</f>
        <v>1</v>
      </c>
      <c r="AQ62" s="48" t="b">
        <f>C62=[1]员工报账!C62</f>
        <v>1</v>
      </c>
      <c r="AR62" s="48" t="b">
        <f>D62=[1]员工报账!D62</f>
        <v>1</v>
      </c>
      <c r="AS62" s="48" t="b">
        <f>E62=[1]员工报账!E62</f>
        <v>1</v>
      </c>
      <c r="AT62" s="48" t="b">
        <f>F62=[1]员工报账!F62</f>
        <v>1</v>
      </c>
      <c r="AU62" s="48" t="b">
        <f>G62=[1]员工报账!G62</f>
        <v>1</v>
      </c>
      <c r="AV62" s="48" t="b">
        <f>H62=[1]员工报账!H62</f>
        <v>1</v>
      </c>
      <c r="AW62" s="48" t="b">
        <f>I62=[1]员工报账!I62</f>
        <v>1</v>
      </c>
      <c r="AX62" s="48" t="b">
        <f>J62=[1]员工报账!J62</f>
        <v>1</v>
      </c>
      <c r="AY62" s="48" t="b">
        <f>K62=[1]员工报账!K62</f>
        <v>1</v>
      </c>
      <c r="AZ62" s="48" t="b">
        <f>L62=[1]员工报账!L62</f>
        <v>1</v>
      </c>
      <c r="BA62" s="48" t="b">
        <f>M62=[1]员工报账!M62</f>
        <v>1</v>
      </c>
      <c r="BB62" s="48" t="b">
        <f>N62=[1]员工报账!N62</f>
        <v>1</v>
      </c>
      <c r="BC62" s="48" t="b">
        <f>O62=[1]员工报账!O62</f>
        <v>1</v>
      </c>
      <c r="BD62" s="48" t="b">
        <f>P62=[1]员工报账!P62</f>
        <v>1</v>
      </c>
      <c r="BE62" s="48" t="b">
        <f>Q62=[1]员工报账!Q62</f>
        <v>1</v>
      </c>
      <c r="BF62" s="48" t="b">
        <f>R62=[1]员工报账!R62</f>
        <v>1</v>
      </c>
      <c r="BG62" s="48" t="b">
        <f>S62=[1]员工报账!S62</f>
        <v>1</v>
      </c>
      <c r="BH62" s="48" t="b">
        <f>T62=[1]员工报账!T62</f>
        <v>1</v>
      </c>
      <c r="BI62" s="48" t="b">
        <f>U62=[1]员工报账!U62</f>
        <v>1</v>
      </c>
      <c r="BJ62" s="48" t="b">
        <f>V62=[1]员工报账!V62</f>
        <v>1</v>
      </c>
      <c r="BK62" s="48" t="b">
        <f>W62=[1]员工报账!W62</f>
        <v>1</v>
      </c>
      <c r="BL62" s="48" t="b">
        <f>X62=[1]员工报账!X62</f>
        <v>1</v>
      </c>
      <c r="BM62" s="48" t="b">
        <f>Y62=[1]员工报账!Y62</f>
        <v>1</v>
      </c>
      <c r="BN62" s="48" t="b">
        <f>Z62=[1]员工报账!Z62</f>
        <v>1</v>
      </c>
      <c r="BO62" s="48" t="b">
        <f>AA62=[1]员工报账!AA62</f>
        <v>1</v>
      </c>
      <c r="BP62" s="48" t="b">
        <f>AB62=[1]员工报账!AB62</f>
        <v>1</v>
      </c>
      <c r="BQ62" s="48" t="b">
        <f>AC62=[1]员工报账!AC62</f>
        <v>1</v>
      </c>
      <c r="BR62" s="48" t="b">
        <f>AD62=[1]员工报账!AD62</f>
        <v>1</v>
      </c>
      <c r="BS62" s="48" t="b">
        <f>AE62=[1]员工报账!AE62</f>
        <v>1</v>
      </c>
      <c r="BT62" s="48" t="b">
        <f>AF62=[1]员工报账!AF62</f>
        <v>1</v>
      </c>
      <c r="BU62" s="48" t="b">
        <f>AG62=[1]员工报账!AG62</f>
        <v>1</v>
      </c>
      <c r="BV62" s="48" t="b">
        <f>AH62=[1]员工报账!AH62</f>
        <v>1</v>
      </c>
      <c r="BW62" s="48" t="b">
        <f>AI62=[1]员工报账!AI62</f>
        <v>1</v>
      </c>
      <c r="BX62" s="48" t="b">
        <f>AJ62=[1]员工报账!AJ62</f>
        <v>1</v>
      </c>
    </row>
    <row r="63" s="48" customFormat="1" ht="118.8" spans="1:76">
      <c r="A63" s="62"/>
      <c r="B63" s="62"/>
      <c r="C63" s="38"/>
      <c r="D63" s="38"/>
      <c r="E63" s="66"/>
      <c r="F63" s="35"/>
      <c r="G63" s="38"/>
      <c r="H63" s="66"/>
      <c r="I63" s="35" t="s">
        <v>781</v>
      </c>
      <c r="J63" s="42" t="s">
        <v>782</v>
      </c>
      <c r="K63" s="35"/>
      <c r="L63" s="35"/>
      <c r="M63" s="35"/>
      <c r="N63" s="35"/>
      <c r="O63" s="35"/>
      <c r="P63" s="35"/>
      <c r="Q63" s="35" t="s">
        <v>36</v>
      </c>
      <c r="R63" s="35" t="s">
        <v>36</v>
      </c>
      <c r="S63" s="35"/>
      <c r="T63" s="35" t="s">
        <v>516</v>
      </c>
      <c r="U63" s="42"/>
      <c r="V63" s="42" t="s">
        <v>775</v>
      </c>
      <c r="W63" s="42" t="s">
        <v>783</v>
      </c>
      <c r="X63" s="35" t="s">
        <v>628</v>
      </c>
      <c r="Y63" s="35" t="s">
        <v>470</v>
      </c>
      <c r="Z63" s="35"/>
      <c r="AA63" s="35" t="s">
        <v>469</v>
      </c>
      <c r="AB63" s="35" t="s">
        <v>470</v>
      </c>
      <c r="AC63" s="35"/>
      <c r="AD63" s="42" t="s">
        <v>777</v>
      </c>
      <c r="AE63" s="35" t="s">
        <v>469</v>
      </c>
      <c r="AF63" s="35" t="s">
        <v>470</v>
      </c>
      <c r="AG63" s="35"/>
      <c r="AH63" s="35" t="s">
        <v>473</v>
      </c>
      <c r="AI63" s="35" t="s">
        <v>473</v>
      </c>
      <c r="AJ63" s="42" t="s">
        <v>778</v>
      </c>
      <c r="AK63" s="35" t="s">
        <v>779</v>
      </c>
      <c r="AL63" s="42" t="s">
        <v>780</v>
      </c>
      <c r="AM63" s="61"/>
      <c r="AN63" s="97"/>
      <c r="AO63" s="48" t="b">
        <f>A63=[1]员工报账!A63</f>
        <v>1</v>
      </c>
      <c r="AP63" s="48" t="b">
        <f>B63=[1]员工报账!B63</f>
        <v>1</v>
      </c>
      <c r="AQ63" s="48" t="b">
        <f>C63=[1]员工报账!C63</f>
        <v>1</v>
      </c>
      <c r="AR63" s="48" t="b">
        <f>D63=[1]员工报账!D63</f>
        <v>1</v>
      </c>
      <c r="AS63" s="48" t="b">
        <f>E63=[1]员工报账!E63</f>
        <v>1</v>
      </c>
      <c r="AT63" s="48" t="b">
        <f>F63=[1]员工报账!F63</f>
        <v>1</v>
      </c>
      <c r="AU63" s="48" t="b">
        <f>G63=[1]员工报账!G63</f>
        <v>1</v>
      </c>
      <c r="AV63" s="48" t="b">
        <f>H63=[1]员工报账!H63</f>
        <v>1</v>
      </c>
      <c r="AW63" s="48" t="b">
        <f>I63=[1]员工报账!I63</f>
        <v>1</v>
      </c>
      <c r="AX63" s="48" t="b">
        <f>J63=[1]员工报账!J63</f>
        <v>1</v>
      </c>
      <c r="AY63" s="48" t="b">
        <f>K63=[1]员工报账!K63</f>
        <v>1</v>
      </c>
      <c r="AZ63" s="48" t="b">
        <f>L63=[1]员工报账!L63</f>
        <v>1</v>
      </c>
      <c r="BA63" s="48" t="b">
        <f>M63=[1]员工报账!M63</f>
        <v>1</v>
      </c>
      <c r="BB63" s="48" t="b">
        <f>N63=[1]员工报账!N63</f>
        <v>1</v>
      </c>
      <c r="BC63" s="48" t="b">
        <f>O63=[1]员工报账!O63</f>
        <v>1</v>
      </c>
      <c r="BD63" s="48" t="b">
        <f>P63=[1]员工报账!P63</f>
        <v>1</v>
      </c>
      <c r="BE63" s="48" t="b">
        <f>Q63=[1]员工报账!Q63</f>
        <v>1</v>
      </c>
      <c r="BF63" s="48" t="b">
        <f>R63=[1]员工报账!R63</f>
        <v>1</v>
      </c>
      <c r="BG63" s="48" t="b">
        <f>S63=[1]员工报账!S63</f>
        <v>1</v>
      </c>
      <c r="BH63" s="48" t="b">
        <f>T63=[1]员工报账!T63</f>
        <v>1</v>
      </c>
      <c r="BI63" s="48" t="b">
        <f>U63=[1]员工报账!U63</f>
        <v>1</v>
      </c>
      <c r="BJ63" s="48" t="b">
        <f>V63=[1]员工报账!V63</f>
        <v>1</v>
      </c>
      <c r="BK63" s="48" t="b">
        <f>W63=[1]员工报账!W63</f>
        <v>1</v>
      </c>
      <c r="BL63" s="48" t="b">
        <f>X63=[1]员工报账!X63</f>
        <v>1</v>
      </c>
      <c r="BM63" s="48" t="b">
        <f>Y63=[1]员工报账!Y63</f>
        <v>1</v>
      </c>
      <c r="BN63" s="48" t="b">
        <f>Z63=[1]员工报账!Z63</f>
        <v>1</v>
      </c>
      <c r="BO63" s="48" t="b">
        <f>AA63=[1]员工报账!AA63</f>
        <v>1</v>
      </c>
      <c r="BP63" s="48" t="b">
        <f>AB63=[1]员工报账!AB63</f>
        <v>1</v>
      </c>
      <c r="BQ63" s="48" t="b">
        <f>AC63=[1]员工报账!AC63</f>
        <v>1</v>
      </c>
      <c r="BR63" s="48" t="b">
        <f>AD63=[1]员工报账!AD63</f>
        <v>1</v>
      </c>
      <c r="BS63" s="48" t="b">
        <f>AE63=[1]员工报账!AE63</f>
        <v>1</v>
      </c>
      <c r="BT63" s="48" t="b">
        <f>AF63=[1]员工报账!AF63</f>
        <v>1</v>
      </c>
      <c r="BU63" s="48" t="b">
        <f>AG63=[1]员工报账!AG63</f>
        <v>1</v>
      </c>
      <c r="BV63" s="48" t="b">
        <f>AH63=[1]员工报账!AH63</f>
        <v>1</v>
      </c>
      <c r="BW63" s="48" t="b">
        <f>AI63=[1]员工报账!AI63</f>
        <v>1</v>
      </c>
      <c r="BX63" s="48" t="b">
        <f>AJ63=[1]员工报账!AJ63</f>
        <v>1</v>
      </c>
    </row>
    <row r="64" s="48" customFormat="1" ht="132" spans="1:76">
      <c r="A64" s="62"/>
      <c r="B64" s="62"/>
      <c r="C64" s="57" t="s">
        <v>619</v>
      </c>
      <c r="D64" s="57" t="s">
        <v>784</v>
      </c>
      <c r="E64" s="58" t="s">
        <v>785</v>
      </c>
      <c r="F64" s="35"/>
      <c r="G64" s="57" t="s">
        <v>786</v>
      </c>
      <c r="H64" s="58" t="s">
        <v>787</v>
      </c>
      <c r="I64" s="35" t="s">
        <v>788</v>
      </c>
      <c r="J64" s="42" t="s">
        <v>789</v>
      </c>
      <c r="K64" s="35"/>
      <c r="L64" s="35"/>
      <c r="M64" s="35" t="s">
        <v>36</v>
      </c>
      <c r="N64" s="35"/>
      <c r="O64" s="35"/>
      <c r="P64" s="35"/>
      <c r="Q64" s="35"/>
      <c r="R64" s="35"/>
      <c r="S64" s="35"/>
      <c r="T64" s="43" t="s">
        <v>463</v>
      </c>
      <c r="U64" s="35" t="s">
        <v>790</v>
      </c>
      <c r="V64" s="42" t="s">
        <v>791</v>
      </c>
      <c r="W64" s="42" t="s">
        <v>792</v>
      </c>
      <c r="X64" s="35" t="s">
        <v>628</v>
      </c>
      <c r="Y64" s="35" t="s">
        <v>470</v>
      </c>
      <c r="Z64" s="35"/>
      <c r="AA64" s="35" t="s">
        <v>469</v>
      </c>
      <c r="AB64" s="35" t="s">
        <v>470</v>
      </c>
      <c r="AC64" s="35"/>
      <c r="AD64" s="42" t="s">
        <v>793</v>
      </c>
      <c r="AE64" s="35" t="s">
        <v>469</v>
      </c>
      <c r="AF64" s="35" t="s">
        <v>470</v>
      </c>
      <c r="AG64" s="35"/>
      <c r="AH64" s="35" t="s">
        <v>473</v>
      </c>
      <c r="AI64" s="35" t="s">
        <v>473</v>
      </c>
      <c r="AJ64" s="42" t="s">
        <v>794</v>
      </c>
      <c r="AK64" s="35" t="s">
        <v>795</v>
      </c>
      <c r="AL64" s="42" t="s">
        <v>796</v>
      </c>
      <c r="AM64" s="61"/>
      <c r="AN64" s="97"/>
      <c r="AO64" s="48" t="b">
        <f>A64=[1]员工报账!A64</f>
        <v>1</v>
      </c>
      <c r="AP64" s="48" t="b">
        <f>B64=[1]员工报账!B64</f>
        <v>1</v>
      </c>
      <c r="AQ64" s="48" t="b">
        <f>C64=[1]员工报账!C64</f>
        <v>1</v>
      </c>
      <c r="AR64" s="48" t="b">
        <f>D64=[1]员工报账!D64</f>
        <v>1</v>
      </c>
      <c r="AS64" s="48" t="b">
        <f>E64=[1]员工报账!E64</f>
        <v>1</v>
      </c>
      <c r="AT64" s="48" t="b">
        <f>F64=[1]员工报账!F64</f>
        <v>1</v>
      </c>
      <c r="AU64" s="48" t="b">
        <f>G64=[1]员工报账!G64</f>
        <v>1</v>
      </c>
      <c r="AV64" s="48" t="b">
        <f>H64=[1]员工报账!H64</f>
        <v>1</v>
      </c>
      <c r="AW64" s="48" t="b">
        <f>I64=[1]员工报账!I64</f>
        <v>1</v>
      </c>
      <c r="AX64" s="48" t="b">
        <f>J64=[1]员工报账!J64</f>
        <v>1</v>
      </c>
      <c r="AY64" s="48" t="b">
        <f>K64=[1]员工报账!K64</f>
        <v>1</v>
      </c>
      <c r="AZ64" s="48" t="b">
        <f>L64=[1]员工报账!L64</f>
        <v>1</v>
      </c>
      <c r="BA64" s="48" t="b">
        <f>M64=[1]员工报账!M64</f>
        <v>1</v>
      </c>
      <c r="BB64" s="48" t="b">
        <f>N64=[1]员工报账!N64</f>
        <v>1</v>
      </c>
      <c r="BC64" s="48" t="b">
        <f>O64=[1]员工报账!O64</f>
        <v>1</v>
      </c>
      <c r="BD64" s="48" t="b">
        <f>P64=[1]员工报账!P64</f>
        <v>1</v>
      </c>
      <c r="BE64" s="48" t="b">
        <f>Q64=[1]员工报账!Q64</f>
        <v>1</v>
      </c>
      <c r="BF64" s="48" t="b">
        <f>R64=[1]员工报账!R64</f>
        <v>1</v>
      </c>
      <c r="BG64" s="48" t="b">
        <f>S64=[1]员工报账!S64</f>
        <v>1</v>
      </c>
      <c r="BH64" s="48" t="b">
        <f>T64=[1]员工报账!T64</f>
        <v>1</v>
      </c>
      <c r="BI64" s="48" t="b">
        <f>U64=[1]员工报账!U64</f>
        <v>1</v>
      </c>
      <c r="BJ64" s="48" t="b">
        <f>V64=[1]员工报账!V64</f>
        <v>1</v>
      </c>
      <c r="BK64" s="48" t="b">
        <f>W64=[1]员工报账!W64</f>
        <v>1</v>
      </c>
      <c r="BL64" s="48" t="b">
        <f>X64=[1]员工报账!X64</f>
        <v>1</v>
      </c>
      <c r="BM64" s="48" t="b">
        <f>Y64=[1]员工报账!Y64</f>
        <v>1</v>
      </c>
      <c r="BN64" s="48" t="b">
        <f>Z64=[1]员工报账!Z64</f>
        <v>1</v>
      </c>
      <c r="BO64" s="48" t="b">
        <f>AA64=[1]员工报账!AA64</f>
        <v>1</v>
      </c>
      <c r="BP64" s="48" t="b">
        <f>AB64=[1]员工报账!AB64</f>
        <v>1</v>
      </c>
      <c r="BQ64" s="48" t="b">
        <f>AC64=[1]员工报账!AC64</f>
        <v>1</v>
      </c>
      <c r="BR64" s="48" t="b">
        <f>AD64=[1]员工报账!AD64</f>
        <v>1</v>
      </c>
      <c r="BS64" s="48" t="b">
        <f>AE64=[1]员工报账!AE64</f>
        <v>1</v>
      </c>
      <c r="BT64" s="48" t="b">
        <f>AF64=[1]员工报账!AF64</f>
        <v>1</v>
      </c>
      <c r="BU64" s="48" t="b">
        <f>AG64=[1]员工报账!AG64</f>
        <v>1</v>
      </c>
      <c r="BV64" s="48" t="b">
        <f>AH64=[1]员工报账!AH64</f>
        <v>1</v>
      </c>
      <c r="BW64" s="48" t="b">
        <f>AI64=[1]员工报账!AI64</f>
        <v>1</v>
      </c>
      <c r="BX64" s="48" t="b">
        <f>AJ64=[1]员工报账!AJ64</f>
        <v>1</v>
      </c>
    </row>
    <row r="65" s="48" customFormat="1" ht="132" spans="1:76">
      <c r="A65" s="62"/>
      <c r="B65" s="62"/>
      <c r="C65" s="63"/>
      <c r="D65" s="63"/>
      <c r="E65" s="64"/>
      <c r="F65" s="35"/>
      <c r="G65" s="63"/>
      <c r="H65" s="64"/>
      <c r="I65" s="35" t="s">
        <v>797</v>
      </c>
      <c r="J65" s="42" t="s">
        <v>798</v>
      </c>
      <c r="K65" s="35"/>
      <c r="L65" s="35"/>
      <c r="M65" s="35"/>
      <c r="N65" s="35"/>
      <c r="O65" s="35" t="s">
        <v>36</v>
      </c>
      <c r="P65" s="35" t="s">
        <v>36</v>
      </c>
      <c r="Q65" s="35"/>
      <c r="R65" s="35"/>
      <c r="S65" s="35"/>
      <c r="T65" s="35" t="s">
        <v>516</v>
      </c>
      <c r="U65" s="42"/>
      <c r="V65" s="42" t="s">
        <v>791</v>
      </c>
      <c r="W65" s="42" t="s">
        <v>792</v>
      </c>
      <c r="X65" s="35" t="s">
        <v>628</v>
      </c>
      <c r="Y65" s="35" t="s">
        <v>470</v>
      </c>
      <c r="Z65" s="35"/>
      <c r="AA65" s="35" t="s">
        <v>469</v>
      </c>
      <c r="AB65" s="35" t="s">
        <v>470</v>
      </c>
      <c r="AC65" s="35"/>
      <c r="AD65" s="42" t="s">
        <v>793</v>
      </c>
      <c r="AE65" s="35" t="s">
        <v>469</v>
      </c>
      <c r="AF65" s="35" t="s">
        <v>470</v>
      </c>
      <c r="AG65" s="35"/>
      <c r="AH65" s="35" t="s">
        <v>473</v>
      </c>
      <c r="AI65" s="35" t="s">
        <v>473</v>
      </c>
      <c r="AJ65" s="42" t="s">
        <v>799</v>
      </c>
      <c r="AK65" s="35" t="s">
        <v>795</v>
      </c>
      <c r="AL65" s="42" t="s">
        <v>796</v>
      </c>
      <c r="AM65" s="61"/>
      <c r="AN65" s="97"/>
      <c r="AO65" s="48" t="b">
        <f>A65=[1]员工报账!A65</f>
        <v>1</v>
      </c>
      <c r="AP65" s="48" t="b">
        <f>B65=[1]员工报账!B65</f>
        <v>1</v>
      </c>
      <c r="AQ65" s="48" t="b">
        <f>C65=[1]员工报账!C65</f>
        <v>1</v>
      </c>
      <c r="AR65" s="48" t="b">
        <f>D65=[1]员工报账!D65</f>
        <v>1</v>
      </c>
      <c r="AS65" s="48" t="b">
        <f>E65=[1]员工报账!E65</f>
        <v>1</v>
      </c>
      <c r="AT65" s="48" t="b">
        <f>F65=[1]员工报账!F65</f>
        <v>1</v>
      </c>
      <c r="AU65" s="48" t="b">
        <f>G65=[1]员工报账!G65</f>
        <v>1</v>
      </c>
      <c r="AV65" s="48" t="b">
        <f>H65=[1]员工报账!H65</f>
        <v>1</v>
      </c>
      <c r="AW65" s="48" t="b">
        <f>I65=[1]员工报账!I65</f>
        <v>1</v>
      </c>
      <c r="AX65" s="48" t="b">
        <f>J65=[1]员工报账!J65</f>
        <v>1</v>
      </c>
      <c r="AY65" s="48" t="b">
        <f>K65=[1]员工报账!K65</f>
        <v>1</v>
      </c>
      <c r="AZ65" s="48" t="b">
        <f>L65=[1]员工报账!L65</f>
        <v>1</v>
      </c>
      <c r="BA65" s="48" t="b">
        <f>M65=[1]员工报账!M65</f>
        <v>1</v>
      </c>
      <c r="BB65" s="48" t="b">
        <f>N65=[1]员工报账!N65</f>
        <v>1</v>
      </c>
      <c r="BC65" s="48" t="b">
        <f>O65=[1]员工报账!O65</f>
        <v>1</v>
      </c>
      <c r="BD65" s="48" t="b">
        <f>P65=[1]员工报账!P65</f>
        <v>1</v>
      </c>
      <c r="BE65" s="48" t="b">
        <f>Q65=[1]员工报账!Q65</f>
        <v>1</v>
      </c>
      <c r="BF65" s="48" t="b">
        <f>R65=[1]员工报账!R65</f>
        <v>1</v>
      </c>
      <c r="BG65" s="48" t="b">
        <f>S65=[1]员工报账!S65</f>
        <v>1</v>
      </c>
      <c r="BH65" s="48" t="b">
        <f>T65=[1]员工报账!T65</f>
        <v>1</v>
      </c>
      <c r="BI65" s="48" t="b">
        <f>U65=[1]员工报账!U65</f>
        <v>1</v>
      </c>
      <c r="BJ65" s="48" t="b">
        <f>V65=[1]员工报账!V65</f>
        <v>1</v>
      </c>
      <c r="BK65" s="48" t="b">
        <f>W65=[1]员工报账!W65</f>
        <v>1</v>
      </c>
      <c r="BL65" s="48" t="b">
        <f>X65=[1]员工报账!X65</f>
        <v>1</v>
      </c>
      <c r="BM65" s="48" t="b">
        <f>Y65=[1]员工报账!Y65</f>
        <v>1</v>
      </c>
      <c r="BN65" s="48" t="b">
        <f>Z65=[1]员工报账!Z65</f>
        <v>1</v>
      </c>
      <c r="BO65" s="48" t="b">
        <f>AA65=[1]员工报账!AA65</f>
        <v>1</v>
      </c>
      <c r="BP65" s="48" t="b">
        <f>AB65=[1]员工报账!AB65</f>
        <v>1</v>
      </c>
      <c r="BQ65" s="48" t="b">
        <f>AC65=[1]员工报账!AC65</f>
        <v>1</v>
      </c>
      <c r="BR65" s="48" t="b">
        <f>AD65=[1]员工报账!AD65</f>
        <v>1</v>
      </c>
      <c r="BS65" s="48" t="b">
        <f>AE65=[1]员工报账!AE65</f>
        <v>1</v>
      </c>
      <c r="BT65" s="48" t="b">
        <f>AF65=[1]员工报账!AF65</f>
        <v>1</v>
      </c>
      <c r="BU65" s="48" t="b">
        <f>AG65=[1]员工报账!AG65</f>
        <v>1</v>
      </c>
      <c r="BV65" s="48" t="b">
        <f>AH65=[1]员工报账!AH65</f>
        <v>1</v>
      </c>
      <c r="BW65" s="48" t="b">
        <f>AI65=[1]员工报账!AI65</f>
        <v>1</v>
      </c>
      <c r="BX65" s="48" t="b">
        <f>AJ65=[1]员工报账!AJ65</f>
        <v>1</v>
      </c>
    </row>
    <row r="66" s="48" customFormat="1" ht="132" spans="1:76">
      <c r="A66" s="67"/>
      <c r="B66" s="67"/>
      <c r="C66" s="38"/>
      <c r="D66" s="38"/>
      <c r="E66" s="66"/>
      <c r="F66" s="35"/>
      <c r="G66" s="38"/>
      <c r="H66" s="66"/>
      <c r="I66" s="35" t="s">
        <v>800</v>
      </c>
      <c r="J66" s="42" t="s">
        <v>801</v>
      </c>
      <c r="K66" s="35"/>
      <c r="L66" s="35"/>
      <c r="M66" s="35"/>
      <c r="N66" s="35"/>
      <c r="O66" s="35" t="s">
        <v>36</v>
      </c>
      <c r="P66" s="35" t="s">
        <v>36</v>
      </c>
      <c r="Q66" s="35"/>
      <c r="R66" s="35"/>
      <c r="S66" s="35"/>
      <c r="T66" s="35" t="s">
        <v>516</v>
      </c>
      <c r="U66" s="42"/>
      <c r="V66" s="42" t="s">
        <v>791</v>
      </c>
      <c r="W66" s="42" t="s">
        <v>792</v>
      </c>
      <c r="X66" s="35" t="s">
        <v>628</v>
      </c>
      <c r="Y66" s="35" t="s">
        <v>470</v>
      </c>
      <c r="Z66" s="35"/>
      <c r="AA66" s="35" t="s">
        <v>469</v>
      </c>
      <c r="AB66" s="35" t="s">
        <v>470</v>
      </c>
      <c r="AC66" s="35"/>
      <c r="AD66" s="42" t="s">
        <v>793</v>
      </c>
      <c r="AE66" s="35" t="s">
        <v>469</v>
      </c>
      <c r="AF66" s="35" t="s">
        <v>470</v>
      </c>
      <c r="AG66" s="35"/>
      <c r="AH66" s="35" t="s">
        <v>473</v>
      </c>
      <c r="AI66" s="35" t="s">
        <v>473</v>
      </c>
      <c r="AJ66" s="42" t="s">
        <v>799</v>
      </c>
      <c r="AK66" s="35" t="s">
        <v>795</v>
      </c>
      <c r="AL66" s="42" t="s">
        <v>796</v>
      </c>
      <c r="AM66" s="61"/>
      <c r="AN66" s="97"/>
      <c r="AO66" s="48" t="b">
        <f>A66=[1]员工报账!A66</f>
        <v>1</v>
      </c>
      <c r="AP66" s="48" t="b">
        <f>B66=[1]员工报账!B66</f>
        <v>1</v>
      </c>
      <c r="AQ66" s="48" t="b">
        <f>C66=[1]员工报账!C66</f>
        <v>1</v>
      </c>
      <c r="AR66" s="48" t="b">
        <f>D66=[1]员工报账!D66</f>
        <v>1</v>
      </c>
      <c r="AS66" s="48" t="b">
        <f>E66=[1]员工报账!E66</f>
        <v>1</v>
      </c>
      <c r="AT66" s="48" t="b">
        <f>F66=[1]员工报账!F66</f>
        <v>1</v>
      </c>
      <c r="AU66" s="48" t="b">
        <f>G66=[1]员工报账!G66</f>
        <v>1</v>
      </c>
      <c r="AV66" s="48" t="b">
        <f>H66=[1]员工报账!H66</f>
        <v>1</v>
      </c>
      <c r="AW66" s="48" t="b">
        <f>I66=[1]员工报账!I66</f>
        <v>1</v>
      </c>
      <c r="AX66" s="48" t="b">
        <f>J66=[1]员工报账!J66</f>
        <v>1</v>
      </c>
      <c r="AY66" s="48" t="b">
        <f>K66=[1]员工报账!K66</f>
        <v>1</v>
      </c>
      <c r="AZ66" s="48" t="b">
        <f>L66=[1]员工报账!L66</f>
        <v>1</v>
      </c>
      <c r="BA66" s="48" t="b">
        <f>M66=[1]员工报账!M66</f>
        <v>1</v>
      </c>
      <c r="BB66" s="48" t="b">
        <f>N66=[1]员工报账!N66</f>
        <v>1</v>
      </c>
      <c r="BC66" s="48" t="b">
        <f>O66=[1]员工报账!O66</f>
        <v>1</v>
      </c>
      <c r="BD66" s="48" t="b">
        <f>P66=[1]员工报账!P66</f>
        <v>1</v>
      </c>
      <c r="BE66" s="48" t="b">
        <f>Q66=[1]员工报账!Q66</f>
        <v>1</v>
      </c>
      <c r="BF66" s="48" t="b">
        <f>R66=[1]员工报账!R66</f>
        <v>1</v>
      </c>
      <c r="BG66" s="48" t="b">
        <f>S66=[1]员工报账!S66</f>
        <v>1</v>
      </c>
      <c r="BH66" s="48" t="b">
        <f>T66=[1]员工报账!T66</f>
        <v>1</v>
      </c>
      <c r="BI66" s="48" t="b">
        <f>U66=[1]员工报账!U66</f>
        <v>1</v>
      </c>
      <c r="BJ66" s="48" t="b">
        <f>V66=[1]员工报账!V66</f>
        <v>1</v>
      </c>
      <c r="BK66" s="48" t="b">
        <f>W66=[1]员工报账!W66</f>
        <v>1</v>
      </c>
      <c r="BL66" s="48" t="b">
        <f>X66=[1]员工报账!X66</f>
        <v>1</v>
      </c>
      <c r="BM66" s="48" t="b">
        <f>Y66=[1]员工报账!Y66</f>
        <v>1</v>
      </c>
      <c r="BN66" s="48" t="b">
        <f>Z66=[1]员工报账!Z66</f>
        <v>1</v>
      </c>
      <c r="BO66" s="48" t="b">
        <f>AA66=[1]员工报账!AA66</f>
        <v>1</v>
      </c>
      <c r="BP66" s="48" t="b">
        <f>AB66=[1]员工报账!AB66</f>
        <v>1</v>
      </c>
      <c r="BQ66" s="48" t="b">
        <f>AC66=[1]员工报账!AC66</f>
        <v>1</v>
      </c>
      <c r="BR66" s="48" t="b">
        <f>AD66=[1]员工报账!AD66</f>
        <v>1</v>
      </c>
      <c r="BS66" s="48" t="b">
        <f>AE66=[1]员工报账!AE66</f>
        <v>1</v>
      </c>
      <c r="BT66" s="48" t="b">
        <f>AF66=[1]员工报账!AF66</f>
        <v>1</v>
      </c>
      <c r="BU66" s="48" t="b">
        <f>AG66=[1]员工报账!AG66</f>
        <v>1</v>
      </c>
      <c r="BV66" s="48" t="b">
        <f>AH66=[1]员工报账!AH66</f>
        <v>1</v>
      </c>
      <c r="BW66" s="48" t="b">
        <f>AI66=[1]员工报账!AI66</f>
        <v>1</v>
      </c>
      <c r="BX66" s="48" t="b">
        <f>AJ66=[1]员工报账!AJ66</f>
        <v>1</v>
      </c>
    </row>
    <row r="67" s="48" customFormat="1" ht="132" spans="1:76">
      <c r="A67" s="62" t="s">
        <v>453</v>
      </c>
      <c r="B67" s="62" t="s">
        <v>644</v>
      </c>
      <c r="C67" s="63" t="s">
        <v>619</v>
      </c>
      <c r="D67" s="63" t="s">
        <v>784</v>
      </c>
      <c r="E67" s="64" t="s">
        <v>785</v>
      </c>
      <c r="F67" s="35"/>
      <c r="G67" s="63" t="s">
        <v>786</v>
      </c>
      <c r="H67" s="64" t="s">
        <v>787</v>
      </c>
      <c r="I67" s="38" t="s">
        <v>802</v>
      </c>
      <c r="J67" s="66" t="s">
        <v>803</v>
      </c>
      <c r="K67" s="35"/>
      <c r="L67" s="35"/>
      <c r="M67" s="35"/>
      <c r="N67" s="35"/>
      <c r="O67" s="35"/>
      <c r="P67" s="35"/>
      <c r="Q67" s="35"/>
      <c r="R67" s="35" t="s">
        <v>36</v>
      </c>
      <c r="S67" s="35"/>
      <c r="T67" s="39" t="s">
        <v>804</v>
      </c>
      <c r="U67" s="32" t="s">
        <v>805</v>
      </c>
      <c r="V67" s="42" t="s">
        <v>791</v>
      </c>
      <c r="W67" s="42" t="s">
        <v>792</v>
      </c>
      <c r="X67" s="35" t="s">
        <v>628</v>
      </c>
      <c r="Y67" s="35" t="s">
        <v>470</v>
      </c>
      <c r="Z67" s="35"/>
      <c r="AA67" s="35" t="s">
        <v>469</v>
      </c>
      <c r="AB67" s="35" t="s">
        <v>470</v>
      </c>
      <c r="AC67" s="35"/>
      <c r="AD67" s="42" t="s">
        <v>793</v>
      </c>
      <c r="AE67" s="35" t="s">
        <v>469</v>
      </c>
      <c r="AF67" s="35" t="s">
        <v>470</v>
      </c>
      <c r="AG67" s="35"/>
      <c r="AH67" s="35" t="s">
        <v>473</v>
      </c>
      <c r="AI67" s="35" t="s">
        <v>473</v>
      </c>
      <c r="AJ67" s="42" t="s">
        <v>794</v>
      </c>
      <c r="AK67" s="35" t="s">
        <v>795</v>
      </c>
      <c r="AL67" s="42" t="s">
        <v>796</v>
      </c>
      <c r="AM67" s="61"/>
      <c r="AN67" s="97" t="s">
        <v>806</v>
      </c>
      <c r="AO67" s="48" t="b">
        <f>A67=[1]员工报账!A67</f>
        <v>1</v>
      </c>
      <c r="AP67" s="48" t="b">
        <f>B67=[1]员工报账!B67</f>
        <v>1</v>
      </c>
      <c r="AQ67" s="48" t="b">
        <f>C67=[1]员工报账!C67</f>
        <v>1</v>
      </c>
      <c r="AR67" s="48" t="b">
        <f>D67=[1]员工报账!D67</f>
        <v>1</v>
      </c>
      <c r="AS67" s="48" t="b">
        <f>E67=[1]员工报账!E67</f>
        <v>1</v>
      </c>
      <c r="AT67" s="48" t="b">
        <f>F67=[1]员工报账!F67</f>
        <v>1</v>
      </c>
      <c r="AU67" s="48" t="b">
        <f>G67=[1]员工报账!G67</f>
        <v>1</v>
      </c>
      <c r="AV67" s="48" t="b">
        <f>H67=[1]员工报账!H67</f>
        <v>1</v>
      </c>
      <c r="AW67" s="48" t="b">
        <f>I67=[1]员工报账!I67</f>
        <v>1</v>
      </c>
      <c r="AX67" s="48" t="b">
        <f>J67=[1]员工报账!J67</f>
        <v>1</v>
      </c>
      <c r="AY67" s="48" t="b">
        <f>K67=[1]员工报账!K67</f>
        <v>1</v>
      </c>
      <c r="AZ67" s="48" t="b">
        <f>L67=[1]员工报账!L67</f>
        <v>1</v>
      </c>
      <c r="BA67" s="48" t="b">
        <f>M67=[1]员工报账!M67</f>
        <v>1</v>
      </c>
      <c r="BB67" s="48" t="b">
        <f>N67=[1]员工报账!N67</f>
        <v>1</v>
      </c>
      <c r="BC67" s="48" t="b">
        <f>O67=[1]员工报账!O67</f>
        <v>1</v>
      </c>
      <c r="BD67" s="48" t="b">
        <f>P67=[1]员工报账!P67</f>
        <v>1</v>
      </c>
      <c r="BE67" s="48" t="b">
        <f>Q67=[1]员工报账!Q67</f>
        <v>1</v>
      </c>
      <c r="BF67" s="48" t="b">
        <f>R67=[1]员工报账!R67</f>
        <v>1</v>
      </c>
      <c r="BG67" s="48" t="b">
        <f>S67=[1]员工报账!S67</f>
        <v>1</v>
      </c>
      <c r="BH67" s="48" t="b">
        <f>T67=[1]员工报账!T67</f>
        <v>0</v>
      </c>
      <c r="BI67" s="48" t="b">
        <f>U67=[1]员工报账!U67</f>
        <v>0</v>
      </c>
      <c r="BJ67" s="48" t="b">
        <f>V67=[1]员工报账!V67</f>
        <v>1</v>
      </c>
      <c r="BK67" s="48" t="b">
        <f>W67=[1]员工报账!W67</f>
        <v>1</v>
      </c>
      <c r="BL67" s="48" t="b">
        <f>X67=[1]员工报账!X67</f>
        <v>1</v>
      </c>
      <c r="BM67" s="48" t="b">
        <f>Y67=[1]员工报账!Y67</f>
        <v>1</v>
      </c>
      <c r="BN67" s="48" t="b">
        <f>Z67=[1]员工报账!Z67</f>
        <v>1</v>
      </c>
      <c r="BO67" s="48" t="b">
        <f>AA67=[1]员工报账!AA67</f>
        <v>1</v>
      </c>
      <c r="BP67" s="48" t="b">
        <f>AB67=[1]员工报账!AB67</f>
        <v>1</v>
      </c>
      <c r="BQ67" s="48" t="b">
        <f>AC67=[1]员工报账!AC67</f>
        <v>1</v>
      </c>
      <c r="BR67" s="48" t="b">
        <f>AD67=[1]员工报账!AD67</f>
        <v>1</v>
      </c>
      <c r="BS67" s="48" t="b">
        <f>AE67=[1]员工报账!AE67</f>
        <v>1</v>
      </c>
      <c r="BT67" s="48" t="b">
        <f>AF67=[1]员工报账!AF67</f>
        <v>1</v>
      </c>
      <c r="BU67" s="48" t="b">
        <f>AG67=[1]员工报账!AG67</f>
        <v>1</v>
      </c>
      <c r="BV67" s="48" t="b">
        <f>AH67=[1]员工报账!AH67</f>
        <v>1</v>
      </c>
      <c r="BW67" s="48" t="b">
        <f>AI67=[1]员工报账!AI67</f>
        <v>1</v>
      </c>
      <c r="BX67" s="48" t="b">
        <f>AJ67=[1]员工报账!AJ67</f>
        <v>1</v>
      </c>
    </row>
    <row r="68" s="48" customFormat="1" ht="171.6" spans="1:76">
      <c r="A68" s="62"/>
      <c r="B68" s="62"/>
      <c r="C68" s="38"/>
      <c r="D68" s="38"/>
      <c r="E68" s="66"/>
      <c r="F68" s="35"/>
      <c r="G68" s="38"/>
      <c r="H68" s="66"/>
      <c r="I68" s="35" t="s">
        <v>807</v>
      </c>
      <c r="J68" s="42" t="s">
        <v>808</v>
      </c>
      <c r="K68" s="35"/>
      <c r="L68" s="35"/>
      <c r="M68" s="35" t="s">
        <v>36</v>
      </c>
      <c r="N68" s="35"/>
      <c r="O68" s="35"/>
      <c r="P68" s="35" t="s">
        <v>36</v>
      </c>
      <c r="Q68" s="35" t="s">
        <v>36</v>
      </c>
      <c r="R68" s="35"/>
      <c r="S68" s="35"/>
      <c r="T68" s="35" t="s">
        <v>516</v>
      </c>
      <c r="U68" s="42"/>
      <c r="V68" s="42" t="s">
        <v>791</v>
      </c>
      <c r="W68" s="42" t="s">
        <v>809</v>
      </c>
      <c r="X68" s="35" t="s">
        <v>628</v>
      </c>
      <c r="Y68" s="35" t="s">
        <v>470</v>
      </c>
      <c r="Z68" s="35"/>
      <c r="AA68" s="35" t="s">
        <v>469</v>
      </c>
      <c r="AB68" s="35" t="s">
        <v>470</v>
      </c>
      <c r="AC68" s="35"/>
      <c r="AD68" s="42" t="s">
        <v>793</v>
      </c>
      <c r="AE68" s="35" t="s">
        <v>469</v>
      </c>
      <c r="AF68" s="35" t="s">
        <v>470</v>
      </c>
      <c r="AG68" s="35"/>
      <c r="AH68" s="35" t="s">
        <v>473</v>
      </c>
      <c r="AI68" s="35" t="s">
        <v>473</v>
      </c>
      <c r="AJ68" s="42" t="s">
        <v>794</v>
      </c>
      <c r="AK68" s="35" t="s">
        <v>795</v>
      </c>
      <c r="AL68" s="42" t="s">
        <v>796</v>
      </c>
      <c r="AM68" s="61"/>
      <c r="AN68" s="97"/>
      <c r="AO68" s="48" t="b">
        <f>A68=[1]员工报账!A68</f>
        <v>1</v>
      </c>
      <c r="AP68" s="48" t="b">
        <f>B68=[1]员工报账!B68</f>
        <v>1</v>
      </c>
      <c r="AQ68" s="48" t="b">
        <f>C68=[1]员工报账!C68</f>
        <v>1</v>
      </c>
      <c r="AR68" s="48" t="b">
        <f>D68=[1]员工报账!D68</f>
        <v>1</v>
      </c>
      <c r="AS68" s="48" t="b">
        <f>E68=[1]员工报账!E68</f>
        <v>1</v>
      </c>
      <c r="AT68" s="48" t="b">
        <f>F68=[1]员工报账!F68</f>
        <v>1</v>
      </c>
      <c r="AU68" s="48" t="b">
        <f>G68=[1]员工报账!G68</f>
        <v>1</v>
      </c>
      <c r="AV68" s="48" t="b">
        <f>H68=[1]员工报账!H68</f>
        <v>1</v>
      </c>
      <c r="AW68" s="48" t="b">
        <f>I68=[1]员工报账!I68</f>
        <v>1</v>
      </c>
      <c r="AX68" s="48" t="b">
        <f>J68=[1]员工报账!J68</f>
        <v>1</v>
      </c>
      <c r="AY68" s="48" t="b">
        <f>K68=[1]员工报账!K68</f>
        <v>1</v>
      </c>
      <c r="AZ68" s="48" t="b">
        <f>L68=[1]员工报账!L68</f>
        <v>1</v>
      </c>
      <c r="BA68" s="48" t="b">
        <f>M68=[1]员工报账!M68</f>
        <v>1</v>
      </c>
      <c r="BB68" s="48" t="b">
        <f>N68=[1]员工报账!N68</f>
        <v>1</v>
      </c>
      <c r="BC68" s="48" t="b">
        <f>O68=[1]员工报账!O68</f>
        <v>1</v>
      </c>
      <c r="BD68" s="48" t="b">
        <f>P68=[1]员工报账!P68</f>
        <v>1</v>
      </c>
      <c r="BE68" s="48" t="b">
        <f>Q68=[1]员工报账!Q68</f>
        <v>1</v>
      </c>
      <c r="BF68" s="48" t="b">
        <f>R68=[1]员工报账!R68</f>
        <v>1</v>
      </c>
      <c r="BG68" s="48" t="b">
        <f>S68=[1]员工报账!S68</f>
        <v>1</v>
      </c>
      <c r="BH68" s="48" t="b">
        <f>T68=[1]员工报账!T68</f>
        <v>1</v>
      </c>
      <c r="BI68" s="48" t="b">
        <f>U68=[1]员工报账!U68</f>
        <v>1</v>
      </c>
      <c r="BJ68" s="48" t="b">
        <f>V68=[1]员工报账!V68</f>
        <v>1</v>
      </c>
      <c r="BK68" s="48" t="b">
        <f>W68=[1]员工报账!W68</f>
        <v>1</v>
      </c>
      <c r="BL68" s="48" t="b">
        <f>X68=[1]员工报账!X68</f>
        <v>1</v>
      </c>
      <c r="BM68" s="48" t="b">
        <f>Y68=[1]员工报账!Y68</f>
        <v>1</v>
      </c>
      <c r="BN68" s="48" t="b">
        <f>Z68=[1]员工报账!Z68</f>
        <v>1</v>
      </c>
      <c r="BO68" s="48" t="b">
        <f>AA68=[1]员工报账!AA68</f>
        <v>1</v>
      </c>
      <c r="BP68" s="48" t="b">
        <f>AB68=[1]员工报账!AB68</f>
        <v>1</v>
      </c>
      <c r="BQ68" s="48" t="b">
        <f>AC68=[1]员工报账!AC68</f>
        <v>1</v>
      </c>
      <c r="BR68" s="48" t="b">
        <f>AD68=[1]员工报账!AD68</f>
        <v>1</v>
      </c>
      <c r="BS68" s="48" t="b">
        <f>AE68=[1]员工报账!AE68</f>
        <v>1</v>
      </c>
      <c r="BT68" s="48" t="b">
        <f>AF68=[1]员工报账!AF68</f>
        <v>1</v>
      </c>
      <c r="BU68" s="48" t="b">
        <f>AG68=[1]员工报账!AG68</f>
        <v>1</v>
      </c>
      <c r="BV68" s="48" t="b">
        <f>AH68=[1]员工报账!AH68</f>
        <v>1</v>
      </c>
      <c r="BW68" s="48" t="b">
        <f>AI68=[1]员工报账!AI68</f>
        <v>1</v>
      </c>
      <c r="BX68" s="48" t="b">
        <f>AJ68=[1]员工报账!AJ68</f>
        <v>1</v>
      </c>
    </row>
    <row r="69" s="48" customFormat="1" ht="211.2" spans="1:76">
      <c r="A69" s="56" t="s">
        <v>453</v>
      </c>
      <c r="B69" s="56" t="s">
        <v>644</v>
      </c>
      <c r="C69" s="57" t="s">
        <v>619</v>
      </c>
      <c r="D69" s="57" t="s">
        <v>810</v>
      </c>
      <c r="E69" s="58" t="s">
        <v>811</v>
      </c>
      <c r="F69" s="57"/>
      <c r="G69" s="57" t="s">
        <v>812</v>
      </c>
      <c r="H69" s="58" t="s">
        <v>813</v>
      </c>
      <c r="I69" s="35" t="s">
        <v>814</v>
      </c>
      <c r="J69" s="42" t="s">
        <v>815</v>
      </c>
      <c r="K69" s="35"/>
      <c r="L69" s="35" t="s">
        <v>36</v>
      </c>
      <c r="M69" s="35"/>
      <c r="N69" s="35"/>
      <c r="O69" s="35" t="s">
        <v>36</v>
      </c>
      <c r="P69" s="35"/>
      <c r="Q69" s="35"/>
      <c r="R69" s="35" t="s">
        <v>36</v>
      </c>
      <c r="S69" s="35"/>
      <c r="T69" s="35" t="s">
        <v>516</v>
      </c>
      <c r="U69" s="42"/>
      <c r="V69" s="42" t="s">
        <v>816</v>
      </c>
      <c r="W69" s="42" t="s">
        <v>817</v>
      </c>
      <c r="X69" s="35" t="s">
        <v>628</v>
      </c>
      <c r="Y69" s="35" t="s">
        <v>470</v>
      </c>
      <c r="Z69" s="35"/>
      <c r="AA69" s="35" t="s">
        <v>469</v>
      </c>
      <c r="AB69" s="35" t="s">
        <v>470</v>
      </c>
      <c r="AC69" s="35"/>
      <c r="AD69" s="42" t="s">
        <v>818</v>
      </c>
      <c r="AE69" s="35" t="s">
        <v>469</v>
      </c>
      <c r="AF69" s="35" t="s">
        <v>470</v>
      </c>
      <c r="AG69" s="35"/>
      <c r="AH69" s="35" t="s">
        <v>473</v>
      </c>
      <c r="AI69" s="35" t="s">
        <v>473</v>
      </c>
      <c r="AJ69" s="42" t="s">
        <v>819</v>
      </c>
      <c r="AK69" s="35" t="s">
        <v>475</v>
      </c>
      <c r="AL69" s="42" t="s">
        <v>476</v>
      </c>
      <c r="AM69" s="61"/>
      <c r="AN69" s="97"/>
      <c r="AO69" s="48" t="b">
        <f>A69=[1]员工报账!A73</f>
        <v>1</v>
      </c>
      <c r="AP69" s="48" t="b">
        <f>B69=[1]员工报账!B73</f>
        <v>1</v>
      </c>
      <c r="AQ69" s="48" t="b">
        <f>C69=[1]员工报账!C73</f>
        <v>1</v>
      </c>
      <c r="AR69" s="48" t="b">
        <f>D69=[1]员工报账!D73</f>
        <v>1</v>
      </c>
      <c r="AS69" s="48" t="b">
        <f>E69=[1]员工报账!E73</f>
        <v>1</v>
      </c>
      <c r="AT69" s="48" t="b">
        <f>F69=[1]员工报账!F73</f>
        <v>1</v>
      </c>
      <c r="AU69" s="48" t="b">
        <f>G69=[1]员工报账!G73</f>
        <v>1</v>
      </c>
      <c r="AV69" s="48" t="b">
        <f>H69=[1]员工报账!H73</f>
        <v>1</v>
      </c>
      <c r="AW69" s="48" t="b">
        <f>I69=[1]员工报账!I73</f>
        <v>1</v>
      </c>
      <c r="AX69" s="48" t="b">
        <f>J69=[1]员工报账!J73</f>
        <v>1</v>
      </c>
      <c r="AY69" s="48" t="b">
        <f>K69=[1]员工报账!K73</f>
        <v>1</v>
      </c>
      <c r="AZ69" s="48" t="b">
        <f>L69=[1]员工报账!L73</f>
        <v>1</v>
      </c>
      <c r="BA69" s="48" t="b">
        <f>M69=[1]员工报账!M73</f>
        <v>1</v>
      </c>
      <c r="BB69" s="48" t="b">
        <f>N69=[1]员工报账!N73</f>
        <v>1</v>
      </c>
      <c r="BC69" s="48" t="b">
        <f>O69=[1]员工报账!O73</f>
        <v>1</v>
      </c>
      <c r="BD69" s="48" t="b">
        <f>P69=[1]员工报账!P73</f>
        <v>1</v>
      </c>
      <c r="BE69" s="48" t="b">
        <f>Q69=[1]员工报账!Q73</f>
        <v>1</v>
      </c>
      <c r="BF69" s="48" t="b">
        <f>R69=[1]员工报账!R73</f>
        <v>1</v>
      </c>
      <c r="BG69" s="48" t="b">
        <f>S69=[1]员工报账!S73</f>
        <v>1</v>
      </c>
      <c r="BH69" s="48" t="b">
        <f>T69=[1]员工报账!T73</f>
        <v>1</v>
      </c>
      <c r="BI69" s="48" t="b">
        <f>U69=[1]员工报账!U73</f>
        <v>1</v>
      </c>
      <c r="BJ69" s="48" t="b">
        <f>V69=[1]员工报账!V73</f>
        <v>1</v>
      </c>
      <c r="BK69" s="48" t="b">
        <f>W69=[1]员工报账!W73</f>
        <v>1</v>
      </c>
      <c r="BL69" s="48" t="b">
        <f>X69=[1]员工报账!X73</f>
        <v>1</v>
      </c>
      <c r="BM69" s="48" t="b">
        <f>Y69=[1]员工报账!Y73</f>
        <v>1</v>
      </c>
      <c r="BN69" s="48" t="b">
        <f>Z69=[1]员工报账!Z73</f>
        <v>1</v>
      </c>
      <c r="BO69" s="48" t="b">
        <f>AA69=[1]员工报账!AA73</f>
        <v>1</v>
      </c>
      <c r="BP69" s="48" t="b">
        <f>AB69=[1]员工报账!AB73</f>
        <v>1</v>
      </c>
      <c r="BQ69" s="48" t="b">
        <f>AC69=[1]员工报账!AC73</f>
        <v>1</v>
      </c>
      <c r="BR69" s="48" t="b">
        <f>AD69=[1]员工报账!AD73</f>
        <v>1</v>
      </c>
      <c r="BS69" s="48" t="b">
        <f>AE69=[1]员工报账!AE73</f>
        <v>1</v>
      </c>
      <c r="BT69" s="48" t="b">
        <f>AF69=[1]员工报账!AF73</f>
        <v>1</v>
      </c>
      <c r="BU69" s="48" t="b">
        <f>AG69=[1]员工报账!AG73</f>
        <v>1</v>
      </c>
      <c r="BV69" s="48" t="b">
        <f>AH69=[1]员工报账!AH73</f>
        <v>1</v>
      </c>
      <c r="BW69" s="48" t="b">
        <f>AI69=[1]员工报账!AI73</f>
        <v>1</v>
      </c>
      <c r="BX69" s="48" t="b">
        <f>AJ69=[1]员工报账!AJ73</f>
        <v>1</v>
      </c>
    </row>
    <row r="70" s="48" customFormat="1" ht="211.2" spans="1:76">
      <c r="A70" s="62"/>
      <c r="B70" s="62"/>
      <c r="C70" s="63"/>
      <c r="D70" s="63"/>
      <c r="E70" s="64"/>
      <c r="F70" s="63"/>
      <c r="G70" s="63"/>
      <c r="H70" s="64"/>
      <c r="I70" s="35" t="s">
        <v>820</v>
      </c>
      <c r="J70" s="42" t="s">
        <v>821</v>
      </c>
      <c r="K70" s="35"/>
      <c r="L70" s="35"/>
      <c r="M70" s="35" t="s">
        <v>36</v>
      </c>
      <c r="N70" s="35"/>
      <c r="O70" s="35" t="s">
        <v>36</v>
      </c>
      <c r="P70" s="35"/>
      <c r="Q70" s="35"/>
      <c r="R70" s="35"/>
      <c r="S70" s="35"/>
      <c r="T70" s="35" t="s">
        <v>516</v>
      </c>
      <c r="U70" s="42"/>
      <c r="V70" s="42" t="s">
        <v>816</v>
      </c>
      <c r="W70" s="42" t="s">
        <v>817</v>
      </c>
      <c r="X70" s="35" t="s">
        <v>628</v>
      </c>
      <c r="Y70" s="35" t="s">
        <v>470</v>
      </c>
      <c r="Z70" s="35"/>
      <c r="AA70" s="35" t="s">
        <v>469</v>
      </c>
      <c r="AB70" s="35" t="s">
        <v>470</v>
      </c>
      <c r="AC70" s="35"/>
      <c r="AD70" s="42" t="s">
        <v>818</v>
      </c>
      <c r="AE70" s="35" t="s">
        <v>469</v>
      </c>
      <c r="AF70" s="35" t="s">
        <v>470</v>
      </c>
      <c r="AG70" s="35"/>
      <c r="AH70" s="35" t="s">
        <v>473</v>
      </c>
      <c r="AI70" s="35" t="s">
        <v>473</v>
      </c>
      <c r="AJ70" s="42" t="s">
        <v>819</v>
      </c>
      <c r="AK70" s="35" t="s">
        <v>475</v>
      </c>
      <c r="AL70" s="42" t="s">
        <v>476</v>
      </c>
      <c r="AM70" s="61"/>
      <c r="AN70" s="97"/>
      <c r="AO70" s="48" t="b">
        <f>A70=[1]员工报账!A74</f>
        <v>1</v>
      </c>
      <c r="AP70" s="48" t="b">
        <f>B70=[1]员工报账!B74</f>
        <v>1</v>
      </c>
      <c r="AQ70" s="48" t="b">
        <f>C70=[1]员工报账!C74</f>
        <v>1</v>
      </c>
      <c r="AR70" s="48" t="b">
        <f>D70=[1]员工报账!D74</f>
        <v>1</v>
      </c>
      <c r="AS70" s="48" t="b">
        <f>E70=[1]员工报账!E74</f>
        <v>1</v>
      </c>
      <c r="AT70" s="48" t="b">
        <f>F70=[1]员工报账!F74</f>
        <v>1</v>
      </c>
      <c r="AU70" s="48" t="b">
        <f>G70=[1]员工报账!G74</f>
        <v>1</v>
      </c>
      <c r="AV70" s="48" t="b">
        <f>H70=[1]员工报账!H74</f>
        <v>1</v>
      </c>
      <c r="AW70" s="48" t="b">
        <f>I70=[1]员工报账!I74</f>
        <v>1</v>
      </c>
      <c r="AX70" s="48" t="b">
        <f>J70=[1]员工报账!J74</f>
        <v>1</v>
      </c>
      <c r="AY70" s="48" t="b">
        <f>K70=[1]员工报账!K74</f>
        <v>1</v>
      </c>
      <c r="AZ70" s="48" t="b">
        <f>L70=[1]员工报账!L74</f>
        <v>1</v>
      </c>
      <c r="BA70" s="48" t="b">
        <f>M70=[1]员工报账!M74</f>
        <v>1</v>
      </c>
      <c r="BB70" s="48" t="b">
        <f>N70=[1]员工报账!N74</f>
        <v>1</v>
      </c>
      <c r="BC70" s="48" t="b">
        <f>O70=[1]员工报账!O74</f>
        <v>1</v>
      </c>
      <c r="BD70" s="48" t="b">
        <f>P70=[1]员工报账!P74</f>
        <v>1</v>
      </c>
      <c r="BE70" s="48" t="b">
        <f>Q70=[1]员工报账!Q74</f>
        <v>1</v>
      </c>
      <c r="BF70" s="48" t="b">
        <f>R70=[1]员工报账!R74</f>
        <v>1</v>
      </c>
      <c r="BG70" s="48" t="b">
        <f>S70=[1]员工报账!S74</f>
        <v>1</v>
      </c>
      <c r="BH70" s="48" t="b">
        <f>T70=[1]员工报账!T74</f>
        <v>1</v>
      </c>
      <c r="BI70" s="48" t="b">
        <f>U70=[1]员工报账!U74</f>
        <v>1</v>
      </c>
      <c r="BJ70" s="48" t="b">
        <f>V70=[1]员工报账!V74</f>
        <v>1</v>
      </c>
      <c r="BK70" s="48" t="b">
        <f>W70=[1]员工报账!W74</f>
        <v>1</v>
      </c>
      <c r="BL70" s="48" t="b">
        <f>X70=[1]员工报账!X74</f>
        <v>1</v>
      </c>
      <c r="BM70" s="48" t="b">
        <f>Y70=[1]员工报账!Y74</f>
        <v>1</v>
      </c>
      <c r="BN70" s="48" t="b">
        <f>Z70=[1]员工报账!Z74</f>
        <v>1</v>
      </c>
      <c r="BO70" s="48" t="b">
        <f>AA70=[1]员工报账!AA74</f>
        <v>1</v>
      </c>
      <c r="BP70" s="48" t="b">
        <f>AB70=[1]员工报账!AB74</f>
        <v>1</v>
      </c>
      <c r="BQ70" s="48" t="b">
        <f>AC70=[1]员工报账!AC74</f>
        <v>1</v>
      </c>
      <c r="BR70" s="48" t="b">
        <f>AD70=[1]员工报账!AD74</f>
        <v>1</v>
      </c>
      <c r="BS70" s="48" t="b">
        <f>AE70=[1]员工报账!AE74</f>
        <v>1</v>
      </c>
      <c r="BT70" s="48" t="b">
        <f>AF70=[1]员工报账!AF74</f>
        <v>1</v>
      </c>
      <c r="BU70" s="48" t="b">
        <f>AG70=[1]员工报账!AG74</f>
        <v>1</v>
      </c>
      <c r="BV70" s="48" t="b">
        <f>AH70=[1]员工报账!AH74</f>
        <v>1</v>
      </c>
      <c r="BW70" s="48" t="b">
        <f>AI70=[1]员工报账!AI74</f>
        <v>1</v>
      </c>
      <c r="BX70" s="48" t="b">
        <f>AJ70=[1]员工报账!AJ74</f>
        <v>1</v>
      </c>
    </row>
    <row r="71" s="48" customFormat="1" ht="211.2" spans="1:76">
      <c r="A71" s="62"/>
      <c r="B71" s="62"/>
      <c r="C71" s="38"/>
      <c r="D71" s="38"/>
      <c r="E71" s="66"/>
      <c r="F71" s="38"/>
      <c r="G71" s="38"/>
      <c r="H71" s="66"/>
      <c r="I71" s="35" t="s">
        <v>822</v>
      </c>
      <c r="J71" s="42" t="s">
        <v>823</v>
      </c>
      <c r="K71" s="35"/>
      <c r="L71" s="35"/>
      <c r="M71" s="35"/>
      <c r="N71" s="35"/>
      <c r="O71" s="35"/>
      <c r="P71" s="35"/>
      <c r="Q71" s="35" t="s">
        <v>36</v>
      </c>
      <c r="R71" s="35" t="s">
        <v>36</v>
      </c>
      <c r="S71" s="35"/>
      <c r="T71" s="35" t="s">
        <v>516</v>
      </c>
      <c r="U71" s="42"/>
      <c r="V71" s="42" t="s">
        <v>816</v>
      </c>
      <c r="W71" s="42" t="s">
        <v>824</v>
      </c>
      <c r="X71" s="35" t="s">
        <v>628</v>
      </c>
      <c r="Y71" s="35" t="s">
        <v>470</v>
      </c>
      <c r="Z71" s="35"/>
      <c r="AA71" s="35" t="s">
        <v>469</v>
      </c>
      <c r="AB71" s="35" t="s">
        <v>470</v>
      </c>
      <c r="AC71" s="35"/>
      <c r="AD71" s="42" t="s">
        <v>818</v>
      </c>
      <c r="AE71" s="35" t="s">
        <v>469</v>
      </c>
      <c r="AF71" s="35" t="s">
        <v>470</v>
      </c>
      <c r="AG71" s="35"/>
      <c r="AH71" s="35" t="s">
        <v>473</v>
      </c>
      <c r="AI71" s="35" t="s">
        <v>473</v>
      </c>
      <c r="AJ71" s="42" t="s">
        <v>819</v>
      </c>
      <c r="AK71" s="35" t="s">
        <v>475</v>
      </c>
      <c r="AL71" s="42" t="s">
        <v>476</v>
      </c>
      <c r="AM71" s="61"/>
      <c r="AN71" s="97"/>
      <c r="AO71" s="48" t="b">
        <f>A71=[1]员工报账!A75</f>
        <v>1</v>
      </c>
      <c r="AP71" s="48" t="b">
        <f>B71=[1]员工报账!B75</f>
        <v>1</v>
      </c>
      <c r="AQ71" s="48" t="b">
        <f>C71=[1]员工报账!C75</f>
        <v>1</v>
      </c>
      <c r="AR71" s="48" t="b">
        <f>D71=[1]员工报账!D75</f>
        <v>1</v>
      </c>
      <c r="AS71" s="48" t="b">
        <f>E71=[1]员工报账!E75</f>
        <v>1</v>
      </c>
      <c r="AT71" s="48" t="b">
        <f>F71=[1]员工报账!F75</f>
        <v>1</v>
      </c>
      <c r="AU71" s="48" t="b">
        <f>G71=[1]员工报账!G75</f>
        <v>1</v>
      </c>
      <c r="AV71" s="48" t="b">
        <f>H71=[1]员工报账!H75</f>
        <v>1</v>
      </c>
      <c r="AW71" s="48" t="b">
        <f>I71=[1]员工报账!I75</f>
        <v>1</v>
      </c>
      <c r="AX71" s="48" t="b">
        <f>J71=[1]员工报账!J75</f>
        <v>1</v>
      </c>
      <c r="AY71" s="48" t="b">
        <f>K71=[1]员工报账!K75</f>
        <v>1</v>
      </c>
      <c r="AZ71" s="48" t="b">
        <f>L71=[1]员工报账!L75</f>
        <v>1</v>
      </c>
      <c r="BA71" s="48" t="b">
        <f>M71=[1]员工报账!M75</f>
        <v>1</v>
      </c>
      <c r="BB71" s="48" t="b">
        <f>N71=[1]员工报账!N75</f>
        <v>1</v>
      </c>
      <c r="BC71" s="48" t="b">
        <f>O71=[1]员工报账!O75</f>
        <v>1</v>
      </c>
      <c r="BD71" s="48" t="b">
        <f>P71=[1]员工报账!P75</f>
        <v>1</v>
      </c>
      <c r="BE71" s="48" t="b">
        <f>Q71=[1]员工报账!Q75</f>
        <v>1</v>
      </c>
      <c r="BF71" s="48" t="b">
        <f>R71=[1]员工报账!R75</f>
        <v>1</v>
      </c>
      <c r="BG71" s="48" t="b">
        <f>S71=[1]员工报账!S75</f>
        <v>1</v>
      </c>
      <c r="BH71" s="48" t="b">
        <f>T71=[1]员工报账!T75</f>
        <v>1</v>
      </c>
      <c r="BI71" s="48" t="b">
        <f>U71=[1]员工报账!U75</f>
        <v>1</v>
      </c>
      <c r="BJ71" s="48" t="b">
        <f>V71=[1]员工报账!V75</f>
        <v>1</v>
      </c>
      <c r="BK71" s="48" t="b">
        <f>W71=[1]员工报账!W75</f>
        <v>1</v>
      </c>
      <c r="BL71" s="48" t="b">
        <f>X71=[1]员工报账!X75</f>
        <v>1</v>
      </c>
      <c r="BM71" s="48" t="b">
        <f>Y71=[1]员工报账!Y75</f>
        <v>1</v>
      </c>
      <c r="BN71" s="48" t="b">
        <f>Z71=[1]员工报账!Z75</f>
        <v>1</v>
      </c>
      <c r="BO71" s="48" t="b">
        <f>AA71=[1]员工报账!AA75</f>
        <v>1</v>
      </c>
      <c r="BP71" s="48" t="b">
        <f>AB71=[1]员工报账!AB75</f>
        <v>1</v>
      </c>
      <c r="BQ71" s="48" t="b">
        <f>AC71=[1]员工报账!AC75</f>
        <v>1</v>
      </c>
      <c r="BR71" s="48" t="b">
        <f>AD71=[1]员工报账!AD75</f>
        <v>1</v>
      </c>
      <c r="BS71" s="48" t="b">
        <f>AE71=[1]员工报账!AE75</f>
        <v>1</v>
      </c>
      <c r="BT71" s="48" t="b">
        <f>AF71=[1]员工报账!AF75</f>
        <v>1</v>
      </c>
      <c r="BU71" s="48" t="b">
        <f>AG71=[1]员工报账!AG75</f>
        <v>1</v>
      </c>
      <c r="BV71" s="48" t="b">
        <f>AH71=[1]员工报账!AH75</f>
        <v>1</v>
      </c>
      <c r="BW71" s="48" t="b">
        <f>AI71=[1]员工报账!AI75</f>
        <v>1</v>
      </c>
      <c r="BX71" s="48" t="b">
        <f>AJ71=[1]员工报账!AJ75</f>
        <v>1</v>
      </c>
    </row>
    <row r="72" s="48" customFormat="1" ht="211.2" spans="1:76">
      <c r="A72" s="62"/>
      <c r="B72" s="62"/>
      <c r="C72" s="57" t="s">
        <v>498</v>
      </c>
      <c r="D72" s="57" t="s">
        <v>825</v>
      </c>
      <c r="E72" s="58" t="s">
        <v>826</v>
      </c>
      <c r="F72" s="57"/>
      <c r="G72" s="57" t="s">
        <v>827</v>
      </c>
      <c r="H72" s="58" t="s">
        <v>828</v>
      </c>
      <c r="I72" s="35" t="s">
        <v>829</v>
      </c>
      <c r="J72" s="42" t="s">
        <v>830</v>
      </c>
      <c r="K72" s="35"/>
      <c r="L72" s="35"/>
      <c r="M72" s="35"/>
      <c r="N72" s="35"/>
      <c r="O72" s="35" t="s">
        <v>36</v>
      </c>
      <c r="P72" s="35" t="s">
        <v>36</v>
      </c>
      <c r="Q72" s="35"/>
      <c r="R72" s="35"/>
      <c r="S72" s="35"/>
      <c r="T72" s="35" t="s">
        <v>516</v>
      </c>
      <c r="U72" s="42"/>
      <c r="V72" s="42" t="s">
        <v>816</v>
      </c>
      <c r="W72" s="42" t="s">
        <v>817</v>
      </c>
      <c r="X72" s="35" t="s">
        <v>628</v>
      </c>
      <c r="Y72" s="35" t="s">
        <v>470</v>
      </c>
      <c r="Z72" s="35"/>
      <c r="AA72" s="35" t="s">
        <v>469</v>
      </c>
      <c r="AB72" s="35" t="s">
        <v>470</v>
      </c>
      <c r="AC72" s="35"/>
      <c r="AD72" s="42" t="s">
        <v>818</v>
      </c>
      <c r="AE72" s="35" t="s">
        <v>469</v>
      </c>
      <c r="AF72" s="35" t="s">
        <v>470</v>
      </c>
      <c r="AG72" s="35"/>
      <c r="AH72" s="35" t="s">
        <v>473</v>
      </c>
      <c r="AI72" s="35" t="s">
        <v>473</v>
      </c>
      <c r="AJ72" s="42" t="s">
        <v>819</v>
      </c>
      <c r="AK72" s="35" t="s">
        <v>475</v>
      </c>
      <c r="AL72" s="42" t="s">
        <v>476</v>
      </c>
      <c r="AM72" s="61"/>
      <c r="AN72" s="97"/>
      <c r="AO72" s="48" t="b">
        <f>A72=[1]员工报账!A76</f>
        <v>1</v>
      </c>
      <c r="AP72" s="48" t="b">
        <f>B72=[1]员工报账!B76</f>
        <v>1</v>
      </c>
      <c r="AQ72" s="48" t="b">
        <f>C72=[1]员工报账!C76</f>
        <v>1</v>
      </c>
      <c r="AR72" s="48" t="b">
        <f>D72=[1]员工报账!D76</f>
        <v>1</v>
      </c>
      <c r="AS72" s="48" t="b">
        <f>E72=[1]员工报账!E76</f>
        <v>1</v>
      </c>
      <c r="AT72" s="48" t="b">
        <f>F72=[1]员工报账!F76</f>
        <v>1</v>
      </c>
      <c r="AU72" s="48" t="b">
        <f>G72=[1]员工报账!G76</f>
        <v>1</v>
      </c>
      <c r="AV72" s="48" t="b">
        <f>H72=[1]员工报账!H76</f>
        <v>1</v>
      </c>
      <c r="AW72" s="48" t="b">
        <f>I72=[1]员工报账!I76</f>
        <v>1</v>
      </c>
      <c r="AX72" s="48" t="b">
        <f>J72=[1]员工报账!J76</f>
        <v>1</v>
      </c>
      <c r="AY72" s="48" t="b">
        <f>K72=[1]员工报账!K76</f>
        <v>1</v>
      </c>
      <c r="AZ72" s="48" t="b">
        <f>L72=[1]员工报账!L76</f>
        <v>1</v>
      </c>
      <c r="BA72" s="48" t="b">
        <f>M72=[1]员工报账!M76</f>
        <v>1</v>
      </c>
      <c r="BB72" s="48" t="b">
        <f>N72=[1]员工报账!N76</f>
        <v>1</v>
      </c>
      <c r="BC72" s="48" t="b">
        <f>O72=[1]员工报账!O76</f>
        <v>1</v>
      </c>
      <c r="BD72" s="48" t="b">
        <f>P72=[1]员工报账!P76</f>
        <v>1</v>
      </c>
      <c r="BE72" s="48" t="b">
        <f>Q72=[1]员工报账!Q76</f>
        <v>1</v>
      </c>
      <c r="BF72" s="48" t="b">
        <f>R72=[1]员工报账!R76</f>
        <v>1</v>
      </c>
      <c r="BG72" s="48" t="b">
        <f>S72=[1]员工报账!S76</f>
        <v>1</v>
      </c>
      <c r="BH72" s="48" t="b">
        <f>T72=[1]员工报账!T76</f>
        <v>1</v>
      </c>
      <c r="BI72" s="48" t="b">
        <f>U72=[1]员工报账!U76</f>
        <v>1</v>
      </c>
      <c r="BJ72" s="48" t="b">
        <f>V72=[1]员工报账!V76</f>
        <v>1</v>
      </c>
      <c r="BK72" s="48" t="b">
        <f>W72=[1]员工报账!W76</f>
        <v>1</v>
      </c>
      <c r="BL72" s="48" t="b">
        <f>X72=[1]员工报账!X76</f>
        <v>1</v>
      </c>
      <c r="BM72" s="48" t="b">
        <f>Y72=[1]员工报账!Y76</f>
        <v>1</v>
      </c>
      <c r="BN72" s="48" t="b">
        <f>Z72=[1]员工报账!Z76</f>
        <v>1</v>
      </c>
      <c r="BO72" s="48" t="b">
        <f>AA72=[1]员工报账!AA76</f>
        <v>1</v>
      </c>
      <c r="BP72" s="48" t="b">
        <f>AB72=[1]员工报账!AB76</f>
        <v>1</v>
      </c>
      <c r="BQ72" s="48" t="b">
        <f>AC72=[1]员工报账!AC76</f>
        <v>1</v>
      </c>
      <c r="BR72" s="48" t="b">
        <f>AD72=[1]员工报账!AD76</f>
        <v>1</v>
      </c>
      <c r="BS72" s="48" t="b">
        <f>AE72=[1]员工报账!AE76</f>
        <v>1</v>
      </c>
      <c r="BT72" s="48" t="b">
        <f>AF72=[1]员工报账!AF76</f>
        <v>1</v>
      </c>
      <c r="BU72" s="48" t="b">
        <f>AG72=[1]员工报账!AG76</f>
        <v>1</v>
      </c>
      <c r="BV72" s="48" t="b">
        <f>AH72=[1]员工报账!AH76</f>
        <v>1</v>
      </c>
      <c r="BW72" s="48" t="b">
        <f>AI72=[1]员工报账!AI76</f>
        <v>1</v>
      </c>
      <c r="BX72" s="48" t="b">
        <f>AJ72=[1]员工报账!AJ76</f>
        <v>1</v>
      </c>
    </row>
    <row r="73" s="48" customFormat="1" ht="211.2" spans="1:76">
      <c r="A73" s="67"/>
      <c r="B73" s="67"/>
      <c r="C73" s="38"/>
      <c r="D73" s="38"/>
      <c r="E73" s="66"/>
      <c r="F73" s="38"/>
      <c r="G73" s="38"/>
      <c r="H73" s="66"/>
      <c r="I73" s="35" t="s">
        <v>831</v>
      </c>
      <c r="J73" s="42" t="s">
        <v>832</v>
      </c>
      <c r="K73" s="35"/>
      <c r="L73" s="35"/>
      <c r="M73" s="35"/>
      <c r="N73" s="35"/>
      <c r="O73" s="35"/>
      <c r="P73" s="35" t="s">
        <v>36</v>
      </c>
      <c r="Q73" s="35"/>
      <c r="R73" s="35" t="s">
        <v>36</v>
      </c>
      <c r="S73" s="35"/>
      <c r="T73" s="35" t="s">
        <v>516</v>
      </c>
      <c r="U73" s="42"/>
      <c r="V73" s="42" t="s">
        <v>816</v>
      </c>
      <c r="W73" s="42" t="s">
        <v>824</v>
      </c>
      <c r="X73" s="35" t="s">
        <v>628</v>
      </c>
      <c r="Y73" s="35" t="s">
        <v>470</v>
      </c>
      <c r="Z73" s="35"/>
      <c r="AA73" s="35" t="s">
        <v>469</v>
      </c>
      <c r="AB73" s="35" t="s">
        <v>470</v>
      </c>
      <c r="AC73" s="35"/>
      <c r="AD73" s="42" t="s">
        <v>818</v>
      </c>
      <c r="AE73" s="35" t="s">
        <v>469</v>
      </c>
      <c r="AF73" s="35" t="s">
        <v>470</v>
      </c>
      <c r="AG73" s="35"/>
      <c r="AH73" s="35" t="s">
        <v>473</v>
      </c>
      <c r="AI73" s="35" t="s">
        <v>473</v>
      </c>
      <c r="AJ73" s="42" t="s">
        <v>819</v>
      </c>
      <c r="AK73" s="35" t="s">
        <v>475</v>
      </c>
      <c r="AL73" s="42" t="s">
        <v>476</v>
      </c>
      <c r="AM73" s="61"/>
      <c r="AN73" s="97"/>
      <c r="AO73" s="48" t="b">
        <f>A73=[1]员工报账!A77</f>
        <v>1</v>
      </c>
      <c r="AP73" s="48" t="b">
        <f>B73=[1]员工报账!B77</f>
        <v>1</v>
      </c>
      <c r="AQ73" s="48" t="b">
        <f>C73=[1]员工报账!C77</f>
        <v>1</v>
      </c>
      <c r="AR73" s="48" t="b">
        <f>D73=[1]员工报账!D77</f>
        <v>1</v>
      </c>
      <c r="AS73" s="48" t="b">
        <f>E73=[1]员工报账!E77</f>
        <v>1</v>
      </c>
      <c r="AT73" s="48" t="b">
        <f>F73=[1]员工报账!F77</f>
        <v>1</v>
      </c>
      <c r="AU73" s="48" t="b">
        <f>G73=[1]员工报账!G77</f>
        <v>1</v>
      </c>
      <c r="AV73" s="48" t="b">
        <f>H73=[1]员工报账!H77</f>
        <v>1</v>
      </c>
      <c r="AW73" s="48" t="b">
        <f>I73=[1]员工报账!I77</f>
        <v>1</v>
      </c>
      <c r="AX73" s="48" t="b">
        <f>J73=[1]员工报账!J77</f>
        <v>1</v>
      </c>
      <c r="AY73" s="48" t="b">
        <f>K73=[1]员工报账!K77</f>
        <v>1</v>
      </c>
      <c r="AZ73" s="48" t="b">
        <f>L73=[1]员工报账!L77</f>
        <v>1</v>
      </c>
      <c r="BA73" s="48" t="b">
        <f>M73=[1]员工报账!M77</f>
        <v>1</v>
      </c>
      <c r="BB73" s="48" t="b">
        <f>N73=[1]员工报账!N77</f>
        <v>1</v>
      </c>
      <c r="BC73" s="48" t="b">
        <f>O73=[1]员工报账!O77</f>
        <v>1</v>
      </c>
      <c r="BD73" s="48" t="b">
        <f>P73=[1]员工报账!P77</f>
        <v>1</v>
      </c>
      <c r="BE73" s="48" t="b">
        <f>Q73=[1]员工报账!Q77</f>
        <v>1</v>
      </c>
      <c r="BF73" s="48" t="b">
        <f>R73=[1]员工报账!R77</f>
        <v>1</v>
      </c>
      <c r="BG73" s="48" t="b">
        <f>S73=[1]员工报账!S77</f>
        <v>1</v>
      </c>
      <c r="BH73" s="48" t="b">
        <f>T73=[1]员工报账!T77</f>
        <v>1</v>
      </c>
      <c r="BI73" s="48" t="b">
        <f>U73=[1]员工报账!U77</f>
        <v>1</v>
      </c>
      <c r="BJ73" s="48" t="b">
        <f>V73=[1]员工报账!V77</f>
        <v>1</v>
      </c>
      <c r="BK73" s="48" t="b">
        <f>W73=[1]员工报账!W77</f>
        <v>1</v>
      </c>
      <c r="BL73" s="48" t="b">
        <f>X73=[1]员工报账!X77</f>
        <v>1</v>
      </c>
      <c r="BM73" s="48" t="b">
        <f>Y73=[1]员工报账!Y77</f>
        <v>1</v>
      </c>
      <c r="BN73" s="48" t="b">
        <f>Z73=[1]员工报账!Z77</f>
        <v>1</v>
      </c>
      <c r="BO73" s="48" t="b">
        <f>AA73=[1]员工报账!AA77</f>
        <v>1</v>
      </c>
      <c r="BP73" s="48" t="b">
        <f>AB73=[1]员工报账!AB77</f>
        <v>1</v>
      </c>
      <c r="BQ73" s="48" t="b">
        <f>AC73=[1]员工报账!AC77</f>
        <v>1</v>
      </c>
      <c r="BR73" s="48" t="b">
        <f>AD73=[1]员工报账!AD77</f>
        <v>1</v>
      </c>
      <c r="BS73" s="48" t="b">
        <f>AE73=[1]员工报账!AE77</f>
        <v>1</v>
      </c>
      <c r="BT73" s="48" t="b">
        <f>AF73=[1]员工报账!AF77</f>
        <v>1</v>
      </c>
      <c r="BU73" s="48" t="b">
        <f>AG73=[1]员工报账!AG77</f>
        <v>1</v>
      </c>
      <c r="BV73" s="48" t="b">
        <f>AH73=[1]员工报账!AH77</f>
        <v>1</v>
      </c>
      <c r="BW73" s="48" t="b">
        <f>AI73=[1]员工报账!AI77</f>
        <v>1</v>
      </c>
      <c r="BX73" s="48" t="b">
        <f>AJ73=[1]员工报账!AJ77</f>
        <v>1</v>
      </c>
    </row>
    <row r="74" s="48" customFormat="1" ht="184.8" spans="1:76">
      <c r="A74" s="56" t="s">
        <v>453</v>
      </c>
      <c r="B74" s="56" t="s">
        <v>644</v>
      </c>
      <c r="C74" s="57" t="s">
        <v>619</v>
      </c>
      <c r="D74" s="57" t="s">
        <v>833</v>
      </c>
      <c r="E74" s="58" t="s">
        <v>834</v>
      </c>
      <c r="F74" s="59" t="s">
        <v>835</v>
      </c>
      <c r="G74" s="57" t="s">
        <v>836</v>
      </c>
      <c r="H74" s="58" t="s">
        <v>837</v>
      </c>
      <c r="I74" s="35" t="s">
        <v>838</v>
      </c>
      <c r="J74" s="42" t="s">
        <v>839</v>
      </c>
      <c r="K74" s="35"/>
      <c r="L74" s="35"/>
      <c r="M74" s="35" t="s">
        <v>36</v>
      </c>
      <c r="N74" s="35"/>
      <c r="O74" s="35" t="s">
        <v>36</v>
      </c>
      <c r="P74" s="35"/>
      <c r="Q74" s="35"/>
      <c r="R74" s="35"/>
      <c r="S74" s="35"/>
      <c r="T74" s="35" t="s">
        <v>516</v>
      </c>
      <c r="U74" s="42"/>
      <c r="V74" s="42" t="s">
        <v>840</v>
      </c>
      <c r="W74" s="42" t="s">
        <v>841</v>
      </c>
      <c r="X74" s="35" t="s">
        <v>628</v>
      </c>
      <c r="Y74" s="35" t="s">
        <v>470</v>
      </c>
      <c r="Z74" s="35"/>
      <c r="AA74" s="35" t="s">
        <v>469</v>
      </c>
      <c r="AB74" s="35" t="s">
        <v>470</v>
      </c>
      <c r="AC74" s="35"/>
      <c r="AD74" s="42" t="s">
        <v>842</v>
      </c>
      <c r="AE74" s="35" t="s">
        <v>469</v>
      </c>
      <c r="AF74" s="35" t="s">
        <v>470</v>
      </c>
      <c r="AG74" s="35"/>
      <c r="AH74" s="35" t="s">
        <v>473</v>
      </c>
      <c r="AI74" s="35" t="s">
        <v>473</v>
      </c>
      <c r="AJ74" s="42" t="s">
        <v>843</v>
      </c>
      <c r="AK74" s="35" t="s">
        <v>475</v>
      </c>
      <c r="AL74" s="42" t="s">
        <v>476</v>
      </c>
      <c r="AM74" s="61"/>
      <c r="AN74" s="97"/>
      <c r="AO74" s="48" t="b">
        <f>A74=[1]员工报账!A78</f>
        <v>1</v>
      </c>
      <c r="AP74" s="48" t="b">
        <f>B74=[1]员工报账!B78</f>
        <v>1</v>
      </c>
      <c r="AQ74" s="48" t="b">
        <f>C74=[1]员工报账!C78</f>
        <v>1</v>
      </c>
      <c r="AR74" s="48" t="b">
        <f>D74=[1]员工报账!D78</f>
        <v>1</v>
      </c>
      <c r="AS74" s="48" t="b">
        <f>E74=[1]员工报账!E78</f>
        <v>1</v>
      </c>
      <c r="AT74" s="48" t="b">
        <f>F74=[1]员工报账!F78</f>
        <v>1</v>
      </c>
      <c r="AU74" s="48" t="b">
        <f>G74=[1]员工报账!G78</f>
        <v>1</v>
      </c>
      <c r="AV74" s="48" t="b">
        <f>H74=[1]员工报账!H78</f>
        <v>1</v>
      </c>
      <c r="AW74" s="48" t="b">
        <f>I74=[1]员工报账!I78</f>
        <v>1</v>
      </c>
      <c r="AX74" s="48" t="b">
        <f>J74=[1]员工报账!J78</f>
        <v>1</v>
      </c>
      <c r="AY74" s="48" t="b">
        <f>K74=[1]员工报账!K78</f>
        <v>1</v>
      </c>
      <c r="AZ74" s="48" t="b">
        <f>L74=[1]员工报账!L78</f>
        <v>1</v>
      </c>
      <c r="BA74" s="48" t="b">
        <f>M74=[1]员工报账!M78</f>
        <v>1</v>
      </c>
      <c r="BB74" s="48" t="b">
        <f>N74=[1]员工报账!N78</f>
        <v>1</v>
      </c>
      <c r="BC74" s="48" t="b">
        <f>O74=[1]员工报账!O78</f>
        <v>1</v>
      </c>
      <c r="BD74" s="48" t="b">
        <f>P74=[1]员工报账!P78</f>
        <v>1</v>
      </c>
      <c r="BE74" s="48" t="b">
        <f>Q74=[1]员工报账!Q78</f>
        <v>1</v>
      </c>
      <c r="BF74" s="48" t="b">
        <f>R74=[1]员工报账!R78</f>
        <v>1</v>
      </c>
      <c r="BG74" s="48" t="b">
        <f>S74=[1]员工报账!S78</f>
        <v>1</v>
      </c>
      <c r="BH74" s="48" t="b">
        <f>T74=[1]员工报账!T78</f>
        <v>1</v>
      </c>
      <c r="BI74" s="48" t="b">
        <f>U74=[1]员工报账!U78</f>
        <v>1</v>
      </c>
      <c r="BJ74" s="48" t="b">
        <f>V74=[1]员工报账!V78</f>
        <v>1</v>
      </c>
      <c r="BK74" s="48" t="b">
        <f>W74=[1]员工报账!W78</f>
        <v>1</v>
      </c>
      <c r="BL74" s="48" t="b">
        <f>X74=[1]员工报账!X78</f>
        <v>1</v>
      </c>
      <c r="BM74" s="48" t="b">
        <f>Y74=[1]员工报账!Y78</f>
        <v>1</v>
      </c>
      <c r="BN74" s="48" t="b">
        <f>Z74=[1]员工报账!Z78</f>
        <v>1</v>
      </c>
      <c r="BO74" s="48" t="b">
        <f>AA74=[1]员工报账!AA78</f>
        <v>1</v>
      </c>
      <c r="BP74" s="48" t="b">
        <f>AB74=[1]员工报账!AB78</f>
        <v>1</v>
      </c>
      <c r="BQ74" s="48" t="b">
        <f>AC74=[1]员工报账!AC78</f>
        <v>1</v>
      </c>
      <c r="BR74" s="48" t="b">
        <f>AD74=[1]员工报账!AD78</f>
        <v>1</v>
      </c>
      <c r="BS74" s="48" t="b">
        <f>AE74=[1]员工报账!AE78</f>
        <v>1</v>
      </c>
      <c r="BT74" s="48" t="b">
        <f>AF74=[1]员工报账!AF78</f>
        <v>1</v>
      </c>
      <c r="BU74" s="48" t="b">
        <f>AG74=[1]员工报账!AG78</f>
        <v>1</v>
      </c>
      <c r="BV74" s="48" t="b">
        <f>AH74=[1]员工报账!AH78</f>
        <v>1</v>
      </c>
      <c r="BW74" s="48" t="b">
        <f>AI74=[1]员工报账!AI78</f>
        <v>1</v>
      </c>
      <c r="BX74" s="48" t="b">
        <f>AJ74=[1]员工报账!AJ78</f>
        <v>1</v>
      </c>
    </row>
    <row r="75" s="48" customFormat="1" ht="184.8" spans="1:76">
      <c r="A75" s="62"/>
      <c r="B75" s="62"/>
      <c r="C75" s="63"/>
      <c r="D75" s="63"/>
      <c r="E75" s="64"/>
      <c r="F75" s="64"/>
      <c r="G75" s="63"/>
      <c r="H75" s="64"/>
      <c r="I75" s="35" t="s">
        <v>844</v>
      </c>
      <c r="J75" s="42" t="s">
        <v>845</v>
      </c>
      <c r="K75" s="35"/>
      <c r="L75" s="35"/>
      <c r="M75" s="35"/>
      <c r="N75" s="35"/>
      <c r="O75" s="35" t="s">
        <v>36</v>
      </c>
      <c r="P75" s="35" t="s">
        <v>36</v>
      </c>
      <c r="Q75" s="35"/>
      <c r="R75" s="35"/>
      <c r="S75" s="35"/>
      <c r="T75" s="35" t="s">
        <v>516</v>
      </c>
      <c r="U75" s="42"/>
      <c r="V75" s="42" t="s">
        <v>840</v>
      </c>
      <c r="W75" s="42" t="s">
        <v>841</v>
      </c>
      <c r="X75" s="35" t="s">
        <v>628</v>
      </c>
      <c r="Y75" s="35" t="s">
        <v>470</v>
      </c>
      <c r="Z75" s="35"/>
      <c r="AA75" s="35" t="s">
        <v>469</v>
      </c>
      <c r="AB75" s="35" t="s">
        <v>470</v>
      </c>
      <c r="AC75" s="35"/>
      <c r="AD75" s="42" t="s">
        <v>842</v>
      </c>
      <c r="AE75" s="35" t="s">
        <v>469</v>
      </c>
      <c r="AF75" s="35" t="s">
        <v>470</v>
      </c>
      <c r="AG75" s="35"/>
      <c r="AH75" s="35" t="s">
        <v>473</v>
      </c>
      <c r="AI75" s="35" t="s">
        <v>473</v>
      </c>
      <c r="AJ75" s="42" t="s">
        <v>843</v>
      </c>
      <c r="AK75" s="35" t="s">
        <v>475</v>
      </c>
      <c r="AL75" s="42" t="s">
        <v>476</v>
      </c>
      <c r="AM75" s="61"/>
      <c r="AN75" s="97"/>
      <c r="AO75" s="48" t="b">
        <f>A75=[1]员工报账!A79</f>
        <v>1</v>
      </c>
      <c r="AP75" s="48" t="b">
        <f>B75=[1]员工报账!B79</f>
        <v>1</v>
      </c>
      <c r="AQ75" s="48" t="b">
        <f>C75=[1]员工报账!C79</f>
        <v>1</v>
      </c>
      <c r="AR75" s="48" t="b">
        <f>D75=[1]员工报账!D79</f>
        <v>1</v>
      </c>
      <c r="AS75" s="48" t="b">
        <f>E75=[1]员工报账!E79</f>
        <v>1</v>
      </c>
      <c r="AT75" s="48" t="b">
        <f>F75=[1]员工报账!F79</f>
        <v>1</v>
      </c>
      <c r="AU75" s="48" t="b">
        <f>G75=[1]员工报账!G79</f>
        <v>1</v>
      </c>
      <c r="AV75" s="48" t="b">
        <f>H75=[1]员工报账!H79</f>
        <v>1</v>
      </c>
      <c r="AW75" s="48" t="b">
        <f>I75=[1]员工报账!I79</f>
        <v>1</v>
      </c>
      <c r="AX75" s="48" t="b">
        <f>J75=[1]员工报账!J79</f>
        <v>1</v>
      </c>
      <c r="AY75" s="48" t="b">
        <f>K75=[1]员工报账!K79</f>
        <v>1</v>
      </c>
      <c r="AZ75" s="48" t="b">
        <f>L75=[1]员工报账!L79</f>
        <v>1</v>
      </c>
      <c r="BA75" s="48" t="b">
        <f>M75=[1]员工报账!M79</f>
        <v>1</v>
      </c>
      <c r="BB75" s="48" t="b">
        <f>N75=[1]员工报账!N79</f>
        <v>1</v>
      </c>
      <c r="BC75" s="48" t="b">
        <f>O75=[1]员工报账!O79</f>
        <v>1</v>
      </c>
      <c r="BD75" s="48" t="b">
        <f>P75=[1]员工报账!P79</f>
        <v>1</v>
      </c>
      <c r="BE75" s="48" t="b">
        <f>Q75=[1]员工报账!Q79</f>
        <v>1</v>
      </c>
      <c r="BF75" s="48" t="b">
        <f>R75=[1]员工报账!R79</f>
        <v>1</v>
      </c>
      <c r="BG75" s="48" t="b">
        <f>S75=[1]员工报账!S79</f>
        <v>1</v>
      </c>
      <c r="BH75" s="48" t="b">
        <f>T75=[1]员工报账!T79</f>
        <v>1</v>
      </c>
      <c r="BI75" s="48" t="b">
        <f>U75=[1]员工报账!U79</f>
        <v>1</v>
      </c>
      <c r="BJ75" s="48" t="b">
        <f>V75=[1]员工报账!V79</f>
        <v>1</v>
      </c>
      <c r="BK75" s="48" t="b">
        <f>W75=[1]员工报账!W79</f>
        <v>1</v>
      </c>
      <c r="BL75" s="48" t="b">
        <f>X75=[1]员工报账!X79</f>
        <v>1</v>
      </c>
      <c r="BM75" s="48" t="b">
        <f>Y75=[1]员工报账!Y79</f>
        <v>1</v>
      </c>
      <c r="BN75" s="48" t="b">
        <f>Z75=[1]员工报账!Z79</f>
        <v>1</v>
      </c>
      <c r="BO75" s="48" t="b">
        <f>AA75=[1]员工报账!AA79</f>
        <v>1</v>
      </c>
      <c r="BP75" s="48" t="b">
        <f>AB75=[1]员工报账!AB79</f>
        <v>1</v>
      </c>
      <c r="BQ75" s="48" t="b">
        <f>AC75=[1]员工报账!AC79</f>
        <v>1</v>
      </c>
      <c r="BR75" s="48" t="b">
        <f>AD75=[1]员工报账!AD79</f>
        <v>1</v>
      </c>
      <c r="BS75" s="48" t="b">
        <f>AE75=[1]员工报账!AE79</f>
        <v>1</v>
      </c>
      <c r="BT75" s="48" t="b">
        <f>AF75=[1]员工报账!AF79</f>
        <v>1</v>
      </c>
      <c r="BU75" s="48" t="b">
        <f>AG75=[1]员工报账!AG79</f>
        <v>1</v>
      </c>
      <c r="BV75" s="48" t="b">
        <f>AH75=[1]员工报账!AH79</f>
        <v>1</v>
      </c>
      <c r="BW75" s="48" t="b">
        <f>AI75=[1]员工报账!AI79</f>
        <v>1</v>
      </c>
      <c r="BX75" s="48" t="b">
        <f>AJ75=[1]员工报账!AJ79</f>
        <v>1</v>
      </c>
    </row>
    <row r="76" s="48" customFormat="1" ht="184.8" spans="1:76">
      <c r="A76" s="62"/>
      <c r="B76" s="62"/>
      <c r="C76" s="63"/>
      <c r="D76" s="63"/>
      <c r="E76" s="64"/>
      <c r="F76" s="64"/>
      <c r="G76" s="63"/>
      <c r="H76" s="64"/>
      <c r="I76" s="35" t="s">
        <v>846</v>
      </c>
      <c r="J76" s="42" t="s">
        <v>847</v>
      </c>
      <c r="K76" s="35" t="s">
        <v>36</v>
      </c>
      <c r="L76" s="35" t="s">
        <v>36</v>
      </c>
      <c r="M76" s="35"/>
      <c r="N76" s="35"/>
      <c r="O76" s="35"/>
      <c r="P76" s="35"/>
      <c r="Q76" s="35" t="s">
        <v>36</v>
      </c>
      <c r="R76" s="35"/>
      <c r="S76" s="35"/>
      <c r="T76" s="35" t="s">
        <v>463</v>
      </c>
      <c r="U76" s="35" t="s">
        <v>635</v>
      </c>
      <c r="V76" s="42" t="s">
        <v>840</v>
      </c>
      <c r="W76" s="42" t="s">
        <v>841</v>
      </c>
      <c r="X76" s="35" t="s">
        <v>628</v>
      </c>
      <c r="Y76" s="35" t="s">
        <v>470</v>
      </c>
      <c r="Z76" s="35"/>
      <c r="AA76" s="35" t="s">
        <v>469</v>
      </c>
      <c r="AB76" s="35" t="s">
        <v>470</v>
      </c>
      <c r="AC76" s="35"/>
      <c r="AD76" s="42" t="s">
        <v>842</v>
      </c>
      <c r="AE76" s="35" t="s">
        <v>469</v>
      </c>
      <c r="AF76" s="35" t="s">
        <v>470</v>
      </c>
      <c r="AG76" s="35"/>
      <c r="AH76" s="35" t="s">
        <v>473</v>
      </c>
      <c r="AI76" s="35" t="s">
        <v>473</v>
      </c>
      <c r="AJ76" s="42" t="s">
        <v>843</v>
      </c>
      <c r="AK76" s="35" t="s">
        <v>475</v>
      </c>
      <c r="AL76" s="42" t="s">
        <v>476</v>
      </c>
      <c r="AM76" s="61"/>
      <c r="AN76" s="97"/>
      <c r="AO76" s="48" t="b">
        <f>A76=[1]员工报账!A80</f>
        <v>1</v>
      </c>
      <c r="AP76" s="48" t="b">
        <f>B76=[1]员工报账!B80</f>
        <v>1</v>
      </c>
      <c r="AQ76" s="48" t="b">
        <f>C76=[1]员工报账!C80</f>
        <v>1</v>
      </c>
      <c r="AR76" s="48" t="b">
        <f>D76=[1]员工报账!D80</f>
        <v>1</v>
      </c>
      <c r="AS76" s="48" t="b">
        <f>E76=[1]员工报账!E80</f>
        <v>1</v>
      </c>
      <c r="AT76" s="48" t="b">
        <f>F76=[1]员工报账!F80</f>
        <v>1</v>
      </c>
      <c r="AU76" s="48" t="b">
        <f>G76=[1]员工报账!G80</f>
        <v>1</v>
      </c>
      <c r="AV76" s="48" t="b">
        <f>H76=[1]员工报账!H80</f>
        <v>1</v>
      </c>
      <c r="AW76" s="48" t="b">
        <f>I76=[1]员工报账!I80</f>
        <v>1</v>
      </c>
      <c r="AX76" s="48" t="b">
        <f>J76=[1]员工报账!J80</f>
        <v>1</v>
      </c>
      <c r="AY76" s="48" t="b">
        <f>K76=[1]员工报账!K80</f>
        <v>1</v>
      </c>
      <c r="AZ76" s="48" t="b">
        <f>L76=[1]员工报账!L80</f>
        <v>1</v>
      </c>
      <c r="BA76" s="48" t="b">
        <f>M76=[1]员工报账!M80</f>
        <v>1</v>
      </c>
      <c r="BB76" s="48" t="b">
        <f>N76=[1]员工报账!N80</f>
        <v>1</v>
      </c>
      <c r="BC76" s="48" t="b">
        <f>O76=[1]员工报账!O80</f>
        <v>1</v>
      </c>
      <c r="BD76" s="48" t="b">
        <f>P76=[1]员工报账!P80</f>
        <v>1</v>
      </c>
      <c r="BE76" s="48" t="b">
        <f>Q76=[1]员工报账!Q80</f>
        <v>1</v>
      </c>
      <c r="BF76" s="48" t="b">
        <f>R76=[1]员工报账!R80</f>
        <v>1</v>
      </c>
      <c r="BG76" s="48" t="b">
        <f>S76=[1]员工报账!S80</f>
        <v>1</v>
      </c>
      <c r="BH76" s="48" t="b">
        <f>T76=[1]员工报账!T80</f>
        <v>1</v>
      </c>
      <c r="BI76" s="48" t="b">
        <f>U76=[1]员工报账!U80</f>
        <v>1</v>
      </c>
      <c r="BJ76" s="48" t="b">
        <f>V76=[1]员工报账!V80</f>
        <v>1</v>
      </c>
      <c r="BK76" s="48" t="b">
        <f>W76=[1]员工报账!W80</f>
        <v>1</v>
      </c>
      <c r="BL76" s="48" t="b">
        <f>X76=[1]员工报账!X80</f>
        <v>1</v>
      </c>
      <c r="BM76" s="48" t="b">
        <f>Y76=[1]员工报账!Y80</f>
        <v>1</v>
      </c>
      <c r="BN76" s="48" t="b">
        <f>Z76=[1]员工报账!Z80</f>
        <v>1</v>
      </c>
      <c r="BO76" s="48" t="b">
        <f>AA76=[1]员工报账!AA80</f>
        <v>1</v>
      </c>
      <c r="BP76" s="48" t="b">
        <f>AB76=[1]员工报账!AB80</f>
        <v>1</v>
      </c>
      <c r="BQ76" s="48" t="b">
        <f>AC76=[1]员工报账!AC80</f>
        <v>1</v>
      </c>
      <c r="BR76" s="48" t="b">
        <f>AD76=[1]员工报账!AD80</f>
        <v>1</v>
      </c>
      <c r="BS76" s="48" t="b">
        <f>AE76=[1]员工报账!AE80</f>
        <v>1</v>
      </c>
      <c r="BT76" s="48" t="b">
        <f>AF76=[1]员工报账!AF80</f>
        <v>1</v>
      </c>
      <c r="BU76" s="48" t="b">
        <f>AG76=[1]员工报账!AG80</f>
        <v>1</v>
      </c>
      <c r="BV76" s="48" t="b">
        <f>AH76=[1]员工报账!AH80</f>
        <v>1</v>
      </c>
      <c r="BW76" s="48" t="b">
        <f>AI76=[1]员工报账!AI80</f>
        <v>1</v>
      </c>
      <c r="BX76" s="48" t="b">
        <f>AJ76=[1]员工报账!AJ80</f>
        <v>1</v>
      </c>
    </row>
    <row r="77" s="48" customFormat="1" ht="184.8" spans="1:76">
      <c r="A77" s="62"/>
      <c r="B77" s="62"/>
      <c r="C77" s="63"/>
      <c r="D77" s="63"/>
      <c r="E77" s="64"/>
      <c r="F77" s="64"/>
      <c r="G77" s="63"/>
      <c r="H77" s="64"/>
      <c r="I77" s="35" t="s">
        <v>848</v>
      </c>
      <c r="J77" s="42" t="s">
        <v>849</v>
      </c>
      <c r="K77" s="35"/>
      <c r="L77" s="35" t="s">
        <v>36</v>
      </c>
      <c r="M77" s="35"/>
      <c r="N77" s="35"/>
      <c r="O77" s="35"/>
      <c r="P77" s="35" t="s">
        <v>36</v>
      </c>
      <c r="Q77" s="35" t="s">
        <v>36</v>
      </c>
      <c r="R77" s="35"/>
      <c r="S77" s="35"/>
      <c r="T77" s="35" t="s">
        <v>516</v>
      </c>
      <c r="U77" s="42"/>
      <c r="V77" s="42" t="s">
        <v>840</v>
      </c>
      <c r="W77" s="42" t="s">
        <v>841</v>
      </c>
      <c r="X77" s="35" t="s">
        <v>628</v>
      </c>
      <c r="Y77" s="35" t="s">
        <v>470</v>
      </c>
      <c r="Z77" s="35"/>
      <c r="AA77" s="35" t="s">
        <v>469</v>
      </c>
      <c r="AB77" s="35" t="s">
        <v>470</v>
      </c>
      <c r="AC77" s="35"/>
      <c r="AD77" s="42" t="s">
        <v>842</v>
      </c>
      <c r="AE77" s="35" t="s">
        <v>469</v>
      </c>
      <c r="AF77" s="35" t="s">
        <v>470</v>
      </c>
      <c r="AG77" s="35"/>
      <c r="AH77" s="35" t="s">
        <v>473</v>
      </c>
      <c r="AI77" s="35" t="s">
        <v>473</v>
      </c>
      <c r="AJ77" s="42" t="s">
        <v>843</v>
      </c>
      <c r="AK77" s="35" t="s">
        <v>475</v>
      </c>
      <c r="AL77" s="42" t="s">
        <v>476</v>
      </c>
      <c r="AM77" s="61"/>
      <c r="AN77" s="97"/>
      <c r="AO77" s="48" t="b">
        <f>A77=[1]员工报账!A81</f>
        <v>1</v>
      </c>
      <c r="AP77" s="48" t="b">
        <f>B77=[1]员工报账!B81</f>
        <v>1</v>
      </c>
      <c r="AQ77" s="48" t="b">
        <f>C77=[1]员工报账!C81</f>
        <v>1</v>
      </c>
      <c r="AR77" s="48" t="b">
        <f>D77=[1]员工报账!D81</f>
        <v>1</v>
      </c>
      <c r="AS77" s="48" t="b">
        <f>E77=[1]员工报账!E81</f>
        <v>1</v>
      </c>
      <c r="AT77" s="48" t="b">
        <f>F77=[1]员工报账!F81</f>
        <v>1</v>
      </c>
      <c r="AU77" s="48" t="b">
        <f>G77=[1]员工报账!G81</f>
        <v>1</v>
      </c>
      <c r="AV77" s="48" t="b">
        <f>H77=[1]员工报账!H81</f>
        <v>1</v>
      </c>
      <c r="AW77" s="48" t="b">
        <f>I77=[1]员工报账!I81</f>
        <v>1</v>
      </c>
      <c r="AX77" s="48" t="b">
        <f>J77=[1]员工报账!J81</f>
        <v>1</v>
      </c>
      <c r="AY77" s="48" t="b">
        <f>K77=[1]员工报账!K81</f>
        <v>1</v>
      </c>
      <c r="AZ77" s="48" t="b">
        <f>L77=[1]员工报账!L81</f>
        <v>1</v>
      </c>
      <c r="BA77" s="48" t="b">
        <f>M77=[1]员工报账!M81</f>
        <v>1</v>
      </c>
      <c r="BB77" s="48" t="b">
        <f>N77=[1]员工报账!N81</f>
        <v>1</v>
      </c>
      <c r="BC77" s="48" t="b">
        <f>O77=[1]员工报账!O81</f>
        <v>1</v>
      </c>
      <c r="BD77" s="48" t="b">
        <f>P77=[1]员工报账!P81</f>
        <v>1</v>
      </c>
      <c r="BE77" s="48" t="b">
        <f>Q77=[1]员工报账!Q81</f>
        <v>1</v>
      </c>
      <c r="BF77" s="48" t="b">
        <f>R77=[1]员工报账!R81</f>
        <v>1</v>
      </c>
      <c r="BG77" s="48" t="b">
        <f>S77=[1]员工报账!S81</f>
        <v>1</v>
      </c>
      <c r="BH77" s="48" t="b">
        <f>T77=[1]员工报账!T81</f>
        <v>1</v>
      </c>
      <c r="BI77" s="48" t="b">
        <f>U77=[1]员工报账!U81</f>
        <v>1</v>
      </c>
      <c r="BJ77" s="48" t="b">
        <f>V77=[1]员工报账!V81</f>
        <v>1</v>
      </c>
      <c r="BK77" s="48" t="b">
        <f>W77=[1]员工报账!W81</f>
        <v>1</v>
      </c>
      <c r="BL77" s="48" t="b">
        <f>X77=[1]员工报账!X81</f>
        <v>1</v>
      </c>
      <c r="BM77" s="48" t="b">
        <f>Y77=[1]员工报账!Y81</f>
        <v>1</v>
      </c>
      <c r="BN77" s="48" t="b">
        <f>Z77=[1]员工报账!Z81</f>
        <v>1</v>
      </c>
      <c r="BO77" s="48" t="b">
        <f>AA77=[1]员工报账!AA81</f>
        <v>1</v>
      </c>
      <c r="BP77" s="48" t="b">
        <f>AB77=[1]员工报账!AB81</f>
        <v>1</v>
      </c>
      <c r="BQ77" s="48" t="b">
        <f>AC77=[1]员工报账!AC81</f>
        <v>1</v>
      </c>
      <c r="BR77" s="48" t="b">
        <f>AD77=[1]员工报账!AD81</f>
        <v>1</v>
      </c>
      <c r="BS77" s="48" t="b">
        <f>AE77=[1]员工报账!AE81</f>
        <v>1</v>
      </c>
      <c r="BT77" s="48" t="b">
        <f>AF77=[1]员工报账!AF81</f>
        <v>1</v>
      </c>
      <c r="BU77" s="48" t="b">
        <f>AG77=[1]员工报账!AG81</f>
        <v>1</v>
      </c>
      <c r="BV77" s="48" t="b">
        <f>AH77=[1]员工报账!AH81</f>
        <v>1</v>
      </c>
      <c r="BW77" s="48" t="b">
        <f>AI77=[1]员工报账!AI81</f>
        <v>1</v>
      </c>
      <c r="BX77" s="48" t="b">
        <f>AJ77=[1]员工报账!AJ81</f>
        <v>1</v>
      </c>
    </row>
    <row r="78" s="48" customFormat="1" ht="184.8" spans="1:76">
      <c r="A78" s="67"/>
      <c r="B78" s="67"/>
      <c r="C78" s="38"/>
      <c r="D78" s="38"/>
      <c r="E78" s="66"/>
      <c r="F78" s="66"/>
      <c r="G78" s="38"/>
      <c r="H78" s="66"/>
      <c r="I78" s="35" t="s">
        <v>850</v>
      </c>
      <c r="J78" s="42" t="s">
        <v>851</v>
      </c>
      <c r="K78" s="35"/>
      <c r="L78" s="35"/>
      <c r="M78" s="35" t="s">
        <v>36</v>
      </c>
      <c r="N78" s="35"/>
      <c r="O78" s="35"/>
      <c r="P78" s="35" t="s">
        <v>36</v>
      </c>
      <c r="Q78" s="35" t="s">
        <v>36</v>
      </c>
      <c r="R78" s="35"/>
      <c r="S78" s="35"/>
      <c r="T78" s="35" t="s">
        <v>516</v>
      </c>
      <c r="U78" s="42"/>
      <c r="V78" s="42" t="s">
        <v>840</v>
      </c>
      <c r="W78" s="42" t="s">
        <v>841</v>
      </c>
      <c r="X78" s="35" t="s">
        <v>628</v>
      </c>
      <c r="Y78" s="35" t="s">
        <v>470</v>
      </c>
      <c r="Z78" s="35"/>
      <c r="AA78" s="35" t="s">
        <v>469</v>
      </c>
      <c r="AB78" s="35" t="s">
        <v>470</v>
      </c>
      <c r="AC78" s="35"/>
      <c r="AD78" s="42" t="s">
        <v>842</v>
      </c>
      <c r="AE78" s="35" t="s">
        <v>469</v>
      </c>
      <c r="AF78" s="35" t="s">
        <v>470</v>
      </c>
      <c r="AG78" s="35"/>
      <c r="AH78" s="35" t="s">
        <v>473</v>
      </c>
      <c r="AI78" s="35" t="s">
        <v>473</v>
      </c>
      <c r="AJ78" s="42" t="s">
        <v>843</v>
      </c>
      <c r="AK78" s="35" t="s">
        <v>475</v>
      </c>
      <c r="AL78" s="42" t="s">
        <v>476</v>
      </c>
      <c r="AM78" s="61"/>
      <c r="AN78" s="97"/>
      <c r="AO78" s="48" t="b">
        <f>A78=[1]员工报账!A82</f>
        <v>1</v>
      </c>
      <c r="AP78" s="48" t="b">
        <f>B78=[1]员工报账!B82</f>
        <v>1</v>
      </c>
      <c r="AQ78" s="48" t="b">
        <f>C78=[1]员工报账!C82</f>
        <v>1</v>
      </c>
      <c r="AR78" s="48" t="b">
        <f>D78=[1]员工报账!D82</f>
        <v>1</v>
      </c>
      <c r="AS78" s="48" t="b">
        <f>E78=[1]员工报账!E82</f>
        <v>1</v>
      </c>
      <c r="AT78" s="48" t="b">
        <f>F78=[1]员工报账!F82</f>
        <v>1</v>
      </c>
      <c r="AU78" s="48" t="b">
        <f>G78=[1]员工报账!G82</f>
        <v>1</v>
      </c>
      <c r="AV78" s="48" t="b">
        <f>H78=[1]员工报账!H82</f>
        <v>1</v>
      </c>
      <c r="AW78" s="48" t="b">
        <f>I78=[1]员工报账!I82</f>
        <v>1</v>
      </c>
      <c r="AX78" s="48" t="b">
        <f>J78=[1]员工报账!J82</f>
        <v>1</v>
      </c>
      <c r="AY78" s="48" t="b">
        <f>K78=[1]员工报账!K82</f>
        <v>1</v>
      </c>
      <c r="AZ78" s="48" t="b">
        <f>L78=[1]员工报账!L82</f>
        <v>1</v>
      </c>
      <c r="BA78" s="48" t="b">
        <f>M78=[1]员工报账!M82</f>
        <v>1</v>
      </c>
      <c r="BB78" s="48" t="b">
        <f>N78=[1]员工报账!N82</f>
        <v>1</v>
      </c>
      <c r="BC78" s="48" t="b">
        <f>O78=[1]员工报账!O82</f>
        <v>1</v>
      </c>
      <c r="BD78" s="48" t="b">
        <f>P78=[1]员工报账!P82</f>
        <v>1</v>
      </c>
      <c r="BE78" s="48" t="b">
        <f>Q78=[1]员工报账!Q82</f>
        <v>1</v>
      </c>
      <c r="BF78" s="48" t="b">
        <f>R78=[1]员工报账!R82</f>
        <v>1</v>
      </c>
      <c r="BG78" s="48" t="b">
        <f>S78=[1]员工报账!S82</f>
        <v>1</v>
      </c>
      <c r="BH78" s="48" t="b">
        <f>T78=[1]员工报账!T82</f>
        <v>1</v>
      </c>
      <c r="BI78" s="48" t="b">
        <f>U78=[1]员工报账!U82</f>
        <v>1</v>
      </c>
      <c r="BJ78" s="48" t="b">
        <f>V78=[1]员工报账!V82</f>
        <v>1</v>
      </c>
      <c r="BK78" s="48" t="b">
        <f>W78=[1]员工报账!W82</f>
        <v>1</v>
      </c>
      <c r="BL78" s="48" t="b">
        <f>X78=[1]员工报账!X82</f>
        <v>1</v>
      </c>
      <c r="BM78" s="48" t="b">
        <f>Y78=[1]员工报账!Y82</f>
        <v>1</v>
      </c>
      <c r="BN78" s="48" t="b">
        <f>Z78=[1]员工报账!Z82</f>
        <v>1</v>
      </c>
      <c r="BO78" s="48" t="b">
        <f>AA78=[1]员工报账!AA82</f>
        <v>1</v>
      </c>
      <c r="BP78" s="48" t="b">
        <f>AB78=[1]员工报账!AB82</f>
        <v>1</v>
      </c>
      <c r="BQ78" s="48" t="b">
        <f>AC78=[1]员工报账!AC82</f>
        <v>1</v>
      </c>
      <c r="BR78" s="48" t="b">
        <f>AD78=[1]员工报账!AD82</f>
        <v>1</v>
      </c>
      <c r="BS78" s="48" t="b">
        <f>AE78=[1]员工报账!AE82</f>
        <v>1</v>
      </c>
      <c r="BT78" s="48" t="b">
        <f>AF78=[1]员工报账!AF82</f>
        <v>1</v>
      </c>
      <c r="BU78" s="48" t="b">
        <f>AG78=[1]员工报账!AG82</f>
        <v>1</v>
      </c>
      <c r="BV78" s="48" t="b">
        <f>AH78=[1]员工报账!AH82</f>
        <v>1</v>
      </c>
      <c r="BW78" s="48" t="b">
        <f>AI78=[1]员工报账!AI82</f>
        <v>1</v>
      </c>
      <c r="BX78" s="48" t="b">
        <f>AJ78=[1]员工报账!AJ82</f>
        <v>1</v>
      </c>
    </row>
    <row r="79" s="48" customFormat="1" ht="92.4" spans="1:76">
      <c r="A79" s="56" t="s">
        <v>453</v>
      </c>
      <c r="B79" s="56"/>
      <c r="C79" s="57" t="s">
        <v>498</v>
      </c>
      <c r="D79" s="57" t="s">
        <v>852</v>
      </c>
      <c r="E79" s="58" t="s">
        <v>853</v>
      </c>
      <c r="F79" s="58"/>
      <c r="G79" s="57" t="s">
        <v>854</v>
      </c>
      <c r="H79" s="58" t="s">
        <v>855</v>
      </c>
      <c r="I79" s="38" t="s">
        <v>856</v>
      </c>
      <c r="J79" s="66" t="s">
        <v>857</v>
      </c>
      <c r="K79" s="35"/>
      <c r="L79" s="35" t="s">
        <v>36</v>
      </c>
      <c r="M79" s="35"/>
      <c r="N79" s="35"/>
      <c r="O79" s="35"/>
      <c r="P79" s="35"/>
      <c r="Q79" s="35"/>
      <c r="R79" s="35"/>
      <c r="S79" s="35"/>
      <c r="T79" s="35" t="s">
        <v>516</v>
      </c>
      <c r="U79" s="42"/>
      <c r="V79" s="42" t="s">
        <v>858</v>
      </c>
      <c r="W79" s="42" t="s">
        <v>859</v>
      </c>
      <c r="X79" s="35" t="s">
        <v>628</v>
      </c>
      <c r="Y79" s="35" t="s">
        <v>470</v>
      </c>
      <c r="Z79" s="35"/>
      <c r="AA79" s="35" t="s">
        <v>469</v>
      </c>
      <c r="AB79" s="35" t="s">
        <v>470</v>
      </c>
      <c r="AC79" s="35"/>
      <c r="AD79" s="42" t="s">
        <v>860</v>
      </c>
      <c r="AE79" s="35" t="s">
        <v>469</v>
      </c>
      <c r="AF79" s="35" t="s">
        <v>470</v>
      </c>
      <c r="AG79" s="35"/>
      <c r="AH79" s="35" t="s">
        <v>473</v>
      </c>
      <c r="AI79" s="35" t="s">
        <v>473</v>
      </c>
      <c r="AJ79" s="42" t="s">
        <v>861</v>
      </c>
      <c r="AK79" s="35" t="s">
        <v>678</v>
      </c>
      <c r="AL79" s="42" t="s">
        <v>679</v>
      </c>
      <c r="AM79" s="61"/>
      <c r="AN79" s="97"/>
      <c r="AO79" s="48" t="b">
        <f>A79=[1]员工报账!A83</f>
        <v>1</v>
      </c>
      <c r="AP79" s="48" t="b">
        <f>B79=[1]员工报账!B83</f>
        <v>1</v>
      </c>
      <c r="AQ79" s="48" t="b">
        <f>C79=[1]员工报账!C83</f>
        <v>1</v>
      </c>
      <c r="AR79" s="48" t="b">
        <f>D79=[1]员工报账!D83</f>
        <v>1</v>
      </c>
      <c r="AS79" s="48" t="b">
        <f>E79=[1]员工报账!E83</f>
        <v>1</v>
      </c>
      <c r="AT79" s="48" t="b">
        <f>F79=[1]员工报账!F83</f>
        <v>1</v>
      </c>
      <c r="AU79" s="48" t="b">
        <f>G79=[1]员工报账!G83</f>
        <v>1</v>
      </c>
      <c r="AV79" s="48" t="b">
        <f>H79=[1]员工报账!H83</f>
        <v>1</v>
      </c>
      <c r="AW79" s="48" t="b">
        <f>I79=[1]员工报账!I83</f>
        <v>1</v>
      </c>
      <c r="AX79" s="48" t="b">
        <f>J79=[1]员工报账!J83</f>
        <v>1</v>
      </c>
      <c r="AY79" s="48" t="b">
        <f>K79=[1]员工报账!K83</f>
        <v>1</v>
      </c>
      <c r="AZ79" s="48" t="b">
        <f>L79=[1]员工报账!L83</f>
        <v>1</v>
      </c>
      <c r="BA79" s="48" t="b">
        <f>M79=[1]员工报账!M83</f>
        <v>1</v>
      </c>
      <c r="BB79" s="48" t="b">
        <f>N79=[1]员工报账!N83</f>
        <v>1</v>
      </c>
      <c r="BC79" s="48" t="b">
        <f>O79=[1]员工报账!O83</f>
        <v>1</v>
      </c>
      <c r="BD79" s="48" t="b">
        <f>P79=[1]员工报账!P83</f>
        <v>1</v>
      </c>
      <c r="BE79" s="48" t="b">
        <f>Q79=[1]员工报账!Q83</f>
        <v>1</v>
      </c>
      <c r="BF79" s="48" t="b">
        <f>R79=[1]员工报账!R83</f>
        <v>1</v>
      </c>
      <c r="BG79" s="48" t="b">
        <f>S79=[1]员工报账!S83</f>
        <v>1</v>
      </c>
      <c r="BH79" s="48" t="b">
        <f>T79=[1]员工报账!T83</f>
        <v>1</v>
      </c>
      <c r="BI79" s="48" t="b">
        <f>U79=[1]员工报账!U83</f>
        <v>1</v>
      </c>
      <c r="BJ79" s="48" t="b">
        <f>V79=[1]员工报账!V83</f>
        <v>1</v>
      </c>
      <c r="BK79" s="48" t="b">
        <f>W79=[1]员工报账!W83</f>
        <v>1</v>
      </c>
      <c r="BL79" s="48" t="b">
        <f>X79=[1]员工报账!X83</f>
        <v>1</v>
      </c>
      <c r="BM79" s="48" t="b">
        <f>Y79=[1]员工报账!Y83</f>
        <v>1</v>
      </c>
      <c r="BN79" s="48" t="b">
        <f>Z79=[1]员工报账!Z83</f>
        <v>1</v>
      </c>
      <c r="BO79" s="48" t="b">
        <f>AA79=[1]员工报账!AA83</f>
        <v>1</v>
      </c>
      <c r="BP79" s="48" t="b">
        <f>AB79=[1]员工报账!AB83</f>
        <v>1</v>
      </c>
      <c r="BQ79" s="48" t="b">
        <f>AC79=[1]员工报账!AC83</f>
        <v>1</v>
      </c>
      <c r="BR79" s="48" t="b">
        <f>AD79=[1]员工报账!AD83</f>
        <v>1</v>
      </c>
      <c r="BS79" s="48" t="b">
        <f>AE79=[1]员工报账!AE83</f>
        <v>1</v>
      </c>
      <c r="BT79" s="48" t="b">
        <f>AF79=[1]员工报账!AF83</f>
        <v>1</v>
      </c>
      <c r="BU79" s="48" t="b">
        <f>AG79=[1]员工报账!AG83</f>
        <v>1</v>
      </c>
      <c r="BV79" s="48" t="b">
        <f>AH79=[1]员工报账!AH83</f>
        <v>1</v>
      </c>
      <c r="BW79" s="48" t="b">
        <f>AI79=[1]员工报账!AI83</f>
        <v>1</v>
      </c>
      <c r="BX79" s="48" t="b">
        <f>AJ79=[1]员工报账!AJ83</f>
        <v>1</v>
      </c>
    </row>
    <row r="80" s="48" customFormat="1" ht="118.8" spans="1:76">
      <c r="A80" s="67"/>
      <c r="B80" s="67"/>
      <c r="C80" s="38"/>
      <c r="D80" s="38"/>
      <c r="E80" s="66"/>
      <c r="F80" s="66"/>
      <c r="G80" s="38"/>
      <c r="H80" s="66"/>
      <c r="I80" s="35" t="s">
        <v>862</v>
      </c>
      <c r="J80" s="42" t="s">
        <v>863</v>
      </c>
      <c r="K80" s="35"/>
      <c r="L80" s="35"/>
      <c r="M80" s="35"/>
      <c r="N80" s="35"/>
      <c r="O80" s="35"/>
      <c r="P80" s="35"/>
      <c r="Q80" s="35" t="s">
        <v>36</v>
      </c>
      <c r="R80" s="35" t="s">
        <v>36</v>
      </c>
      <c r="S80" s="35"/>
      <c r="T80" s="35" t="s">
        <v>516</v>
      </c>
      <c r="U80" s="42"/>
      <c r="V80" s="42" t="s">
        <v>864</v>
      </c>
      <c r="W80" s="42" t="s">
        <v>865</v>
      </c>
      <c r="X80" s="35" t="s">
        <v>628</v>
      </c>
      <c r="Y80" s="35" t="s">
        <v>470</v>
      </c>
      <c r="Z80" s="35"/>
      <c r="AA80" s="35" t="s">
        <v>469</v>
      </c>
      <c r="AB80" s="35" t="s">
        <v>470</v>
      </c>
      <c r="AC80" s="35"/>
      <c r="AD80" s="42" t="s">
        <v>860</v>
      </c>
      <c r="AE80" s="35" t="s">
        <v>469</v>
      </c>
      <c r="AF80" s="35" t="s">
        <v>470</v>
      </c>
      <c r="AG80" s="35"/>
      <c r="AH80" s="35" t="s">
        <v>473</v>
      </c>
      <c r="AI80" s="35" t="s">
        <v>473</v>
      </c>
      <c r="AJ80" s="42" t="s">
        <v>866</v>
      </c>
      <c r="AK80" s="35" t="s">
        <v>678</v>
      </c>
      <c r="AL80" s="42" t="s">
        <v>679</v>
      </c>
      <c r="AM80" s="61"/>
      <c r="AN80" s="97"/>
      <c r="AO80" s="48" t="b">
        <f>A80=[1]员工报账!A84</f>
        <v>1</v>
      </c>
      <c r="AP80" s="48" t="b">
        <f>B80=[1]员工报账!B84</f>
        <v>1</v>
      </c>
      <c r="AQ80" s="48" t="b">
        <f>C80=[1]员工报账!C84</f>
        <v>1</v>
      </c>
      <c r="AR80" s="48" t="b">
        <f>D80=[1]员工报账!D84</f>
        <v>1</v>
      </c>
      <c r="AS80" s="48" t="b">
        <f>E80=[1]员工报账!E84</f>
        <v>1</v>
      </c>
      <c r="AT80" s="48" t="b">
        <f>F80=[1]员工报账!F84</f>
        <v>1</v>
      </c>
      <c r="AU80" s="48" t="b">
        <f>G80=[1]员工报账!G84</f>
        <v>1</v>
      </c>
      <c r="AV80" s="48" t="b">
        <f>H80=[1]员工报账!H84</f>
        <v>1</v>
      </c>
      <c r="AW80" s="48" t="b">
        <f>I80=[1]员工报账!I84</f>
        <v>1</v>
      </c>
      <c r="AX80" s="48" t="b">
        <f>J80=[1]员工报账!J84</f>
        <v>1</v>
      </c>
      <c r="AY80" s="48" t="b">
        <f>K80=[1]员工报账!K84</f>
        <v>1</v>
      </c>
      <c r="AZ80" s="48" t="b">
        <f>L80=[1]员工报账!L84</f>
        <v>1</v>
      </c>
      <c r="BA80" s="48" t="b">
        <f>M80=[1]员工报账!M84</f>
        <v>1</v>
      </c>
      <c r="BB80" s="48" t="b">
        <f>N80=[1]员工报账!N84</f>
        <v>1</v>
      </c>
      <c r="BC80" s="48" t="b">
        <f>O80=[1]员工报账!O84</f>
        <v>1</v>
      </c>
      <c r="BD80" s="48" t="b">
        <f>P80=[1]员工报账!P84</f>
        <v>1</v>
      </c>
      <c r="BE80" s="48" t="b">
        <f>Q80=[1]员工报账!Q84</f>
        <v>1</v>
      </c>
      <c r="BF80" s="48" t="b">
        <f>R80=[1]员工报账!R84</f>
        <v>1</v>
      </c>
      <c r="BG80" s="48" t="b">
        <f>S80=[1]员工报账!S84</f>
        <v>1</v>
      </c>
      <c r="BH80" s="48" t="b">
        <f>T80=[1]员工报账!T84</f>
        <v>1</v>
      </c>
      <c r="BI80" s="48" t="b">
        <f>U80=[1]员工报账!U84</f>
        <v>1</v>
      </c>
      <c r="BJ80" s="48" t="b">
        <f>V80=[1]员工报账!V84</f>
        <v>1</v>
      </c>
      <c r="BK80" s="48" t="b">
        <f>W80=[1]员工报账!W84</f>
        <v>1</v>
      </c>
      <c r="BL80" s="48" t="b">
        <f>X80=[1]员工报账!X84</f>
        <v>1</v>
      </c>
      <c r="BM80" s="48" t="b">
        <f>Y80=[1]员工报账!Y84</f>
        <v>1</v>
      </c>
      <c r="BN80" s="48" t="b">
        <f>Z80=[1]员工报账!Z84</f>
        <v>1</v>
      </c>
      <c r="BO80" s="48" t="b">
        <f>AA80=[1]员工报账!AA84</f>
        <v>1</v>
      </c>
      <c r="BP80" s="48" t="b">
        <f>AB80=[1]员工报账!AB84</f>
        <v>1</v>
      </c>
      <c r="BQ80" s="48" t="b">
        <f>AC80=[1]员工报账!AC84</f>
        <v>1</v>
      </c>
      <c r="BR80" s="48" t="b">
        <f>AD80=[1]员工报账!AD84</f>
        <v>1</v>
      </c>
      <c r="BS80" s="48" t="b">
        <f>AE80=[1]员工报账!AE84</f>
        <v>1</v>
      </c>
      <c r="BT80" s="48" t="b">
        <f>AF80=[1]员工报账!AF84</f>
        <v>1</v>
      </c>
      <c r="BU80" s="48" t="b">
        <f>AG80=[1]员工报账!AG84</f>
        <v>1</v>
      </c>
      <c r="BV80" s="48" t="b">
        <f>AH80=[1]员工报账!AH84</f>
        <v>1</v>
      </c>
      <c r="BW80" s="48" t="b">
        <f>AI80=[1]员工报账!AI84</f>
        <v>1</v>
      </c>
      <c r="BX80" s="48" t="b">
        <f>AJ80=[1]员工报账!AJ84</f>
        <v>1</v>
      </c>
    </row>
    <row r="81" ht="126" spans="1:76">
      <c r="A81" s="79" t="s">
        <v>453</v>
      </c>
      <c r="B81" s="79" t="s">
        <v>644</v>
      </c>
      <c r="C81" s="45" t="s">
        <v>867</v>
      </c>
      <c r="D81" s="45" t="s">
        <v>868</v>
      </c>
      <c r="E81" s="45" t="s">
        <v>869</v>
      </c>
      <c r="F81" s="45" t="s">
        <v>870</v>
      </c>
      <c r="G81" s="45" t="s">
        <v>871</v>
      </c>
      <c r="H81" s="45" t="s">
        <v>872</v>
      </c>
      <c r="I81" s="45" t="s">
        <v>873</v>
      </c>
      <c r="J81" s="33" t="s">
        <v>874</v>
      </c>
      <c r="K81" s="45"/>
      <c r="L81" s="45"/>
      <c r="M81" s="45" t="s">
        <v>36</v>
      </c>
      <c r="N81" s="45"/>
      <c r="O81" s="45"/>
      <c r="P81" s="45"/>
      <c r="Q81" s="45"/>
      <c r="R81" s="45" t="s">
        <v>36</v>
      </c>
      <c r="S81" s="45"/>
      <c r="T81" s="45" t="s">
        <v>516</v>
      </c>
      <c r="U81" s="32"/>
      <c r="V81" s="32" t="s">
        <v>875</v>
      </c>
      <c r="W81" s="32" t="s">
        <v>876</v>
      </c>
      <c r="X81" s="45" t="s">
        <v>628</v>
      </c>
      <c r="Y81" s="45" t="s">
        <v>470</v>
      </c>
      <c r="Z81" s="45"/>
      <c r="AA81" s="45" t="s">
        <v>469</v>
      </c>
      <c r="AB81" s="45" t="s">
        <v>470</v>
      </c>
      <c r="AC81" s="45"/>
      <c r="AD81" s="32"/>
      <c r="AE81" s="45"/>
      <c r="AF81" s="45"/>
      <c r="AG81" s="45"/>
      <c r="AH81" s="45" t="s">
        <v>473</v>
      </c>
      <c r="AI81" s="45" t="s">
        <v>473</v>
      </c>
      <c r="AJ81" s="32"/>
      <c r="AK81" s="22"/>
      <c r="AL81" s="35" t="s">
        <v>877</v>
      </c>
      <c r="AM81" s="28"/>
      <c r="AN81" s="1" t="s">
        <v>878</v>
      </c>
      <c r="AO81" s="48" t="b">
        <f>A81=[1]员工报账!A85</f>
        <v>0</v>
      </c>
      <c r="AP81" s="48" t="b">
        <f>B81=[1]员工报账!B85</f>
        <v>0</v>
      </c>
      <c r="AQ81" s="48" t="b">
        <f>C81=[1]员工报账!C85</f>
        <v>0</v>
      </c>
      <c r="AR81" s="48" t="b">
        <f>D81=[1]员工报账!D85</f>
        <v>0</v>
      </c>
      <c r="AS81" s="48" t="b">
        <f>E81=[1]员工报账!E85</f>
        <v>0</v>
      </c>
      <c r="AT81" s="48" t="b">
        <f>F81=[1]员工报账!F85</f>
        <v>0</v>
      </c>
      <c r="AU81" s="48" t="b">
        <f>G81=[1]员工报账!G85</f>
        <v>0</v>
      </c>
      <c r="AV81" s="48" t="b">
        <f>H81=[1]员工报账!H85</f>
        <v>0</v>
      </c>
      <c r="AW81" s="48" t="b">
        <f>I81=[1]员工报账!I85</f>
        <v>0</v>
      </c>
      <c r="AX81" s="48" t="b">
        <f>J81=[1]员工报账!J85</f>
        <v>0</v>
      </c>
      <c r="AY81" s="48" t="b">
        <f>K81=[1]员工报账!K85</f>
        <v>1</v>
      </c>
      <c r="AZ81" s="48" t="b">
        <f>L81=[1]员工报账!L85</f>
        <v>1</v>
      </c>
      <c r="BA81" s="48" t="b">
        <f>M81=[1]员工报账!M85</f>
        <v>0</v>
      </c>
      <c r="BB81" s="48" t="b">
        <f>N81=[1]员工报账!N85</f>
        <v>1</v>
      </c>
      <c r="BC81" s="48" t="b">
        <f>O81=[1]员工报账!O85</f>
        <v>1</v>
      </c>
      <c r="BD81" s="48" t="b">
        <f>P81=[1]员工报账!P85</f>
        <v>1</v>
      </c>
      <c r="BE81" s="48" t="b">
        <f>Q81=[1]员工报账!Q85</f>
        <v>1</v>
      </c>
      <c r="BF81" s="48" t="b">
        <f>R81=[1]员工报账!R85</f>
        <v>0</v>
      </c>
      <c r="BG81" s="48" t="b">
        <f>S81=[1]员工报账!S85</f>
        <v>1</v>
      </c>
      <c r="BH81" s="48" t="b">
        <f>T81=[1]员工报账!T85</f>
        <v>0</v>
      </c>
      <c r="BI81" s="48" t="b">
        <f>U81=[1]员工报账!U85</f>
        <v>1</v>
      </c>
      <c r="BJ81" s="48" t="b">
        <f>V81=[1]员工报账!V85</f>
        <v>0</v>
      </c>
      <c r="BK81" s="48" t="b">
        <f>W81=[1]员工报账!W85</f>
        <v>0</v>
      </c>
      <c r="BL81" s="48" t="b">
        <f>X81=[1]员工报账!X85</f>
        <v>0</v>
      </c>
      <c r="BM81" s="48" t="b">
        <f>Y81=[1]员工报账!Y85</f>
        <v>0</v>
      </c>
      <c r="BN81" s="48" t="b">
        <f>Z81=[1]员工报账!Z85</f>
        <v>1</v>
      </c>
      <c r="BO81" s="48" t="b">
        <f>AA81=[1]员工报账!AA85</f>
        <v>0</v>
      </c>
      <c r="BP81" s="48" t="b">
        <f>AB81=[1]员工报账!AB85</f>
        <v>0</v>
      </c>
      <c r="BQ81" s="48" t="b">
        <f>AC81=[1]员工报账!AC85</f>
        <v>1</v>
      </c>
      <c r="BR81" s="48" t="b">
        <f>AD81=[1]员工报账!AD85</f>
        <v>1</v>
      </c>
      <c r="BS81" s="48" t="b">
        <f>AE81=[1]员工报账!AE85</f>
        <v>1</v>
      </c>
      <c r="BT81" s="48" t="b">
        <f>AF81=[1]员工报账!AF85</f>
        <v>1</v>
      </c>
      <c r="BU81" s="48" t="b">
        <f>AG81=[1]员工报账!AG85</f>
        <v>1</v>
      </c>
      <c r="BV81" s="48" t="b">
        <f>AH81=[1]员工报账!AH85</f>
        <v>0</v>
      </c>
      <c r="BW81" s="48" t="b">
        <f>AI81=[1]员工报账!AI85</f>
        <v>0</v>
      </c>
      <c r="BX81" s="48" t="b">
        <f>AJ81=[1]员工报账!AJ85</f>
        <v>1</v>
      </c>
    </row>
    <row r="82" ht="158.4" spans="1:76">
      <c r="A82" s="79"/>
      <c r="B82" s="79"/>
      <c r="C82" s="45"/>
      <c r="D82" s="45"/>
      <c r="E82" s="45"/>
      <c r="F82" s="45"/>
      <c r="G82" s="45"/>
      <c r="H82" s="45"/>
      <c r="I82" s="45" t="s">
        <v>879</v>
      </c>
      <c r="J82" s="33" t="s">
        <v>880</v>
      </c>
      <c r="K82" s="45" t="s">
        <v>36</v>
      </c>
      <c r="L82" s="45"/>
      <c r="M82" s="45" t="s">
        <v>36</v>
      </c>
      <c r="N82" s="45"/>
      <c r="O82" s="45"/>
      <c r="P82" s="45"/>
      <c r="Q82" s="45"/>
      <c r="R82" s="45"/>
      <c r="S82" s="45"/>
      <c r="T82" s="45" t="s">
        <v>516</v>
      </c>
      <c r="U82" s="32"/>
      <c r="V82" s="32" t="s">
        <v>881</v>
      </c>
      <c r="W82" s="32" t="s">
        <v>882</v>
      </c>
      <c r="X82" s="45" t="s">
        <v>628</v>
      </c>
      <c r="Y82" s="45" t="s">
        <v>470</v>
      </c>
      <c r="Z82" s="45"/>
      <c r="AA82" s="45" t="s">
        <v>469</v>
      </c>
      <c r="AB82" s="45" t="s">
        <v>470</v>
      </c>
      <c r="AC82" s="45"/>
      <c r="AD82" s="32"/>
      <c r="AE82" s="45"/>
      <c r="AF82" s="45"/>
      <c r="AG82" s="45"/>
      <c r="AH82" s="45" t="s">
        <v>473</v>
      </c>
      <c r="AI82" s="45" t="s">
        <v>473</v>
      </c>
      <c r="AJ82" s="32"/>
      <c r="AK82" s="22"/>
      <c r="AL82" s="35" t="s">
        <v>877</v>
      </c>
      <c r="AM82" s="28"/>
      <c r="AN82" s="1" t="s">
        <v>878</v>
      </c>
      <c r="AO82" s="48" t="b">
        <f>A82=[1]员工报账!A86</f>
        <v>1</v>
      </c>
      <c r="AP82" s="48" t="b">
        <f>B82=[1]员工报账!B86</f>
        <v>1</v>
      </c>
      <c r="AQ82" s="48" t="b">
        <f>C82=[1]员工报账!C86</f>
        <v>1</v>
      </c>
      <c r="AR82" s="48" t="b">
        <f>D82=[1]员工报账!D86</f>
        <v>1</v>
      </c>
      <c r="AS82" s="48" t="b">
        <f>E82=[1]员工报账!E86</f>
        <v>1</v>
      </c>
      <c r="AT82" s="48" t="b">
        <f>F82=[1]员工报账!F86</f>
        <v>1</v>
      </c>
      <c r="AU82" s="48" t="b">
        <f>G82=[1]员工报账!G86</f>
        <v>1</v>
      </c>
      <c r="AV82" s="48" t="b">
        <f>H82=[1]员工报账!H86</f>
        <v>1</v>
      </c>
      <c r="AW82" s="48" t="b">
        <f>I82=[1]员工报账!I86</f>
        <v>0</v>
      </c>
      <c r="AX82" s="48" t="b">
        <f>J82=[1]员工报账!J86</f>
        <v>0</v>
      </c>
      <c r="AY82" s="48" t="b">
        <f>K82=[1]员工报账!K86</f>
        <v>0</v>
      </c>
      <c r="AZ82" s="48" t="b">
        <f>L82=[1]员工报账!L86</f>
        <v>1</v>
      </c>
      <c r="BA82" s="48" t="b">
        <f>M82=[1]员工报账!M86</f>
        <v>0</v>
      </c>
      <c r="BB82" s="48" t="b">
        <f>N82=[1]员工报账!N86</f>
        <v>1</v>
      </c>
      <c r="BC82" s="48" t="b">
        <f>O82=[1]员工报账!O86</f>
        <v>1</v>
      </c>
      <c r="BD82" s="48" t="b">
        <f>P82=[1]员工报账!P86</f>
        <v>1</v>
      </c>
      <c r="BE82" s="48" t="b">
        <f>Q82=[1]员工报账!Q86</f>
        <v>1</v>
      </c>
      <c r="BF82" s="48" t="b">
        <f>R82=[1]员工报账!R86</f>
        <v>1</v>
      </c>
      <c r="BG82" s="48" t="b">
        <f>S82=[1]员工报账!S86</f>
        <v>1</v>
      </c>
      <c r="BH82" s="48" t="b">
        <f>T82=[1]员工报账!T86</f>
        <v>0</v>
      </c>
      <c r="BI82" s="48" t="b">
        <f>U82=[1]员工报账!U86</f>
        <v>1</v>
      </c>
      <c r="BJ82" s="48" t="b">
        <f>V82=[1]员工报账!V86</f>
        <v>0</v>
      </c>
      <c r="BK82" s="48" t="b">
        <f>W82=[1]员工报账!W86</f>
        <v>0</v>
      </c>
      <c r="BL82" s="48" t="b">
        <f>X82=[1]员工报账!X86</f>
        <v>0</v>
      </c>
      <c r="BM82" s="48" t="b">
        <f>Y82=[1]员工报账!Y86</f>
        <v>0</v>
      </c>
      <c r="BN82" s="48" t="b">
        <f>Z82=[1]员工报账!Z86</f>
        <v>1</v>
      </c>
      <c r="BO82" s="48" t="b">
        <f>AA82=[1]员工报账!AA86</f>
        <v>0</v>
      </c>
      <c r="BP82" s="48" t="b">
        <f>AB82=[1]员工报账!AB86</f>
        <v>0</v>
      </c>
      <c r="BQ82" s="48" t="b">
        <f>AC82=[1]员工报账!AC86</f>
        <v>1</v>
      </c>
      <c r="BR82" s="48" t="b">
        <f>AD82=[1]员工报账!AD86</f>
        <v>1</v>
      </c>
      <c r="BS82" s="48" t="b">
        <f>AE82=[1]员工报账!AE86</f>
        <v>1</v>
      </c>
      <c r="BT82" s="48" t="b">
        <f>AF82=[1]员工报账!AF86</f>
        <v>1</v>
      </c>
      <c r="BU82" s="48" t="b">
        <f>AG82=[1]员工报账!AG86</f>
        <v>1</v>
      </c>
      <c r="BV82" s="48" t="b">
        <f>AH82=[1]员工报账!AH86</f>
        <v>0</v>
      </c>
      <c r="BW82" s="48" t="b">
        <f>AI82=[1]员工报账!AI86</f>
        <v>0</v>
      </c>
      <c r="BX82" s="48" t="b">
        <f>AJ82=[1]员工报账!AJ86</f>
        <v>1</v>
      </c>
    </row>
    <row r="83" ht="158.4" spans="1:76">
      <c r="A83" s="79"/>
      <c r="B83" s="79"/>
      <c r="C83" s="45"/>
      <c r="D83" s="45"/>
      <c r="E83" s="45"/>
      <c r="F83" s="45"/>
      <c r="G83" s="45"/>
      <c r="H83" s="45"/>
      <c r="I83" s="45" t="s">
        <v>883</v>
      </c>
      <c r="J83" s="33" t="s">
        <v>884</v>
      </c>
      <c r="K83" s="45"/>
      <c r="L83" s="45"/>
      <c r="M83" s="45" t="s">
        <v>36</v>
      </c>
      <c r="N83" s="45"/>
      <c r="O83" s="45"/>
      <c r="P83" s="45"/>
      <c r="Q83" s="45"/>
      <c r="R83" s="45"/>
      <c r="S83" s="45"/>
      <c r="T83" s="45" t="s">
        <v>516</v>
      </c>
      <c r="U83" s="32"/>
      <c r="V83" s="32" t="s">
        <v>885</v>
      </c>
      <c r="W83" s="32" t="s">
        <v>882</v>
      </c>
      <c r="X83" s="45" t="s">
        <v>628</v>
      </c>
      <c r="Y83" s="45" t="s">
        <v>470</v>
      </c>
      <c r="Z83" s="45"/>
      <c r="AA83" s="45" t="s">
        <v>469</v>
      </c>
      <c r="AB83" s="45" t="s">
        <v>470</v>
      </c>
      <c r="AC83" s="45"/>
      <c r="AD83" s="32"/>
      <c r="AE83" s="45"/>
      <c r="AF83" s="45"/>
      <c r="AG83" s="45"/>
      <c r="AH83" s="45" t="s">
        <v>473</v>
      </c>
      <c r="AI83" s="45" t="s">
        <v>473</v>
      </c>
      <c r="AJ83" s="32" t="s">
        <v>886</v>
      </c>
      <c r="AK83" s="22"/>
      <c r="AL83" s="35" t="s">
        <v>877</v>
      </c>
      <c r="AM83" s="28"/>
      <c r="AN83" s="1" t="s">
        <v>878</v>
      </c>
      <c r="AO83" s="48" t="b">
        <f>A83=[1]员工报账!A87</f>
        <v>1</v>
      </c>
      <c r="AP83" s="48" t="b">
        <f>B83=[1]员工报账!B87</f>
        <v>1</v>
      </c>
      <c r="AQ83" s="48" t="b">
        <f>C83=[1]员工报账!C87</f>
        <v>1</v>
      </c>
      <c r="AR83" s="48" t="b">
        <f>D83=[1]员工报账!D87</f>
        <v>1</v>
      </c>
      <c r="AS83" s="48" t="b">
        <f>E83=[1]员工报账!E87</f>
        <v>1</v>
      </c>
      <c r="AT83" s="48" t="b">
        <f>F83=[1]员工报账!F87</f>
        <v>1</v>
      </c>
      <c r="AU83" s="48" t="b">
        <f>G83=[1]员工报账!G87</f>
        <v>1</v>
      </c>
      <c r="AV83" s="48" t="b">
        <f>H83=[1]员工报账!H87</f>
        <v>1</v>
      </c>
      <c r="AW83" s="48" t="b">
        <f>I83=[1]员工报账!I87</f>
        <v>0</v>
      </c>
      <c r="AX83" s="48" t="b">
        <f>J83=[1]员工报账!J87</f>
        <v>0</v>
      </c>
      <c r="AY83" s="48" t="b">
        <f>K83=[1]员工报账!K87</f>
        <v>1</v>
      </c>
      <c r="AZ83" s="48" t="b">
        <f>L83=[1]员工报账!L87</f>
        <v>1</v>
      </c>
      <c r="BA83" s="48" t="b">
        <f>M83=[1]员工报账!M87</f>
        <v>0</v>
      </c>
      <c r="BB83" s="48" t="b">
        <f>N83=[1]员工报账!N87</f>
        <v>1</v>
      </c>
      <c r="BC83" s="48" t="b">
        <f>O83=[1]员工报账!O87</f>
        <v>1</v>
      </c>
      <c r="BD83" s="48" t="b">
        <f>P83=[1]员工报账!P87</f>
        <v>1</v>
      </c>
      <c r="BE83" s="48" t="b">
        <f>Q83=[1]员工报账!Q87</f>
        <v>1</v>
      </c>
      <c r="BF83" s="48" t="b">
        <f>R83=[1]员工报账!R87</f>
        <v>1</v>
      </c>
      <c r="BG83" s="48" t="b">
        <f>S83=[1]员工报账!S87</f>
        <v>1</v>
      </c>
      <c r="BH83" s="48" t="b">
        <f>T83=[1]员工报账!T87</f>
        <v>0</v>
      </c>
      <c r="BI83" s="48" t="b">
        <f>U83=[1]员工报账!U87</f>
        <v>1</v>
      </c>
      <c r="BJ83" s="48" t="b">
        <f>V83=[1]员工报账!V87</f>
        <v>0</v>
      </c>
      <c r="BK83" s="48" t="b">
        <f>W83=[1]员工报账!W87</f>
        <v>0</v>
      </c>
      <c r="BL83" s="48" t="b">
        <f>X83=[1]员工报账!X87</f>
        <v>0</v>
      </c>
      <c r="BM83" s="48" t="b">
        <f>Y83=[1]员工报账!Y87</f>
        <v>0</v>
      </c>
      <c r="BN83" s="48" t="b">
        <f>Z83=[1]员工报账!Z87</f>
        <v>1</v>
      </c>
      <c r="BO83" s="48" t="b">
        <f>AA83=[1]员工报账!AA87</f>
        <v>0</v>
      </c>
      <c r="BP83" s="48" t="b">
        <f>AB83=[1]员工报账!AB87</f>
        <v>0</v>
      </c>
      <c r="BQ83" s="48" t="b">
        <f>AC83=[1]员工报账!AC87</f>
        <v>1</v>
      </c>
      <c r="BR83" s="48" t="b">
        <f>AD83=[1]员工报账!AD87</f>
        <v>1</v>
      </c>
      <c r="BS83" s="48" t="b">
        <f>AE83=[1]员工报账!AE87</f>
        <v>1</v>
      </c>
      <c r="BT83" s="48" t="b">
        <f>AF83=[1]员工报账!AF87</f>
        <v>1</v>
      </c>
      <c r="BU83" s="48" t="b">
        <f>AG83=[1]员工报账!AG87</f>
        <v>1</v>
      </c>
      <c r="BV83" s="48" t="b">
        <f>AH83=[1]员工报账!AH87</f>
        <v>0</v>
      </c>
      <c r="BW83" s="48" t="b">
        <f>AI83=[1]员工报账!AI87</f>
        <v>0</v>
      </c>
      <c r="BX83" s="48" t="b">
        <f>AJ83=[1]员工报账!AJ87</f>
        <v>0</v>
      </c>
    </row>
    <row r="84" ht="184.8" spans="1:76">
      <c r="A84" s="79"/>
      <c r="B84" s="79"/>
      <c r="C84" s="45"/>
      <c r="D84" s="45"/>
      <c r="E84" s="45"/>
      <c r="F84" s="45"/>
      <c r="G84" s="45"/>
      <c r="H84" s="45"/>
      <c r="I84" s="45" t="s">
        <v>887</v>
      </c>
      <c r="J84" s="33" t="s">
        <v>888</v>
      </c>
      <c r="K84" s="45"/>
      <c r="L84" s="45"/>
      <c r="M84" s="45"/>
      <c r="N84" s="45" t="s">
        <v>36</v>
      </c>
      <c r="O84" s="45"/>
      <c r="P84" s="45"/>
      <c r="Q84" s="45" t="s">
        <v>36</v>
      </c>
      <c r="R84" s="45"/>
      <c r="S84" s="45"/>
      <c r="T84" s="45" t="s">
        <v>516</v>
      </c>
      <c r="U84" s="32"/>
      <c r="V84" s="32" t="s">
        <v>889</v>
      </c>
      <c r="W84" s="32" t="s">
        <v>890</v>
      </c>
      <c r="X84" s="45" t="s">
        <v>628</v>
      </c>
      <c r="Y84" s="45" t="s">
        <v>470</v>
      </c>
      <c r="Z84" s="45"/>
      <c r="AA84" s="45" t="s">
        <v>469</v>
      </c>
      <c r="AB84" s="45" t="s">
        <v>470</v>
      </c>
      <c r="AC84" s="45"/>
      <c r="AD84" s="32"/>
      <c r="AE84" s="45"/>
      <c r="AF84" s="45"/>
      <c r="AG84" s="45"/>
      <c r="AH84" s="45" t="s">
        <v>473</v>
      </c>
      <c r="AI84" s="45" t="s">
        <v>473</v>
      </c>
      <c r="AJ84" s="32" t="s">
        <v>891</v>
      </c>
      <c r="AK84" s="22"/>
      <c r="AL84" s="35" t="s">
        <v>877</v>
      </c>
      <c r="AM84" s="28"/>
      <c r="AN84" s="1" t="s">
        <v>878</v>
      </c>
      <c r="AO84" s="48" t="b">
        <f>A84=[1]员工报账!A88</f>
        <v>1</v>
      </c>
      <c r="AP84" s="48" t="b">
        <f>B84=[1]员工报账!B88</f>
        <v>1</v>
      </c>
      <c r="AQ84" s="48" t="b">
        <f>C84=[1]员工报账!C88</f>
        <v>1</v>
      </c>
      <c r="AR84" s="48" t="b">
        <f>D84=[1]员工报账!D88</f>
        <v>1</v>
      </c>
      <c r="AS84" s="48" t="b">
        <f>E84=[1]员工报账!E88</f>
        <v>1</v>
      </c>
      <c r="AT84" s="48" t="b">
        <f>F84=[1]员工报账!F88</f>
        <v>1</v>
      </c>
      <c r="AU84" s="48" t="b">
        <f>G84=[1]员工报账!G88</f>
        <v>1</v>
      </c>
      <c r="AV84" s="48" t="b">
        <f>H84=[1]员工报账!H88</f>
        <v>1</v>
      </c>
      <c r="AW84" s="48" t="b">
        <f>I84=[1]员工报账!I88</f>
        <v>0</v>
      </c>
      <c r="AX84" s="48" t="b">
        <f>J84=[1]员工报账!J88</f>
        <v>0</v>
      </c>
      <c r="AY84" s="48" t="b">
        <f>K84=[1]员工报账!K88</f>
        <v>1</v>
      </c>
      <c r="AZ84" s="48" t="b">
        <f>L84=[1]员工报账!L88</f>
        <v>1</v>
      </c>
      <c r="BA84" s="48" t="b">
        <f>M84=[1]员工报账!M88</f>
        <v>1</v>
      </c>
      <c r="BB84" s="48" t="b">
        <f>N84=[1]员工报账!N88</f>
        <v>0</v>
      </c>
      <c r="BC84" s="48" t="b">
        <f>O84=[1]员工报账!O88</f>
        <v>1</v>
      </c>
      <c r="BD84" s="48" t="b">
        <f>P84=[1]员工报账!P88</f>
        <v>1</v>
      </c>
      <c r="BE84" s="48" t="b">
        <f>Q84=[1]员工报账!Q88</f>
        <v>0</v>
      </c>
      <c r="BF84" s="48" t="b">
        <f>R84=[1]员工报账!R88</f>
        <v>1</v>
      </c>
      <c r="BG84" s="48" t="b">
        <f>S84=[1]员工报账!S88</f>
        <v>1</v>
      </c>
      <c r="BH84" s="48" t="b">
        <f>T84=[1]员工报账!T88</f>
        <v>0</v>
      </c>
      <c r="BI84" s="48" t="b">
        <f>U84=[1]员工报账!U88</f>
        <v>1</v>
      </c>
      <c r="BJ84" s="48" t="b">
        <f>V84=[1]员工报账!V88</f>
        <v>0</v>
      </c>
      <c r="BK84" s="48" t="b">
        <f>W84=[1]员工报账!W88</f>
        <v>0</v>
      </c>
      <c r="BL84" s="48" t="b">
        <f>X84=[1]员工报账!X88</f>
        <v>0</v>
      </c>
      <c r="BM84" s="48" t="b">
        <f>Y84=[1]员工报账!Y88</f>
        <v>0</v>
      </c>
      <c r="BN84" s="48" t="b">
        <f>Z84=[1]员工报账!Z88</f>
        <v>1</v>
      </c>
      <c r="BO84" s="48" t="b">
        <f>AA84=[1]员工报账!AA88</f>
        <v>0</v>
      </c>
      <c r="BP84" s="48" t="b">
        <f>AB84=[1]员工报账!AB88</f>
        <v>0</v>
      </c>
      <c r="BQ84" s="48" t="b">
        <f>AC84=[1]员工报账!AC88</f>
        <v>1</v>
      </c>
      <c r="BR84" s="48" t="b">
        <f>AD84=[1]员工报账!AD88</f>
        <v>1</v>
      </c>
      <c r="BS84" s="48" t="b">
        <f>AE84=[1]员工报账!AE88</f>
        <v>1</v>
      </c>
      <c r="BT84" s="48" t="b">
        <f>AF84=[1]员工报账!AF88</f>
        <v>1</v>
      </c>
      <c r="BU84" s="48" t="b">
        <f>AG84=[1]员工报账!AG88</f>
        <v>1</v>
      </c>
      <c r="BV84" s="48" t="b">
        <f>AH84=[1]员工报账!AH88</f>
        <v>0</v>
      </c>
      <c r="BW84" s="48" t="b">
        <f>AI84=[1]员工报账!AI88</f>
        <v>0</v>
      </c>
      <c r="BX84" s="48" t="b">
        <f>AJ84=[1]员工报账!AJ88</f>
        <v>0</v>
      </c>
    </row>
    <row r="85" ht="147" spans="1:76">
      <c r="A85" s="80" t="s">
        <v>453</v>
      </c>
      <c r="B85" s="80" t="s">
        <v>644</v>
      </c>
      <c r="C85" s="81" t="s">
        <v>892</v>
      </c>
      <c r="D85" s="81" t="s">
        <v>893</v>
      </c>
      <c r="E85" s="82" t="s">
        <v>894</v>
      </c>
      <c r="F85" s="82" t="s">
        <v>895</v>
      </c>
      <c r="G85" s="81" t="s">
        <v>896</v>
      </c>
      <c r="H85" s="82" t="s">
        <v>897</v>
      </c>
      <c r="I85" s="83" t="s">
        <v>898</v>
      </c>
      <c r="J85" s="33" t="s">
        <v>899</v>
      </c>
      <c r="K85" s="45"/>
      <c r="L85" s="45"/>
      <c r="M85" s="45"/>
      <c r="N85" s="45"/>
      <c r="O85" s="45" t="s">
        <v>36</v>
      </c>
      <c r="P85" s="45"/>
      <c r="Q85" s="45"/>
      <c r="R85" s="45"/>
      <c r="S85" s="45"/>
      <c r="T85" s="45" t="s">
        <v>516</v>
      </c>
      <c r="U85" s="22"/>
      <c r="V85" s="32" t="s">
        <v>900</v>
      </c>
      <c r="W85" s="32" t="s">
        <v>901</v>
      </c>
      <c r="X85" s="45" t="s">
        <v>628</v>
      </c>
      <c r="Y85" s="45" t="s">
        <v>470</v>
      </c>
      <c r="Z85" s="45"/>
      <c r="AA85" s="45" t="s">
        <v>469</v>
      </c>
      <c r="AB85" s="45" t="s">
        <v>470</v>
      </c>
      <c r="AC85" s="45"/>
      <c r="AD85" s="32"/>
      <c r="AE85" s="45"/>
      <c r="AF85" s="45"/>
      <c r="AG85" s="45"/>
      <c r="AH85" s="45" t="s">
        <v>473</v>
      </c>
      <c r="AI85" s="45" t="s">
        <v>473</v>
      </c>
      <c r="AJ85" s="32" t="s">
        <v>902</v>
      </c>
      <c r="AK85" s="22"/>
      <c r="AL85" s="35" t="s">
        <v>699</v>
      </c>
      <c r="AM85" s="28"/>
      <c r="AN85" s="1" t="s">
        <v>903</v>
      </c>
      <c r="AO85" s="48" t="b">
        <f>A85=[1]员工报账!A89</f>
        <v>0</v>
      </c>
      <c r="AP85" s="48" t="b">
        <f>B85=[1]员工报账!B89</f>
        <v>0</v>
      </c>
      <c r="AQ85" s="48" t="b">
        <f>C85=[1]员工报账!C89</f>
        <v>0</v>
      </c>
      <c r="AR85" s="48" t="b">
        <f>D85=[1]员工报账!D89</f>
        <v>0</v>
      </c>
      <c r="AS85" s="48" t="b">
        <f>E85=[1]员工报账!E89</f>
        <v>0</v>
      </c>
      <c r="AT85" s="48" t="b">
        <f>F85=[1]员工报账!F89</f>
        <v>0</v>
      </c>
      <c r="AU85" s="48" t="b">
        <f>G85=[1]员工报账!G89</f>
        <v>0</v>
      </c>
      <c r="AV85" s="48" t="b">
        <f>H85=[1]员工报账!H89</f>
        <v>0</v>
      </c>
      <c r="AW85" s="48" t="b">
        <f>I85=[1]员工报账!I89</f>
        <v>0</v>
      </c>
      <c r="AX85" s="48" t="b">
        <f>J85=[1]员工报账!J89</f>
        <v>0</v>
      </c>
      <c r="AY85" s="48" t="b">
        <f>K85=[1]员工报账!K89</f>
        <v>1</v>
      </c>
      <c r="AZ85" s="48" t="b">
        <f>L85=[1]员工报账!L89</f>
        <v>1</v>
      </c>
      <c r="BA85" s="48" t="b">
        <f>M85=[1]员工报账!M89</f>
        <v>1</v>
      </c>
      <c r="BB85" s="48" t="b">
        <f>N85=[1]员工报账!N89</f>
        <v>1</v>
      </c>
      <c r="BC85" s="48" t="b">
        <f>O85=[1]员工报账!O89</f>
        <v>0</v>
      </c>
      <c r="BD85" s="48" t="b">
        <f>P85=[1]员工报账!P89</f>
        <v>1</v>
      </c>
      <c r="BE85" s="48" t="b">
        <f>Q85=[1]员工报账!Q89</f>
        <v>1</v>
      </c>
      <c r="BF85" s="48" t="b">
        <f>R85=[1]员工报账!R89</f>
        <v>1</v>
      </c>
      <c r="BG85" s="48" t="b">
        <f>S85=[1]员工报账!S89</f>
        <v>1</v>
      </c>
      <c r="BH85" s="48" t="b">
        <f>T85=[1]员工报账!T89</f>
        <v>0</v>
      </c>
      <c r="BI85" s="48" t="b">
        <f>U85=[1]员工报账!U89</f>
        <v>1</v>
      </c>
      <c r="BJ85" s="48" t="b">
        <f>V85=[1]员工报账!V89</f>
        <v>0</v>
      </c>
      <c r="BK85" s="48" t="b">
        <f>W85=[1]员工报账!W89</f>
        <v>0</v>
      </c>
      <c r="BL85" s="48" t="b">
        <f>X85=[1]员工报账!X89</f>
        <v>0</v>
      </c>
      <c r="BM85" s="48" t="b">
        <f>Y85=[1]员工报账!Y89</f>
        <v>0</v>
      </c>
      <c r="BN85" s="48" t="b">
        <f>Z85=[1]员工报账!Z89</f>
        <v>1</v>
      </c>
      <c r="BO85" s="48" t="b">
        <f>AA85=[1]员工报账!AA89</f>
        <v>0</v>
      </c>
      <c r="BP85" s="48" t="b">
        <f>AB85=[1]员工报账!AB89</f>
        <v>0</v>
      </c>
      <c r="BQ85" s="48" t="b">
        <f>AC85=[1]员工报账!AC89</f>
        <v>1</v>
      </c>
      <c r="BR85" s="48" t="b">
        <f>AD85=[1]员工报账!AD89</f>
        <v>1</v>
      </c>
      <c r="BS85" s="48" t="b">
        <f>AE85=[1]员工报账!AE89</f>
        <v>1</v>
      </c>
      <c r="BT85" s="48" t="b">
        <f>AF85=[1]员工报账!AF89</f>
        <v>1</v>
      </c>
      <c r="BU85" s="48" t="b">
        <f>AG85=[1]员工报账!AG89</f>
        <v>1</v>
      </c>
      <c r="BV85" s="48" t="b">
        <f>AH85=[1]员工报账!AH89</f>
        <v>0</v>
      </c>
      <c r="BW85" s="48" t="b">
        <f>AI85=[1]员工报账!AI89</f>
        <v>0</v>
      </c>
      <c r="BX85" s="48" t="b">
        <f>AJ85=[1]员工报账!AJ89</f>
        <v>0</v>
      </c>
    </row>
    <row r="86" ht="147" spans="1:76">
      <c r="A86" s="84"/>
      <c r="B86" s="84"/>
      <c r="C86" s="85"/>
      <c r="D86" s="85"/>
      <c r="E86" s="86"/>
      <c r="F86" s="86"/>
      <c r="G86" s="85"/>
      <c r="H86" s="86"/>
      <c r="I86" s="83" t="s">
        <v>904</v>
      </c>
      <c r="J86" s="33" t="s">
        <v>905</v>
      </c>
      <c r="K86" s="45" t="s">
        <v>36</v>
      </c>
      <c r="L86" s="45"/>
      <c r="M86" s="45" t="s">
        <v>36</v>
      </c>
      <c r="N86" s="45"/>
      <c r="O86" s="45"/>
      <c r="P86" s="45"/>
      <c r="Q86" s="45"/>
      <c r="R86" s="45"/>
      <c r="S86" s="45"/>
      <c r="T86" s="45" t="s">
        <v>516</v>
      </c>
      <c r="U86" s="22"/>
      <c r="V86" s="32" t="s">
        <v>906</v>
      </c>
      <c r="W86" s="32" t="s">
        <v>907</v>
      </c>
      <c r="X86" s="45" t="s">
        <v>628</v>
      </c>
      <c r="Y86" s="45" t="s">
        <v>470</v>
      </c>
      <c r="Z86" s="45"/>
      <c r="AA86" s="45" t="s">
        <v>469</v>
      </c>
      <c r="AB86" s="45" t="s">
        <v>470</v>
      </c>
      <c r="AC86" s="45"/>
      <c r="AD86" s="32"/>
      <c r="AE86" s="45"/>
      <c r="AF86" s="45"/>
      <c r="AG86" s="45"/>
      <c r="AH86" s="45" t="s">
        <v>473</v>
      </c>
      <c r="AI86" s="45" t="s">
        <v>473</v>
      </c>
      <c r="AJ86" s="32" t="s">
        <v>908</v>
      </c>
      <c r="AK86" s="22"/>
      <c r="AL86" s="35" t="s">
        <v>699</v>
      </c>
      <c r="AM86" s="28"/>
      <c r="AN86" s="1" t="s">
        <v>903</v>
      </c>
      <c r="AO86" s="48" t="b">
        <f>A86=[1]员工报账!A90</f>
        <v>1</v>
      </c>
      <c r="AP86" s="48" t="b">
        <f>B86=[1]员工报账!B90</f>
        <v>1</v>
      </c>
      <c r="AQ86" s="48" t="b">
        <f>C86=[1]员工报账!C90</f>
        <v>1</v>
      </c>
      <c r="AR86" s="48" t="b">
        <f>D86=[1]员工报账!D90</f>
        <v>1</v>
      </c>
      <c r="AS86" s="48" t="b">
        <f>E86=[1]员工报账!E90</f>
        <v>1</v>
      </c>
      <c r="AT86" s="48" t="b">
        <f>F86=[1]员工报账!F90</f>
        <v>1</v>
      </c>
      <c r="AU86" s="48" t="b">
        <f>G86=[1]员工报账!G90</f>
        <v>1</v>
      </c>
      <c r="AV86" s="48" t="b">
        <f>H86=[1]员工报账!H90</f>
        <v>1</v>
      </c>
      <c r="AW86" s="48" t="b">
        <f>I86=[1]员工报账!I90</f>
        <v>0</v>
      </c>
      <c r="AX86" s="48" t="b">
        <f>J86=[1]员工报账!J90</f>
        <v>0</v>
      </c>
      <c r="AY86" s="48" t="b">
        <f>K86=[1]员工报账!K90</f>
        <v>0</v>
      </c>
      <c r="AZ86" s="48" t="b">
        <f>L86=[1]员工报账!L90</f>
        <v>1</v>
      </c>
      <c r="BA86" s="48" t="b">
        <f>M86=[1]员工报账!M90</f>
        <v>0</v>
      </c>
      <c r="BB86" s="48" t="b">
        <f>N86=[1]员工报账!N90</f>
        <v>1</v>
      </c>
      <c r="BC86" s="48" t="b">
        <f>O86=[1]员工报账!O90</f>
        <v>1</v>
      </c>
      <c r="BD86" s="48" t="b">
        <f>P86=[1]员工报账!P90</f>
        <v>1</v>
      </c>
      <c r="BE86" s="48" t="b">
        <f>Q86=[1]员工报账!Q90</f>
        <v>1</v>
      </c>
      <c r="BF86" s="48" t="b">
        <f>R86=[1]员工报账!R90</f>
        <v>1</v>
      </c>
      <c r="BG86" s="48" t="b">
        <f>S86=[1]员工报账!S90</f>
        <v>1</v>
      </c>
      <c r="BH86" s="48" t="b">
        <f>T86=[1]员工报账!T90</f>
        <v>0</v>
      </c>
      <c r="BI86" s="48" t="b">
        <f>U86=[1]员工报账!U90</f>
        <v>1</v>
      </c>
      <c r="BJ86" s="48" t="b">
        <f>V86=[1]员工报账!V90</f>
        <v>0</v>
      </c>
      <c r="BK86" s="48" t="b">
        <f>W86=[1]员工报账!W90</f>
        <v>0</v>
      </c>
      <c r="BL86" s="48" t="b">
        <f>X86=[1]员工报账!X90</f>
        <v>0</v>
      </c>
      <c r="BM86" s="48" t="b">
        <f>Y86=[1]员工报账!Y90</f>
        <v>0</v>
      </c>
      <c r="BN86" s="48" t="b">
        <f>Z86=[1]员工报账!Z90</f>
        <v>1</v>
      </c>
      <c r="BO86" s="48" t="b">
        <f>AA86=[1]员工报账!AA90</f>
        <v>0</v>
      </c>
      <c r="BP86" s="48" t="b">
        <f>AB86=[1]员工报账!AB90</f>
        <v>0</v>
      </c>
      <c r="BQ86" s="48" t="b">
        <f>AC86=[1]员工报账!AC90</f>
        <v>1</v>
      </c>
      <c r="BR86" s="48" t="b">
        <f>AD86=[1]员工报账!AD90</f>
        <v>1</v>
      </c>
      <c r="BS86" s="48" t="b">
        <f>AE86=[1]员工报账!AE90</f>
        <v>1</v>
      </c>
      <c r="BT86" s="48" t="b">
        <f>AF86=[1]员工报账!AF90</f>
        <v>1</v>
      </c>
      <c r="BU86" s="48" t="b">
        <f>AG86=[1]员工报账!AG90</f>
        <v>1</v>
      </c>
      <c r="BV86" s="48" t="b">
        <f>AH86=[1]员工报账!AH90</f>
        <v>0</v>
      </c>
      <c r="BW86" s="48" t="b">
        <f>AI86=[1]员工报账!AI90</f>
        <v>0</v>
      </c>
      <c r="BX86" s="48" t="b">
        <f>AJ86=[1]员工报账!AJ90</f>
        <v>0</v>
      </c>
    </row>
    <row r="87" ht="147" spans="1:76">
      <c r="A87" s="84"/>
      <c r="B87" s="84"/>
      <c r="C87" s="85"/>
      <c r="D87" s="85"/>
      <c r="E87" s="86"/>
      <c r="F87" s="86"/>
      <c r="G87" s="85"/>
      <c r="H87" s="86"/>
      <c r="I87" s="83" t="s">
        <v>909</v>
      </c>
      <c r="J87" s="33" t="s">
        <v>910</v>
      </c>
      <c r="K87" s="35"/>
      <c r="L87" s="45"/>
      <c r="M87" s="45" t="s">
        <v>36</v>
      </c>
      <c r="N87" s="45"/>
      <c r="O87" s="45"/>
      <c r="P87" s="45"/>
      <c r="Q87" s="45"/>
      <c r="R87" s="45"/>
      <c r="S87" s="45"/>
      <c r="T87" s="45" t="s">
        <v>516</v>
      </c>
      <c r="U87" s="22"/>
      <c r="V87" s="32" t="s">
        <v>911</v>
      </c>
      <c r="W87" s="32" t="s">
        <v>912</v>
      </c>
      <c r="X87" s="45" t="s">
        <v>628</v>
      </c>
      <c r="Y87" s="45" t="s">
        <v>470</v>
      </c>
      <c r="Z87" s="45"/>
      <c r="AA87" s="45" t="s">
        <v>469</v>
      </c>
      <c r="AB87" s="45" t="s">
        <v>470</v>
      </c>
      <c r="AC87" s="45"/>
      <c r="AD87" s="32"/>
      <c r="AE87" s="45"/>
      <c r="AF87" s="45"/>
      <c r="AG87" s="45"/>
      <c r="AH87" s="45" t="s">
        <v>473</v>
      </c>
      <c r="AI87" s="45" t="s">
        <v>473</v>
      </c>
      <c r="AJ87" s="32" t="s">
        <v>913</v>
      </c>
      <c r="AK87" s="22"/>
      <c r="AL87" s="35" t="s">
        <v>699</v>
      </c>
      <c r="AM87" s="28"/>
      <c r="AN87" s="1" t="s">
        <v>903</v>
      </c>
      <c r="AO87" s="48" t="b">
        <f>A87=[1]员工报账!A91</f>
        <v>1</v>
      </c>
      <c r="AP87" s="48" t="b">
        <f>B87=[1]员工报账!B91</f>
        <v>1</v>
      </c>
      <c r="AQ87" s="48" t="b">
        <f>C87=[1]员工报账!C91</f>
        <v>1</v>
      </c>
      <c r="AR87" s="48" t="b">
        <f>D87=[1]员工报账!D91</f>
        <v>1</v>
      </c>
      <c r="AS87" s="48" t="b">
        <f>E87=[1]员工报账!E91</f>
        <v>1</v>
      </c>
      <c r="AT87" s="48" t="b">
        <f>F87=[1]员工报账!F91</f>
        <v>1</v>
      </c>
      <c r="AU87" s="48" t="b">
        <f>G87=[1]员工报账!G91</f>
        <v>1</v>
      </c>
      <c r="AV87" s="48" t="b">
        <f>H87=[1]员工报账!H91</f>
        <v>1</v>
      </c>
      <c r="AW87" s="48" t="b">
        <f>I87=[1]员工报账!I91</f>
        <v>0</v>
      </c>
      <c r="AX87" s="48" t="b">
        <f>J87=[1]员工报账!J91</f>
        <v>0</v>
      </c>
      <c r="AY87" s="48" t="b">
        <f>K87=[1]员工报账!K91</f>
        <v>1</v>
      </c>
      <c r="AZ87" s="48" t="b">
        <f>L87=[1]员工报账!L91</f>
        <v>1</v>
      </c>
      <c r="BA87" s="48" t="b">
        <f>M87=[1]员工报账!M91</f>
        <v>0</v>
      </c>
      <c r="BB87" s="48" t="b">
        <f>N87=[1]员工报账!N91</f>
        <v>1</v>
      </c>
      <c r="BC87" s="48" t="b">
        <f>O87=[1]员工报账!O91</f>
        <v>1</v>
      </c>
      <c r="BD87" s="48" t="b">
        <f>P87=[1]员工报账!P91</f>
        <v>1</v>
      </c>
      <c r="BE87" s="48" t="b">
        <f>Q87=[1]员工报账!Q91</f>
        <v>1</v>
      </c>
      <c r="BF87" s="48" t="b">
        <f>R87=[1]员工报账!R91</f>
        <v>1</v>
      </c>
      <c r="BG87" s="48" t="b">
        <f>S87=[1]员工报账!S91</f>
        <v>1</v>
      </c>
      <c r="BH87" s="48" t="b">
        <f>T87=[1]员工报账!T91</f>
        <v>0</v>
      </c>
      <c r="BI87" s="48" t="b">
        <f>U87=[1]员工报账!U91</f>
        <v>1</v>
      </c>
      <c r="BJ87" s="48" t="b">
        <f>V87=[1]员工报账!V91</f>
        <v>0</v>
      </c>
      <c r="BK87" s="48" t="b">
        <f>W87=[1]员工报账!W91</f>
        <v>0</v>
      </c>
      <c r="BL87" s="48" t="b">
        <f>X87=[1]员工报账!X91</f>
        <v>0</v>
      </c>
      <c r="BM87" s="48" t="b">
        <f>Y87=[1]员工报账!Y91</f>
        <v>0</v>
      </c>
      <c r="BN87" s="48" t="b">
        <f>Z87=[1]员工报账!Z91</f>
        <v>1</v>
      </c>
      <c r="BO87" s="48" t="b">
        <f>AA87=[1]员工报账!AA91</f>
        <v>0</v>
      </c>
      <c r="BP87" s="48" t="b">
        <f>AB87=[1]员工报账!AB91</f>
        <v>0</v>
      </c>
      <c r="BQ87" s="48" t="b">
        <f>AC87=[1]员工报账!AC91</f>
        <v>1</v>
      </c>
      <c r="BR87" s="48" t="b">
        <f>AD87=[1]员工报账!AD91</f>
        <v>1</v>
      </c>
      <c r="BS87" s="48" t="b">
        <f>AE87=[1]员工报账!AE91</f>
        <v>1</v>
      </c>
      <c r="BT87" s="48" t="b">
        <f>AF87=[1]员工报账!AF91</f>
        <v>1</v>
      </c>
      <c r="BU87" s="48" t="b">
        <f>AG87=[1]员工报账!AG91</f>
        <v>1</v>
      </c>
      <c r="BV87" s="48" t="b">
        <f>AH87=[1]员工报账!AH91</f>
        <v>0</v>
      </c>
      <c r="BW87" s="48" t="b">
        <f>AI87=[1]员工报账!AI91</f>
        <v>0</v>
      </c>
      <c r="BX87" s="48" t="b">
        <f>AJ87=[1]员工报账!AJ91</f>
        <v>0</v>
      </c>
    </row>
    <row r="88" ht="147" spans="1:76">
      <c r="A88" s="88"/>
      <c r="B88" s="88"/>
      <c r="C88" s="83"/>
      <c r="D88" s="83"/>
      <c r="E88" s="33"/>
      <c r="F88" s="33"/>
      <c r="G88" s="83"/>
      <c r="H88" s="33"/>
      <c r="I88" s="83" t="s">
        <v>914</v>
      </c>
      <c r="J88" s="33" t="s">
        <v>915</v>
      </c>
      <c r="K88" s="45"/>
      <c r="L88" s="45"/>
      <c r="M88" s="45"/>
      <c r="N88" s="45"/>
      <c r="O88" s="45"/>
      <c r="P88" s="45"/>
      <c r="Q88" s="45" t="s">
        <v>36</v>
      </c>
      <c r="R88" s="45"/>
      <c r="S88" s="45"/>
      <c r="T88" s="45" t="s">
        <v>516</v>
      </c>
      <c r="U88" s="22"/>
      <c r="V88" s="32" t="s">
        <v>911</v>
      </c>
      <c r="W88" s="32" t="s">
        <v>916</v>
      </c>
      <c r="X88" s="45" t="s">
        <v>628</v>
      </c>
      <c r="Y88" s="45" t="s">
        <v>470</v>
      </c>
      <c r="Z88" s="45"/>
      <c r="AA88" s="45" t="s">
        <v>469</v>
      </c>
      <c r="AB88" s="45" t="s">
        <v>470</v>
      </c>
      <c r="AC88" s="45"/>
      <c r="AD88" s="32"/>
      <c r="AE88" s="45"/>
      <c r="AF88" s="45"/>
      <c r="AG88" s="45"/>
      <c r="AH88" s="45" t="s">
        <v>473</v>
      </c>
      <c r="AI88" s="45" t="s">
        <v>473</v>
      </c>
      <c r="AJ88" s="32" t="s">
        <v>891</v>
      </c>
      <c r="AK88" s="22"/>
      <c r="AL88" s="35" t="s">
        <v>476</v>
      </c>
      <c r="AM88" s="28"/>
      <c r="AN88" s="1" t="s">
        <v>903</v>
      </c>
      <c r="AO88" s="48" t="b">
        <f>A88=[1]员工报账!A92</f>
        <v>1</v>
      </c>
      <c r="AP88" s="48" t="b">
        <f>B88=[1]员工报账!B92</f>
        <v>1</v>
      </c>
      <c r="AQ88" s="48" t="b">
        <f>C88=[1]员工报账!C92</f>
        <v>1</v>
      </c>
      <c r="AR88" s="48" t="b">
        <f>D88=[1]员工报账!D92</f>
        <v>1</v>
      </c>
      <c r="AS88" s="48" t="b">
        <f>E88=[1]员工报账!E92</f>
        <v>1</v>
      </c>
      <c r="AT88" s="48" t="b">
        <f>F88=[1]员工报账!F92</f>
        <v>1</v>
      </c>
      <c r="AU88" s="48" t="b">
        <f>G88=[1]员工报账!G92</f>
        <v>1</v>
      </c>
      <c r="AV88" s="48" t="b">
        <f>H88=[1]员工报账!H92</f>
        <v>1</v>
      </c>
      <c r="AW88" s="48" t="b">
        <f>I88=[1]员工报账!I92</f>
        <v>0</v>
      </c>
      <c r="AX88" s="48" t="b">
        <f>J88=[1]员工报账!J92</f>
        <v>0</v>
      </c>
      <c r="AY88" s="48" t="b">
        <f>K88=[1]员工报账!K92</f>
        <v>1</v>
      </c>
      <c r="AZ88" s="48" t="b">
        <f>L88=[1]员工报账!L92</f>
        <v>1</v>
      </c>
      <c r="BA88" s="48" t="b">
        <f>M88=[1]员工报账!M92</f>
        <v>1</v>
      </c>
      <c r="BB88" s="48" t="b">
        <f>N88=[1]员工报账!N92</f>
        <v>1</v>
      </c>
      <c r="BC88" s="48" t="b">
        <f>O88=[1]员工报账!O92</f>
        <v>1</v>
      </c>
      <c r="BD88" s="48" t="b">
        <f>P88=[1]员工报账!P92</f>
        <v>1</v>
      </c>
      <c r="BE88" s="48" t="b">
        <f>Q88=[1]员工报账!Q92</f>
        <v>0</v>
      </c>
      <c r="BF88" s="48" t="b">
        <f>R88=[1]员工报账!R92</f>
        <v>1</v>
      </c>
      <c r="BG88" s="48" t="b">
        <f>S88=[1]员工报账!S92</f>
        <v>1</v>
      </c>
      <c r="BH88" s="48" t="b">
        <f>T88=[1]员工报账!T92</f>
        <v>0</v>
      </c>
      <c r="BI88" s="48" t="b">
        <f>U88=[1]员工报账!U92</f>
        <v>1</v>
      </c>
      <c r="BJ88" s="48" t="b">
        <f>V88=[1]员工报账!V92</f>
        <v>0</v>
      </c>
      <c r="BK88" s="48" t="b">
        <f>W88=[1]员工报账!W92</f>
        <v>0</v>
      </c>
      <c r="BL88" s="48" t="b">
        <f>X88=[1]员工报账!X92</f>
        <v>0</v>
      </c>
      <c r="BM88" s="48" t="b">
        <f>Y88=[1]员工报账!Y92</f>
        <v>0</v>
      </c>
      <c r="BN88" s="48" t="b">
        <f>Z88=[1]员工报账!Z92</f>
        <v>1</v>
      </c>
      <c r="BO88" s="48" t="b">
        <f>AA88=[1]员工报账!AA92</f>
        <v>0</v>
      </c>
      <c r="BP88" s="48" t="b">
        <f>AB88=[1]员工报账!AB92</f>
        <v>0</v>
      </c>
      <c r="BQ88" s="48" t="b">
        <f>AC88=[1]员工报账!AC92</f>
        <v>1</v>
      </c>
      <c r="BR88" s="48" t="b">
        <f>AD88=[1]员工报账!AD92</f>
        <v>1</v>
      </c>
      <c r="BS88" s="48" t="b">
        <f>AE88=[1]员工报账!AE92</f>
        <v>1</v>
      </c>
      <c r="BT88" s="48" t="b">
        <f>AF88=[1]员工报账!AF92</f>
        <v>1</v>
      </c>
      <c r="BU88" s="48" t="b">
        <f>AG88=[1]员工报账!AG92</f>
        <v>1</v>
      </c>
      <c r="BV88" s="48" t="b">
        <f>AH88=[1]员工报账!AH92</f>
        <v>0</v>
      </c>
      <c r="BW88" s="48" t="b">
        <f>AI88=[1]员工报账!AI92</f>
        <v>0</v>
      </c>
      <c r="BX88" s="48" t="b">
        <f>AJ88=[1]员工报账!AJ92</f>
        <v>0</v>
      </c>
    </row>
    <row r="89" ht="105" spans="1:76">
      <c r="A89" s="80" t="s">
        <v>453</v>
      </c>
      <c r="B89" s="80" t="s">
        <v>644</v>
      </c>
      <c r="C89" s="81" t="s">
        <v>892</v>
      </c>
      <c r="D89" s="81" t="s">
        <v>917</v>
      </c>
      <c r="E89" s="82" t="s">
        <v>918</v>
      </c>
      <c r="F89" s="82" t="s">
        <v>919</v>
      </c>
      <c r="G89" s="81" t="s">
        <v>920</v>
      </c>
      <c r="H89" s="82" t="s">
        <v>921</v>
      </c>
      <c r="I89" s="83" t="s">
        <v>922</v>
      </c>
      <c r="J89" s="33" t="s">
        <v>923</v>
      </c>
      <c r="K89" s="45"/>
      <c r="L89" s="45"/>
      <c r="M89" s="45"/>
      <c r="N89" s="45"/>
      <c r="O89" s="45" t="s">
        <v>36</v>
      </c>
      <c r="P89" s="45"/>
      <c r="Q89" s="45"/>
      <c r="R89" s="45"/>
      <c r="S89" s="45"/>
      <c r="T89" s="45" t="s">
        <v>516</v>
      </c>
      <c r="U89" s="22"/>
      <c r="V89" s="32" t="s">
        <v>924</v>
      </c>
      <c r="W89" s="32" t="s">
        <v>925</v>
      </c>
      <c r="X89" s="45" t="s">
        <v>628</v>
      </c>
      <c r="Y89" s="45" t="s">
        <v>470</v>
      </c>
      <c r="Z89" s="45"/>
      <c r="AA89" s="45" t="s">
        <v>469</v>
      </c>
      <c r="AB89" s="45" t="s">
        <v>470</v>
      </c>
      <c r="AC89" s="45"/>
      <c r="AD89" s="32"/>
      <c r="AE89" s="45"/>
      <c r="AF89" s="45"/>
      <c r="AG89" s="45"/>
      <c r="AH89" s="45" t="s">
        <v>473</v>
      </c>
      <c r="AI89" s="45" t="s">
        <v>473</v>
      </c>
      <c r="AJ89" s="32" t="s">
        <v>926</v>
      </c>
      <c r="AK89" s="22"/>
      <c r="AL89" s="35" t="s">
        <v>927</v>
      </c>
      <c r="AM89" s="28"/>
      <c r="AN89" s="1" t="s">
        <v>928</v>
      </c>
      <c r="AO89" s="48" t="b">
        <f>A89=[1]员工报账!A93</f>
        <v>0</v>
      </c>
      <c r="AP89" s="48" t="b">
        <f>B89=[1]员工报账!B93</f>
        <v>0</v>
      </c>
      <c r="AQ89" s="48" t="b">
        <f>C89=[1]员工报账!C93</f>
        <v>0</v>
      </c>
      <c r="AR89" s="48" t="b">
        <f>D89=[1]员工报账!D93</f>
        <v>0</v>
      </c>
      <c r="AS89" s="48" t="b">
        <f>E89=[1]员工报账!E93</f>
        <v>0</v>
      </c>
      <c r="AT89" s="48" t="b">
        <f>F89=[1]员工报账!F93</f>
        <v>0</v>
      </c>
      <c r="AU89" s="48" t="b">
        <f>G89=[1]员工报账!G93</f>
        <v>0</v>
      </c>
      <c r="AV89" s="48" t="b">
        <f>H89=[1]员工报账!H93</f>
        <v>0</v>
      </c>
      <c r="AW89" s="48" t="b">
        <f>I89=[1]员工报账!I93</f>
        <v>0</v>
      </c>
      <c r="AX89" s="48" t="b">
        <f>J89=[1]员工报账!J93</f>
        <v>0</v>
      </c>
      <c r="AY89" s="48" t="b">
        <f>K89=[1]员工报账!K93</f>
        <v>1</v>
      </c>
      <c r="AZ89" s="48" t="b">
        <f>L89=[1]员工报账!L93</f>
        <v>1</v>
      </c>
      <c r="BA89" s="48" t="b">
        <f>M89=[1]员工报账!M93</f>
        <v>1</v>
      </c>
      <c r="BB89" s="48" t="b">
        <f>N89=[1]员工报账!N93</f>
        <v>1</v>
      </c>
      <c r="BC89" s="48" t="b">
        <f>O89=[1]员工报账!O93</f>
        <v>0</v>
      </c>
      <c r="BD89" s="48" t="b">
        <f>P89=[1]员工报账!P93</f>
        <v>1</v>
      </c>
      <c r="BE89" s="48" t="b">
        <f>Q89=[1]员工报账!Q93</f>
        <v>1</v>
      </c>
      <c r="BF89" s="48" t="b">
        <f>R89=[1]员工报账!R93</f>
        <v>1</v>
      </c>
      <c r="BG89" s="48" t="b">
        <f>S89=[1]员工报账!S93</f>
        <v>1</v>
      </c>
      <c r="BH89" s="48" t="b">
        <f>T89=[1]员工报账!T93</f>
        <v>0</v>
      </c>
      <c r="BI89" s="48" t="b">
        <f>U89=[1]员工报账!U93</f>
        <v>1</v>
      </c>
      <c r="BJ89" s="48" t="b">
        <f>V89=[1]员工报账!V93</f>
        <v>0</v>
      </c>
      <c r="BK89" s="48" t="b">
        <f>W89=[1]员工报账!W93</f>
        <v>0</v>
      </c>
      <c r="BL89" s="48" t="b">
        <f>X89=[1]员工报账!X93</f>
        <v>0</v>
      </c>
      <c r="BM89" s="48" t="b">
        <f>Y89=[1]员工报账!Y93</f>
        <v>0</v>
      </c>
      <c r="BN89" s="48" t="b">
        <f>Z89=[1]员工报账!Z93</f>
        <v>1</v>
      </c>
      <c r="BO89" s="48" t="b">
        <f>AA89=[1]员工报账!AA93</f>
        <v>0</v>
      </c>
      <c r="BP89" s="48" t="b">
        <f>AB89=[1]员工报账!AB93</f>
        <v>0</v>
      </c>
      <c r="BQ89" s="48" t="b">
        <f>AC89=[1]员工报账!AC93</f>
        <v>1</v>
      </c>
      <c r="BR89" s="48" t="b">
        <f>AD89=[1]员工报账!AD93</f>
        <v>1</v>
      </c>
      <c r="BS89" s="48" t="b">
        <f>AE89=[1]员工报账!AE93</f>
        <v>1</v>
      </c>
      <c r="BT89" s="48" t="b">
        <f>AF89=[1]员工报账!AF93</f>
        <v>1</v>
      </c>
      <c r="BU89" s="48" t="b">
        <f>AG89=[1]员工报账!AG93</f>
        <v>1</v>
      </c>
      <c r="BV89" s="48" t="b">
        <f>AH89=[1]员工报账!AH93</f>
        <v>0</v>
      </c>
      <c r="BW89" s="48" t="b">
        <f>AI89=[1]员工报账!AI93</f>
        <v>0</v>
      </c>
      <c r="BX89" s="48" t="b">
        <f>AJ89=[1]员工报账!AJ93</f>
        <v>0</v>
      </c>
    </row>
    <row r="90" ht="105" spans="1:76">
      <c r="A90" s="84"/>
      <c r="B90" s="84"/>
      <c r="C90" s="85"/>
      <c r="D90" s="85"/>
      <c r="E90" s="86"/>
      <c r="F90" s="86"/>
      <c r="G90" s="85"/>
      <c r="H90" s="86"/>
      <c r="I90" s="83" t="s">
        <v>929</v>
      </c>
      <c r="J90" s="33" t="s">
        <v>930</v>
      </c>
      <c r="K90" s="35"/>
      <c r="L90" s="45"/>
      <c r="M90" s="45"/>
      <c r="N90" s="45"/>
      <c r="O90" s="45" t="s">
        <v>36</v>
      </c>
      <c r="P90" s="45"/>
      <c r="Q90" s="45"/>
      <c r="R90" s="45"/>
      <c r="S90" s="45"/>
      <c r="T90" s="45" t="s">
        <v>516</v>
      </c>
      <c r="U90" s="22"/>
      <c r="V90" s="32" t="s">
        <v>924</v>
      </c>
      <c r="W90" s="32" t="s">
        <v>925</v>
      </c>
      <c r="X90" s="45" t="s">
        <v>628</v>
      </c>
      <c r="Y90" s="45" t="s">
        <v>470</v>
      </c>
      <c r="Z90" s="45"/>
      <c r="AA90" s="45" t="s">
        <v>469</v>
      </c>
      <c r="AB90" s="45" t="s">
        <v>470</v>
      </c>
      <c r="AC90" s="45"/>
      <c r="AD90" s="32"/>
      <c r="AE90" s="45"/>
      <c r="AF90" s="45"/>
      <c r="AG90" s="45"/>
      <c r="AH90" s="45" t="s">
        <v>473</v>
      </c>
      <c r="AI90" s="45" t="s">
        <v>473</v>
      </c>
      <c r="AJ90" s="32" t="s">
        <v>926</v>
      </c>
      <c r="AK90" s="22"/>
      <c r="AL90" s="35" t="s">
        <v>927</v>
      </c>
      <c r="AM90" s="28"/>
      <c r="AN90" s="1" t="s">
        <v>928</v>
      </c>
      <c r="AO90" s="48" t="b">
        <f>A90=[1]员工报账!A94</f>
        <v>1</v>
      </c>
      <c r="AP90" s="48" t="b">
        <f>B90=[1]员工报账!B94</f>
        <v>1</v>
      </c>
      <c r="AQ90" s="48" t="b">
        <f>C90=[1]员工报账!C94</f>
        <v>1</v>
      </c>
      <c r="AR90" s="48" t="b">
        <f>D90=[1]员工报账!D94</f>
        <v>1</v>
      </c>
      <c r="AS90" s="48" t="b">
        <f>E90=[1]员工报账!E94</f>
        <v>1</v>
      </c>
      <c r="AT90" s="48" t="b">
        <f>F90=[1]员工报账!F94</f>
        <v>1</v>
      </c>
      <c r="AU90" s="48" t="b">
        <f>G90=[1]员工报账!G94</f>
        <v>1</v>
      </c>
      <c r="AV90" s="48" t="b">
        <f>H90=[1]员工报账!H94</f>
        <v>1</v>
      </c>
      <c r="AW90" s="48" t="b">
        <f>I90=[1]员工报账!I94</f>
        <v>0</v>
      </c>
      <c r="AX90" s="48" t="b">
        <f>J90=[1]员工报账!J94</f>
        <v>0</v>
      </c>
      <c r="AY90" s="48" t="b">
        <f>K90=[1]员工报账!K94</f>
        <v>1</v>
      </c>
      <c r="AZ90" s="48" t="b">
        <f>L90=[1]员工报账!L94</f>
        <v>1</v>
      </c>
      <c r="BA90" s="48" t="b">
        <f>M90=[1]员工报账!M94</f>
        <v>1</v>
      </c>
      <c r="BB90" s="48" t="b">
        <f>N90=[1]员工报账!N94</f>
        <v>1</v>
      </c>
      <c r="BC90" s="48" t="b">
        <f>O90=[1]员工报账!O94</f>
        <v>0</v>
      </c>
      <c r="BD90" s="48" t="b">
        <f>P90=[1]员工报账!P94</f>
        <v>1</v>
      </c>
      <c r="BE90" s="48" t="b">
        <f>Q90=[1]员工报账!Q94</f>
        <v>1</v>
      </c>
      <c r="BF90" s="48" t="b">
        <f>R90=[1]员工报账!R94</f>
        <v>1</v>
      </c>
      <c r="BG90" s="48" t="b">
        <f>S90=[1]员工报账!S94</f>
        <v>1</v>
      </c>
      <c r="BH90" s="48" t="b">
        <f>T90=[1]员工报账!T94</f>
        <v>0</v>
      </c>
      <c r="BI90" s="48" t="b">
        <f>U90=[1]员工报账!U94</f>
        <v>1</v>
      </c>
      <c r="BJ90" s="48" t="b">
        <f>V90=[1]员工报账!V94</f>
        <v>0</v>
      </c>
      <c r="BK90" s="48" t="b">
        <f>W90=[1]员工报账!W94</f>
        <v>0</v>
      </c>
      <c r="BL90" s="48" t="b">
        <f>X90=[1]员工报账!X94</f>
        <v>0</v>
      </c>
      <c r="BM90" s="48" t="b">
        <f>Y90=[1]员工报账!Y94</f>
        <v>0</v>
      </c>
      <c r="BN90" s="48" t="b">
        <f>Z90=[1]员工报账!Z94</f>
        <v>1</v>
      </c>
      <c r="BO90" s="48" t="b">
        <f>AA90=[1]员工报账!AA94</f>
        <v>0</v>
      </c>
      <c r="BP90" s="48" t="b">
        <f>AB90=[1]员工报账!AB94</f>
        <v>0</v>
      </c>
      <c r="BQ90" s="48" t="b">
        <f>AC90=[1]员工报账!AC94</f>
        <v>1</v>
      </c>
      <c r="BR90" s="48" t="b">
        <f>AD90=[1]员工报账!AD94</f>
        <v>1</v>
      </c>
      <c r="BS90" s="48" t="b">
        <f>AE90=[1]员工报账!AE94</f>
        <v>1</v>
      </c>
      <c r="BT90" s="48" t="b">
        <f>AF90=[1]员工报账!AF94</f>
        <v>1</v>
      </c>
      <c r="BU90" s="48" t="b">
        <f>AG90=[1]员工报账!AG94</f>
        <v>1</v>
      </c>
      <c r="BV90" s="48" t="b">
        <f>AH90=[1]员工报账!AH94</f>
        <v>0</v>
      </c>
      <c r="BW90" s="48" t="b">
        <f>AI90=[1]员工报账!AI94</f>
        <v>0</v>
      </c>
      <c r="BX90" s="48" t="b">
        <f>AJ90=[1]员工报账!AJ94</f>
        <v>0</v>
      </c>
    </row>
    <row r="91" ht="132" spans="1:76">
      <c r="A91" s="88"/>
      <c r="B91" s="88"/>
      <c r="C91" s="83"/>
      <c r="D91" s="83"/>
      <c r="E91" s="33"/>
      <c r="F91" s="33"/>
      <c r="G91" s="83"/>
      <c r="H91" s="33"/>
      <c r="I91" s="83" t="s">
        <v>931</v>
      </c>
      <c r="J91" s="33" t="s">
        <v>932</v>
      </c>
      <c r="K91" s="45" t="s">
        <v>36</v>
      </c>
      <c r="L91" s="45"/>
      <c r="M91" s="45" t="s">
        <v>36</v>
      </c>
      <c r="N91" s="45"/>
      <c r="O91" s="45"/>
      <c r="P91" s="45"/>
      <c r="Q91" s="45"/>
      <c r="R91" s="45"/>
      <c r="S91" s="45"/>
      <c r="T91" s="45" t="s">
        <v>516</v>
      </c>
      <c r="U91" s="22"/>
      <c r="V91" s="32" t="s">
        <v>933</v>
      </c>
      <c r="W91" s="32" t="s">
        <v>934</v>
      </c>
      <c r="X91" s="45" t="s">
        <v>628</v>
      </c>
      <c r="Y91" s="45" t="s">
        <v>470</v>
      </c>
      <c r="Z91" s="45"/>
      <c r="AA91" s="45" t="s">
        <v>469</v>
      </c>
      <c r="AB91" s="45" t="s">
        <v>470</v>
      </c>
      <c r="AC91" s="45"/>
      <c r="AD91" s="32"/>
      <c r="AE91" s="45"/>
      <c r="AF91" s="45"/>
      <c r="AG91" s="45"/>
      <c r="AH91" s="45" t="s">
        <v>473</v>
      </c>
      <c r="AI91" s="45" t="s">
        <v>473</v>
      </c>
      <c r="AJ91" s="32" t="s">
        <v>926</v>
      </c>
      <c r="AK91" s="22"/>
      <c r="AL91" s="42" t="s">
        <v>476</v>
      </c>
      <c r="AM91" s="28"/>
      <c r="AN91" s="1" t="s">
        <v>928</v>
      </c>
      <c r="AO91" s="48" t="b">
        <f>A91=[1]员工报账!A95</f>
        <v>1</v>
      </c>
      <c r="AP91" s="48" t="b">
        <f>B91=[1]员工报账!B95</f>
        <v>1</v>
      </c>
      <c r="AQ91" s="48" t="b">
        <f>C91=[1]员工报账!C95</f>
        <v>1</v>
      </c>
      <c r="AR91" s="48" t="b">
        <f>D91=[1]员工报账!D95</f>
        <v>1</v>
      </c>
      <c r="AS91" s="48" t="b">
        <f>E91=[1]员工报账!E95</f>
        <v>1</v>
      </c>
      <c r="AT91" s="48" t="b">
        <f>F91=[1]员工报账!F95</f>
        <v>1</v>
      </c>
      <c r="AU91" s="48" t="b">
        <f>G91=[1]员工报账!G95</f>
        <v>1</v>
      </c>
      <c r="AV91" s="48" t="b">
        <f>H91=[1]员工报账!H95</f>
        <v>1</v>
      </c>
      <c r="AW91" s="48" t="b">
        <f>I91=[1]员工报账!I95</f>
        <v>0</v>
      </c>
      <c r="AX91" s="48" t="b">
        <f>J91=[1]员工报账!J95</f>
        <v>0</v>
      </c>
      <c r="AY91" s="48" t="b">
        <f>K91=[1]员工报账!K95</f>
        <v>0</v>
      </c>
      <c r="AZ91" s="48" t="b">
        <f>L91=[1]员工报账!L95</f>
        <v>1</v>
      </c>
      <c r="BA91" s="48" t="b">
        <f>M91=[1]员工报账!M95</f>
        <v>0</v>
      </c>
      <c r="BB91" s="48" t="b">
        <f>N91=[1]员工报账!N95</f>
        <v>1</v>
      </c>
      <c r="BC91" s="48" t="b">
        <f>O91=[1]员工报账!O95</f>
        <v>1</v>
      </c>
      <c r="BD91" s="48" t="b">
        <f>P91=[1]员工报账!P95</f>
        <v>1</v>
      </c>
      <c r="BE91" s="48" t="b">
        <f>Q91=[1]员工报账!Q95</f>
        <v>1</v>
      </c>
      <c r="BF91" s="48" t="b">
        <f>R91=[1]员工报账!R95</f>
        <v>1</v>
      </c>
      <c r="BG91" s="48" t="b">
        <f>S91=[1]员工报账!S95</f>
        <v>1</v>
      </c>
      <c r="BH91" s="48" t="b">
        <f>T91=[1]员工报账!T95</f>
        <v>0</v>
      </c>
      <c r="BI91" s="48" t="b">
        <f>U91=[1]员工报账!U95</f>
        <v>1</v>
      </c>
      <c r="BJ91" s="48" t="b">
        <f>V91=[1]员工报账!V95</f>
        <v>0</v>
      </c>
      <c r="BK91" s="48" t="b">
        <f>W91=[1]员工报账!W95</f>
        <v>0</v>
      </c>
      <c r="BL91" s="48" t="b">
        <f>X91=[1]员工报账!X95</f>
        <v>0</v>
      </c>
      <c r="BM91" s="48" t="b">
        <f>Y91=[1]员工报账!Y95</f>
        <v>0</v>
      </c>
      <c r="BN91" s="48" t="b">
        <f>Z91=[1]员工报账!Z95</f>
        <v>1</v>
      </c>
      <c r="BO91" s="48" t="b">
        <f>AA91=[1]员工报账!AA95</f>
        <v>0</v>
      </c>
      <c r="BP91" s="48" t="b">
        <f>AB91=[1]员工报账!AB95</f>
        <v>0</v>
      </c>
      <c r="BQ91" s="48" t="b">
        <f>AC91=[1]员工报账!AC95</f>
        <v>1</v>
      </c>
      <c r="BR91" s="48" t="b">
        <f>AD91=[1]员工报账!AD95</f>
        <v>1</v>
      </c>
      <c r="BS91" s="48" t="b">
        <f>AE91=[1]员工报账!AE95</f>
        <v>1</v>
      </c>
      <c r="BT91" s="48" t="b">
        <f>AF91=[1]员工报账!AF95</f>
        <v>1</v>
      </c>
      <c r="BU91" s="48" t="b">
        <f>AG91=[1]员工报账!AG95</f>
        <v>1</v>
      </c>
      <c r="BV91" s="48" t="b">
        <f>AH91=[1]员工报账!AH95</f>
        <v>0</v>
      </c>
      <c r="BW91" s="48" t="b">
        <f>AI91=[1]员工报账!AI95</f>
        <v>0</v>
      </c>
      <c r="BX91" s="48" t="b">
        <f>AJ91=[1]员工报账!AJ95</f>
        <v>0</v>
      </c>
    </row>
    <row r="92" s="49" customFormat="1" ht="113" customHeight="1" spans="1:76">
      <c r="A92" s="79" t="s">
        <v>453</v>
      </c>
      <c r="B92" s="79" t="s">
        <v>644</v>
      </c>
      <c r="C92" s="45" t="s">
        <v>935</v>
      </c>
      <c r="D92" s="45" t="s">
        <v>936</v>
      </c>
      <c r="E92" s="32" t="s">
        <v>937</v>
      </c>
      <c r="F92" s="89" t="s">
        <v>938</v>
      </c>
      <c r="G92" s="45" t="s">
        <v>939</v>
      </c>
      <c r="H92" s="45" t="s">
        <v>940</v>
      </c>
      <c r="I92" s="83" t="s">
        <v>941</v>
      </c>
      <c r="J92" s="45" t="s">
        <v>942</v>
      </c>
      <c r="K92" s="45" t="s">
        <v>36</v>
      </c>
      <c r="L92" s="91"/>
      <c r="M92" s="45" t="s">
        <v>36</v>
      </c>
      <c r="N92" s="91"/>
      <c r="O92" s="91"/>
      <c r="P92" s="91"/>
      <c r="Q92" s="45" t="s">
        <v>36</v>
      </c>
      <c r="R92" s="91"/>
      <c r="S92" s="91"/>
      <c r="T92" s="45" t="s">
        <v>463</v>
      </c>
      <c r="U92" s="45" t="s">
        <v>635</v>
      </c>
      <c r="V92" s="32" t="s">
        <v>943</v>
      </c>
      <c r="W92" s="32" t="s">
        <v>944</v>
      </c>
      <c r="X92" s="45" t="s">
        <v>628</v>
      </c>
      <c r="Y92" s="45" t="s">
        <v>470</v>
      </c>
      <c r="Z92" s="45"/>
      <c r="AA92" s="45" t="s">
        <v>469</v>
      </c>
      <c r="AB92" s="45" t="s">
        <v>470</v>
      </c>
      <c r="AC92" s="45"/>
      <c r="AD92" s="32" t="s">
        <v>945</v>
      </c>
      <c r="AE92" s="45" t="s">
        <v>469</v>
      </c>
      <c r="AF92" s="45" t="s">
        <v>470</v>
      </c>
      <c r="AG92" s="45"/>
      <c r="AH92" s="45" t="s">
        <v>473</v>
      </c>
      <c r="AI92" s="45" t="s">
        <v>473</v>
      </c>
      <c r="AJ92" s="32" t="s">
        <v>946</v>
      </c>
      <c r="AK92" s="92"/>
      <c r="AL92" s="42" t="s">
        <v>947</v>
      </c>
      <c r="AM92" s="42" t="s">
        <v>948</v>
      </c>
      <c r="AN92" s="1" t="s">
        <v>949</v>
      </c>
      <c r="AO92" s="48" t="b">
        <f>A92=[1]员工报账!A96</f>
        <v>0</v>
      </c>
      <c r="AP92" s="48" t="b">
        <f>B92=[1]员工报账!B96</f>
        <v>0</v>
      </c>
      <c r="AQ92" s="48" t="b">
        <f>C92=[1]员工报账!C96</f>
        <v>0</v>
      </c>
      <c r="AR92" s="48" t="b">
        <f>D92=[1]员工报账!D96</f>
        <v>0</v>
      </c>
      <c r="AS92" s="48" t="b">
        <f>E92=[1]员工报账!E96</f>
        <v>0</v>
      </c>
      <c r="AT92" s="48" t="b">
        <f>F92=[1]员工报账!F96</f>
        <v>0</v>
      </c>
      <c r="AU92" s="48" t="b">
        <f>G92=[1]员工报账!G96</f>
        <v>0</v>
      </c>
      <c r="AV92" s="48" t="b">
        <f>H92=[1]员工报账!H96</f>
        <v>0</v>
      </c>
      <c r="AW92" s="48" t="b">
        <f>I92=[1]员工报账!I96</f>
        <v>0</v>
      </c>
      <c r="AX92" s="48" t="b">
        <f>J92=[1]员工报账!J96</f>
        <v>0</v>
      </c>
      <c r="AY92" s="48" t="b">
        <f>K92=[1]员工报账!K96</f>
        <v>0</v>
      </c>
      <c r="AZ92" s="48" t="b">
        <f>L92=[1]员工报账!L96</f>
        <v>1</v>
      </c>
      <c r="BA92" s="48" t="b">
        <f>M92=[1]员工报账!M96</f>
        <v>0</v>
      </c>
      <c r="BB92" s="48" t="b">
        <f>N92=[1]员工报账!N96</f>
        <v>1</v>
      </c>
      <c r="BC92" s="48" t="b">
        <f>O92=[1]员工报账!O96</f>
        <v>1</v>
      </c>
      <c r="BD92" s="48" t="b">
        <f>P92=[1]员工报账!P96</f>
        <v>1</v>
      </c>
      <c r="BE92" s="48" t="b">
        <f>Q92=[1]员工报账!Q96</f>
        <v>0</v>
      </c>
      <c r="BF92" s="48" t="b">
        <f>R92=[1]员工报账!R96</f>
        <v>1</v>
      </c>
      <c r="BG92" s="48" t="b">
        <f>S92=[1]员工报账!S96</f>
        <v>1</v>
      </c>
      <c r="BH92" s="48" t="b">
        <f>T92=[1]员工报账!T96</f>
        <v>0</v>
      </c>
      <c r="BI92" s="48" t="b">
        <f>U92=[1]员工报账!U96</f>
        <v>0</v>
      </c>
      <c r="BJ92" s="48" t="b">
        <f>V92=[1]员工报账!V96</f>
        <v>0</v>
      </c>
      <c r="BK92" s="48" t="b">
        <f>W92=[1]员工报账!W96</f>
        <v>0</v>
      </c>
      <c r="BL92" s="48" t="b">
        <f>X92=[1]员工报账!X96</f>
        <v>0</v>
      </c>
      <c r="BM92" s="48" t="b">
        <f>Y92=[1]员工报账!Y96</f>
        <v>0</v>
      </c>
      <c r="BN92" s="48" t="b">
        <f>Z92=[1]员工报账!Z96</f>
        <v>1</v>
      </c>
      <c r="BO92" s="48" t="b">
        <f>AA92=[1]员工报账!AA96</f>
        <v>0</v>
      </c>
      <c r="BP92" s="48" t="b">
        <f>AB92=[1]员工报账!AB96</f>
        <v>0</v>
      </c>
      <c r="BQ92" s="48" t="b">
        <f>AC92=[1]员工报账!AC96</f>
        <v>1</v>
      </c>
      <c r="BR92" s="48" t="b">
        <f>AD92=[1]员工报账!AD96</f>
        <v>0</v>
      </c>
      <c r="BS92" s="48" t="b">
        <f>AE92=[1]员工报账!AE96</f>
        <v>0</v>
      </c>
      <c r="BT92" s="48" t="b">
        <f>AF92=[1]员工报账!AF96</f>
        <v>0</v>
      </c>
      <c r="BU92" s="48" t="b">
        <f>AG92=[1]员工报账!AG96</f>
        <v>1</v>
      </c>
      <c r="BV92" s="48" t="b">
        <f>AH92=[1]员工报账!AH96</f>
        <v>0</v>
      </c>
      <c r="BW92" s="48" t="b">
        <f>AI92=[1]员工报账!AI96</f>
        <v>0</v>
      </c>
      <c r="BX92" s="48" t="b">
        <f>AJ92=[1]员工报账!AJ96</f>
        <v>0</v>
      </c>
    </row>
    <row r="93" s="49" customFormat="1" ht="126" customHeight="1" spans="1:76">
      <c r="A93" s="79"/>
      <c r="B93" s="79"/>
      <c r="C93" s="45"/>
      <c r="D93" s="45"/>
      <c r="E93" s="32"/>
      <c r="F93" s="32"/>
      <c r="G93" s="45"/>
      <c r="H93" s="45"/>
      <c r="I93" s="83" t="s">
        <v>950</v>
      </c>
      <c r="J93" s="45" t="s">
        <v>951</v>
      </c>
      <c r="K93" s="45" t="s">
        <v>36</v>
      </c>
      <c r="L93" s="91"/>
      <c r="M93" s="45" t="s">
        <v>36</v>
      </c>
      <c r="N93" s="91"/>
      <c r="O93" s="91"/>
      <c r="P93" s="91"/>
      <c r="Q93" s="45" t="s">
        <v>36</v>
      </c>
      <c r="R93" s="91"/>
      <c r="S93" s="91"/>
      <c r="T93" s="45" t="s">
        <v>463</v>
      </c>
      <c r="U93" s="45" t="s">
        <v>635</v>
      </c>
      <c r="V93" s="32" t="s">
        <v>943</v>
      </c>
      <c r="W93" s="32" t="s">
        <v>952</v>
      </c>
      <c r="X93" s="45" t="s">
        <v>628</v>
      </c>
      <c r="Y93" s="45" t="s">
        <v>470</v>
      </c>
      <c r="Z93" s="45"/>
      <c r="AA93" s="45" t="s">
        <v>469</v>
      </c>
      <c r="AB93" s="45" t="s">
        <v>470</v>
      </c>
      <c r="AC93" s="45"/>
      <c r="AD93" s="32" t="s">
        <v>945</v>
      </c>
      <c r="AE93" s="45" t="s">
        <v>469</v>
      </c>
      <c r="AF93" s="45" t="s">
        <v>470</v>
      </c>
      <c r="AG93" s="45"/>
      <c r="AH93" s="45" t="s">
        <v>473</v>
      </c>
      <c r="AI93" s="45" t="s">
        <v>473</v>
      </c>
      <c r="AJ93" s="32" t="s">
        <v>946</v>
      </c>
      <c r="AK93" s="92"/>
      <c r="AL93" s="42" t="s">
        <v>953</v>
      </c>
      <c r="AM93" s="42" t="s">
        <v>948</v>
      </c>
      <c r="AN93" s="1" t="s">
        <v>949</v>
      </c>
      <c r="AO93" s="48" t="b">
        <f>A93=[1]员工报账!A97</f>
        <v>1</v>
      </c>
      <c r="AP93" s="48" t="b">
        <f>B93=[1]员工报账!B97</f>
        <v>1</v>
      </c>
      <c r="AQ93" s="48" t="b">
        <f>C93=[1]员工报账!C97</f>
        <v>1</v>
      </c>
      <c r="AR93" s="48" t="b">
        <f>D93=[1]员工报账!D97</f>
        <v>1</v>
      </c>
      <c r="AS93" s="48" t="b">
        <f>E93=[1]员工报账!E97</f>
        <v>1</v>
      </c>
      <c r="AT93" s="48" t="b">
        <f>F93=[1]员工报账!F97</f>
        <v>1</v>
      </c>
      <c r="AU93" s="48" t="b">
        <f>G93=[1]员工报账!G97</f>
        <v>1</v>
      </c>
      <c r="AV93" s="48" t="b">
        <f>H93=[1]员工报账!H97</f>
        <v>1</v>
      </c>
      <c r="AW93" s="48" t="b">
        <f>I93=[1]员工报账!I97</f>
        <v>0</v>
      </c>
      <c r="AX93" s="48" t="b">
        <f>J93=[1]员工报账!J97</f>
        <v>0</v>
      </c>
      <c r="AY93" s="48" t="b">
        <f>K93=[1]员工报账!K97</f>
        <v>0</v>
      </c>
      <c r="AZ93" s="48" t="b">
        <f>L93=[1]员工报账!L97</f>
        <v>1</v>
      </c>
      <c r="BA93" s="48" t="b">
        <f>M93=[1]员工报账!M97</f>
        <v>0</v>
      </c>
      <c r="BB93" s="48" t="b">
        <f>N93=[1]员工报账!N97</f>
        <v>1</v>
      </c>
      <c r="BC93" s="48" t="b">
        <f>O93=[1]员工报账!O97</f>
        <v>1</v>
      </c>
      <c r="BD93" s="48" t="b">
        <f>P93=[1]员工报账!P97</f>
        <v>1</v>
      </c>
      <c r="BE93" s="48" t="b">
        <f>Q93=[1]员工报账!Q97</f>
        <v>0</v>
      </c>
      <c r="BF93" s="48" t="b">
        <f>R93=[1]员工报账!R97</f>
        <v>1</v>
      </c>
      <c r="BG93" s="48" t="b">
        <f>S93=[1]员工报账!S97</f>
        <v>1</v>
      </c>
      <c r="BH93" s="48" t="b">
        <f>T93=[1]员工报账!T97</f>
        <v>0</v>
      </c>
      <c r="BI93" s="48" t="b">
        <f>U93=[1]员工报账!U97</f>
        <v>0</v>
      </c>
      <c r="BJ93" s="48" t="b">
        <f>V93=[1]员工报账!V97</f>
        <v>0</v>
      </c>
      <c r="BK93" s="48" t="b">
        <f>W93=[1]员工报账!W97</f>
        <v>0</v>
      </c>
      <c r="BL93" s="48" t="b">
        <f>X93=[1]员工报账!X97</f>
        <v>0</v>
      </c>
      <c r="BM93" s="48" t="b">
        <f>Y93=[1]员工报账!Y97</f>
        <v>0</v>
      </c>
      <c r="BN93" s="48" t="b">
        <f>Z93=[1]员工报账!Z97</f>
        <v>1</v>
      </c>
      <c r="BO93" s="48" t="b">
        <f>AA93=[1]员工报账!AA97</f>
        <v>0</v>
      </c>
      <c r="BP93" s="48" t="b">
        <f>AB93=[1]员工报账!AB97</f>
        <v>0</v>
      </c>
      <c r="BQ93" s="48" t="b">
        <f>AC93=[1]员工报账!AC97</f>
        <v>1</v>
      </c>
      <c r="BR93" s="48" t="b">
        <f>AD93=[1]员工报账!AD97</f>
        <v>0</v>
      </c>
      <c r="BS93" s="48" t="b">
        <f>AE93=[1]员工报账!AE97</f>
        <v>0</v>
      </c>
      <c r="BT93" s="48" t="b">
        <f>AF93=[1]员工报账!AF97</f>
        <v>0</v>
      </c>
      <c r="BU93" s="48" t="b">
        <f>AG93=[1]员工报账!AG97</f>
        <v>1</v>
      </c>
      <c r="BV93" s="48" t="b">
        <f>AH93=[1]员工报账!AH97</f>
        <v>0</v>
      </c>
      <c r="BW93" s="48" t="b">
        <f>AI93=[1]员工报账!AI97</f>
        <v>0</v>
      </c>
      <c r="BX93" s="48" t="b">
        <f>AJ93=[1]员工报账!AJ97</f>
        <v>0</v>
      </c>
    </row>
    <row r="94" ht="171.6" spans="1:76">
      <c r="A94" s="79" t="s">
        <v>453</v>
      </c>
      <c r="B94" s="79" t="s">
        <v>644</v>
      </c>
      <c r="C94" s="45" t="s">
        <v>935</v>
      </c>
      <c r="D94" s="45" t="s">
        <v>936</v>
      </c>
      <c r="E94" s="32" t="s">
        <v>954</v>
      </c>
      <c r="F94" s="89" t="s">
        <v>955</v>
      </c>
      <c r="G94" s="45" t="s">
        <v>956</v>
      </c>
      <c r="H94" s="45" t="s">
        <v>957</v>
      </c>
      <c r="I94" s="83" t="s">
        <v>958</v>
      </c>
      <c r="J94" s="45" t="s">
        <v>959</v>
      </c>
      <c r="K94" s="45" t="s">
        <v>36</v>
      </c>
      <c r="L94" s="91"/>
      <c r="M94" s="91"/>
      <c r="N94" s="45" t="s">
        <v>36</v>
      </c>
      <c r="O94" s="91"/>
      <c r="P94" s="91"/>
      <c r="Q94" s="45" t="s">
        <v>36</v>
      </c>
      <c r="R94" s="91"/>
      <c r="S94" s="91"/>
      <c r="T94" s="45" t="s">
        <v>463</v>
      </c>
      <c r="U94" s="46" t="s">
        <v>635</v>
      </c>
      <c r="V94" s="32" t="s">
        <v>960</v>
      </c>
      <c r="W94" s="32" t="s">
        <v>961</v>
      </c>
      <c r="X94" s="45" t="s">
        <v>628</v>
      </c>
      <c r="Y94" s="45" t="s">
        <v>470</v>
      </c>
      <c r="Z94" s="45"/>
      <c r="AA94" s="45" t="s">
        <v>469</v>
      </c>
      <c r="AB94" s="45" t="s">
        <v>470</v>
      </c>
      <c r="AC94" s="45"/>
      <c r="AD94" s="32" t="s">
        <v>962</v>
      </c>
      <c r="AE94" s="45" t="s">
        <v>469</v>
      </c>
      <c r="AF94" s="45" t="s">
        <v>470</v>
      </c>
      <c r="AG94" s="45"/>
      <c r="AH94" s="45" t="s">
        <v>473</v>
      </c>
      <c r="AI94" s="45" t="s">
        <v>473</v>
      </c>
      <c r="AJ94" s="32" t="s">
        <v>946</v>
      </c>
      <c r="AK94" s="22"/>
      <c r="AL94" s="42" t="s">
        <v>963</v>
      </c>
      <c r="AM94" s="42" t="s">
        <v>948</v>
      </c>
      <c r="AN94" s="1" t="s">
        <v>964</v>
      </c>
      <c r="AO94" s="48" t="b">
        <f>A94=[1]员工报账!A98</f>
        <v>0</v>
      </c>
      <c r="AP94" s="48" t="b">
        <f>B94=[1]员工报账!B98</f>
        <v>0</v>
      </c>
      <c r="AQ94" s="48" t="b">
        <f>C94=[1]员工报账!C98</f>
        <v>0</v>
      </c>
      <c r="AR94" s="48" t="b">
        <f>D94=[1]员工报账!D98</f>
        <v>0</v>
      </c>
      <c r="AS94" s="48" t="b">
        <f>E94=[1]员工报账!E98</f>
        <v>0</v>
      </c>
      <c r="AT94" s="48" t="b">
        <f>F94=[1]员工报账!F98</f>
        <v>0</v>
      </c>
      <c r="AU94" s="48" t="b">
        <f>G94=[1]员工报账!G98</f>
        <v>0</v>
      </c>
      <c r="AV94" s="48" t="b">
        <f>H94=[1]员工报账!H98</f>
        <v>0</v>
      </c>
      <c r="AW94" s="48" t="b">
        <f>I94=[1]员工报账!I98</f>
        <v>0</v>
      </c>
      <c r="AX94" s="48" t="b">
        <f>J94=[1]员工报账!J98</f>
        <v>0</v>
      </c>
      <c r="AY94" s="48" t="b">
        <f>K94=[1]员工报账!K98</f>
        <v>0</v>
      </c>
      <c r="AZ94" s="48" t="b">
        <f>L94=[1]员工报账!L98</f>
        <v>1</v>
      </c>
      <c r="BA94" s="48" t="b">
        <f>M94=[1]员工报账!M98</f>
        <v>1</v>
      </c>
      <c r="BB94" s="48" t="b">
        <f>N94=[1]员工报账!N98</f>
        <v>0</v>
      </c>
      <c r="BC94" s="48" t="b">
        <f>O94=[1]员工报账!O98</f>
        <v>1</v>
      </c>
      <c r="BD94" s="48" t="b">
        <f>P94=[1]员工报账!P98</f>
        <v>1</v>
      </c>
      <c r="BE94" s="48" t="b">
        <f>Q94=[1]员工报账!Q98</f>
        <v>0</v>
      </c>
      <c r="BF94" s="48" t="b">
        <f>R94=[1]员工报账!R98</f>
        <v>1</v>
      </c>
      <c r="BG94" s="48" t="b">
        <f>S94=[1]员工报账!S98</f>
        <v>1</v>
      </c>
      <c r="BH94" s="48" t="b">
        <f>T94=[1]员工报账!T98</f>
        <v>0</v>
      </c>
      <c r="BI94" s="48" t="b">
        <f>U94=[1]员工报账!U98</f>
        <v>0</v>
      </c>
      <c r="BJ94" s="48" t="b">
        <f>V94=[1]员工报账!V98</f>
        <v>0</v>
      </c>
      <c r="BK94" s="48" t="b">
        <f>W94=[1]员工报账!W98</f>
        <v>0</v>
      </c>
      <c r="BL94" s="48" t="b">
        <f>X94=[1]员工报账!X98</f>
        <v>0</v>
      </c>
      <c r="BM94" s="48" t="b">
        <f>Y94=[1]员工报账!Y98</f>
        <v>0</v>
      </c>
      <c r="BN94" s="48" t="b">
        <f>Z94=[1]员工报账!Z98</f>
        <v>1</v>
      </c>
      <c r="BO94" s="48" t="b">
        <f>AA94=[1]员工报账!AA98</f>
        <v>0</v>
      </c>
      <c r="BP94" s="48" t="b">
        <f>AB94=[1]员工报账!AB98</f>
        <v>0</v>
      </c>
      <c r="BQ94" s="48" t="b">
        <f>AC94=[1]员工报账!AC98</f>
        <v>1</v>
      </c>
      <c r="BR94" s="48" t="b">
        <f>AD94=[1]员工报账!AD98</f>
        <v>0</v>
      </c>
      <c r="BS94" s="48" t="b">
        <f>AE94=[1]员工报账!AE98</f>
        <v>0</v>
      </c>
      <c r="BT94" s="48" t="b">
        <f>AF94=[1]员工报账!AF98</f>
        <v>0</v>
      </c>
      <c r="BU94" s="48" t="b">
        <f>AG94=[1]员工报账!AG98</f>
        <v>1</v>
      </c>
      <c r="BV94" s="48" t="b">
        <f>AH94=[1]员工报账!AH98</f>
        <v>0</v>
      </c>
      <c r="BW94" s="48" t="b">
        <f>AI94=[1]员工报账!AI98</f>
        <v>0</v>
      </c>
      <c r="BX94" s="48" t="b">
        <f>AJ94=[1]员工报账!AJ98</f>
        <v>0</v>
      </c>
    </row>
    <row r="95" ht="198" spans="1:76">
      <c r="A95" s="79"/>
      <c r="B95" s="79"/>
      <c r="C95" s="45"/>
      <c r="D95" s="45"/>
      <c r="E95" s="32"/>
      <c r="F95" s="32"/>
      <c r="G95" s="45"/>
      <c r="H95" s="45"/>
      <c r="I95" s="83" t="s">
        <v>965</v>
      </c>
      <c r="J95" s="45" t="s">
        <v>966</v>
      </c>
      <c r="K95" s="45" t="s">
        <v>36</v>
      </c>
      <c r="L95" s="91"/>
      <c r="M95" s="91"/>
      <c r="N95" s="45" t="s">
        <v>36</v>
      </c>
      <c r="O95" s="91"/>
      <c r="P95" s="91"/>
      <c r="Q95" s="45" t="s">
        <v>36</v>
      </c>
      <c r="R95" s="91"/>
      <c r="S95" s="91"/>
      <c r="T95" s="45" t="s">
        <v>463</v>
      </c>
      <c r="U95" s="46" t="s">
        <v>635</v>
      </c>
      <c r="V95" s="32" t="s">
        <v>960</v>
      </c>
      <c r="W95" s="32" t="s">
        <v>967</v>
      </c>
      <c r="X95" s="45" t="s">
        <v>628</v>
      </c>
      <c r="Y95" s="45" t="s">
        <v>470</v>
      </c>
      <c r="Z95" s="45"/>
      <c r="AA95" s="45" t="s">
        <v>469</v>
      </c>
      <c r="AB95" s="45" t="s">
        <v>470</v>
      </c>
      <c r="AC95" s="45"/>
      <c r="AD95" s="32" t="s">
        <v>962</v>
      </c>
      <c r="AE95" s="45" t="s">
        <v>469</v>
      </c>
      <c r="AF95" s="45" t="s">
        <v>470</v>
      </c>
      <c r="AG95" s="45"/>
      <c r="AH95" s="45" t="s">
        <v>473</v>
      </c>
      <c r="AI95" s="45" t="s">
        <v>473</v>
      </c>
      <c r="AJ95" s="32" t="s">
        <v>946</v>
      </c>
      <c r="AK95" s="22"/>
      <c r="AL95" s="42" t="s">
        <v>968</v>
      </c>
      <c r="AM95" s="42" t="s">
        <v>948</v>
      </c>
      <c r="AN95" s="1" t="s">
        <v>964</v>
      </c>
      <c r="AO95" s="48" t="b">
        <f>A95=[1]员工报账!A99</f>
        <v>1</v>
      </c>
      <c r="AP95" s="48" t="b">
        <f>B95=[1]员工报账!B99</f>
        <v>1</v>
      </c>
      <c r="AQ95" s="48" t="b">
        <f>C95=[1]员工报账!C99</f>
        <v>1</v>
      </c>
      <c r="AR95" s="48" t="b">
        <f>D95=[1]员工报账!D99</f>
        <v>1</v>
      </c>
      <c r="AS95" s="48" t="b">
        <f>E95=[1]员工报账!E99</f>
        <v>1</v>
      </c>
      <c r="AT95" s="48" t="b">
        <f>F95=[1]员工报账!F99</f>
        <v>1</v>
      </c>
      <c r="AU95" s="48" t="b">
        <f>G95=[1]员工报账!G99</f>
        <v>1</v>
      </c>
      <c r="AV95" s="48" t="b">
        <f>H95=[1]员工报账!H99</f>
        <v>1</v>
      </c>
      <c r="AW95" s="48" t="b">
        <f>I95=[1]员工报账!I99</f>
        <v>0</v>
      </c>
      <c r="AX95" s="48" t="b">
        <f>J95=[1]员工报账!J99</f>
        <v>0</v>
      </c>
      <c r="AY95" s="48" t="b">
        <f>K95=[1]员工报账!K99</f>
        <v>0</v>
      </c>
      <c r="AZ95" s="48" t="b">
        <f>L95=[1]员工报账!L99</f>
        <v>1</v>
      </c>
      <c r="BA95" s="48" t="b">
        <f>M95=[1]员工报账!M99</f>
        <v>1</v>
      </c>
      <c r="BB95" s="48" t="b">
        <f>N95=[1]员工报账!N99</f>
        <v>0</v>
      </c>
      <c r="BC95" s="48" t="b">
        <f>O95=[1]员工报账!O99</f>
        <v>1</v>
      </c>
      <c r="BD95" s="48" t="b">
        <f>P95=[1]员工报账!P99</f>
        <v>1</v>
      </c>
      <c r="BE95" s="48" t="b">
        <f>Q95=[1]员工报账!Q99</f>
        <v>0</v>
      </c>
      <c r="BF95" s="48" t="b">
        <f>R95=[1]员工报账!R99</f>
        <v>1</v>
      </c>
      <c r="BG95" s="48" t="b">
        <f>S95=[1]员工报账!S99</f>
        <v>1</v>
      </c>
      <c r="BH95" s="48" t="b">
        <f>T95=[1]员工报账!T99</f>
        <v>0</v>
      </c>
      <c r="BI95" s="48" t="b">
        <f>U95=[1]员工报账!U99</f>
        <v>0</v>
      </c>
      <c r="BJ95" s="48" t="b">
        <f>V95=[1]员工报账!V99</f>
        <v>0</v>
      </c>
      <c r="BK95" s="48" t="b">
        <f>W95=[1]员工报账!W99</f>
        <v>0</v>
      </c>
      <c r="BL95" s="48" t="b">
        <f>X95=[1]员工报账!X99</f>
        <v>0</v>
      </c>
      <c r="BM95" s="48" t="b">
        <f>Y95=[1]员工报账!Y99</f>
        <v>0</v>
      </c>
      <c r="BN95" s="48" t="b">
        <f>Z95=[1]员工报账!Z99</f>
        <v>1</v>
      </c>
      <c r="BO95" s="48" t="b">
        <f>AA95=[1]员工报账!AA99</f>
        <v>0</v>
      </c>
      <c r="BP95" s="48" t="b">
        <f>AB95=[1]员工报账!AB99</f>
        <v>0</v>
      </c>
      <c r="BQ95" s="48" t="b">
        <f>AC95=[1]员工报账!AC99</f>
        <v>1</v>
      </c>
      <c r="BR95" s="48" t="b">
        <f>AD95=[1]员工报账!AD99</f>
        <v>0</v>
      </c>
      <c r="BS95" s="48" t="b">
        <f>AE95=[1]员工报账!AE99</f>
        <v>0</v>
      </c>
      <c r="BT95" s="48" t="b">
        <f>AF95=[1]员工报账!AF99</f>
        <v>0</v>
      </c>
      <c r="BU95" s="48" t="b">
        <f>AG95=[1]员工报账!AG99</f>
        <v>1</v>
      </c>
      <c r="BV95" s="48" t="b">
        <f>AH95=[1]员工报账!AH99</f>
        <v>0</v>
      </c>
      <c r="BW95" s="48" t="b">
        <f>AI95=[1]员工报账!AI99</f>
        <v>0</v>
      </c>
      <c r="BX95" s="48" t="b">
        <f>AJ95=[1]员工报账!AJ99</f>
        <v>0</v>
      </c>
    </row>
    <row r="96" s="49" customFormat="1" ht="171.6" spans="1:76">
      <c r="A96" s="79" t="s">
        <v>453</v>
      </c>
      <c r="B96" s="79" t="s">
        <v>644</v>
      </c>
      <c r="C96" s="45" t="s">
        <v>935</v>
      </c>
      <c r="D96" s="45" t="s">
        <v>969</v>
      </c>
      <c r="E96" s="32" t="s">
        <v>970</v>
      </c>
      <c r="F96" s="89" t="s">
        <v>971</v>
      </c>
      <c r="G96" s="45" t="s">
        <v>972</v>
      </c>
      <c r="H96" s="45" t="s">
        <v>973</v>
      </c>
      <c r="I96" s="45" t="s">
        <v>974</v>
      </c>
      <c r="J96" s="45" t="s">
        <v>975</v>
      </c>
      <c r="K96" s="45" t="s">
        <v>36</v>
      </c>
      <c r="L96" s="91"/>
      <c r="M96" s="91"/>
      <c r="N96" s="45" t="s">
        <v>36</v>
      </c>
      <c r="O96" s="91"/>
      <c r="P96" s="91"/>
      <c r="Q96" s="45" t="s">
        <v>36</v>
      </c>
      <c r="R96" s="91"/>
      <c r="S96" s="8"/>
      <c r="T96" s="45" t="s">
        <v>463</v>
      </c>
      <c r="U96" s="46" t="s">
        <v>635</v>
      </c>
      <c r="V96" s="32" t="s">
        <v>976</v>
      </c>
      <c r="W96" s="32" t="s">
        <v>961</v>
      </c>
      <c r="X96" s="45" t="s">
        <v>628</v>
      </c>
      <c r="Y96" s="45" t="s">
        <v>470</v>
      </c>
      <c r="Z96" s="45"/>
      <c r="AA96" s="45" t="s">
        <v>469</v>
      </c>
      <c r="AB96" s="45" t="s">
        <v>470</v>
      </c>
      <c r="AC96" s="45"/>
      <c r="AD96" s="32" t="s">
        <v>977</v>
      </c>
      <c r="AE96" s="45" t="s">
        <v>469</v>
      </c>
      <c r="AF96" s="45" t="s">
        <v>470</v>
      </c>
      <c r="AG96" s="45"/>
      <c r="AH96" s="45" t="s">
        <v>473</v>
      </c>
      <c r="AI96" s="45" t="s">
        <v>473</v>
      </c>
      <c r="AJ96" s="32" t="s">
        <v>978</v>
      </c>
      <c r="AK96" s="92"/>
      <c r="AL96" s="42" t="s">
        <v>963</v>
      </c>
      <c r="AM96" s="42" t="s">
        <v>948</v>
      </c>
      <c r="AN96" s="1" t="s">
        <v>979</v>
      </c>
      <c r="AO96" s="48" t="b">
        <f>A96=[1]员工报账!A100</f>
        <v>0</v>
      </c>
      <c r="AP96" s="48" t="b">
        <f>B96=[1]员工报账!B100</f>
        <v>0</v>
      </c>
      <c r="AQ96" s="48" t="b">
        <f>C96=[1]员工报账!C100</f>
        <v>0</v>
      </c>
      <c r="AR96" s="48" t="b">
        <f>D96=[1]员工报账!D100</f>
        <v>0</v>
      </c>
      <c r="AS96" s="48" t="b">
        <f>E96=[1]员工报账!E100</f>
        <v>0</v>
      </c>
      <c r="AT96" s="48" t="b">
        <f>F96=[1]员工报账!F100</f>
        <v>0</v>
      </c>
      <c r="AU96" s="48" t="b">
        <f>G96=[1]员工报账!G100</f>
        <v>0</v>
      </c>
      <c r="AV96" s="48" t="b">
        <f>H96=[1]员工报账!H100</f>
        <v>0</v>
      </c>
      <c r="AW96" s="48" t="b">
        <f>I96=[1]员工报账!I100</f>
        <v>0</v>
      </c>
      <c r="AX96" s="48" t="b">
        <f>J96=[1]员工报账!J100</f>
        <v>0</v>
      </c>
      <c r="AY96" s="48" t="b">
        <f>K96=[1]员工报账!K100</f>
        <v>0</v>
      </c>
      <c r="AZ96" s="48" t="b">
        <f>L96=[1]员工报账!L100</f>
        <v>1</v>
      </c>
      <c r="BA96" s="48" t="b">
        <f>M96=[1]员工报账!M100</f>
        <v>1</v>
      </c>
      <c r="BB96" s="48" t="b">
        <f>N96=[1]员工报账!N100</f>
        <v>0</v>
      </c>
      <c r="BC96" s="48" t="b">
        <f>O96=[1]员工报账!O100</f>
        <v>1</v>
      </c>
      <c r="BD96" s="48" t="b">
        <f>P96=[1]员工报账!P100</f>
        <v>1</v>
      </c>
      <c r="BE96" s="48" t="b">
        <f>Q96=[1]员工报账!Q100</f>
        <v>0</v>
      </c>
      <c r="BF96" s="48" t="b">
        <f>R96=[1]员工报账!R100</f>
        <v>1</v>
      </c>
      <c r="BG96" s="48" t="b">
        <f>S96=[1]员工报账!S100</f>
        <v>1</v>
      </c>
      <c r="BH96" s="48" t="b">
        <f>T96=[1]员工报账!T100</f>
        <v>0</v>
      </c>
      <c r="BI96" s="48" t="b">
        <f>U96=[1]员工报账!U100</f>
        <v>0</v>
      </c>
      <c r="BJ96" s="48" t="b">
        <f>V96=[1]员工报账!V100</f>
        <v>0</v>
      </c>
      <c r="BK96" s="48" t="b">
        <f>W96=[1]员工报账!W100</f>
        <v>0</v>
      </c>
      <c r="BL96" s="48" t="b">
        <f>X96=[1]员工报账!X100</f>
        <v>0</v>
      </c>
      <c r="BM96" s="48" t="b">
        <f>Y96=[1]员工报账!Y100</f>
        <v>0</v>
      </c>
      <c r="BN96" s="48" t="b">
        <f>Z96=[1]员工报账!Z100</f>
        <v>1</v>
      </c>
      <c r="BO96" s="48" t="b">
        <f>AA96=[1]员工报账!AA100</f>
        <v>0</v>
      </c>
      <c r="BP96" s="48" t="b">
        <f>AB96=[1]员工报账!AB100</f>
        <v>0</v>
      </c>
      <c r="BQ96" s="48" t="b">
        <f>AC96=[1]员工报账!AC100</f>
        <v>1</v>
      </c>
      <c r="BR96" s="48" t="b">
        <f>AD96=[1]员工报账!AD100</f>
        <v>0</v>
      </c>
      <c r="BS96" s="48" t="b">
        <f>AE96=[1]员工报账!AE100</f>
        <v>0</v>
      </c>
      <c r="BT96" s="48" t="b">
        <f>AF96=[1]员工报账!AF100</f>
        <v>0</v>
      </c>
      <c r="BU96" s="48" t="b">
        <f>AG96=[1]员工报账!AG100</f>
        <v>1</v>
      </c>
      <c r="BV96" s="48" t="b">
        <f>AH96=[1]员工报账!AH100</f>
        <v>0</v>
      </c>
      <c r="BW96" s="48" t="b">
        <f>AI96=[1]员工报账!AI100</f>
        <v>0</v>
      </c>
      <c r="BX96" s="48" t="b">
        <f>AJ96=[1]员工报账!AJ100</f>
        <v>0</v>
      </c>
    </row>
    <row r="97" s="49" customFormat="1" ht="198" spans="1:76">
      <c r="A97" s="79"/>
      <c r="B97" s="79"/>
      <c r="C97" s="45"/>
      <c r="D97" s="45"/>
      <c r="E97" s="32"/>
      <c r="F97" s="32"/>
      <c r="G97" s="45"/>
      <c r="H97" s="45"/>
      <c r="I97" s="45" t="s">
        <v>980</v>
      </c>
      <c r="J97" s="32" t="s">
        <v>981</v>
      </c>
      <c r="K97" s="45" t="s">
        <v>36</v>
      </c>
      <c r="L97" s="91"/>
      <c r="M97" s="91"/>
      <c r="N97" s="45" t="s">
        <v>36</v>
      </c>
      <c r="O97" s="91"/>
      <c r="P97" s="91"/>
      <c r="Q97" s="45" t="s">
        <v>36</v>
      </c>
      <c r="R97" s="91"/>
      <c r="S97" s="8"/>
      <c r="T97" s="45" t="s">
        <v>463</v>
      </c>
      <c r="U97" s="46" t="s">
        <v>635</v>
      </c>
      <c r="V97" s="32" t="s">
        <v>976</v>
      </c>
      <c r="W97" s="32" t="s">
        <v>967</v>
      </c>
      <c r="X97" s="45" t="s">
        <v>628</v>
      </c>
      <c r="Y97" s="45" t="s">
        <v>470</v>
      </c>
      <c r="Z97" s="45"/>
      <c r="AA97" s="45" t="s">
        <v>469</v>
      </c>
      <c r="AB97" s="45" t="s">
        <v>470</v>
      </c>
      <c r="AC97" s="45"/>
      <c r="AD97" s="32" t="s">
        <v>977</v>
      </c>
      <c r="AE97" s="45" t="s">
        <v>469</v>
      </c>
      <c r="AF97" s="45" t="s">
        <v>470</v>
      </c>
      <c r="AG97" s="45"/>
      <c r="AH97" s="45" t="s">
        <v>473</v>
      </c>
      <c r="AI97" s="45" t="s">
        <v>473</v>
      </c>
      <c r="AJ97" s="32" t="s">
        <v>978</v>
      </c>
      <c r="AK97" s="92"/>
      <c r="AL97" s="42" t="s">
        <v>968</v>
      </c>
      <c r="AM97" s="42" t="s">
        <v>948</v>
      </c>
      <c r="AN97" s="1" t="s">
        <v>979</v>
      </c>
      <c r="AO97" s="48" t="b">
        <f>A97=[1]员工报账!A101</f>
        <v>1</v>
      </c>
      <c r="AP97" s="48" t="b">
        <f>B97=[1]员工报账!B101</f>
        <v>1</v>
      </c>
      <c r="AQ97" s="48" t="b">
        <f>C97=[1]员工报账!C101</f>
        <v>1</v>
      </c>
      <c r="AR97" s="48" t="b">
        <f>D97=[1]员工报账!D101</f>
        <v>1</v>
      </c>
      <c r="AS97" s="48" t="b">
        <f>E97=[1]员工报账!E101</f>
        <v>1</v>
      </c>
      <c r="AT97" s="48" t="b">
        <f>F97=[1]员工报账!F101</f>
        <v>1</v>
      </c>
      <c r="AU97" s="48" t="b">
        <f>G97=[1]员工报账!G101</f>
        <v>1</v>
      </c>
      <c r="AV97" s="48" t="b">
        <f>H97=[1]员工报账!H101</f>
        <v>1</v>
      </c>
      <c r="AW97" s="48" t="b">
        <f>I97=[1]员工报账!I101</f>
        <v>0</v>
      </c>
      <c r="AX97" s="48" t="b">
        <f>J97=[1]员工报账!J101</f>
        <v>0</v>
      </c>
      <c r="AY97" s="48" t="b">
        <f>K97=[1]员工报账!K101</f>
        <v>0</v>
      </c>
      <c r="AZ97" s="48" t="b">
        <f>L97=[1]员工报账!L101</f>
        <v>1</v>
      </c>
      <c r="BA97" s="48" t="b">
        <f>M97=[1]员工报账!M101</f>
        <v>1</v>
      </c>
      <c r="BB97" s="48" t="b">
        <f>N97=[1]员工报账!N101</f>
        <v>0</v>
      </c>
      <c r="BC97" s="48" t="b">
        <f>O97=[1]员工报账!O101</f>
        <v>1</v>
      </c>
      <c r="BD97" s="48" t="b">
        <f>P97=[1]员工报账!P101</f>
        <v>1</v>
      </c>
      <c r="BE97" s="48" t="b">
        <f>Q97=[1]员工报账!Q101</f>
        <v>0</v>
      </c>
      <c r="BF97" s="48" t="b">
        <f>R97=[1]员工报账!R101</f>
        <v>1</v>
      </c>
      <c r="BG97" s="48" t="b">
        <f>S97=[1]员工报账!S101</f>
        <v>1</v>
      </c>
      <c r="BH97" s="48" t="b">
        <f>T97=[1]员工报账!T101</f>
        <v>0</v>
      </c>
      <c r="BI97" s="48" t="b">
        <f>U97=[1]员工报账!U101</f>
        <v>0</v>
      </c>
      <c r="BJ97" s="48" t="b">
        <f>V97=[1]员工报账!V101</f>
        <v>0</v>
      </c>
      <c r="BK97" s="48" t="b">
        <f>W97=[1]员工报账!W101</f>
        <v>0</v>
      </c>
      <c r="BL97" s="48" t="b">
        <f>X97=[1]员工报账!X101</f>
        <v>0</v>
      </c>
      <c r="BM97" s="48" t="b">
        <f>Y97=[1]员工报账!Y101</f>
        <v>0</v>
      </c>
      <c r="BN97" s="48" t="b">
        <f>Z97=[1]员工报账!Z101</f>
        <v>1</v>
      </c>
      <c r="BO97" s="48" t="b">
        <f>AA97=[1]员工报账!AA101</f>
        <v>0</v>
      </c>
      <c r="BP97" s="48" t="b">
        <f>AB97=[1]员工报账!AB101</f>
        <v>0</v>
      </c>
      <c r="BQ97" s="48" t="b">
        <f>AC97=[1]员工报账!AC101</f>
        <v>1</v>
      </c>
      <c r="BR97" s="48" t="b">
        <f>AD97=[1]员工报账!AD101</f>
        <v>0</v>
      </c>
      <c r="BS97" s="48" t="b">
        <f>AE97=[1]员工报账!AE101</f>
        <v>0</v>
      </c>
      <c r="BT97" s="48" t="b">
        <f>AF97=[1]员工报账!AF101</f>
        <v>0</v>
      </c>
      <c r="BU97" s="48" t="b">
        <f>AG97=[1]员工报账!AG101</f>
        <v>1</v>
      </c>
      <c r="BV97" s="48" t="b">
        <f>AH97=[1]员工报账!AH101</f>
        <v>0</v>
      </c>
      <c r="BW97" s="48" t="b">
        <f>AI97=[1]员工报账!AI101</f>
        <v>0</v>
      </c>
      <c r="BX97" s="48" t="b">
        <f>AJ97=[1]员工报账!AJ101</f>
        <v>0</v>
      </c>
    </row>
    <row r="98" ht="132" spans="1:76">
      <c r="A98" s="79" t="s">
        <v>453</v>
      </c>
      <c r="B98" s="79" t="s">
        <v>644</v>
      </c>
      <c r="C98" s="45" t="s">
        <v>935</v>
      </c>
      <c r="D98" s="45" t="s">
        <v>982</v>
      </c>
      <c r="E98" s="32" t="s">
        <v>983</v>
      </c>
      <c r="F98" s="89" t="s">
        <v>984</v>
      </c>
      <c r="G98" s="45" t="s">
        <v>985</v>
      </c>
      <c r="H98" s="45" t="s">
        <v>986</v>
      </c>
      <c r="I98" s="45" t="s">
        <v>987</v>
      </c>
      <c r="J98" s="45" t="s">
        <v>988</v>
      </c>
      <c r="K98" s="45" t="s">
        <v>36</v>
      </c>
      <c r="L98" s="91"/>
      <c r="M98" s="91"/>
      <c r="N98" s="45" t="s">
        <v>36</v>
      </c>
      <c r="O98" s="91"/>
      <c r="P98" s="91"/>
      <c r="Q98" s="45" t="s">
        <v>36</v>
      </c>
      <c r="R98" s="91"/>
      <c r="S98" s="91"/>
      <c r="T98" s="45" t="s">
        <v>463</v>
      </c>
      <c r="U98" s="46" t="s">
        <v>635</v>
      </c>
      <c r="V98" s="32" t="s">
        <v>989</v>
      </c>
      <c r="W98" s="32" t="s">
        <v>990</v>
      </c>
      <c r="X98" s="45" t="s">
        <v>628</v>
      </c>
      <c r="Y98" s="45" t="s">
        <v>470</v>
      </c>
      <c r="Z98" s="45"/>
      <c r="AA98" s="45" t="s">
        <v>469</v>
      </c>
      <c r="AB98" s="45" t="s">
        <v>470</v>
      </c>
      <c r="AC98" s="45"/>
      <c r="AD98" s="32" t="s">
        <v>991</v>
      </c>
      <c r="AE98" s="45" t="s">
        <v>469</v>
      </c>
      <c r="AF98" s="45" t="s">
        <v>470</v>
      </c>
      <c r="AG98" s="45"/>
      <c r="AH98" s="45" t="s">
        <v>473</v>
      </c>
      <c r="AI98" s="45" t="s">
        <v>473</v>
      </c>
      <c r="AJ98" s="32" t="s">
        <v>992</v>
      </c>
      <c r="AK98" s="22"/>
      <c r="AL98" s="42" t="s">
        <v>993</v>
      </c>
      <c r="AM98" s="42" t="s">
        <v>948</v>
      </c>
      <c r="AN98" s="1" t="s">
        <v>994</v>
      </c>
      <c r="AO98" s="48" t="b">
        <f>A98=[1]员工报账!A102</f>
        <v>0</v>
      </c>
      <c r="AP98" s="48" t="b">
        <f>B98=[1]员工报账!B102</f>
        <v>0</v>
      </c>
      <c r="AQ98" s="48" t="b">
        <f>C98=[1]员工报账!C102</f>
        <v>0</v>
      </c>
      <c r="AR98" s="48" t="b">
        <f>D98=[1]员工报账!D102</f>
        <v>0</v>
      </c>
      <c r="AS98" s="48" t="b">
        <f>E98=[1]员工报账!E102</f>
        <v>0</v>
      </c>
      <c r="AT98" s="48" t="b">
        <f>F98=[1]员工报账!F102</f>
        <v>0</v>
      </c>
      <c r="AU98" s="48" t="b">
        <f>G98=[1]员工报账!G102</f>
        <v>0</v>
      </c>
      <c r="AV98" s="48" t="b">
        <f>H98=[1]员工报账!H102</f>
        <v>0</v>
      </c>
      <c r="AW98" s="48" t="b">
        <f>I98=[1]员工报账!I102</f>
        <v>0</v>
      </c>
      <c r="AX98" s="48" t="b">
        <f>J98=[1]员工报账!J102</f>
        <v>0</v>
      </c>
      <c r="AY98" s="48" t="b">
        <f>K98=[1]员工报账!K102</f>
        <v>0</v>
      </c>
      <c r="AZ98" s="48" t="b">
        <f>L98=[1]员工报账!L102</f>
        <v>1</v>
      </c>
      <c r="BA98" s="48" t="b">
        <f>M98=[1]员工报账!M102</f>
        <v>1</v>
      </c>
      <c r="BB98" s="48" t="b">
        <f>N98=[1]员工报账!N102</f>
        <v>0</v>
      </c>
      <c r="BC98" s="48" t="b">
        <f>O98=[1]员工报账!O102</f>
        <v>1</v>
      </c>
      <c r="BD98" s="48" t="b">
        <f>P98=[1]员工报账!P102</f>
        <v>1</v>
      </c>
      <c r="BE98" s="48" t="b">
        <f>Q98=[1]员工报账!Q102</f>
        <v>0</v>
      </c>
      <c r="BF98" s="48" t="b">
        <f>R98=[1]员工报账!R102</f>
        <v>1</v>
      </c>
      <c r="BG98" s="48" t="b">
        <f>S98=[1]员工报账!S102</f>
        <v>1</v>
      </c>
      <c r="BH98" s="48" t="b">
        <f>T98=[1]员工报账!T102</f>
        <v>0</v>
      </c>
      <c r="BI98" s="48" t="b">
        <f>U98=[1]员工报账!U102</f>
        <v>0</v>
      </c>
      <c r="BJ98" s="48" t="b">
        <f>V98=[1]员工报账!V102</f>
        <v>0</v>
      </c>
      <c r="BK98" s="48" t="b">
        <f>W98=[1]员工报账!W102</f>
        <v>0</v>
      </c>
      <c r="BL98" s="48" t="b">
        <f>X98=[1]员工报账!X102</f>
        <v>0</v>
      </c>
      <c r="BM98" s="48" t="b">
        <f>Y98=[1]员工报账!Y102</f>
        <v>0</v>
      </c>
      <c r="BN98" s="48" t="b">
        <f>Z98=[1]员工报账!Z102</f>
        <v>1</v>
      </c>
      <c r="BO98" s="48" t="b">
        <f>AA98=[1]员工报账!AA102</f>
        <v>0</v>
      </c>
      <c r="BP98" s="48" t="b">
        <f>AB98=[1]员工报账!AB102</f>
        <v>0</v>
      </c>
      <c r="BQ98" s="48" t="b">
        <f>AC98=[1]员工报账!AC102</f>
        <v>1</v>
      </c>
      <c r="BR98" s="48" t="b">
        <f>AD98=[1]员工报账!AD102</f>
        <v>0</v>
      </c>
      <c r="BS98" s="48" t="b">
        <f>AE98=[1]员工报账!AE102</f>
        <v>0</v>
      </c>
      <c r="BT98" s="48" t="b">
        <f>AF98=[1]员工报账!AF102</f>
        <v>0</v>
      </c>
      <c r="BU98" s="48" t="b">
        <f>AG98=[1]员工报账!AG102</f>
        <v>1</v>
      </c>
      <c r="BV98" s="48" t="b">
        <f>AH98=[1]员工报账!AH102</f>
        <v>0</v>
      </c>
      <c r="BW98" s="48" t="b">
        <f>AI98=[1]员工报账!AI102</f>
        <v>0</v>
      </c>
      <c r="BX98" s="48" t="b">
        <f>AJ98=[1]员工报账!AJ102</f>
        <v>0</v>
      </c>
    </row>
    <row r="99" ht="132" spans="1:76">
      <c r="A99" s="79"/>
      <c r="B99" s="79"/>
      <c r="C99" s="45"/>
      <c r="D99" s="45"/>
      <c r="E99" s="32"/>
      <c r="F99" s="32"/>
      <c r="G99" s="45"/>
      <c r="H99" s="45"/>
      <c r="I99" s="45" t="s">
        <v>995</v>
      </c>
      <c r="J99" s="45" t="s">
        <v>996</v>
      </c>
      <c r="K99" s="45" t="s">
        <v>36</v>
      </c>
      <c r="L99" s="91"/>
      <c r="M99" s="91"/>
      <c r="N99" s="45" t="s">
        <v>36</v>
      </c>
      <c r="O99" s="91"/>
      <c r="P99" s="91"/>
      <c r="Q99" s="45" t="s">
        <v>36</v>
      </c>
      <c r="R99" s="91"/>
      <c r="S99" s="91"/>
      <c r="T99" s="45" t="s">
        <v>463</v>
      </c>
      <c r="U99" s="46" t="s">
        <v>635</v>
      </c>
      <c r="V99" s="32" t="s">
        <v>989</v>
      </c>
      <c r="W99" s="45" t="s">
        <v>627</v>
      </c>
      <c r="X99" s="45" t="s">
        <v>628</v>
      </c>
      <c r="Y99" s="45" t="s">
        <v>470</v>
      </c>
      <c r="Z99" s="45"/>
      <c r="AA99" s="45" t="s">
        <v>469</v>
      </c>
      <c r="AB99" s="45" t="s">
        <v>470</v>
      </c>
      <c r="AC99" s="45"/>
      <c r="AD99" s="32" t="s">
        <v>991</v>
      </c>
      <c r="AE99" s="45" t="s">
        <v>469</v>
      </c>
      <c r="AF99" s="45" t="s">
        <v>470</v>
      </c>
      <c r="AG99" s="45"/>
      <c r="AH99" s="45" t="s">
        <v>473</v>
      </c>
      <c r="AI99" s="45" t="s">
        <v>473</v>
      </c>
      <c r="AJ99" s="32" t="s">
        <v>992</v>
      </c>
      <c r="AK99" s="22"/>
      <c r="AL99" s="42" t="s">
        <v>993</v>
      </c>
      <c r="AM99" s="42" t="s">
        <v>948</v>
      </c>
      <c r="AN99" s="1" t="s">
        <v>994</v>
      </c>
      <c r="AO99" s="48" t="b">
        <f>A99=[1]员工报账!A103</f>
        <v>1</v>
      </c>
      <c r="AP99" s="48" t="b">
        <f>B99=[1]员工报账!B103</f>
        <v>1</v>
      </c>
      <c r="AQ99" s="48" t="b">
        <f>C99=[1]员工报账!C103</f>
        <v>1</v>
      </c>
      <c r="AR99" s="48" t="b">
        <f>D99=[1]员工报账!D103</f>
        <v>1</v>
      </c>
      <c r="AS99" s="48" t="b">
        <f>E99=[1]员工报账!E103</f>
        <v>1</v>
      </c>
      <c r="AT99" s="48" t="b">
        <f>F99=[1]员工报账!F103</f>
        <v>1</v>
      </c>
      <c r="AU99" s="48" t="b">
        <f>G99=[1]员工报账!G103</f>
        <v>1</v>
      </c>
      <c r="AV99" s="48" t="b">
        <f>H99=[1]员工报账!H103</f>
        <v>1</v>
      </c>
      <c r="AW99" s="48" t="b">
        <f>I99=[1]员工报账!I103</f>
        <v>0</v>
      </c>
      <c r="AX99" s="48" t="b">
        <f>J99=[1]员工报账!J103</f>
        <v>0</v>
      </c>
      <c r="AY99" s="48" t="b">
        <f>K99=[1]员工报账!K103</f>
        <v>0</v>
      </c>
      <c r="AZ99" s="48" t="b">
        <f>L99=[1]员工报账!L103</f>
        <v>1</v>
      </c>
      <c r="BA99" s="48" t="b">
        <f>M99=[1]员工报账!M103</f>
        <v>1</v>
      </c>
      <c r="BB99" s="48" t="b">
        <f>N99=[1]员工报账!N103</f>
        <v>0</v>
      </c>
      <c r="BC99" s="48" t="b">
        <f>O99=[1]员工报账!O103</f>
        <v>1</v>
      </c>
      <c r="BD99" s="48" t="b">
        <f>P99=[1]员工报账!P103</f>
        <v>1</v>
      </c>
      <c r="BE99" s="48" t="b">
        <f>Q99=[1]员工报账!Q103</f>
        <v>0</v>
      </c>
      <c r="BF99" s="48" t="b">
        <f>R99=[1]员工报账!R103</f>
        <v>1</v>
      </c>
      <c r="BG99" s="48" t="b">
        <f>S99=[1]员工报账!S103</f>
        <v>1</v>
      </c>
      <c r="BH99" s="48" t="b">
        <f>T99=[1]员工报账!T103</f>
        <v>0</v>
      </c>
      <c r="BI99" s="48" t="b">
        <f>U99=[1]员工报账!U103</f>
        <v>0</v>
      </c>
      <c r="BJ99" s="48" t="b">
        <f>V99=[1]员工报账!V103</f>
        <v>0</v>
      </c>
      <c r="BK99" s="48" t="b">
        <f>W99=[1]员工报账!W103</f>
        <v>0</v>
      </c>
      <c r="BL99" s="48" t="b">
        <f>X99=[1]员工报账!X103</f>
        <v>0</v>
      </c>
      <c r="BM99" s="48" t="b">
        <f>Y99=[1]员工报账!Y103</f>
        <v>0</v>
      </c>
      <c r="BN99" s="48" t="b">
        <f>Z99=[1]员工报账!Z103</f>
        <v>1</v>
      </c>
      <c r="BO99" s="48" t="b">
        <f>AA99=[1]员工报账!AA103</f>
        <v>0</v>
      </c>
      <c r="BP99" s="48" t="b">
        <f>AB99=[1]员工报账!AB103</f>
        <v>0</v>
      </c>
      <c r="BQ99" s="48" t="b">
        <f>AC99=[1]员工报账!AC103</f>
        <v>1</v>
      </c>
      <c r="BR99" s="48" t="b">
        <f>AD99=[1]员工报账!AD103</f>
        <v>0</v>
      </c>
      <c r="BS99" s="48" t="b">
        <f>AE99=[1]员工报账!AE103</f>
        <v>0</v>
      </c>
      <c r="BT99" s="48" t="b">
        <f>AF99=[1]员工报账!AF103</f>
        <v>0</v>
      </c>
      <c r="BU99" s="48" t="b">
        <f>AG99=[1]员工报账!AG103</f>
        <v>1</v>
      </c>
      <c r="BV99" s="48" t="b">
        <f>AH99=[1]员工报账!AH103</f>
        <v>0</v>
      </c>
      <c r="BW99" s="48" t="b">
        <f>AI99=[1]员工报账!AI103</f>
        <v>0</v>
      </c>
      <c r="BX99" s="48" t="b">
        <f>AJ99=[1]员工报账!AJ103</f>
        <v>0</v>
      </c>
    </row>
  </sheetData>
  <sheetProtection formatCells="0" formatColumns="0" formatRows="0" insertRows="0" insertColumns="0" insertHyperlinks="0" deleteColumns="0" deleteRows="0" sort="0" autoFilter="0" pivotTables="0"/>
  <mergeCells count="258">
    <mergeCell ref="A1:AK1"/>
    <mergeCell ref="K2:S2"/>
    <mergeCell ref="X2:Z2"/>
    <mergeCell ref="AA2:AC2"/>
    <mergeCell ref="AD2:AG2"/>
    <mergeCell ref="AH2:AJ2"/>
    <mergeCell ref="A2:A3"/>
    <mergeCell ref="A4:A9"/>
    <mergeCell ref="A10:A18"/>
    <mergeCell ref="A19:A25"/>
    <mergeCell ref="A26:A29"/>
    <mergeCell ref="A30:A34"/>
    <mergeCell ref="A35:A40"/>
    <mergeCell ref="A41:A44"/>
    <mergeCell ref="A45:A48"/>
    <mergeCell ref="A49:A52"/>
    <mergeCell ref="A53:A55"/>
    <mergeCell ref="A56:A60"/>
    <mergeCell ref="A61:A66"/>
    <mergeCell ref="A67:A68"/>
    <mergeCell ref="A69:A73"/>
    <mergeCell ref="A74:A78"/>
    <mergeCell ref="A79:A80"/>
    <mergeCell ref="A81:A84"/>
    <mergeCell ref="A85:A88"/>
    <mergeCell ref="A89:A91"/>
    <mergeCell ref="A92:A93"/>
    <mergeCell ref="A94:A95"/>
    <mergeCell ref="A96:A97"/>
    <mergeCell ref="A98:A99"/>
    <mergeCell ref="B2:B3"/>
    <mergeCell ref="B4:B9"/>
    <mergeCell ref="B10:B18"/>
    <mergeCell ref="B19:B25"/>
    <mergeCell ref="B26:B29"/>
    <mergeCell ref="B30:B34"/>
    <mergeCell ref="B35:B38"/>
    <mergeCell ref="B39:B40"/>
    <mergeCell ref="B41:B44"/>
    <mergeCell ref="B45:B48"/>
    <mergeCell ref="B49:B52"/>
    <mergeCell ref="B53:B55"/>
    <mergeCell ref="B56:B60"/>
    <mergeCell ref="B61:B66"/>
    <mergeCell ref="B67:B68"/>
    <mergeCell ref="B69:B73"/>
    <mergeCell ref="B74:B78"/>
    <mergeCell ref="B79:B80"/>
    <mergeCell ref="B81:B84"/>
    <mergeCell ref="B85:B88"/>
    <mergeCell ref="B89:B91"/>
    <mergeCell ref="B92:B93"/>
    <mergeCell ref="B94:B95"/>
    <mergeCell ref="B96:B97"/>
    <mergeCell ref="B98:B99"/>
    <mergeCell ref="C2:C3"/>
    <mergeCell ref="C4:C9"/>
    <mergeCell ref="C10:C12"/>
    <mergeCell ref="C13:C15"/>
    <mergeCell ref="C16:C18"/>
    <mergeCell ref="C19:C22"/>
    <mergeCell ref="C23:C25"/>
    <mergeCell ref="C26:C29"/>
    <mergeCell ref="C30:C34"/>
    <mergeCell ref="C35:C38"/>
    <mergeCell ref="C39:C40"/>
    <mergeCell ref="C41:C44"/>
    <mergeCell ref="C45:C46"/>
    <mergeCell ref="C47:C48"/>
    <mergeCell ref="C50:C52"/>
    <mergeCell ref="C53:C55"/>
    <mergeCell ref="C56:C57"/>
    <mergeCell ref="C58:C60"/>
    <mergeCell ref="C62:C63"/>
    <mergeCell ref="C64:C66"/>
    <mergeCell ref="C67:C68"/>
    <mergeCell ref="C69:C71"/>
    <mergeCell ref="C72:C73"/>
    <mergeCell ref="C74:C78"/>
    <mergeCell ref="C79:C80"/>
    <mergeCell ref="C81:C84"/>
    <mergeCell ref="C85:C88"/>
    <mergeCell ref="C89:C91"/>
    <mergeCell ref="C92:C93"/>
    <mergeCell ref="C94:C95"/>
    <mergeCell ref="C96:C97"/>
    <mergeCell ref="C98:C99"/>
    <mergeCell ref="D2:D3"/>
    <mergeCell ref="D4:D9"/>
    <mergeCell ref="D10:D12"/>
    <mergeCell ref="D13:D15"/>
    <mergeCell ref="D16:D18"/>
    <mergeCell ref="D20:D22"/>
    <mergeCell ref="D23:D25"/>
    <mergeCell ref="D26:D29"/>
    <mergeCell ref="D30:D34"/>
    <mergeCell ref="D35:D38"/>
    <mergeCell ref="D39:D40"/>
    <mergeCell ref="D41:D43"/>
    <mergeCell ref="D45:D46"/>
    <mergeCell ref="D47:D48"/>
    <mergeCell ref="D50:D52"/>
    <mergeCell ref="D53:D55"/>
    <mergeCell ref="D56:D57"/>
    <mergeCell ref="D58:D60"/>
    <mergeCell ref="D62:D63"/>
    <mergeCell ref="D64:D66"/>
    <mergeCell ref="D67:D68"/>
    <mergeCell ref="D69:D71"/>
    <mergeCell ref="D72:D73"/>
    <mergeCell ref="D74:D78"/>
    <mergeCell ref="D79:D80"/>
    <mergeCell ref="D81:D84"/>
    <mergeCell ref="D85:D88"/>
    <mergeCell ref="D89:D91"/>
    <mergeCell ref="D92:D93"/>
    <mergeCell ref="D94:D95"/>
    <mergeCell ref="D96:D97"/>
    <mergeCell ref="D98:D99"/>
    <mergeCell ref="E2:E3"/>
    <mergeCell ref="E4:E9"/>
    <mergeCell ref="E10:E12"/>
    <mergeCell ref="E13:E15"/>
    <mergeCell ref="E16:E18"/>
    <mergeCell ref="E20:E22"/>
    <mergeCell ref="E23:E25"/>
    <mergeCell ref="E26:E29"/>
    <mergeCell ref="E31:E34"/>
    <mergeCell ref="E35:E38"/>
    <mergeCell ref="E39:E40"/>
    <mergeCell ref="E41:E43"/>
    <mergeCell ref="E45:E46"/>
    <mergeCell ref="E47:E48"/>
    <mergeCell ref="E50:E52"/>
    <mergeCell ref="E53:E55"/>
    <mergeCell ref="E56:E57"/>
    <mergeCell ref="E58:E60"/>
    <mergeCell ref="E62:E63"/>
    <mergeCell ref="E64:E66"/>
    <mergeCell ref="E67:E68"/>
    <mergeCell ref="E69:E71"/>
    <mergeCell ref="E72:E73"/>
    <mergeCell ref="E74:E78"/>
    <mergeCell ref="E79:E80"/>
    <mergeCell ref="E81:E84"/>
    <mergeCell ref="E85:E88"/>
    <mergeCell ref="E89:E91"/>
    <mergeCell ref="E92:E93"/>
    <mergeCell ref="E94:E95"/>
    <mergeCell ref="E96:E97"/>
    <mergeCell ref="E98:E99"/>
    <mergeCell ref="F2:F3"/>
    <mergeCell ref="F4:F9"/>
    <mergeCell ref="F10:F12"/>
    <mergeCell ref="F13:F15"/>
    <mergeCell ref="F16:F18"/>
    <mergeCell ref="F20:F22"/>
    <mergeCell ref="F23:F25"/>
    <mergeCell ref="F26:F29"/>
    <mergeCell ref="F30:F34"/>
    <mergeCell ref="F35:F38"/>
    <mergeCell ref="F39:F40"/>
    <mergeCell ref="F41:F43"/>
    <mergeCell ref="F45:F46"/>
    <mergeCell ref="F47:F48"/>
    <mergeCell ref="F50:F52"/>
    <mergeCell ref="F53:F55"/>
    <mergeCell ref="F56:F57"/>
    <mergeCell ref="F58:F60"/>
    <mergeCell ref="F62:F63"/>
    <mergeCell ref="F64:F66"/>
    <mergeCell ref="F67:F68"/>
    <mergeCell ref="F69:F71"/>
    <mergeCell ref="F72:F73"/>
    <mergeCell ref="F74:F78"/>
    <mergeCell ref="F79:F80"/>
    <mergeCell ref="F81:F84"/>
    <mergeCell ref="F85:F88"/>
    <mergeCell ref="F89:F91"/>
    <mergeCell ref="F92:F93"/>
    <mergeCell ref="F94:F95"/>
    <mergeCell ref="F96:F97"/>
    <mergeCell ref="F98:F99"/>
    <mergeCell ref="G2:G3"/>
    <mergeCell ref="G4:G6"/>
    <mergeCell ref="G7:G9"/>
    <mergeCell ref="G10:G12"/>
    <mergeCell ref="G13:G15"/>
    <mergeCell ref="G16:G18"/>
    <mergeCell ref="G20:G22"/>
    <mergeCell ref="G23:G25"/>
    <mergeCell ref="G26:G29"/>
    <mergeCell ref="G31:G34"/>
    <mergeCell ref="G35:G38"/>
    <mergeCell ref="G39:G40"/>
    <mergeCell ref="G41:G43"/>
    <mergeCell ref="G45:G46"/>
    <mergeCell ref="G47:G48"/>
    <mergeCell ref="G50:G52"/>
    <mergeCell ref="G53:G55"/>
    <mergeCell ref="G56:G57"/>
    <mergeCell ref="G58:G60"/>
    <mergeCell ref="G62:G63"/>
    <mergeCell ref="G64:G66"/>
    <mergeCell ref="G67:G68"/>
    <mergeCell ref="G69:G71"/>
    <mergeCell ref="G72:G73"/>
    <mergeCell ref="G74:G78"/>
    <mergeCell ref="G79:G80"/>
    <mergeCell ref="G81:G84"/>
    <mergeCell ref="G85:G88"/>
    <mergeCell ref="G89:G91"/>
    <mergeCell ref="G92:G93"/>
    <mergeCell ref="G94:G95"/>
    <mergeCell ref="G96:G97"/>
    <mergeCell ref="G98:G99"/>
    <mergeCell ref="H2:H3"/>
    <mergeCell ref="H4:H6"/>
    <mergeCell ref="H7:H9"/>
    <mergeCell ref="H10:H12"/>
    <mergeCell ref="H13:H15"/>
    <mergeCell ref="H16:H18"/>
    <mergeCell ref="H20:H22"/>
    <mergeCell ref="H23:H25"/>
    <mergeCell ref="H26:H29"/>
    <mergeCell ref="H31:H34"/>
    <mergeCell ref="H35:H38"/>
    <mergeCell ref="H39:H40"/>
    <mergeCell ref="H41:H43"/>
    <mergeCell ref="H45:H46"/>
    <mergeCell ref="H47:H48"/>
    <mergeCell ref="H50:H52"/>
    <mergeCell ref="H53:H55"/>
    <mergeCell ref="H56:H57"/>
    <mergeCell ref="H58:H60"/>
    <mergeCell ref="H62:H63"/>
    <mergeCell ref="H64:H66"/>
    <mergeCell ref="H67:H68"/>
    <mergeCell ref="H69:H71"/>
    <mergeCell ref="H72:H73"/>
    <mergeCell ref="H74:H78"/>
    <mergeCell ref="H79:H80"/>
    <mergeCell ref="H81:H84"/>
    <mergeCell ref="H85:H88"/>
    <mergeCell ref="H89:H91"/>
    <mergeCell ref="H92:H93"/>
    <mergeCell ref="H94:H95"/>
    <mergeCell ref="H96:H97"/>
    <mergeCell ref="H98:H99"/>
    <mergeCell ref="I2:I3"/>
    <mergeCell ref="J2:J3"/>
    <mergeCell ref="T2:T3"/>
    <mergeCell ref="U2:U3"/>
    <mergeCell ref="V2:V3"/>
    <mergeCell ref="W2:W3"/>
    <mergeCell ref="AK2:AK3"/>
    <mergeCell ref="AL2:AL3"/>
    <mergeCell ref="AM2:AM3"/>
  </mergeCells>
  <dataValidations count="3">
    <dataValidation type="list" allowBlank="1" showInputMessage="1" sqref="T76 T92:T99">
      <formula1>#REF!</formula1>
    </dataValidation>
    <dataValidation allowBlank="1" showInputMessage="1" showErrorMessage="1" sqref="J4:J78 V3:V78"/>
    <dataValidation type="list" allowBlank="1" showInputMessage="1" showErrorMessage="1" sqref="T2:T40 T68:T75 T77:T91 T100:T1048576">
      <formula1>#REF!</formula1>
    </dataValidation>
  </dataValidations>
  <pageMargins left="0.444444444444444" right="0.236111111111111" top="0.354166666666667" bottom="0.393055555555556" header="0.298611111111111" footer="0.298611111111111"/>
  <pageSetup paperSize="8" scale="90" fitToHeight="0" orientation="landscape" horizontalDpi="600"/>
  <headerFooter/>
  <rowBreaks count="14" manualBreakCount="14">
    <brk id="9" max="38" man="1"/>
    <brk id="18" max="38" man="1"/>
    <brk id="25" max="38" man="1"/>
    <brk id="29" max="38" man="1"/>
    <brk id="34" max="38" man="1"/>
    <brk id="40" max="36" man="1"/>
    <brk id="44" max="38" man="1"/>
    <brk id="48" max="36" man="1"/>
    <brk id="52" max="36" man="1"/>
    <brk id="55" max="36" man="1"/>
    <brk id="60" max="36" man="1"/>
    <brk id="66" max="38" man="1"/>
    <brk id="73" max="38" man="1"/>
    <brk id="80" max="16383" man="1"/>
  </rowBreaks>
  <ignoredErrors>
    <ignoredError sqref="T2 T4:T40 T42:T66 T68:T80" listDataValidation="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Z105"/>
  <sheetViews>
    <sheetView zoomScale="55" zoomScaleNormal="55" workbookViewId="0">
      <pane xSplit="9" ySplit="3" topLeftCell="J87" activePane="bottomRight" state="frozen"/>
      <selection/>
      <selection pane="topRight"/>
      <selection pane="bottomLeft"/>
      <selection pane="bottomRight" activeCell="F89" sqref="F89:F91"/>
    </sheetView>
  </sheetViews>
  <sheetFormatPr defaultColWidth="8.58333333333333" defaultRowHeight="21"/>
  <cols>
    <col min="1" max="2" width="2.75" style="2" customWidth="1"/>
    <col min="3" max="3" width="2.75" style="3" customWidth="1"/>
    <col min="4" max="4" width="2.75" style="1" customWidth="1"/>
    <col min="5" max="5" width="16.6296296296296" style="4" customWidth="1"/>
    <col min="6" max="6" width="21.1296296296296" style="4" customWidth="1"/>
    <col min="7" max="7" width="7.62962962962963" style="2" customWidth="1"/>
    <col min="8" max="8" width="9.37962962962963" style="50" customWidth="1"/>
    <col min="9" max="9" width="10.6296296296296" style="2" customWidth="1"/>
    <col min="10" max="10" width="27.5" style="50" customWidth="1"/>
    <col min="11" max="19" width="2.37962962962963" style="2" customWidth="1"/>
    <col min="20" max="20" width="5.62962962962963" style="1" customWidth="1"/>
    <col min="21" max="21" width="6.25" style="1" customWidth="1"/>
    <col min="22" max="22" width="15" style="5" customWidth="1"/>
    <col min="23" max="23" width="13.25" style="4" customWidth="1"/>
    <col min="24" max="29" width="2.62962962962963" style="3" customWidth="1"/>
    <col min="30" max="30" width="6.62962962962963" style="4" customWidth="1"/>
    <col min="31" max="35" width="2.12962962962963" style="3" customWidth="1"/>
    <col min="36" max="36" width="30.6296296296296" style="5" customWidth="1"/>
    <col min="37" max="37" width="10.3796296296296" style="1" customWidth="1"/>
    <col min="38" max="38" width="13.3796296296296" style="1" customWidth="1"/>
    <col min="39" max="39" width="15.6296296296296" style="3" customWidth="1"/>
    <col min="40" max="41" width="11.8981481481481" style="1" customWidth="1"/>
    <col min="42" max="16384" width="8.58333333333333" style="3"/>
  </cols>
  <sheetData>
    <row r="1" spans="1:78">
      <c r="A1" s="51" t="s">
        <v>415</v>
      </c>
      <c r="B1" s="51"/>
      <c r="C1" s="51"/>
      <c r="D1" s="51"/>
      <c r="E1" s="52"/>
      <c r="F1" s="52"/>
      <c r="G1" s="51"/>
      <c r="H1" s="52"/>
      <c r="I1" s="51"/>
      <c r="J1" s="51"/>
      <c r="K1" s="51"/>
      <c r="L1" s="51"/>
      <c r="M1" s="51"/>
      <c r="N1" s="51"/>
      <c r="O1" s="51"/>
      <c r="P1" s="51"/>
      <c r="Q1" s="51"/>
      <c r="R1" s="51"/>
      <c r="S1" s="51"/>
      <c r="T1" s="51"/>
      <c r="U1" s="51"/>
      <c r="V1" s="51"/>
      <c r="W1" s="52"/>
      <c r="X1" s="51"/>
      <c r="Y1" s="51"/>
      <c r="Z1" s="51"/>
      <c r="AA1" s="51"/>
      <c r="AB1" s="51"/>
      <c r="AC1" s="51"/>
      <c r="AD1" s="52"/>
      <c r="AE1" s="51"/>
      <c r="AF1" s="51"/>
      <c r="AG1" s="51"/>
      <c r="AH1" s="51"/>
      <c r="AI1" s="51"/>
      <c r="AJ1" s="51"/>
      <c r="AK1" s="51"/>
      <c r="AL1" s="53"/>
      <c r="AM1" s="54"/>
    </row>
    <row r="2" s="47" customFormat="1" ht="13.2" spans="1:78">
      <c r="A2" s="55" t="s">
        <v>416</v>
      </c>
      <c r="B2" s="55" t="s">
        <v>417</v>
      </c>
      <c r="C2" s="55" t="s">
        <v>418</v>
      </c>
      <c r="D2" s="55" t="s">
        <v>419</v>
      </c>
      <c r="E2" s="55" t="s">
        <v>420</v>
      </c>
      <c r="F2" s="55" t="s">
        <v>421</v>
      </c>
      <c r="G2" s="55" t="s">
        <v>422</v>
      </c>
      <c r="H2" s="55" t="s">
        <v>423</v>
      </c>
      <c r="I2" s="55" t="s">
        <v>424</v>
      </c>
      <c r="J2" s="55" t="s">
        <v>425</v>
      </c>
      <c r="K2" s="55" t="s">
        <v>426</v>
      </c>
      <c r="L2" s="55"/>
      <c r="M2" s="55"/>
      <c r="N2" s="55"/>
      <c r="O2" s="55"/>
      <c r="P2" s="55"/>
      <c r="Q2" s="55"/>
      <c r="R2" s="55"/>
      <c r="S2" s="55"/>
      <c r="T2" s="55" t="s">
        <v>427</v>
      </c>
      <c r="U2" s="55" t="s">
        <v>428</v>
      </c>
      <c r="V2" s="55" t="s">
        <v>429</v>
      </c>
      <c r="W2" s="55" t="s">
        <v>430</v>
      </c>
      <c r="X2" s="55" t="s">
        <v>431</v>
      </c>
      <c r="Y2" s="55"/>
      <c r="Z2" s="55"/>
      <c r="AA2" s="55" t="s">
        <v>432</v>
      </c>
      <c r="AB2" s="55"/>
      <c r="AC2" s="55"/>
      <c r="AD2" s="55" t="s">
        <v>433</v>
      </c>
      <c r="AE2" s="55"/>
      <c r="AF2" s="55"/>
      <c r="AG2" s="55"/>
      <c r="AH2" s="55" t="s">
        <v>434</v>
      </c>
      <c r="AI2" s="55"/>
      <c r="AJ2" s="55"/>
      <c r="AK2" s="55" t="s">
        <v>435</v>
      </c>
      <c r="AL2" s="55" t="s">
        <v>436</v>
      </c>
      <c r="AM2" s="55" t="s">
        <v>437</v>
      </c>
      <c r="AN2" s="56">
        <v>7.23</v>
      </c>
      <c r="AO2" s="95">
        <v>7.3</v>
      </c>
    </row>
    <row r="3" s="47" customFormat="1" ht="92.4" spans="1:78">
      <c r="A3" s="55"/>
      <c r="B3" s="55"/>
      <c r="C3" s="55"/>
      <c r="D3" s="55"/>
      <c r="E3" s="55"/>
      <c r="F3" s="55"/>
      <c r="G3" s="55"/>
      <c r="H3" s="55"/>
      <c r="I3" s="55"/>
      <c r="J3" s="55"/>
      <c r="K3" s="55" t="s">
        <v>438</v>
      </c>
      <c r="L3" s="55" t="s">
        <v>439</v>
      </c>
      <c r="M3" s="55" t="s">
        <v>440</v>
      </c>
      <c r="N3" s="55" t="s">
        <v>441</v>
      </c>
      <c r="O3" s="55" t="s">
        <v>442</v>
      </c>
      <c r="P3" s="55" t="s">
        <v>443</v>
      </c>
      <c r="Q3" s="55" t="s">
        <v>444</v>
      </c>
      <c r="R3" s="55" t="s">
        <v>445</v>
      </c>
      <c r="S3" s="55" t="s">
        <v>446</v>
      </c>
      <c r="T3" s="55"/>
      <c r="U3" s="55"/>
      <c r="V3" s="55"/>
      <c r="W3" s="55"/>
      <c r="X3" s="55" t="s">
        <v>447</v>
      </c>
      <c r="Y3" s="55" t="s">
        <v>448</v>
      </c>
      <c r="Z3" s="55" t="s">
        <v>449</v>
      </c>
      <c r="AA3" s="55" t="s">
        <v>447</v>
      </c>
      <c r="AB3" s="55" t="s">
        <v>448</v>
      </c>
      <c r="AC3" s="55" t="s">
        <v>449</v>
      </c>
      <c r="AD3" s="55" t="s">
        <v>433</v>
      </c>
      <c r="AE3" s="55" t="s">
        <v>447</v>
      </c>
      <c r="AF3" s="55" t="s">
        <v>448</v>
      </c>
      <c r="AG3" s="55" t="s">
        <v>449</v>
      </c>
      <c r="AH3" s="55" t="s">
        <v>450</v>
      </c>
      <c r="AI3" s="55" t="s">
        <v>451</v>
      </c>
      <c r="AJ3" s="55" t="s">
        <v>452</v>
      </c>
      <c r="AK3" s="55"/>
      <c r="AL3" s="55"/>
      <c r="AM3" s="55"/>
      <c r="AN3" s="67"/>
      <c r="AO3" s="96"/>
    </row>
    <row r="4" s="48" customFormat="1" ht="79.2" spans="1:78">
      <c r="A4" s="56" t="s">
        <v>453</v>
      </c>
      <c r="B4" s="56" t="s">
        <v>454</v>
      </c>
      <c r="C4" s="57" t="s">
        <v>455</v>
      </c>
      <c r="D4" s="57" t="s">
        <v>456</v>
      </c>
      <c r="E4" s="58" t="s">
        <v>457</v>
      </c>
      <c r="F4" s="59" t="s">
        <v>458</v>
      </c>
      <c r="G4" s="57" t="s">
        <v>459</v>
      </c>
      <c r="H4" s="58" t="s">
        <v>460</v>
      </c>
      <c r="I4" s="35" t="s">
        <v>461</v>
      </c>
      <c r="J4" s="42" t="s">
        <v>462</v>
      </c>
      <c r="K4" s="35"/>
      <c r="L4" s="35"/>
      <c r="M4" s="35" t="s">
        <v>36</v>
      </c>
      <c r="N4" s="35"/>
      <c r="O4" s="35"/>
      <c r="P4" s="35"/>
      <c r="Q4" s="35"/>
      <c r="R4" s="35"/>
      <c r="S4" s="35"/>
      <c r="T4" s="43" t="s">
        <v>463</v>
      </c>
      <c r="U4" s="35" t="s">
        <v>464</v>
      </c>
      <c r="V4" s="42" t="s">
        <v>465</v>
      </c>
      <c r="W4" s="41" t="s">
        <v>466</v>
      </c>
      <c r="X4" s="43" t="s">
        <v>467</v>
      </c>
      <c r="Y4" s="43" t="s">
        <v>468</v>
      </c>
      <c r="Z4" s="43"/>
      <c r="AA4" s="43" t="s">
        <v>469</v>
      </c>
      <c r="AB4" s="43" t="s">
        <v>470</v>
      </c>
      <c r="AC4" s="43"/>
      <c r="AD4" s="41" t="s">
        <v>471</v>
      </c>
      <c r="AE4" s="43" t="s">
        <v>472</v>
      </c>
      <c r="AF4" s="43" t="s">
        <v>470</v>
      </c>
      <c r="AG4" s="43"/>
      <c r="AH4" s="43" t="s">
        <v>473</v>
      </c>
      <c r="AI4" s="43" t="s">
        <v>473</v>
      </c>
      <c r="AJ4" s="41" t="s">
        <v>474</v>
      </c>
      <c r="AK4" s="35" t="s">
        <v>475</v>
      </c>
      <c r="AL4" s="42" t="s">
        <v>476</v>
      </c>
      <c r="AM4" s="61"/>
      <c r="AN4" s="42" t="s">
        <v>477</v>
      </c>
      <c r="AO4" s="97"/>
      <c r="AP4" s="48" t="b">
        <f>A4=[2]员工报账!A4</f>
        <v>1</v>
      </c>
      <c r="AQ4" s="48" t="b">
        <f>B4=[2]员工报账!B4</f>
        <v>1</v>
      </c>
      <c r="AR4" s="48" t="b">
        <f>C4=[2]员工报账!C4</f>
        <v>1</v>
      </c>
      <c r="AS4" s="48" t="b">
        <f>D4=[2]员工报账!D4</f>
        <v>1</v>
      </c>
      <c r="AT4" s="48" t="b">
        <f>E4=[2]员工报账!E4</f>
        <v>1</v>
      </c>
      <c r="AU4" s="48" t="b">
        <f>F4=[2]员工报账!F4</f>
        <v>1</v>
      </c>
      <c r="AV4" s="48" t="b">
        <f>G4=[2]员工报账!G4</f>
        <v>1</v>
      </c>
      <c r="AW4" s="48" t="b">
        <f>H4=[2]员工报账!H4</f>
        <v>1</v>
      </c>
      <c r="AX4" s="48" t="b">
        <f>I4=[2]员工报账!I4</f>
        <v>1</v>
      </c>
      <c r="AY4" s="48" t="b">
        <f>J4=[2]员工报账!J4</f>
        <v>1</v>
      </c>
      <c r="AZ4" s="48" t="b">
        <f>K4=[2]员工报账!K4</f>
        <v>1</v>
      </c>
      <c r="BA4" s="48" t="b">
        <f>L4=[2]员工报账!L4</f>
        <v>1</v>
      </c>
      <c r="BB4" s="48" t="b">
        <f>M4=[2]员工报账!M4</f>
        <v>1</v>
      </c>
      <c r="BC4" s="48" t="b">
        <f>N4=[2]员工报账!N4</f>
        <v>1</v>
      </c>
      <c r="BD4" s="48" t="b">
        <f>O4=[2]员工报账!O4</f>
        <v>1</v>
      </c>
      <c r="BE4" s="48" t="b">
        <f>P4=[2]员工报账!P4</f>
        <v>1</v>
      </c>
      <c r="BF4" s="48" t="b">
        <f>Q4=[2]员工报账!Q4</f>
        <v>1</v>
      </c>
      <c r="BG4" s="48" t="b">
        <f>R4=[2]员工报账!R4</f>
        <v>1</v>
      </c>
      <c r="BH4" s="48" t="b">
        <f>S4=[2]员工报账!S4</f>
        <v>1</v>
      </c>
      <c r="BI4" s="48" t="b">
        <f>T4=[2]员工报账!T4</f>
        <v>1</v>
      </c>
      <c r="BJ4" s="48" t="b">
        <f>U4=[2]员工报账!U4</f>
        <v>1</v>
      </c>
      <c r="BK4" s="48" t="b">
        <f>V4=[2]员工报账!V4</f>
        <v>1</v>
      </c>
      <c r="BL4" s="48" t="b">
        <f>W4=[2]员工报账!W4</f>
        <v>1</v>
      </c>
      <c r="BM4" s="48" t="b">
        <f>X4=[2]员工报账!X4</f>
        <v>1</v>
      </c>
      <c r="BN4" s="48" t="b">
        <f>Y4=[2]员工报账!Y4</f>
        <v>1</v>
      </c>
      <c r="BO4" s="48" t="b">
        <f>Z4=[2]员工报账!Z4</f>
        <v>1</v>
      </c>
      <c r="BP4" s="48" t="b">
        <f>AA4=[2]员工报账!AA4</f>
        <v>1</v>
      </c>
      <c r="BQ4" s="48" t="b">
        <f>AB4=[2]员工报账!AB4</f>
        <v>1</v>
      </c>
      <c r="BR4" s="48" t="b">
        <f>AC4=[2]员工报账!AC4</f>
        <v>1</v>
      </c>
      <c r="BS4" s="48" t="b">
        <f>AD4=[2]员工报账!AD4</f>
        <v>1</v>
      </c>
      <c r="BT4" s="48" t="b">
        <f>AE4=[2]员工报账!AE4</f>
        <v>1</v>
      </c>
      <c r="BU4" s="48" t="b">
        <f>AF4=[2]员工报账!AF4</f>
        <v>1</v>
      </c>
      <c r="BV4" s="48" t="b">
        <f>AG4=[2]员工报账!AG4</f>
        <v>1</v>
      </c>
      <c r="BW4" s="48" t="b">
        <f>AH4=[2]员工报账!AH4</f>
        <v>1</v>
      </c>
      <c r="BX4" s="48" t="b">
        <f>AI4=[2]员工报账!AI4</f>
        <v>1</v>
      </c>
      <c r="BY4" s="48" t="b">
        <f>AJ4=[2]员工报账!AJ4</f>
        <v>1</v>
      </c>
      <c r="BZ4" s="48" t="b">
        <f>AK4=[2]员工报账!AK4</f>
        <v>1</v>
      </c>
    </row>
    <row r="5" s="48" customFormat="1" ht="79.2" spans="1:78">
      <c r="A5" s="62"/>
      <c r="B5" s="62"/>
      <c r="C5" s="63"/>
      <c r="D5" s="63"/>
      <c r="E5" s="64"/>
      <c r="F5" s="64"/>
      <c r="G5" s="63"/>
      <c r="H5" s="64"/>
      <c r="I5" s="35" t="s">
        <v>478</v>
      </c>
      <c r="J5" s="42" t="s">
        <v>479</v>
      </c>
      <c r="K5" s="35"/>
      <c r="L5" s="35"/>
      <c r="M5" s="35" t="s">
        <v>36</v>
      </c>
      <c r="N5" s="35" t="s">
        <v>36</v>
      </c>
      <c r="O5" s="35"/>
      <c r="P5" s="35"/>
      <c r="Q5" s="35"/>
      <c r="R5" s="35"/>
      <c r="S5" s="35"/>
      <c r="T5" s="43" t="s">
        <v>463</v>
      </c>
      <c r="U5" s="35" t="s">
        <v>464</v>
      </c>
      <c r="V5" s="42" t="s">
        <v>480</v>
      </c>
      <c r="W5" s="41" t="s">
        <v>481</v>
      </c>
      <c r="X5" s="43" t="s">
        <v>467</v>
      </c>
      <c r="Y5" s="43" t="s">
        <v>468</v>
      </c>
      <c r="Z5" s="43"/>
      <c r="AA5" s="43" t="s">
        <v>469</v>
      </c>
      <c r="AB5" s="43" t="s">
        <v>470</v>
      </c>
      <c r="AC5" s="43"/>
      <c r="AD5" s="41" t="s">
        <v>471</v>
      </c>
      <c r="AE5" s="43" t="s">
        <v>472</v>
      </c>
      <c r="AF5" s="43" t="s">
        <v>470</v>
      </c>
      <c r="AG5" s="43"/>
      <c r="AH5" s="43" t="s">
        <v>473</v>
      </c>
      <c r="AI5" s="43" t="s">
        <v>473</v>
      </c>
      <c r="AJ5" s="41" t="s">
        <v>474</v>
      </c>
      <c r="AK5" s="35" t="s">
        <v>475</v>
      </c>
      <c r="AL5" s="42" t="s">
        <v>476</v>
      </c>
      <c r="AM5" s="61"/>
      <c r="AN5" s="42" t="s">
        <v>477</v>
      </c>
      <c r="AO5" s="97"/>
      <c r="AP5" s="48" t="b">
        <f>A5=[2]员工报账!A5</f>
        <v>1</v>
      </c>
      <c r="AQ5" s="48" t="b">
        <f>B5=[2]员工报账!B5</f>
        <v>1</v>
      </c>
      <c r="AR5" s="48" t="b">
        <f>C5=[2]员工报账!C5</f>
        <v>1</v>
      </c>
      <c r="AS5" s="48" t="b">
        <f>D5=[2]员工报账!D5</f>
        <v>1</v>
      </c>
      <c r="AT5" s="48" t="b">
        <f>E5=[2]员工报账!E5</f>
        <v>1</v>
      </c>
      <c r="AU5" s="48" t="b">
        <f>F5=[2]员工报账!F5</f>
        <v>1</v>
      </c>
      <c r="AV5" s="48" t="b">
        <f>G5=[2]员工报账!G5</f>
        <v>1</v>
      </c>
      <c r="AW5" s="48" t="b">
        <f>H5=[2]员工报账!H5</f>
        <v>1</v>
      </c>
      <c r="AX5" s="48" t="b">
        <f>I5=[2]员工报账!I5</f>
        <v>1</v>
      </c>
      <c r="AY5" s="48" t="b">
        <f>J5=[2]员工报账!J5</f>
        <v>1</v>
      </c>
      <c r="AZ5" s="48" t="b">
        <f>K5=[2]员工报账!K5</f>
        <v>1</v>
      </c>
      <c r="BA5" s="48" t="b">
        <f>L5=[2]员工报账!L5</f>
        <v>1</v>
      </c>
      <c r="BB5" s="48" t="b">
        <f>M5=[2]员工报账!M5</f>
        <v>1</v>
      </c>
      <c r="BC5" s="48" t="b">
        <f>N5=[2]员工报账!N5</f>
        <v>1</v>
      </c>
      <c r="BD5" s="48" t="b">
        <f>O5=[2]员工报账!O5</f>
        <v>1</v>
      </c>
      <c r="BE5" s="48" t="b">
        <f>P5=[2]员工报账!P5</f>
        <v>1</v>
      </c>
      <c r="BF5" s="48" t="b">
        <f>Q5=[2]员工报账!Q5</f>
        <v>1</v>
      </c>
      <c r="BG5" s="48" t="b">
        <f>R5=[2]员工报账!R5</f>
        <v>1</v>
      </c>
      <c r="BH5" s="48" t="b">
        <f>S5=[2]员工报账!S5</f>
        <v>1</v>
      </c>
      <c r="BI5" s="48" t="b">
        <f>T5=[2]员工报账!T5</f>
        <v>1</v>
      </c>
      <c r="BJ5" s="48" t="b">
        <f>U5=[2]员工报账!U5</f>
        <v>1</v>
      </c>
      <c r="BK5" s="48" t="b">
        <f>V5=[2]员工报账!V5</f>
        <v>1</v>
      </c>
      <c r="BL5" s="48" t="b">
        <f>W5=[2]员工报账!W5</f>
        <v>1</v>
      </c>
      <c r="BM5" s="48" t="b">
        <f>X5=[2]员工报账!X5</f>
        <v>1</v>
      </c>
      <c r="BN5" s="48" t="b">
        <f>Y5=[2]员工报账!Y5</f>
        <v>1</v>
      </c>
      <c r="BO5" s="48" t="b">
        <f>Z5=[2]员工报账!Z5</f>
        <v>1</v>
      </c>
      <c r="BP5" s="48" t="b">
        <f>AA5=[2]员工报账!AA5</f>
        <v>1</v>
      </c>
      <c r="BQ5" s="48" t="b">
        <f>AB5=[2]员工报账!AB5</f>
        <v>1</v>
      </c>
      <c r="BR5" s="48" t="b">
        <f>AC5=[2]员工报账!AC5</f>
        <v>1</v>
      </c>
      <c r="BS5" s="48" t="b">
        <f>AD5=[2]员工报账!AD5</f>
        <v>1</v>
      </c>
      <c r="BT5" s="48" t="b">
        <f>AE5=[2]员工报账!AE5</f>
        <v>1</v>
      </c>
      <c r="BU5" s="48" t="b">
        <f>AF5=[2]员工报账!AF5</f>
        <v>1</v>
      </c>
      <c r="BV5" s="48" t="b">
        <f>AG5=[2]员工报账!AG5</f>
        <v>1</v>
      </c>
      <c r="BW5" s="48" t="b">
        <f>AH5=[2]员工报账!AH5</f>
        <v>1</v>
      </c>
      <c r="BX5" s="48" t="b">
        <f>AI5=[2]员工报账!AI5</f>
        <v>1</v>
      </c>
      <c r="BY5" s="48" t="b">
        <f>AJ5=[2]员工报账!AJ5</f>
        <v>1</v>
      </c>
      <c r="BZ5" s="48" t="b">
        <f>AK5=[2]员工报账!AK5</f>
        <v>1</v>
      </c>
    </row>
    <row r="6" s="48" customFormat="1" ht="79.2" spans="1:78">
      <c r="A6" s="62"/>
      <c r="B6" s="62"/>
      <c r="C6" s="63"/>
      <c r="D6" s="63"/>
      <c r="E6" s="64"/>
      <c r="F6" s="64"/>
      <c r="G6" s="38"/>
      <c r="H6" s="66"/>
      <c r="I6" s="35" t="s">
        <v>482</v>
      </c>
      <c r="J6" s="42" t="s">
        <v>483</v>
      </c>
      <c r="K6" s="35"/>
      <c r="L6" s="35"/>
      <c r="M6" s="35"/>
      <c r="N6" s="35" t="s">
        <v>36</v>
      </c>
      <c r="O6" s="35"/>
      <c r="P6" s="35"/>
      <c r="Q6" s="35" t="s">
        <v>36</v>
      </c>
      <c r="R6" s="35"/>
      <c r="S6" s="35"/>
      <c r="T6" s="43" t="s">
        <v>463</v>
      </c>
      <c r="U6" s="35" t="s">
        <v>464</v>
      </c>
      <c r="V6" s="42" t="s">
        <v>484</v>
      </c>
      <c r="W6" s="41" t="s">
        <v>481</v>
      </c>
      <c r="X6" s="43" t="s">
        <v>467</v>
      </c>
      <c r="Y6" s="43" t="s">
        <v>468</v>
      </c>
      <c r="Z6" s="43"/>
      <c r="AA6" s="43" t="s">
        <v>469</v>
      </c>
      <c r="AB6" s="43" t="s">
        <v>470</v>
      </c>
      <c r="AC6" s="43"/>
      <c r="AD6" s="41" t="s">
        <v>471</v>
      </c>
      <c r="AE6" s="43" t="s">
        <v>472</v>
      </c>
      <c r="AF6" s="43" t="s">
        <v>470</v>
      </c>
      <c r="AG6" s="43"/>
      <c r="AH6" s="43" t="s">
        <v>473</v>
      </c>
      <c r="AI6" s="43" t="s">
        <v>473</v>
      </c>
      <c r="AJ6" s="41" t="s">
        <v>474</v>
      </c>
      <c r="AK6" s="35" t="s">
        <v>475</v>
      </c>
      <c r="AL6" s="42" t="s">
        <v>476</v>
      </c>
      <c r="AM6" s="61"/>
      <c r="AN6" s="42" t="s">
        <v>477</v>
      </c>
      <c r="AO6" s="97"/>
      <c r="AP6" s="48" t="b">
        <f>A6=[2]员工报账!A6</f>
        <v>1</v>
      </c>
      <c r="AQ6" s="48" t="b">
        <f>B6=[2]员工报账!B6</f>
        <v>1</v>
      </c>
      <c r="AR6" s="48" t="b">
        <f>C6=[2]员工报账!C6</f>
        <v>1</v>
      </c>
      <c r="AS6" s="48" t="b">
        <f>D6=[2]员工报账!D6</f>
        <v>1</v>
      </c>
      <c r="AT6" s="48" t="b">
        <f>E6=[2]员工报账!E6</f>
        <v>1</v>
      </c>
      <c r="AU6" s="48" t="b">
        <f>F6=[2]员工报账!F6</f>
        <v>1</v>
      </c>
      <c r="AV6" s="48" t="b">
        <f>G6=[2]员工报账!G6</f>
        <v>1</v>
      </c>
      <c r="AW6" s="48" t="b">
        <f>H6=[2]员工报账!H6</f>
        <v>1</v>
      </c>
      <c r="AX6" s="48" t="b">
        <f>I6=[2]员工报账!I6</f>
        <v>1</v>
      </c>
      <c r="AY6" s="48" t="b">
        <f>J6=[2]员工报账!J6</f>
        <v>1</v>
      </c>
      <c r="AZ6" s="48" t="b">
        <f>K6=[2]员工报账!K6</f>
        <v>1</v>
      </c>
      <c r="BA6" s="48" t="b">
        <f>L6=[2]员工报账!L6</f>
        <v>1</v>
      </c>
      <c r="BB6" s="48" t="b">
        <f>M6=[2]员工报账!M6</f>
        <v>1</v>
      </c>
      <c r="BC6" s="48" t="b">
        <f>N6=[2]员工报账!N6</f>
        <v>1</v>
      </c>
      <c r="BD6" s="48" t="b">
        <f>O6=[2]员工报账!O6</f>
        <v>1</v>
      </c>
      <c r="BE6" s="48" t="b">
        <f>P6=[2]员工报账!P6</f>
        <v>1</v>
      </c>
      <c r="BF6" s="48" t="b">
        <f>Q6=[2]员工报账!Q6</f>
        <v>1</v>
      </c>
      <c r="BG6" s="48" t="b">
        <f>R6=[2]员工报账!R6</f>
        <v>1</v>
      </c>
      <c r="BH6" s="48" t="b">
        <f>S6=[2]员工报账!S6</f>
        <v>1</v>
      </c>
      <c r="BI6" s="48" t="b">
        <f>T6=[2]员工报账!T6</f>
        <v>1</v>
      </c>
      <c r="BJ6" s="48" t="b">
        <f>U6=[2]员工报账!U6</f>
        <v>1</v>
      </c>
      <c r="BK6" s="48" t="b">
        <f>V6=[2]员工报账!V6</f>
        <v>1</v>
      </c>
      <c r="BL6" s="48" t="b">
        <f>W6=[2]员工报账!W6</f>
        <v>1</v>
      </c>
      <c r="BM6" s="48" t="b">
        <f>X6=[2]员工报账!X6</f>
        <v>1</v>
      </c>
      <c r="BN6" s="48" t="b">
        <f>Y6=[2]员工报账!Y6</f>
        <v>1</v>
      </c>
      <c r="BO6" s="48" t="b">
        <f>Z6=[2]员工报账!Z6</f>
        <v>1</v>
      </c>
      <c r="BP6" s="48" t="b">
        <f>AA6=[2]员工报账!AA6</f>
        <v>1</v>
      </c>
      <c r="BQ6" s="48" t="b">
        <f>AB6=[2]员工报账!AB6</f>
        <v>1</v>
      </c>
      <c r="BR6" s="48" t="b">
        <f>AC6=[2]员工报账!AC6</f>
        <v>1</v>
      </c>
      <c r="BS6" s="48" t="b">
        <f>AD6=[2]员工报账!AD6</f>
        <v>1</v>
      </c>
      <c r="BT6" s="48" t="b">
        <f>AE6=[2]员工报账!AE6</f>
        <v>1</v>
      </c>
      <c r="BU6" s="48" t="b">
        <f>AF6=[2]员工报账!AF6</f>
        <v>1</v>
      </c>
      <c r="BV6" s="48" t="b">
        <f>AG6=[2]员工报账!AG6</f>
        <v>1</v>
      </c>
      <c r="BW6" s="48" t="b">
        <f>AH6=[2]员工报账!AH6</f>
        <v>1</v>
      </c>
      <c r="BX6" s="48" t="b">
        <f>AI6=[2]员工报账!AI6</f>
        <v>1</v>
      </c>
      <c r="BY6" s="48" t="b">
        <f>AJ6=[2]员工报账!AJ6</f>
        <v>1</v>
      </c>
      <c r="BZ6" s="48" t="b">
        <f>AK6=[2]员工报账!AK6</f>
        <v>1</v>
      </c>
    </row>
    <row r="7" s="48" customFormat="1" ht="79.2" spans="1:78">
      <c r="A7" s="62"/>
      <c r="B7" s="62"/>
      <c r="C7" s="63"/>
      <c r="D7" s="63"/>
      <c r="E7" s="64"/>
      <c r="F7" s="64"/>
      <c r="G7" s="57" t="s">
        <v>485</v>
      </c>
      <c r="H7" s="58" t="s">
        <v>486</v>
      </c>
      <c r="I7" s="35" t="s">
        <v>487</v>
      </c>
      <c r="J7" s="42" t="s">
        <v>488</v>
      </c>
      <c r="K7" s="35"/>
      <c r="L7" s="35" t="s">
        <v>36</v>
      </c>
      <c r="M7" s="35"/>
      <c r="N7" s="35"/>
      <c r="O7" s="35"/>
      <c r="P7" s="35"/>
      <c r="Q7" s="35" t="s">
        <v>36</v>
      </c>
      <c r="R7" s="35"/>
      <c r="S7" s="35"/>
      <c r="T7" s="43" t="s">
        <v>463</v>
      </c>
      <c r="U7" s="35" t="s">
        <v>464</v>
      </c>
      <c r="V7" s="42" t="s">
        <v>489</v>
      </c>
      <c r="W7" s="41" t="s">
        <v>481</v>
      </c>
      <c r="X7" s="43" t="s">
        <v>467</v>
      </c>
      <c r="Y7" s="43" t="s">
        <v>468</v>
      </c>
      <c r="Z7" s="43"/>
      <c r="AA7" s="43" t="s">
        <v>469</v>
      </c>
      <c r="AB7" s="43" t="s">
        <v>470</v>
      </c>
      <c r="AC7" s="43"/>
      <c r="AD7" s="41" t="s">
        <v>471</v>
      </c>
      <c r="AE7" s="43" t="s">
        <v>472</v>
      </c>
      <c r="AF7" s="43" t="s">
        <v>470</v>
      </c>
      <c r="AG7" s="43"/>
      <c r="AH7" s="43" t="s">
        <v>473</v>
      </c>
      <c r="AI7" s="43" t="s">
        <v>473</v>
      </c>
      <c r="AJ7" s="41" t="s">
        <v>490</v>
      </c>
      <c r="AK7" s="35" t="s">
        <v>475</v>
      </c>
      <c r="AL7" s="42" t="s">
        <v>476</v>
      </c>
      <c r="AM7" s="61"/>
      <c r="AN7" s="42"/>
      <c r="AO7" s="97"/>
      <c r="AP7" s="48" t="b">
        <f>A7=[2]员工报账!A7</f>
        <v>1</v>
      </c>
      <c r="AQ7" s="48" t="b">
        <f>B7=[2]员工报账!B7</f>
        <v>1</v>
      </c>
      <c r="AR7" s="48" t="b">
        <f>C7=[2]员工报账!C7</f>
        <v>1</v>
      </c>
      <c r="AS7" s="48" t="b">
        <f>D7=[2]员工报账!D7</f>
        <v>1</v>
      </c>
      <c r="AT7" s="48" t="b">
        <f>E7=[2]员工报账!E7</f>
        <v>1</v>
      </c>
      <c r="AU7" s="48" t="b">
        <f>F7=[2]员工报账!F7</f>
        <v>1</v>
      </c>
      <c r="AV7" s="48" t="b">
        <f>G7=[2]员工报账!G7</f>
        <v>1</v>
      </c>
      <c r="AW7" s="48" t="b">
        <f>H7=[2]员工报账!H7</f>
        <v>1</v>
      </c>
      <c r="AX7" s="48" t="b">
        <f>I7=[2]员工报账!I7</f>
        <v>1</v>
      </c>
      <c r="AY7" s="48" t="b">
        <f>J7=[2]员工报账!J7</f>
        <v>1</v>
      </c>
      <c r="AZ7" s="48" t="b">
        <f>K7=[2]员工报账!K7</f>
        <v>1</v>
      </c>
      <c r="BA7" s="48" t="b">
        <f>L7=[2]员工报账!L7</f>
        <v>1</v>
      </c>
      <c r="BB7" s="48" t="b">
        <f>M7=[2]员工报账!M7</f>
        <v>1</v>
      </c>
      <c r="BC7" s="48" t="b">
        <f>N7=[2]员工报账!N7</f>
        <v>1</v>
      </c>
      <c r="BD7" s="48" t="b">
        <f>O7=[2]员工报账!O7</f>
        <v>1</v>
      </c>
      <c r="BE7" s="48" t="b">
        <f>P7=[2]员工报账!P7</f>
        <v>1</v>
      </c>
      <c r="BF7" s="48" t="b">
        <f>Q7=[2]员工报账!Q7</f>
        <v>1</v>
      </c>
      <c r="BG7" s="48" t="b">
        <f>R7=[2]员工报账!R7</f>
        <v>1</v>
      </c>
      <c r="BH7" s="48" t="b">
        <f>S7=[2]员工报账!S7</f>
        <v>1</v>
      </c>
      <c r="BI7" s="48" t="b">
        <f>T7=[2]员工报账!T7</f>
        <v>1</v>
      </c>
      <c r="BJ7" s="48" t="b">
        <f>U7=[2]员工报账!U7</f>
        <v>1</v>
      </c>
      <c r="BK7" s="48" t="b">
        <f>V7=[2]员工报账!V7</f>
        <v>1</v>
      </c>
      <c r="BL7" s="48" t="b">
        <f>W7=[2]员工报账!W7</f>
        <v>1</v>
      </c>
      <c r="BM7" s="48" t="b">
        <f>X7=[2]员工报账!X7</f>
        <v>1</v>
      </c>
      <c r="BN7" s="48" t="b">
        <f>Y7=[2]员工报账!Y7</f>
        <v>1</v>
      </c>
      <c r="BO7" s="48" t="b">
        <f>Z7=[2]员工报账!Z7</f>
        <v>1</v>
      </c>
      <c r="BP7" s="48" t="b">
        <f>AA7=[2]员工报账!AA7</f>
        <v>1</v>
      </c>
      <c r="BQ7" s="48" t="b">
        <f>AB7=[2]员工报账!AB7</f>
        <v>1</v>
      </c>
      <c r="BR7" s="48" t="b">
        <f>AC7=[2]员工报账!AC7</f>
        <v>1</v>
      </c>
      <c r="BS7" s="48" t="b">
        <f>AD7=[2]员工报账!AD7</f>
        <v>1</v>
      </c>
      <c r="BT7" s="48" t="b">
        <f>AE7=[2]员工报账!AE7</f>
        <v>1</v>
      </c>
      <c r="BU7" s="48" t="b">
        <f>AF7=[2]员工报账!AF7</f>
        <v>1</v>
      </c>
      <c r="BV7" s="48" t="b">
        <f>AG7=[2]员工报账!AG7</f>
        <v>1</v>
      </c>
      <c r="BW7" s="48" t="b">
        <f>AH7=[2]员工报账!AH7</f>
        <v>1</v>
      </c>
      <c r="BX7" s="48" t="b">
        <f>AI7=[2]员工报账!AI7</f>
        <v>1</v>
      </c>
      <c r="BY7" s="48" t="b">
        <f>AJ7=[2]员工报账!AJ7</f>
        <v>1</v>
      </c>
      <c r="BZ7" s="48" t="b">
        <f>AK7=[2]员工报账!AK7</f>
        <v>1</v>
      </c>
    </row>
    <row r="8" s="48" customFormat="1" ht="79.2" spans="1:78">
      <c r="A8" s="62"/>
      <c r="B8" s="62"/>
      <c r="C8" s="63"/>
      <c r="D8" s="63"/>
      <c r="E8" s="64"/>
      <c r="F8" s="64"/>
      <c r="G8" s="63"/>
      <c r="H8" s="64"/>
      <c r="I8" s="35" t="s">
        <v>491</v>
      </c>
      <c r="J8" s="42" t="s">
        <v>492</v>
      </c>
      <c r="K8" s="35"/>
      <c r="L8" s="35"/>
      <c r="M8" s="35"/>
      <c r="N8" s="35"/>
      <c r="O8" s="35"/>
      <c r="P8" s="35"/>
      <c r="Q8" s="35" t="s">
        <v>36</v>
      </c>
      <c r="R8" s="35"/>
      <c r="S8" s="35"/>
      <c r="T8" s="43" t="s">
        <v>463</v>
      </c>
      <c r="U8" s="35" t="s">
        <v>464</v>
      </c>
      <c r="V8" s="42" t="s">
        <v>493</v>
      </c>
      <c r="W8" s="41" t="s">
        <v>481</v>
      </c>
      <c r="X8" s="43" t="s">
        <v>467</v>
      </c>
      <c r="Y8" s="43" t="s">
        <v>468</v>
      </c>
      <c r="Z8" s="43"/>
      <c r="AA8" s="43" t="s">
        <v>469</v>
      </c>
      <c r="AB8" s="43" t="s">
        <v>470</v>
      </c>
      <c r="AC8" s="43"/>
      <c r="AD8" s="41" t="s">
        <v>471</v>
      </c>
      <c r="AE8" s="43" t="s">
        <v>472</v>
      </c>
      <c r="AF8" s="43" t="s">
        <v>470</v>
      </c>
      <c r="AG8" s="43"/>
      <c r="AH8" s="43" t="s">
        <v>473</v>
      </c>
      <c r="AI8" s="43" t="s">
        <v>473</v>
      </c>
      <c r="AJ8" s="41" t="s">
        <v>494</v>
      </c>
      <c r="AK8" s="35" t="s">
        <v>475</v>
      </c>
      <c r="AL8" s="42" t="s">
        <v>476</v>
      </c>
      <c r="AM8" s="61"/>
      <c r="AN8" s="42"/>
      <c r="AO8" s="97"/>
      <c r="AP8" s="48" t="b">
        <f>A8=[2]员工报账!A8</f>
        <v>1</v>
      </c>
      <c r="AQ8" s="48" t="b">
        <f>B8=[2]员工报账!B8</f>
        <v>1</v>
      </c>
      <c r="AR8" s="48" t="b">
        <f>C8=[2]员工报账!C8</f>
        <v>1</v>
      </c>
      <c r="AS8" s="48" t="b">
        <f>D8=[2]员工报账!D8</f>
        <v>1</v>
      </c>
      <c r="AT8" s="48" t="b">
        <f>E8=[2]员工报账!E8</f>
        <v>1</v>
      </c>
      <c r="AU8" s="48" t="b">
        <f>F8=[2]员工报账!F8</f>
        <v>1</v>
      </c>
      <c r="AV8" s="48" t="b">
        <f>G8=[2]员工报账!G8</f>
        <v>1</v>
      </c>
      <c r="AW8" s="48" t="b">
        <f>H8=[2]员工报账!H8</f>
        <v>1</v>
      </c>
      <c r="AX8" s="48" t="b">
        <f>I8=[2]员工报账!I8</f>
        <v>1</v>
      </c>
      <c r="AY8" s="48" t="b">
        <f>J8=[2]员工报账!J8</f>
        <v>1</v>
      </c>
      <c r="AZ8" s="48" t="b">
        <f>K8=[2]员工报账!K8</f>
        <v>1</v>
      </c>
      <c r="BA8" s="48" t="b">
        <f>L8=[2]员工报账!L8</f>
        <v>1</v>
      </c>
      <c r="BB8" s="48" t="b">
        <f>M8=[2]员工报账!M8</f>
        <v>1</v>
      </c>
      <c r="BC8" s="48" t="b">
        <f>N8=[2]员工报账!N8</f>
        <v>1</v>
      </c>
      <c r="BD8" s="48" t="b">
        <f>O8=[2]员工报账!O8</f>
        <v>1</v>
      </c>
      <c r="BE8" s="48" t="b">
        <f>P8=[2]员工报账!P8</f>
        <v>1</v>
      </c>
      <c r="BF8" s="48" t="b">
        <f>Q8=[2]员工报账!Q8</f>
        <v>1</v>
      </c>
      <c r="BG8" s="48" t="b">
        <f>R8=[2]员工报账!R8</f>
        <v>1</v>
      </c>
      <c r="BH8" s="48" t="b">
        <f>S8=[2]员工报账!S8</f>
        <v>1</v>
      </c>
      <c r="BI8" s="48" t="b">
        <f>T8=[2]员工报账!T8</f>
        <v>1</v>
      </c>
      <c r="BJ8" s="48" t="b">
        <f>U8=[2]员工报账!U8</f>
        <v>1</v>
      </c>
      <c r="BK8" s="48" t="b">
        <f>V8=[2]员工报账!V8</f>
        <v>1</v>
      </c>
      <c r="BL8" s="48" t="b">
        <f>W8=[2]员工报账!W8</f>
        <v>1</v>
      </c>
      <c r="BM8" s="48" t="b">
        <f>X8=[2]员工报账!X8</f>
        <v>1</v>
      </c>
      <c r="BN8" s="48" t="b">
        <f>Y8=[2]员工报账!Y8</f>
        <v>1</v>
      </c>
      <c r="BO8" s="48" t="b">
        <f>Z8=[2]员工报账!Z8</f>
        <v>1</v>
      </c>
      <c r="BP8" s="48" t="b">
        <f>AA8=[2]员工报账!AA8</f>
        <v>1</v>
      </c>
      <c r="BQ8" s="48" t="b">
        <f>AB8=[2]员工报账!AB8</f>
        <v>1</v>
      </c>
      <c r="BR8" s="48" t="b">
        <f>AC8=[2]员工报账!AC8</f>
        <v>1</v>
      </c>
      <c r="BS8" s="48" t="b">
        <f>AD8=[2]员工报账!AD8</f>
        <v>1</v>
      </c>
      <c r="BT8" s="48" t="b">
        <f>AE8=[2]员工报账!AE8</f>
        <v>1</v>
      </c>
      <c r="BU8" s="48" t="b">
        <f>AF8=[2]员工报账!AF8</f>
        <v>1</v>
      </c>
      <c r="BV8" s="48" t="b">
        <f>AG8=[2]员工报账!AG8</f>
        <v>1</v>
      </c>
      <c r="BW8" s="48" t="b">
        <f>AH8=[2]员工报账!AH8</f>
        <v>1</v>
      </c>
      <c r="BX8" s="48" t="b">
        <f>AI8=[2]员工报账!AI8</f>
        <v>1</v>
      </c>
      <c r="BY8" s="48" t="b">
        <f>AJ8=[2]员工报账!AJ8</f>
        <v>1</v>
      </c>
      <c r="BZ8" s="48" t="b">
        <f>AK8=[2]员工报账!AK8</f>
        <v>1</v>
      </c>
    </row>
    <row r="9" s="48" customFormat="1" ht="79.2" spans="1:78">
      <c r="A9" s="67"/>
      <c r="B9" s="67"/>
      <c r="C9" s="38"/>
      <c r="D9" s="38"/>
      <c r="E9" s="66"/>
      <c r="F9" s="66"/>
      <c r="G9" s="38"/>
      <c r="H9" s="66"/>
      <c r="I9" s="35" t="s">
        <v>495</v>
      </c>
      <c r="J9" s="42" t="s">
        <v>496</v>
      </c>
      <c r="K9" s="35"/>
      <c r="L9" s="35"/>
      <c r="M9" s="35" t="s">
        <v>36</v>
      </c>
      <c r="N9" s="35"/>
      <c r="O9" s="35"/>
      <c r="P9" s="35"/>
      <c r="Q9" s="35"/>
      <c r="R9" s="35"/>
      <c r="S9" s="35"/>
      <c r="T9" s="35" t="s">
        <v>497</v>
      </c>
      <c r="U9" s="35" t="s">
        <v>464</v>
      </c>
      <c r="V9" s="42" t="s">
        <v>489</v>
      </c>
      <c r="W9" s="41" t="s">
        <v>481</v>
      </c>
      <c r="X9" s="43" t="s">
        <v>467</v>
      </c>
      <c r="Y9" s="43" t="s">
        <v>468</v>
      </c>
      <c r="Z9" s="43"/>
      <c r="AA9" s="43" t="s">
        <v>469</v>
      </c>
      <c r="AB9" s="43" t="s">
        <v>470</v>
      </c>
      <c r="AC9" s="43"/>
      <c r="AD9" s="41" t="s">
        <v>471</v>
      </c>
      <c r="AE9" s="43" t="s">
        <v>472</v>
      </c>
      <c r="AF9" s="43" t="s">
        <v>470</v>
      </c>
      <c r="AG9" s="43"/>
      <c r="AH9" s="43" t="s">
        <v>473</v>
      </c>
      <c r="AI9" s="43" t="s">
        <v>473</v>
      </c>
      <c r="AJ9" s="41" t="s">
        <v>494</v>
      </c>
      <c r="AK9" s="35" t="s">
        <v>475</v>
      </c>
      <c r="AL9" s="42" t="s">
        <v>476</v>
      </c>
      <c r="AM9" s="61"/>
      <c r="AN9" s="42"/>
      <c r="AO9" s="97"/>
      <c r="AP9" s="48" t="b">
        <f>A9=[2]员工报账!A9</f>
        <v>1</v>
      </c>
      <c r="AQ9" s="48" t="b">
        <f>B9=[2]员工报账!B9</f>
        <v>1</v>
      </c>
      <c r="AR9" s="48" t="b">
        <f>C9=[2]员工报账!C9</f>
        <v>1</v>
      </c>
      <c r="AS9" s="48" t="b">
        <f>D9=[2]员工报账!D9</f>
        <v>1</v>
      </c>
      <c r="AT9" s="48" t="b">
        <f>E9=[2]员工报账!E9</f>
        <v>1</v>
      </c>
      <c r="AU9" s="48" t="b">
        <f>F9=[2]员工报账!F9</f>
        <v>1</v>
      </c>
      <c r="AV9" s="48" t="b">
        <f>G9=[2]员工报账!G9</f>
        <v>1</v>
      </c>
      <c r="AW9" s="48" t="b">
        <f>H9=[2]员工报账!H9</f>
        <v>1</v>
      </c>
      <c r="AX9" s="48" t="b">
        <f>I9=[2]员工报账!I9</f>
        <v>1</v>
      </c>
      <c r="AY9" s="48" t="b">
        <f>J9=[2]员工报账!J9</f>
        <v>1</v>
      </c>
      <c r="AZ9" s="48" t="b">
        <f>K9=[2]员工报账!K9</f>
        <v>1</v>
      </c>
      <c r="BA9" s="48" t="b">
        <f>L9=[2]员工报账!L9</f>
        <v>1</v>
      </c>
      <c r="BB9" s="48" t="b">
        <f>M9=[2]员工报账!M9</f>
        <v>1</v>
      </c>
      <c r="BC9" s="48" t="b">
        <f>N9=[2]员工报账!N9</f>
        <v>1</v>
      </c>
      <c r="BD9" s="48" t="b">
        <f>O9=[2]员工报账!O9</f>
        <v>1</v>
      </c>
      <c r="BE9" s="48" t="b">
        <f>P9=[2]员工报账!P9</f>
        <v>1</v>
      </c>
      <c r="BF9" s="48" t="b">
        <f>Q9=[2]员工报账!Q9</f>
        <v>1</v>
      </c>
      <c r="BG9" s="48" t="b">
        <f>R9=[2]员工报账!R9</f>
        <v>1</v>
      </c>
      <c r="BH9" s="48" t="b">
        <f>S9=[2]员工报账!S9</f>
        <v>1</v>
      </c>
      <c r="BI9" s="48" t="b">
        <f>T9=[2]员工报账!T9</f>
        <v>1</v>
      </c>
      <c r="BJ9" s="48" t="b">
        <f>U9=[2]员工报账!U9</f>
        <v>1</v>
      </c>
      <c r="BK9" s="48" t="b">
        <f>V9=[2]员工报账!V9</f>
        <v>1</v>
      </c>
      <c r="BL9" s="48" t="b">
        <f>W9=[2]员工报账!W9</f>
        <v>1</v>
      </c>
      <c r="BM9" s="48" t="b">
        <f>X9=[2]员工报账!X9</f>
        <v>1</v>
      </c>
      <c r="BN9" s="48" t="b">
        <f>Y9=[2]员工报账!Y9</f>
        <v>1</v>
      </c>
      <c r="BO9" s="48" t="b">
        <f>Z9=[2]员工报账!Z9</f>
        <v>1</v>
      </c>
      <c r="BP9" s="48" t="b">
        <f>AA9=[2]员工报账!AA9</f>
        <v>1</v>
      </c>
      <c r="BQ9" s="48" t="b">
        <f>AB9=[2]员工报账!AB9</f>
        <v>1</v>
      </c>
      <c r="BR9" s="48" t="b">
        <f>AC9=[2]员工报账!AC9</f>
        <v>1</v>
      </c>
      <c r="BS9" s="48" t="b">
        <f>AD9=[2]员工报账!AD9</f>
        <v>1</v>
      </c>
      <c r="BT9" s="48" t="b">
        <f>AE9=[2]员工报账!AE9</f>
        <v>1</v>
      </c>
      <c r="BU9" s="48" t="b">
        <f>AF9=[2]员工报账!AF9</f>
        <v>1</v>
      </c>
      <c r="BV9" s="48" t="b">
        <f>AG9=[2]员工报账!AG9</f>
        <v>1</v>
      </c>
      <c r="BW9" s="48" t="b">
        <f>AH9=[2]员工报账!AH9</f>
        <v>1</v>
      </c>
      <c r="BX9" s="48" t="b">
        <f>AI9=[2]员工报账!AI9</f>
        <v>1</v>
      </c>
      <c r="BY9" s="48" t="b">
        <f>AJ9=[2]员工报账!AJ9</f>
        <v>1</v>
      </c>
      <c r="BZ9" s="48" t="b">
        <f>AK9=[2]员工报账!AK9</f>
        <v>1</v>
      </c>
    </row>
    <row r="10" s="48" customFormat="1" ht="79.2" spans="1:78">
      <c r="A10" s="56" t="s">
        <v>453</v>
      </c>
      <c r="B10" s="56" t="s">
        <v>454</v>
      </c>
      <c r="C10" s="57" t="s">
        <v>498</v>
      </c>
      <c r="D10" s="57" t="s">
        <v>456</v>
      </c>
      <c r="E10" s="58" t="s">
        <v>499</v>
      </c>
      <c r="F10" s="59" t="s">
        <v>500</v>
      </c>
      <c r="G10" s="57" t="s">
        <v>501</v>
      </c>
      <c r="H10" s="58" t="s">
        <v>502</v>
      </c>
      <c r="I10" s="35" t="s">
        <v>503</v>
      </c>
      <c r="J10" s="42" t="s">
        <v>504</v>
      </c>
      <c r="K10" s="35"/>
      <c r="L10" s="35"/>
      <c r="M10" s="35" t="s">
        <v>36</v>
      </c>
      <c r="N10" s="35"/>
      <c r="O10" s="35"/>
      <c r="P10" s="35"/>
      <c r="Q10" s="35"/>
      <c r="R10" s="35"/>
      <c r="S10" s="35"/>
      <c r="T10" s="43" t="s">
        <v>463</v>
      </c>
      <c r="U10" s="35" t="s">
        <v>464</v>
      </c>
      <c r="V10" s="42" t="s">
        <v>505</v>
      </c>
      <c r="W10" s="36" t="s">
        <v>506</v>
      </c>
      <c r="X10" s="43" t="s">
        <v>467</v>
      </c>
      <c r="Y10" s="43" t="s">
        <v>468</v>
      </c>
      <c r="Z10" s="43"/>
      <c r="AA10" s="43" t="s">
        <v>469</v>
      </c>
      <c r="AB10" s="43" t="s">
        <v>470</v>
      </c>
      <c r="AC10" s="43"/>
      <c r="AD10" s="41" t="s">
        <v>507</v>
      </c>
      <c r="AE10" s="43" t="s">
        <v>472</v>
      </c>
      <c r="AF10" s="43" t="s">
        <v>470</v>
      </c>
      <c r="AG10" s="43"/>
      <c r="AH10" s="43" t="s">
        <v>473</v>
      </c>
      <c r="AI10" s="43" t="s">
        <v>473</v>
      </c>
      <c r="AJ10" s="41" t="s">
        <v>508</v>
      </c>
      <c r="AK10" s="35" t="s">
        <v>475</v>
      </c>
      <c r="AL10" s="42" t="s">
        <v>476</v>
      </c>
      <c r="AM10" s="61"/>
      <c r="AN10" s="42" t="s">
        <v>509</v>
      </c>
      <c r="AO10" s="97"/>
      <c r="AP10" s="48" t="b">
        <f>A10=[2]员工报账!A10</f>
        <v>1</v>
      </c>
      <c r="AQ10" s="48" t="b">
        <f>B10=[2]员工报账!B10</f>
        <v>1</v>
      </c>
      <c r="AR10" s="48" t="b">
        <f>C10=[2]员工报账!C10</f>
        <v>1</v>
      </c>
      <c r="AS10" s="48" t="b">
        <f>D10=[2]员工报账!D10</f>
        <v>1</v>
      </c>
      <c r="AT10" s="48" t="b">
        <f>E10=[2]员工报账!E10</f>
        <v>1</v>
      </c>
      <c r="AU10" s="48" t="b">
        <f>F10=[2]员工报账!F10</f>
        <v>1</v>
      </c>
      <c r="AV10" s="48" t="b">
        <f>G10=[2]员工报账!G10</f>
        <v>1</v>
      </c>
      <c r="AW10" s="48" t="b">
        <f>H10=[2]员工报账!H10</f>
        <v>1</v>
      </c>
      <c r="AX10" s="48" t="b">
        <f>I10=[2]员工报账!I10</f>
        <v>1</v>
      </c>
      <c r="AY10" s="48" t="b">
        <f>J10=[2]员工报账!J10</f>
        <v>1</v>
      </c>
      <c r="AZ10" s="48" t="b">
        <f>K10=[2]员工报账!K10</f>
        <v>1</v>
      </c>
      <c r="BA10" s="48" t="b">
        <f>L10=[2]员工报账!L10</f>
        <v>1</v>
      </c>
      <c r="BB10" s="48" t="b">
        <f>M10=[2]员工报账!M10</f>
        <v>1</v>
      </c>
      <c r="BC10" s="48" t="b">
        <f>N10=[2]员工报账!N10</f>
        <v>1</v>
      </c>
      <c r="BD10" s="48" t="b">
        <f>O10=[2]员工报账!O10</f>
        <v>1</v>
      </c>
      <c r="BE10" s="48" t="b">
        <f>P10=[2]员工报账!P10</f>
        <v>1</v>
      </c>
      <c r="BF10" s="48" t="b">
        <f>Q10=[2]员工报账!Q10</f>
        <v>1</v>
      </c>
      <c r="BG10" s="48" t="b">
        <f>R10=[2]员工报账!R10</f>
        <v>1</v>
      </c>
      <c r="BH10" s="48" t="b">
        <f>S10=[2]员工报账!S10</f>
        <v>1</v>
      </c>
      <c r="BI10" s="48" t="b">
        <f>T10=[2]员工报账!T10</f>
        <v>1</v>
      </c>
      <c r="BJ10" s="48" t="b">
        <f>U10=[2]员工报账!U10</f>
        <v>1</v>
      </c>
      <c r="BK10" s="48" t="b">
        <f>V10=[2]员工报账!V10</f>
        <v>1</v>
      </c>
      <c r="BL10" s="48" t="b">
        <f>W10=[2]员工报账!W10</f>
        <v>1</v>
      </c>
      <c r="BM10" s="48" t="b">
        <f>X10=[2]员工报账!X10</f>
        <v>1</v>
      </c>
      <c r="BN10" s="48" t="b">
        <f>Y10=[2]员工报账!Y10</f>
        <v>1</v>
      </c>
      <c r="BO10" s="48" t="b">
        <f>Z10=[2]员工报账!Z10</f>
        <v>1</v>
      </c>
      <c r="BP10" s="48" t="b">
        <f>AA10=[2]员工报账!AA10</f>
        <v>1</v>
      </c>
      <c r="BQ10" s="48" t="b">
        <f>AB10=[2]员工报账!AB10</f>
        <v>1</v>
      </c>
      <c r="BR10" s="48" t="b">
        <f>AC10=[2]员工报账!AC10</f>
        <v>1</v>
      </c>
      <c r="BS10" s="48" t="b">
        <f>AD10=[2]员工报账!AD10</f>
        <v>1</v>
      </c>
      <c r="BT10" s="48" t="b">
        <f>AE10=[2]员工报账!AE10</f>
        <v>1</v>
      </c>
      <c r="BU10" s="48" t="b">
        <f>AF10=[2]员工报账!AF10</f>
        <v>1</v>
      </c>
      <c r="BV10" s="48" t="b">
        <f>AG10=[2]员工报账!AG10</f>
        <v>1</v>
      </c>
      <c r="BW10" s="48" t="b">
        <f>AH10=[2]员工报账!AH10</f>
        <v>1</v>
      </c>
      <c r="BX10" s="48" t="b">
        <f>AI10=[2]员工报账!AI10</f>
        <v>1</v>
      </c>
      <c r="BY10" s="48" t="b">
        <f>AJ10=[2]员工报账!AJ10</f>
        <v>1</v>
      </c>
      <c r="BZ10" s="48" t="b">
        <f>AK10=[2]员工报账!AK10</f>
        <v>1</v>
      </c>
    </row>
    <row r="11" s="48" customFormat="1" ht="79.2" spans="1:78">
      <c r="A11" s="62"/>
      <c r="B11" s="62"/>
      <c r="C11" s="63"/>
      <c r="D11" s="63"/>
      <c r="E11" s="64"/>
      <c r="F11" s="64"/>
      <c r="G11" s="63"/>
      <c r="H11" s="64"/>
      <c r="I11" s="35" t="s">
        <v>510</v>
      </c>
      <c r="J11" s="42" t="s">
        <v>511</v>
      </c>
      <c r="K11" s="35"/>
      <c r="L11" s="35"/>
      <c r="M11" s="35"/>
      <c r="N11" s="35"/>
      <c r="O11" s="35"/>
      <c r="P11" s="35"/>
      <c r="Q11" s="35"/>
      <c r="R11" s="35" t="s">
        <v>36</v>
      </c>
      <c r="S11" s="35"/>
      <c r="T11" s="43" t="s">
        <v>463</v>
      </c>
      <c r="U11" s="35" t="s">
        <v>464</v>
      </c>
      <c r="V11" s="42" t="s">
        <v>512</v>
      </c>
      <c r="W11" s="41" t="s">
        <v>513</v>
      </c>
      <c r="X11" s="43" t="s">
        <v>467</v>
      </c>
      <c r="Y11" s="43" t="s">
        <v>468</v>
      </c>
      <c r="Z11" s="43"/>
      <c r="AA11" s="43" t="s">
        <v>469</v>
      </c>
      <c r="AB11" s="43" t="s">
        <v>470</v>
      </c>
      <c r="AC11" s="43"/>
      <c r="AD11" s="41" t="s">
        <v>507</v>
      </c>
      <c r="AE11" s="43" t="s">
        <v>472</v>
      </c>
      <c r="AF11" s="43" t="s">
        <v>470</v>
      </c>
      <c r="AG11" s="43"/>
      <c r="AH11" s="43" t="s">
        <v>473</v>
      </c>
      <c r="AI11" s="43" t="s">
        <v>473</v>
      </c>
      <c r="AJ11" s="41" t="s">
        <v>508</v>
      </c>
      <c r="AK11" s="35" t="s">
        <v>475</v>
      </c>
      <c r="AL11" s="42" t="s">
        <v>476</v>
      </c>
      <c r="AM11" s="61"/>
      <c r="AN11" s="42"/>
      <c r="AO11" s="97"/>
      <c r="AP11" s="48" t="b">
        <f>A11=[2]员工报账!A11</f>
        <v>1</v>
      </c>
      <c r="AQ11" s="48" t="b">
        <f>B11=[2]员工报账!B11</f>
        <v>1</v>
      </c>
      <c r="AR11" s="48" t="b">
        <f>C11=[2]员工报账!C11</f>
        <v>1</v>
      </c>
      <c r="AS11" s="48" t="b">
        <f>D11=[2]员工报账!D11</f>
        <v>1</v>
      </c>
      <c r="AT11" s="48" t="b">
        <f>E11=[2]员工报账!E11</f>
        <v>1</v>
      </c>
      <c r="AU11" s="48" t="b">
        <f>F11=[2]员工报账!F11</f>
        <v>1</v>
      </c>
      <c r="AV11" s="48" t="b">
        <f>G11=[2]员工报账!G11</f>
        <v>1</v>
      </c>
      <c r="AW11" s="48" t="b">
        <f>H11=[2]员工报账!H11</f>
        <v>1</v>
      </c>
      <c r="AX11" s="48" t="b">
        <f>I11=[2]员工报账!I11</f>
        <v>1</v>
      </c>
      <c r="AY11" s="48" t="b">
        <f>J11=[2]员工报账!J11</f>
        <v>1</v>
      </c>
      <c r="AZ11" s="48" t="b">
        <f>K11=[2]员工报账!K11</f>
        <v>1</v>
      </c>
      <c r="BA11" s="48" t="b">
        <f>L11=[2]员工报账!L11</f>
        <v>1</v>
      </c>
      <c r="BB11" s="48" t="b">
        <f>M11=[2]员工报账!M11</f>
        <v>1</v>
      </c>
      <c r="BC11" s="48" t="b">
        <f>N11=[2]员工报账!N11</f>
        <v>1</v>
      </c>
      <c r="BD11" s="48" t="b">
        <f>O11=[2]员工报账!O11</f>
        <v>1</v>
      </c>
      <c r="BE11" s="48" t="b">
        <f>P11=[2]员工报账!P11</f>
        <v>1</v>
      </c>
      <c r="BF11" s="48" t="b">
        <f>Q11=[2]员工报账!Q11</f>
        <v>1</v>
      </c>
      <c r="BG11" s="48" t="b">
        <f>R11=[2]员工报账!R11</f>
        <v>1</v>
      </c>
      <c r="BH11" s="48" t="b">
        <f>S11=[2]员工报账!S11</f>
        <v>1</v>
      </c>
      <c r="BI11" s="48" t="b">
        <f>T11=[2]员工报账!T11</f>
        <v>1</v>
      </c>
      <c r="BJ11" s="48" t="b">
        <f>U11=[2]员工报账!U11</f>
        <v>1</v>
      </c>
      <c r="BK11" s="48" t="b">
        <f>V11=[2]员工报账!V11</f>
        <v>1</v>
      </c>
      <c r="BL11" s="48" t="b">
        <f>W11=[2]员工报账!W11</f>
        <v>1</v>
      </c>
      <c r="BM11" s="48" t="b">
        <f>X11=[2]员工报账!X11</f>
        <v>1</v>
      </c>
      <c r="BN11" s="48" t="b">
        <f>Y11=[2]员工报账!Y11</f>
        <v>1</v>
      </c>
      <c r="BO11" s="48" t="b">
        <f>Z11=[2]员工报账!Z11</f>
        <v>1</v>
      </c>
      <c r="BP11" s="48" t="b">
        <f>AA11=[2]员工报账!AA11</f>
        <v>1</v>
      </c>
      <c r="BQ11" s="48" t="b">
        <f>AB11=[2]员工报账!AB11</f>
        <v>1</v>
      </c>
      <c r="BR11" s="48" t="b">
        <f>AC11=[2]员工报账!AC11</f>
        <v>1</v>
      </c>
      <c r="BS11" s="48" t="b">
        <f>AD11=[2]员工报账!AD11</f>
        <v>1</v>
      </c>
      <c r="BT11" s="48" t="b">
        <f>AE11=[2]员工报账!AE11</f>
        <v>1</v>
      </c>
      <c r="BU11" s="48" t="b">
        <f>AF11=[2]员工报账!AF11</f>
        <v>1</v>
      </c>
      <c r="BV11" s="48" t="b">
        <f>AG11=[2]员工报账!AG11</f>
        <v>1</v>
      </c>
      <c r="BW11" s="48" t="b">
        <f>AH11=[2]员工报账!AH11</f>
        <v>1</v>
      </c>
      <c r="BX11" s="48" t="b">
        <f>AI11=[2]员工报账!AI11</f>
        <v>1</v>
      </c>
      <c r="BY11" s="48" t="b">
        <f>AJ11=[2]员工报账!AJ11</f>
        <v>1</v>
      </c>
      <c r="BZ11" s="48" t="b">
        <f>AK11=[2]员工报账!AK11</f>
        <v>1</v>
      </c>
    </row>
    <row r="12" s="48" customFormat="1" ht="79.2" spans="1:78">
      <c r="A12" s="62"/>
      <c r="B12" s="62"/>
      <c r="C12" s="38"/>
      <c r="D12" s="38"/>
      <c r="E12" s="66"/>
      <c r="F12" s="66"/>
      <c r="G12" s="38"/>
      <c r="H12" s="66"/>
      <c r="I12" s="35" t="s">
        <v>514</v>
      </c>
      <c r="J12" s="42" t="s">
        <v>515</v>
      </c>
      <c r="K12" s="35"/>
      <c r="L12" s="35"/>
      <c r="M12" s="35" t="s">
        <v>36</v>
      </c>
      <c r="N12" s="35"/>
      <c r="O12" s="35"/>
      <c r="P12" s="35"/>
      <c r="Q12" s="35"/>
      <c r="R12" s="35" t="s">
        <v>36</v>
      </c>
      <c r="S12" s="35" t="s">
        <v>36</v>
      </c>
      <c r="T12" s="35" t="s">
        <v>516</v>
      </c>
      <c r="U12" s="42"/>
      <c r="V12" s="42" t="s">
        <v>512</v>
      </c>
      <c r="W12" s="41" t="s">
        <v>517</v>
      </c>
      <c r="X12" s="43" t="s">
        <v>467</v>
      </c>
      <c r="Y12" s="43" t="s">
        <v>468</v>
      </c>
      <c r="Z12" s="43"/>
      <c r="AA12" s="43" t="s">
        <v>469</v>
      </c>
      <c r="AB12" s="43" t="s">
        <v>470</v>
      </c>
      <c r="AC12" s="43"/>
      <c r="AD12" s="41" t="s">
        <v>507</v>
      </c>
      <c r="AE12" s="43" t="s">
        <v>472</v>
      </c>
      <c r="AF12" s="43" t="s">
        <v>470</v>
      </c>
      <c r="AG12" s="43"/>
      <c r="AH12" s="43" t="s">
        <v>473</v>
      </c>
      <c r="AI12" s="43" t="s">
        <v>473</v>
      </c>
      <c r="AJ12" s="41" t="s">
        <v>508</v>
      </c>
      <c r="AK12" s="35" t="s">
        <v>475</v>
      </c>
      <c r="AL12" s="42" t="s">
        <v>476</v>
      </c>
      <c r="AM12" s="61"/>
      <c r="AN12" s="42" t="s">
        <v>509</v>
      </c>
      <c r="AO12" s="97"/>
      <c r="AP12" s="48" t="b">
        <f>A12=[2]员工报账!A12</f>
        <v>1</v>
      </c>
      <c r="AQ12" s="48" t="b">
        <f>B12=[2]员工报账!B12</f>
        <v>1</v>
      </c>
      <c r="AR12" s="48" t="b">
        <f>C12=[2]员工报账!C12</f>
        <v>1</v>
      </c>
      <c r="AS12" s="48" t="b">
        <f>D12=[2]员工报账!D12</f>
        <v>1</v>
      </c>
      <c r="AT12" s="48" t="b">
        <f>E12=[2]员工报账!E12</f>
        <v>1</v>
      </c>
      <c r="AU12" s="48" t="b">
        <f>F12=[2]员工报账!F12</f>
        <v>1</v>
      </c>
      <c r="AV12" s="48" t="b">
        <f>G12=[2]员工报账!G12</f>
        <v>1</v>
      </c>
      <c r="AW12" s="48" t="b">
        <f>H12=[2]员工报账!H12</f>
        <v>1</v>
      </c>
      <c r="AX12" s="48" t="b">
        <f>I12=[2]员工报账!I12</f>
        <v>1</v>
      </c>
      <c r="AY12" s="48" t="b">
        <f>J12=[2]员工报账!J12</f>
        <v>1</v>
      </c>
      <c r="AZ12" s="48" t="b">
        <f>K12=[2]员工报账!K12</f>
        <v>1</v>
      </c>
      <c r="BA12" s="48" t="b">
        <f>L12=[2]员工报账!L12</f>
        <v>1</v>
      </c>
      <c r="BB12" s="48" t="b">
        <f>M12=[2]员工报账!M12</f>
        <v>1</v>
      </c>
      <c r="BC12" s="48" t="b">
        <f>N12=[2]员工报账!N12</f>
        <v>1</v>
      </c>
      <c r="BD12" s="48" t="b">
        <f>O12=[2]员工报账!O12</f>
        <v>1</v>
      </c>
      <c r="BE12" s="48" t="b">
        <f>P12=[2]员工报账!P12</f>
        <v>1</v>
      </c>
      <c r="BF12" s="48" t="b">
        <f>Q12=[2]员工报账!Q12</f>
        <v>1</v>
      </c>
      <c r="BG12" s="48" t="b">
        <f>R12=[2]员工报账!R12</f>
        <v>1</v>
      </c>
      <c r="BH12" s="48" t="b">
        <f>S12=[2]员工报账!S12</f>
        <v>1</v>
      </c>
      <c r="BI12" s="48" t="b">
        <f>T12=[2]员工报账!T12</f>
        <v>1</v>
      </c>
      <c r="BJ12" s="48" t="b">
        <f>U12=[2]员工报账!U12</f>
        <v>1</v>
      </c>
      <c r="BK12" s="48" t="b">
        <f>V12=[2]员工报账!V12</f>
        <v>1</v>
      </c>
      <c r="BL12" s="48" t="b">
        <f>W12=[2]员工报账!W12</f>
        <v>1</v>
      </c>
      <c r="BM12" s="48" t="b">
        <f>X12=[2]员工报账!X12</f>
        <v>1</v>
      </c>
      <c r="BN12" s="48" t="b">
        <f>Y12=[2]员工报账!Y12</f>
        <v>1</v>
      </c>
      <c r="BO12" s="48" t="b">
        <f>Z12=[2]员工报账!Z12</f>
        <v>1</v>
      </c>
      <c r="BP12" s="48" t="b">
        <f>AA12=[2]员工报账!AA12</f>
        <v>1</v>
      </c>
      <c r="BQ12" s="48" t="b">
        <f>AB12=[2]员工报账!AB12</f>
        <v>1</v>
      </c>
      <c r="BR12" s="48" t="b">
        <f>AC12=[2]员工报账!AC12</f>
        <v>1</v>
      </c>
      <c r="BS12" s="48" t="b">
        <f>AD12=[2]员工报账!AD12</f>
        <v>1</v>
      </c>
      <c r="BT12" s="48" t="b">
        <f>AE12=[2]员工报账!AE12</f>
        <v>1</v>
      </c>
      <c r="BU12" s="48" t="b">
        <f>AF12=[2]员工报账!AF12</f>
        <v>1</v>
      </c>
      <c r="BV12" s="48" t="b">
        <f>AG12=[2]员工报账!AG12</f>
        <v>1</v>
      </c>
      <c r="BW12" s="48" t="b">
        <f>AH12=[2]员工报账!AH12</f>
        <v>1</v>
      </c>
      <c r="BX12" s="48" t="b">
        <f>AI12=[2]员工报账!AI12</f>
        <v>1</v>
      </c>
      <c r="BY12" s="48" t="b">
        <f>AJ12=[2]员工报账!AJ12</f>
        <v>1</v>
      </c>
      <c r="BZ12" s="48" t="b">
        <f>AK12=[2]员工报账!AK12</f>
        <v>1</v>
      </c>
    </row>
    <row r="13" s="48" customFormat="1" ht="66" spans="1:78">
      <c r="A13" s="62"/>
      <c r="B13" s="62"/>
      <c r="C13" s="57" t="s">
        <v>498</v>
      </c>
      <c r="D13" s="57" t="s">
        <v>518</v>
      </c>
      <c r="E13" s="58" t="s">
        <v>519</v>
      </c>
      <c r="F13" s="58"/>
      <c r="G13" s="57" t="s">
        <v>520</v>
      </c>
      <c r="H13" s="58" t="s">
        <v>521</v>
      </c>
      <c r="I13" s="35" t="s">
        <v>522</v>
      </c>
      <c r="J13" s="42" t="s">
        <v>523</v>
      </c>
      <c r="K13" s="35"/>
      <c r="L13" s="35"/>
      <c r="M13" s="35"/>
      <c r="N13" s="35"/>
      <c r="O13" s="35" t="s">
        <v>36</v>
      </c>
      <c r="P13" s="35"/>
      <c r="Q13" s="35"/>
      <c r="R13" s="35"/>
      <c r="S13" s="35"/>
      <c r="T13" s="35" t="s">
        <v>497</v>
      </c>
      <c r="U13" s="35" t="s">
        <v>464</v>
      </c>
      <c r="V13" s="42" t="s">
        <v>524</v>
      </c>
      <c r="W13" s="41" t="s">
        <v>525</v>
      </c>
      <c r="X13" s="43" t="s">
        <v>467</v>
      </c>
      <c r="Y13" s="43" t="s">
        <v>468</v>
      </c>
      <c r="Z13" s="43"/>
      <c r="AA13" s="43" t="s">
        <v>469</v>
      </c>
      <c r="AB13" s="43" t="s">
        <v>470</v>
      </c>
      <c r="AC13" s="43"/>
      <c r="AD13" s="41" t="s">
        <v>526</v>
      </c>
      <c r="AE13" s="43" t="s">
        <v>472</v>
      </c>
      <c r="AF13" s="43" t="s">
        <v>470</v>
      </c>
      <c r="AG13" s="43"/>
      <c r="AH13" s="43" t="s">
        <v>473</v>
      </c>
      <c r="AI13" s="43" t="s">
        <v>473</v>
      </c>
      <c r="AJ13" s="41" t="s">
        <v>508</v>
      </c>
      <c r="AK13" s="35" t="s">
        <v>475</v>
      </c>
      <c r="AL13" s="42" t="s">
        <v>476</v>
      </c>
      <c r="AM13" s="61"/>
      <c r="AN13" s="42"/>
      <c r="AO13" s="97"/>
      <c r="AP13" s="48" t="b">
        <f>A13=[2]员工报账!A13</f>
        <v>1</v>
      </c>
      <c r="AQ13" s="48" t="b">
        <f>B13=[2]员工报账!B13</f>
        <v>1</v>
      </c>
      <c r="AR13" s="48" t="b">
        <f>C13=[2]员工报账!C13</f>
        <v>1</v>
      </c>
      <c r="AS13" s="48" t="b">
        <f>D13=[2]员工报账!D13</f>
        <v>1</v>
      </c>
      <c r="AT13" s="48" t="b">
        <f>E13=[2]员工报账!E13</f>
        <v>1</v>
      </c>
      <c r="AU13" s="48" t="b">
        <f>F13=[2]员工报账!F13</f>
        <v>1</v>
      </c>
      <c r="AV13" s="48" t="b">
        <f>G13=[2]员工报账!G13</f>
        <v>1</v>
      </c>
      <c r="AW13" s="48" t="b">
        <f>H13=[2]员工报账!H13</f>
        <v>1</v>
      </c>
      <c r="AX13" s="48" t="b">
        <f>I13=[2]员工报账!I13</f>
        <v>1</v>
      </c>
      <c r="AY13" s="48" t="b">
        <f>J13=[2]员工报账!J13</f>
        <v>1</v>
      </c>
      <c r="AZ13" s="48" t="b">
        <f>K13=[2]员工报账!K13</f>
        <v>1</v>
      </c>
      <c r="BA13" s="48" t="b">
        <f>L13=[2]员工报账!L13</f>
        <v>1</v>
      </c>
      <c r="BB13" s="48" t="b">
        <f>M13=[2]员工报账!M13</f>
        <v>1</v>
      </c>
      <c r="BC13" s="48" t="b">
        <f>N13=[2]员工报账!N13</f>
        <v>1</v>
      </c>
      <c r="BD13" s="48" t="b">
        <f>O13=[2]员工报账!O13</f>
        <v>1</v>
      </c>
      <c r="BE13" s="48" t="b">
        <f>P13=[2]员工报账!P13</f>
        <v>1</v>
      </c>
      <c r="BF13" s="48" t="b">
        <f>Q13=[2]员工报账!Q13</f>
        <v>1</v>
      </c>
      <c r="BG13" s="48" t="b">
        <f>R13=[2]员工报账!R13</f>
        <v>1</v>
      </c>
      <c r="BH13" s="48" t="b">
        <f>S13=[2]员工报账!S13</f>
        <v>1</v>
      </c>
      <c r="BI13" s="48" t="b">
        <f>T13=[2]员工报账!T13</f>
        <v>1</v>
      </c>
      <c r="BJ13" s="48" t="b">
        <f>U13=[2]员工报账!U13</f>
        <v>1</v>
      </c>
      <c r="BK13" s="48" t="b">
        <f>V13=[2]员工报账!V13</f>
        <v>1</v>
      </c>
      <c r="BL13" s="48" t="b">
        <f>W13=[2]员工报账!W13</f>
        <v>1</v>
      </c>
      <c r="BM13" s="48" t="b">
        <f>X13=[2]员工报账!X13</f>
        <v>1</v>
      </c>
      <c r="BN13" s="48" t="b">
        <f>Y13=[2]员工报账!Y13</f>
        <v>1</v>
      </c>
      <c r="BO13" s="48" t="b">
        <f>Z13=[2]员工报账!Z13</f>
        <v>1</v>
      </c>
      <c r="BP13" s="48" t="b">
        <f>AA13=[2]员工报账!AA13</f>
        <v>1</v>
      </c>
      <c r="BQ13" s="48" t="b">
        <f>AB13=[2]员工报账!AB13</f>
        <v>1</v>
      </c>
      <c r="BR13" s="48" t="b">
        <f>AC13=[2]员工报账!AC13</f>
        <v>1</v>
      </c>
      <c r="BS13" s="48" t="b">
        <f>AD13=[2]员工报账!AD13</f>
        <v>1</v>
      </c>
      <c r="BT13" s="48" t="b">
        <f>AE13=[2]员工报账!AE13</f>
        <v>1</v>
      </c>
      <c r="BU13" s="48" t="b">
        <f>AF13=[2]员工报账!AF13</f>
        <v>1</v>
      </c>
      <c r="BV13" s="48" t="b">
        <f>AG13=[2]员工报账!AG13</f>
        <v>1</v>
      </c>
      <c r="BW13" s="48" t="b">
        <f>AH13=[2]员工报账!AH13</f>
        <v>1</v>
      </c>
      <c r="BX13" s="48" t="b">
        <f>AI13=[2]员工报账!AI13</f>
        <v>1</v>
      </c>
      <c r="BY13" s="48" t="b">
        <f>AJ13=[2]员工报账!AJ13</f>
        <v>1</v>
      </c>
      <c r="BZ13" s="48" t="b">
        <f>AK13=[2]员工报账!AK13</f>
        <v>1</v>
      </c>
    </row>
    <row r="14" s="48" customFormat="1" ht="66" spans="1:78">
      <c r="A14" s="62"/>
      <c r="B14" s="62"/>
      <c r="C14" s="63"/>
      <c r="D14" s="63"/>
      <c r="E14" s="64"/>
      <c r="F14" s="64"/>
      <c r="G14" s="63"/>
      <c r="H14" s="64"/>
      <c r="I14" s="35" t="s">
        <v>527</v>
      </c>
      <c r="J14" s="42" t="s">
        <v>528</v>
      </c>
      <c r="K14" s="35"/>
      <c r="L14" s="35"/>
      <c r="M14" s="35"/>
      <c r="N14" s="35"/>
      <c r="O14" s="35" t="s">
        <v>36</v>
      </c>
      <c r="P14" s="35"/>
      <c r="Q14" s="35" t="s">
        <v>36</v>
      </c>
      <c r="R14" s="35"/>
      <c r="S14" s="35" t="s">
        <v>36</v>
      </c>
      <c r="T14" s="35" t="s">
        <v>497</v>
      </c>
      <c r="U14" s="35" t="s">
        <v>464</v>
      </c>
      <c r="V14" s="42" t="s">
        <v>529</v>
      </c>
      <c r="W14" s="41" t="s">
        <v>525</v>
      </c>
      <c r="X14" s="43" t="s">
        <v>467</v>
      </c>
      <c r="Y14" s="43" t="s">
        <v>468</v>
      </c>
      <c r="Z14" s="43"/>
      <c r="AA14" s="43" t="s">
        <v>469</v>
      </c>
      <c r="AB14" s="43" t="s">
        <v>470</v>
      </c>
      <c r="AC14" s="43"/>
      <c r="AD14" s="41" t="s">
        <v>526</v>
      </c>
      <c r="AE14" s="43" t="s">
        <v>472</v>
      </c>
      <c r="AF14" s="43" t="s">
        <v>470</v>
      </c>
      <c r="AG14" s="43"/>
      <c r="AH14" s="43" t="s">
        <v>473</v>
      </c>
      <c r="AI14" s="43" t="s">
        <v>473</v>
      </c>
      <c r="AJ14" s="41" t="s">
        <v>508</v>
      </c>
      <c r="AK14" s="35" t="s">
        <v>475</v>
      </c>
      <c r="AL14" s="42" t="s">
        <v>476</v>
      </c>
      <c r="AM14" s="61"/>
      <c r="AN14" s="42"/>
      <c r="AO14" s="97"/>
      <c r="AP14" s="48" t="b">
        <f>A14=[2]员工报账!A14</f>
        <v>1</v>
      </c>
      <c r="AQ14" s="48" t="b">
        <f>B14=[2]员工报账!B14</f>
        <v>1</v>
      </c>
      <c r="AR14" s="48" t="b">
        <f>C14=[2]员工报账!C14</f>
        <v>1</v>
      </c>
      <c r="AS14" s="48" t="b">
        <f>D14=[2]员工报账!D14</f>
        <v>1</v>
      </c>
      <c r="AT14" s="48" t="b">
        <f>E14=[2]员工报账!E14</f>
        <v>1</v>
      </c>
      <c r="AU14" s="48" t="b">
        <f>F14=[2]员工报账!F14</f>
        <v>1</v>
      </c>
      <c r="AV14" s="48" t="b">
        <f>G14=[2]员工报账!G14</f>
        <v>1</v>
      </c>
      <c r="AW14" s="48" t="b">
        <f>H14=[2]员工报账!H14</f>
        <v>1</v>
      </c>
      <c r="AX14" s="48" t="b">
        <f>I14=[2]员工报账!I14</f>
        <v>1</v>
      </c>
      <c r="AY14" s="48" t="b">
        <f>J14=[2]员工报账!J14</f>
        <v>1</v>
      </c>
      <c r="AZ14" s="48" t="b">
        <f>K14=[2]员工报账!K14</f>
        <v>1</v>
      </c>
      <c r="BA14" s="48" t="b">
        <f>L14=[2]员工报账!L14</f>
        <v>1</v>
      </c>
      <c r="BB14" s="48" t="b">
        <f>M14=[2]员工报账!M14</f>
        <v>1</v>
      </c>
      <c r="BC14" s="48" t="b">
        <f>N14=[2]员工报账!N14</f>
        <v>1</v>
      </c>
      <c r="BD14" s="48" t="b">
        <f>O14=[2]员工报账!O14</f>
        <v>1</v>
      </c>
      <c r="BE14" s="48" t="b">
        <f>P14=[2]员工报账!P14</f>
        <v>1</v>
      </c>
      <c r="BF14" s="48" t="b">
        <f>Q14=[2]员工报账!Q14</f>
        <v>1</v>
      </c>
      <c r="BG14" s="48" t="b">
        <f>R14=[2]员工报账!R14</f>
        <v>1</v>
      </c>
      <c r="BH14" s="48" t="b">
        <f>S14=[2]员工报账!S14</f>
        <v>1</v>
      </c>
      <c r="BI14" s="48" t="b">
        <f>T14=[2]员工报账!T14</f>
        <v>1</v>
      </c>
      <c r="BJ14" s="48" t="b">
        <f>U14=[2]员工报账!U14</f>
        <v>1</v>
      </c>
      <c r="BK14" s="48" t="b">
        <f>V14=[2]员工报账!V14</f>
        <v>1</v>
      </c>
      <c r="BL14" s="48" t="b">
        <f>W14=[2]员工报账!W14</f>
        <v>1</v>
      </c>
      <c r="BM14" s="48" t="b">
        <f>X14=[2]员工报账!X14</f>
        <v>1</v>
      </c>
      <c r="BN14" s="48" t="b">
        <f>Y14=[2]员工报账!Y14</f>
        <v>1</v>
      </c>
      <c r="BO14" s="48" t="b">
        <f>Z14=[2]员工报账!Z14</f>
        <v>1</v>
      </c>
      <c r="BP14" s="48" t="b">
        <f>AA14=[2]员工报账!AA14</f>
        <v>1</v>
      </c>
      <c r="BQ14" s="48" t="b">
        <f>AB14=[2]员工报账!AB14</f>
        <v>1</v>
      </c>
      <c r="BR14" s="48" t="b">
        <f>AC14=[2]员工报账!AC14</f>
        <v>1</v>
      </c>
      <c r="BS14" s="48" t="b">
        <f>AD14=[2]员工报账!AD14</f>
        <v>1</v>
      </c>
      <c r="BT14" s="48" t="b">
        <f>AE14=[2]员工报账!AE14</f>
        <v>1</v>
      </c>
      <c r="BU14" s="48" t="b">
        <f>AF14=[2]员工报账!AF14</f>
        <v>1</v>
      </c>
      <c r="BV14" s="48" t="b">
        <f>AG14=[2]员工报账!AG14</f>
        <v>1</v>
      </c>
      <c r="BW14" s="48" t="b">
        <f>AH14=[2]员工报账!AH14</f>
        <v>1</v>
      </c>
      <c r="BX14" s="48" t="b">
        <f>AI14=[2]员工报账!AI14</f>
        <v>1</v>
      </c>
      <c r="BY14" s="48" t="b">
        <f>AJ14=[2]员工报账!AJ14</f>
        <v>1</v>
      </c>
      <c r="BZ14" s="48" t="b">
        <f>AK14=[2]员工报账!AK14</f>
        <v>1</v>
      </c>
    </row>
    <row r="15" s="48" customFormat="1" ht="66" spans="1:78">
      <c r="A15" s="62"/>
      <c r="B15" s="62"/>
      <c r="C15" s="38"/>
      <c r="D15" s="38"/>
      <c r="E15" s="66"/>
      <c r="F15" s="66"/>
      <c r="G15" s="38"/>
      <c r="H15" s="66"/>
      <c r="I15" s="35" t="s">
        <v>530</v>
      </c>
      <c r="J15" s="42" t="s">
        <v>531</v>
      </c>
      <c r="K15" s="35"/>
      <c r="L15" s="35"/>
      <c r="M15" s="35"/>
      <c r="N15" s="35"/>
      <c r="O15" s="35"/>
      <c r="P15" s="35"/>
      <c r="Q15" s="35"/>
      <c r="R15" s="35" t="s">
        <v>36</v>
      </c>
      <c r="S15" s="35" t="s">
        <v>36</v>
      </c>
      <c r="T15" s="35" t="s">
        <v>516</v>
      </c>
      <c r="U15" s="42"/>
      <c r="V15" s="42" t="s">
        <v>532</v>
      </c>
      <c r="W15" s="41" t="s">
        <v>525</v>
      </c>
      <c r="X15" s="43" t="s">
        <v>467</v>
      </c>
      <c r="Y15" s="43" t="s">
        <v>468</v>
      </c>
      <c r="Z15" s="43"/>
      <c r="AA15" s="43" t="s">
        <v>469</v>
      </c>
      <c r="AB15" s="43" t="s">
        <v>470</v>
      </c>
      <c r="AC15" s="43"/>
      <c r="AD15" s="41" t="s">
        <v>526</v>
      </c>
      <c r="AE15" s="43" t="s">
        <v>472</v>
      </c>
      <c r="AF15" s="43" t="s">
        <v>470</v>
      </c>
      <c r="AG15" s="43"/>
      <c r="AH15" s="43" t="s">
        <v>473</v>
      </c>
      <c r="AI15" s="43" t="s">
        <v>473</v>
      </c>
      <c r="AJ15" s="41" t="s">
        <v>508</v>
      </c>
      <c r="AK15" s="35" t="s">
        <v>475</v>
      </c>
      <c r="AL15" s="42" t="s">
        <v>476</v>
      </c>
      <c r="AM15" s="61"/>
      <c r="AN15" s="42"/>
      <c r="AO15" s="97"/>
      <c r="AP15" s="48" t="b">
        <f>A15=[2]员工报账!A15</f>
        <v>1</v>
      </c>
      <c r="AQ15" s="48" t="b">
        <f>B15=[2]员工报账!B15</f>
        <v>1</v>
      </c>
      <c r="AR15" s="48" t="b">
        <f>C15=[2]员工报账!C15</f>
        <v>1</v>
      </c>
      <c r="AS15" s="48" t="b">
        <f>D15=[2]员工报账!D15</f>
        <v>1</v>
      </c>
      <c r="AT15" s="48" t="b">
        <f>E15=[2]员工报账!E15</f>
        <v>1</v>
      </c>
      <c r="AU15" s="48" t="b">
        <f>F15=[2]员工报账!F15</f>
        <v>1</v>
      </c>
      <c r="AV15" s="48" t="b">
        <f>G15=[2]员工报账!G15</f>
        <v>1</v>
      </c>
      <c r="AW15" s="48" t="b">
        <f>H15=[2]员工报账!H15</f>
        <v>1</v>
      </c>
      <c r="AX15" s="48" t="b">
        <f>I15=[2]员工报账!I15</f>
        <v>1</v>
      </c>
      <c r="AY15" s="48" t="b">
        <f>J15=[2]员工报账!J15</f>
        <v>1</v>
      </c>
      <c r="AZ15" s="48" t="b">
        <f>K15=[2]员工报账!K15</f>
        <v>1</v>
      </c>
      <c r="BA15" s="48" t="b">
        <f>L15=[2]员工报账!L15</f>
        <v>1</v>
      </c>
      <c r="BB15" s="48" t="b">
        <f>M15=[2]员工报账!M15</f>
        <v>1</v>
      </c>
      <c r="BC15" s="48" t="b">
        <f>N15=[2]员工报账!N15</f>
        <v>1</v>
      </c>
      <c r="BD15" s="48" t="b">
        <f>O15=[2]员工报账!O15</f>
        <v>1</v>
      </c>
      <c r="BE15" s="48" t="b">
        <f>P15=[2]员工报账!P15</f>
        <v>1</v>
      </c>
      <c r="BF15" s="48" t="b">
        <f>Q15=[2]员工报账!Q15</f>
        <v>1</v>
      </c>
      <c r="BG15" s="48" t="b">
        <f>R15=[2]员工报账!R15</f>
        <v>1</v>
      </c>
      <c r="BH15" s="48" t="b">
        <f>S15=[2]员工报账!S15</f>
        <v>1</v>
      </c>
      <c r="BI15" s="48" t="b">
        <f>T15=[2]员工报账!T15</f>
        <v>1</v>
      </c>
      <c r="BJ15" s="48" t="b">
        <f>U15=[2]员工报账!U15</f>
        <v>1</v>
      </c>
      <c r="BK15" s="48" t="b">
        <f>V15=[2]员工报账!V15</f>
        <v>1</v>
      </c>
      <c r="BL15" s="48" t="b">
        <f>W15=[2]员工报账!W15</f>
        <v>1</v>
      </c>
      <c r="BM15" s="48" t="b">
        <f>X15=[2]员工报账!X15</f>
        <v>1</v>
      </c>
      <c r="BN15" s="48" t="b">
        <f>Y15=[2]员工报账!Y15</f>
        <v>1</v>
      </c>
      <c r="BO15" s="48" t="b">
        <f>Z15=[2]员工报账!Z15</f>
        <v>1</v>
      </c>
      <c r="BP15" s="48" t="b">
        <f>AA15=[2]员工报账!AA15</f>
        <v>1</v>
      </c>
      <c r="BQ15" s="48" t="b">
        <f>AB15=[2]员工报账!AB15</f>
        <v>1</v>
      </c>
      <c r="BR15" s="48" t="b">
        <f>AC15=[2]员工报账!AC15</f>
        <v>1</v>
      </c>
      <c r="BS15" s="48" t="b">
        <f>AD15=[2]员工报账!AD15</f>
        <v>1</v>
      </c>
      <c r="BT15" s="48" t="b">
        <f>AE15=[2]员工报账!AE15</f>
        <v>1</v>
      </c>
      <c r="BU15" s="48" t="b">
        <f>AF15=[2]员工报账!AF15</f>
        <v>1</v>
      </c>
      <c r="BV15" s="48" t="b">
        <f>AG15=[2]员工报账!AG15</f>
        <v>1</v>
      </c>
      <c r="BW15" s="48" t="b">
        <f>AH15=[2]员工报账!AH15</f>
        <v>1</v>
      </c>
      <c r="BX15" s="48" t="b">
        <f>AI15=[2]员工报账!AI15</f>
        <v>1</v>
      </c>
      <c r="BY15" s="48" t="b">
        <f>AJ15=[2]员工报账!AJ15</f>
        <v>1</v>
      </c>
      <c r="BZ15" s="48" t="b">
        <f>AK15=[2]员工报账!AK15</f>
        <v>1</v>
      </c>
    </row>
    <row r="16" s="48" customFormat="1" ht="92.4" spans="1:78">
      <c r="A16" s="62"/>
      <c r="B16" s="62"/>
      <c r="C16" s="57" t="s">
        <v>455</v>
      </c>
      <c r="D16" s="57" t="s">
        <v>518</v>
      </c>
      <c r="E16" s="58" t="s">
        <v>533</v>
      </c>
      <c r="F16" s="59" t="s">
        <v>500</v>
      </c>
      <c r="G16" s="57" t="s">
        <v>534</v>
      </c>
      <c r="H16" s="58" t="s">
        <v>535</v>
      </c>
      <c r="I16" s="35" t="s">
        <v>536</v>
      </c>
      <c r="J16" s="42" t="s">
        <v>537</v>
      </c>
      <c r="K16" s="35"/>
      <c r="L16" s="35" t="s">
        <v>36</v>
      </c>
      <c r="M16" s="35"/>
      <c r="N16" s="35"/>
      <c r="O16" s="35" t="s">
        <v>36</v>
      </c>
      <c r="P16" s="35"/>
      <c r="Q16" s="35"/>
      <c r="R16" s="35"/>
      <c r="S16" s="35"/>
      <c r="T16" s="43" t="s">
        <v>463</v>
      </c>
      <c r="U16" s="35" t="s">
        <v>464</v>
      </c>
      <c r="V16" s="42" t="s">
        <v>538</v>
      </c>
      <c r="W16" s="41" t="s">
        <v>539</v>
      </c>
      <c r="X16" s="43" t="s">
        <v>467</v>
      </c>
      <c r="Y16" s="43" t="s">
        <v>468</v>
      </c>
      <c r="Z16" s="43"/>
      <c r="AA16" s="43" t="s">
        <v>469</v>
      </c>
      <c r="AB16" s="43" t="s">
        <v>470</v>
      </c>
      <c r="AC16" s="43"/>
      <c r="AD16" s="41" t="s">
        <v>526</v>
      </c>
      <c r="AE16" s="43" t="s">
        <v>472</v>
      </c>
      <c r="AF16" s="43" t="s">
        <v>470</v>
      </c>
      <c r="AG16" s="43"/>
      <c r="AH16" s="43" t="s">
        <v>473</v>
      </c>
      <c r="AI16" s="43" t="s">
        <v>473</v>
      </c>
      <c r="AJ16" s="41" t="s">
        <v>508</v>
      </c>
      <c r="AK16" s="35" t="s">
        <v>475</v>
      </c>
      <c r="AL16" s="42" t="s">
        <v>476</v>
      </c>
      <c r="AM16" s="61"/>
      <c r="AN16" s="42" t="s">
        <v>509</v>
      </c>
      <c r="AO16" s="97"/>
      <c r="AP16" s="48" t="b">
        <f>A16=[2]员工报账!A16</f>
        <v>1</v>
      </c>
      <c r="AQ16" s="48" t="b">
        <f>B16=[2]员工报账!B16</f>
        <v>1</v>
      </c>
      <c r="AR16" s="48" t="b">
        <f>C16=[2]员工报账!C16</f>
        <v>1</v>
      </c>
      <c r="AS16" s="48" t="b">
        <f>D16=[2]员工报账!D16</f>
        <v>1</v>
      </c>
      <c r="AT16" s="48" t="b">
        <f>E16=[2]员工报账!E16</f>
        <v>1</v>
      </c>
      <c r="AU16" s="48" t="b">
        <f>F16=[2]员工报账!F16</f>
        <v>1</v>
      </c>
      <c r="AV16" s="48" t="b">
        <f>G16=[2]员工报账!G16</f>
        <v>1</v>
      </c>
      <c r="AW16" s="48" t="b">
        <f>H16=[2]员工报账!H16</f>
        <v>1</v>
      </c>
      <c r="AX16" s="48" t="b">
        <f>I16=[2]员工报账!I16</f>
        <v>1</v>
      </c>
      <c r="AY16" s="48" t="b">
        <f>J16=[2]员工报账!J16</f>
        <v>1</v>
      </c>
      <c r="AZ16" s="48" t="b">
        <f>K16=[2]员工报账!K16</f>
        <v>1</v>
      </c>
      <c r="BA16" s="48" t="b">
        <f>L16=[2]员工报账!L16</f>
        <v>1</v>
      </c>
      <c r="BB16" s="48" t="b">
        <f>M16=[2]员工报账!M16</f>
        <v>1</v>
      </c>
      <c r="BC16" s="48" t="b">
        <f>N16=[2]员工报账!N16</f>
        <v>1</v>
      </c>
      <c r="BD16" s="48" t="b">
        <f>O16=[2]员工报账!O16</f>
        <v>1</v>
      </c>
      <c r="BE16" s="48" t="b">
        <f>P16=[2]员工报账!P16</f>
        <v>1</v>
      </c>
      <c r="BF16" s="48" t="b">
        <f>Q16=[2]员工报账!Q16</f>
        <v>1</v>
      </c>
      <c r="BG16" s="48" t="b">
        <f>R16=[2]员工报账!R16</f>
        <v>1</v>
      </c>
      <c r="BH16" s="48" t="b">
        <f>S16=[2]员工报账!S16</f>
        <v>1</v>
      </c>
      <c r="BI16" s="48" t="b">
        <f>T16=[2]员工报账!T16</f>
        <v>1</v>
      </c>
      <c r="BJ16" s="48" t="b">
        <f>U16=[2]员工报账!U16</f>
        <v>1</v>
      </c>
      <c r="BK16" s="48" t="b">
        <f>V16=[2]员工报账!V16</f>
        <v>1</v>
      </c>
      <c r="BL16" s="48" t="b">
        <f>W16=[2]员工报账!W16</f>
        <v>1</v>
      </c>
      <c r="BM16" s="48" t="b">
        <f>X16=[2]员工报账!X16</f>
        <v>1</v>
      </c>
      <c r="BN16" s="48" t="b">
        <f>Y16=[2]员工报账!Y16</f>
        <v>1</v>
      </c>
      <c r="BO16" s="48" t="b">
        <f>Z16=[2]员工报账!Z16</f>
        <v>1</v>
      </c>
      <c r="BP16" s="48" t="b">
        <f>AA16=[2]员工报账!AA16</f>
        <v>1</v>
      </c>
      <c r="BQ16" s="48" t="b">
        <f>AB16=[2]员工报账!AB16</f>
        <v>1</v>
      </c>
      <c r="BR16" s="48" t="b">
        <f>AC16=[2]员工报账!AC16</f>
        <v>1</v>
      </c>
      <c r="BS16" s="48" t="b">
        <f>AD16=[2]员工报账!AD16</f>
        <v>1</v>
      </c>
      <c r="BT16" s="48" t="b">
        <f>AE16=[2]员工报账!AE16</f>
        <v>1</v>
      </c>
      <c r="BU16" s="48" t="b">
        <f>AF16=[2]员工报账!AF16</f>
        <v>1</v>
      </c>
      <c r="BV16" s="48" t="b">
        <f>AG16=[2]员工报账!AG16</f>
        <v>1</v>
      </c>
      <c r="BW16" s="48" t="b">
        <f>AH16=[2]员工报账!AH16</f>
        <v>1</v>
      </c>
      <c r="BX16" s="48" t="b">
        <f>AI16=[2]员工报账!AI16</f>
        <v>1</v>
      </c>
      <c r="BY16" s="48" t="b">
        <f>AJ16=[2]员工报账!AJ16</f>
        <v>1</v>
      </c>
      <c r="BZ16" s="48" t="b">
        <f>AK16=[2]员工报账!AK16</f>
        <v>1</v>
      </c>
    </row>
    <row r="17" s="48" customFormat="1" ht="79.2" spans="1:78">
      <c r="A17" s="62"/>
      <c r="B17" s="62"/>
      <c r="C17" s="63"/>
      <c r="D17" s="63"/>
      <c r="E17" s="64"/>
      <c r="F17" s="69"/>
      <c r="G17" s="63"/>
      <c r="H17" s="64"/>
      <c r="I17" s="35" t="s">
        <v>540</v>
      </c>
      <c r="J17" s="42" t="s">
        <v>541</v>
      </c>
      <c r="K17" s="35"/>
      <c r="L17" s="35"/>
      <c r="M17" s="35"/>
      <c r="N17" s="35"/>
      <c r="O17" s="35" t="s">
        <v>36</v>
      </c>
      <c r="P17" s="35"/>
      <c r="Q17" s="35"/>
      <c r="R17" s="35"/>
      <c r="S17" s="35"/>
      <c r="T17" s="43" t="s">
        <v>463</v>
      </c>
      <c r="U17" s="35" t="s">
        <v>464</v>
      </c>
      <c r="V17" s="42" t="s">
        <v>542</v>
      </c>
      <c r="W17" s="41" t="s">
        <v>525</v>
      </c>
      <c r="X17" s="43" t="s">
        <v>467</v>
      </c>
      <c r="Y17" s="43" t="s">
        <v>468</v>
      </c>
      <c r="Z17" s="43"/>
      <c r="AA17" s="43" t="s">
        <v>469</v>
      </c>
      <c r="AB17" s="43" t="s">
        <v>470</v>
      </c>
      <c r="AC17" s="43"/>
      <c r="AD17" s="41" t="s">
        <v>526</v>
      </c>
      <c r="AE17" s="43" t="s">
        <v>472</v>
      </c>
      <c r="AF17" s="43" t="s">
        <v>470</v>
      </c>
      <c r="AG17" s="43"/>
      <c r="AH17" s="43" t="s">
        <v>473</v>
      </c>
      <c r="AI17" s="43" t="s">
        <v>473</v>
      </c>
      <c r="AJ17" s="41" t="s">
        <v>508</v>
      </c>
      <c r="AK17" s="35" t="s">
        <v>475</v>
      </c>
      <c r="AL17" s="42" t="s">
        <v>476</v>
      </c>
      <c r="AM17" s="61"/>
      <c r="AN17" s="42"/>
      <c r="AO17" s="97"/>
      <c r="AP17" s="48" t="b">
        <f>A17=[2]员工报账!A17</f>
        <v>1</v>
      </c>
      <c r="AQ17" s="48" t="b">
        <f>B17=[2]员工报账!B17</f>
        <v>1</v>
      </c>
      <c r="AR17" s="48" t="b">
        <f>C17=[2]员工报账!C17</f>
        <v>1</v>
      </c>
      <c r="AS17" s="48" t="b">
        <f>D17=[2]员工报账!D17</f>
        <v>1</v>
      </c>
      <c r="AT17" s="48" t="b">
        <f>E17=[2]员工报账!E17</f>
        <v>1</v>
      </c>
      <c r="AU17" s="48" t="b">
        <f>F17=[2]员工报账!F17</f>
        <v>1</v>
      </c>
      <c r="AV17" s="48" t="b">
        <f>G17=[2]员工报账!G17</f>
        <v>1</v>
      </c>
      <c r="AW17" s="48" t="b">
        <f>H17=[2]员工报账!H17</f>
        <v>1</v>
      </c>
      <c r="AX17" s="48" t="b">
        <f>I17=[2]员工报账!I17</f>
        <v>1</v>
      </c>
      <c r="AY17" s="48" t="b">
        <f>J17=[2]员工报账!J17</f>
        <v>1</v>
      </c>
      <c r="AZ17" s="48" t="b">
        <f>K17=[2]员工报账!K17</f>
        <v>1</v>
      </c>
      <c r="BA17" s="48" t="b">
        <f>L17=[2]员工报账!L17</f>
        <v>1</v>
      </c>
      <c r="BB17" s="48" t="b">
        <f>M17=[2]员工报账!M17</f>
        <v>1</v>
      </c>
      <c r="BC17" s="48" t="b">
        <f>N17=[2]员工报账!N17</f>
        <v>1</v>
      </c>
      <c r="BD17" s="48" t="b">
        <f>O17=[2]员工报账!O17</f>
        <v>1</v>
      </c>
      <c r="BE17" s="48" t="b">
        <f>P17=[2]员工报账!P17</f>
        <v>1</v>
      </c>
      <c r="BF17" s="48" t="b">
        <f>Q17=[2]员工报账!Q17</f>
        <v>1</v>
      </c>
      <c r="BG17" s="48" t="b">
        <f>R17=[2]员工报账!R17</f>
        <v>1</v>
      </c>
      <c r="BH17" s="48" t="b">
        <f>S17=[2]员工报账!S17</f>
        <v>1</v>
      </c>
      <c r="BI17" s="48" t="b">
        <f>T17=[2]员工报账!T17</f>
        <v>1</v>
      </c>
      <c r="BJ17" s="48" t="b">
        <f>U17=[2]员工报账!U17</f>
        <v>1</v>
      </c>
      <c r="BK17" s="48" t="b">
        <f>V17=[2]员工报账!V17</f>
        <v>1</v>
      </c>
      <c r="BL17" s="48" t="b">
        <f>W17=[2]员工报账!W17</f>
        <v>1</v>
      </c>
      <c r="BM17" s="48" t="b">
        <f>X17=[2]员工报账!X17</f>
        <v>1</v>
      </c>
      <c r="BN17" s="48" t="b">
        <f>Y17=[2]员工报账!Y17</f>
        <v>1</v>
      </c>
      <c r="BO17" s="48" t="b">
        <f>Z17=[2]员工报账!Z17</f>
        <v>1</v>
      </c>
      <c r="BP17" s="48" t="b">
        <f>AA17=[2]员工报账!AA17</f>
        <v>1</v>
      </c>
      <c r="BQ17" s="48" t="b">
        <f>AB17=[2]员工报账!AB17</f>
        <v>1</v>
      </c>
      <c r="BR17" s="48" t="b">
        <f>AC17=[2]员工报账!AC17</f>
        <v>1</v>
      </c>
      <c r="BS17" s="48" t="b">
        <f>AD17=[2]员工报账!AD17</f>
        <v>1</v>
      </c>
      <c r="BT17" s="48" t="b">
        <f>AE17=[2]员工报账!AE17</f>
        <v>1</v>
      </c>
      <c r="BU17" s="48" t="b">
        <f>AF17=[2]员工报账!AF17</f>
        <v>1</v>
      </c>
      <c r="BV17" s="48" t="b">
        <f>AG17=[2]员工报账!AG17</f>
        <v>1</v>
      </c>
      <c r="BW17" s="48" t="b">
        <f>AH17=[2]员工报账!AH17</f>
        <v>1</v>
      </c>
      <c r="BX17" s="48" t="b">
        <f>AI17=[2]员工报账!AI17</f>
        <v>1</v>
      </c>
      <c r="BY17" s="48" t="b">
        <f>AJ17=[2]员工报账!AJ17</f>
        <v>1</v>
      </c>
      <c r="BZ17" s="48" t="b">
        <f>AK17=[2]员工报账!AK17</f>
        <v>1</v>
      </c>
    </row>
    <row r="18" s="48" customFormat="1" ht="92.4" spans="1:78">
      <c r="A18" s="67"/>
      <c r="B18" s="67"/>
      <c r="C18" s="38"/>
      <c r="D18" s="38"/>
      <c r="E18" s="66"/>
      <c r="F18" s="70"/>
      <c r="G18" s="38"/>
      <c r="H18" s="66"/>
      <c r="I18" s="35" t="s">
        <v>543</v>
      </c>
      <c r="J18" s="42" t="s">
        <v>544</v>
      </c>
      <c r="K18" s="35"/>
      <c r="L18" s="35"/>
      <c r="M18" s="35" t="s">
        <v>36</v>
      </c>
      <c r="N18" s="35"/>
      <c r="O18" s="35"/>
      <c r="P18" s="35"/>
      <c r="Q18" s="35"/>
      <c r="R18" s="35" t="s">
        <v>36</v>
      </c>
      <c r="S18" s="35"/>
      <c r="T18" s="43" t="s">
        <v>463</v>
      </c>
      <c r="U18" s="35" t="s">
        <v>464</v>
      </c>
      <c r="V18" s="42" t="s">
        <v>545</v>
      </c>
      <c r="W18" s="41" t="s">
        <v>525</v>
      </c>
      <c r="X18" s="43" t="s">
        <v>467</v>
      </c>
      <c r="Y18" s="43" t="s">
        <v>468</v>
      </c>
      <c r="Z18" s="43"/>
      <c r="AA18" s="43" t="s">
        <v>469</v>
      </c>
      <c r="AB18" s="43" t="s">
        <v>470</v>
      </c>
      <c r="AC18" s="43"/>
      <c r="AD18" s="41" t="s">
        <v>526</v>
      </c>
      <c r="AE18" s="43" t="s">
        <v>472</v>
      </c>
      <c r="AF18" s="43" t="s">
        <v>470</v>
      </c>
      <c r="AG18" s="43"/>
      <c r="AH18" s="43" t="s">
        <v>473</v>
      </c>
      <c r="AI18" s="43" t="s">
        <v>473</v>
      </c>
      <c r="AJ18" s="41" t="s">
        <v>508</v>
      </c>
      <c r="AK18" s="35" t="s">
        <v>475</v>
      </c>
      <c r="AL18" s="42" t="s">
        <v>476</v>
      </c>
      <c r="AM18" s="61"/>
      <c r="AN18" s="42"/>
      <c r="AO18" s="97"/>
      <c r="AP18" s="48" t="b">
        <f>A18=[2]员工报账!A18</f>
        <v>1</v>
      </c>
      <c r="AQ18" s="48" t="b">
        <f>B18=[2]员工报账!B18</f>
        <v>1</v>
      </c>
      <c r="AR18" s="48" t="b">
        <f>C18=[2]员工报账!C18</f>
        <v>1</v>
      </c>
      <c r="AS18" s="48" t="b">
        <f>D18=[2]员工报账!D18</f>
        <v>1</v>
      </c>
      <c r="AT18" s="48" t="b">
        <f>E18=[2]员工报账!E18</f>
        <v>1</v>
      </c>
      <c r="AU18" s="48" t="b">
        <f>F18=[2]员工报账!F18</f>
        <v>1</v>
      </c>
      <c r="AV18" s="48" t="b">
        <f>G18=[2]员工报账!G18</f>
        <v>1</v>
      </c>
      <c r="AW18" s="48" t="b">
        <f>H18=[2]员工报账!H18</f>
        <v>1</v>
      </c>
      <c r="AX18" s="48" t="b">
        <f>I18=[2]员工报账!I18</f>
        <v>1</v>
      </c>
      <c r="AY18" s="48" t="b">
        <f>J18=[2]员工报账!J18</f>
        <v>1</v>
      </c>
      <c r="AZ18" s="48" t="b">
        <f>K18=[2]员工报账!K18</f>
        <v>1</v>
      </c>
      <c r="BA18" s="48" t="b">
        <f>L18=[2]员工报账!L18</f>
        <v>1</v>
      </c>
      <c r="BB18" s="48" t="b">
        <f>M18=[2]员工报账!M18</f>
        <v>1</v>
      </c>
      <c r="BC18" s="48" t="b">
        <f>N18=[2]员工报账!N18</f>
        <v>1</v>
      </c>
      <c r="BD18" s="48" t="b">
        <f>O18=[2]员工报账!O18</f>
        <v>1</v>
      </c>
      <c r="BE18" s="48" t="b">
        <f>P18=[2]员工报账!P18</f>
        <v>1</v>
      </c>
      <c r="BF18" s="48" t="b">
        <f>Q18=[2]员工报账!Q18</f>
        <v>1</v>
      </c>
      <c r="BG18" s="48" t="b">
        <f>R18=[2]员工报账!R18</f>
        <v>1</v>
      </c>
      <c r="BH18" s="48" t="b">
        <f>S18=[2]员工报账!S18</f>
        <v>1</v>
      </c>
      <c r="BI18" s="48" t="b">
        <f>T18=[2]员工报账!T18</f>
        <v>1</v>
      </c>
      <c r="BJ18" s="48" t="b">
        <f>U18=[2]员工报账!U18</f>
        <v>1</v>
      </c>
      <c r="BK18" s="48" t="b">
        <f>V18=[2]员工报账!V18</f>
        <v>1</v>
      </c>
      <c r="BL18" s="48" t="b">
        <f>W18=[2]员工报账!W18</f>
        <v>1</v>
      </c>
      <c r="BM18" s="48" t="b">
        <f>X18=[2]员工报账!X18</f>
        <v>1</v>
      </c>
      <c r="BN18" s="48" t="b">
        <f>Y18=[2]员工报账!Y18</f>
        <v>1</v>
      </c>
      <c r="BO18" s="48" t="b">
        <f>Z18=[2]员工报账!Z18</f>
        <v>1</v>
      </c>
      <c r="BP18" s="48" t="b">
        <f>AA18=[2]员工报账!AA18</f>
        <v>1</v>
      </c>
      <c r="BQ18" s="48" t="b">
        <f>AB18=[2]员工报账!AB18</f>
        <v>1</v>
      </c>
      <c r="BR18" s="48" t="b">
        <f>AC18=[2]员工报账!AC18</f>
        <v>1</v>
      </c>
      <c r="BS18" s="48" t="b">
        <f>AD18=[2]员工报账!AD18</f>
        <v>1</v>
      </c>
      <c r="BT18" s="48" t="b">
        <f>AE18=[2]员工报账!AE18</f>
        <v>1</v>
      </c>
      <c r="BU18" s="48" t="b">
        <f>AF18=[2]员工报账!AF18</f>
        <v>1</v>
      </c>
      <c r="BV18" s="48" t="b">
        <f>AG18=[2]员工报账!AG18</f>
        <v>1</v>
      </c>
      <c r="BW18" s="48" t="b">
        <f>AH18=[2]员工报账!AH18</f>
        <v>1</v>
      </c>
      <c r="BX18" s="48" t="b">
        <f>AI18=[2]员工报账!AI18</f>
        <v>1</v>
      </c>
      <c r="BY18" s="48" t="b">
        <f>AJ18=[2]员工报账!AJ18</f>
        <v>1</v>
      </c>
      <c r="BZ18" s="48" t="b">
        <f>AK18=[2]员工报账!AK18</f>
        <v>1</v>
      </c>
    </row>
    <row r="19" s="48" customFormat="1" ht="92.4" spans="1:78">
      <c r="A19" s="56" t="s">
        <v>453</v>
      </c>
      <c r="B19" s="56" t="s">
        <v>454</v>
      </c>
      <c r="C19" s="63" t="s">
        <v>455</v>
      </c>
      <c r="D19" s="38" t="s">
        <v>518</v>
      </c>
      <c r="E19" s="66" t="s">
        <v>533</v>
      </c>
      <c r="F19" s="70" t="s">
        <v>500</v>
      </c>
      <c r="G19" s="38" t="s">
        <v>534</v>
      </c>
      <c r="H19" s="66" t="s">
        <v>535</v>
      </c>
      <c r="I19" s="35" t="s">
        <v>546</v>
      </c>
      <c r="J19" s="42" t="s">
        <v>547</v>
      </c>
      <c r="K19" s="35"/>
      <c r="L19" s="35"/>
      <c r="M19" s="35"/>
      <c r="N19" s="35"/>
      <c r="O19" s="35"/>
      <c r="P19" s="35"/>
      <c r="Q19" s="35"/>
      <c r="R19" s="35" t="s">
        <v>36</v>
      </c>
      <c r="S19" s="35" t="s">
        <v>36</v>
      </c>
      <c r="T19" s="35" t="s">
        <v>516</v>
      </c>
      <c r="U19" s="42"/>
      <c r="V19" s="42" t="s">
        <v>548</v>
      </c>
      <c r="W19" s="41" t="s">
        <v>525</v>
      </c>
      <c r="X19" s="43" t="s">
        <v>467</v>
      </c>
      <c r="Y19" s="43" t="s">
        <v>468</v>
      </c>
      <c r="Z19" s="43"/>
      <c r="AA19" s="43" t="s">
        <v>469</v>
      </c>
      <c r="AB19" s="43" t="s">
        <v>470</v>
      </c>
      <c r="AC19" s="43"/>
      <c r="AD19" s="41" t="s">
        <v>526</v>
      </c>
      <c r="AE19" s="43" t="s">
        <v>472</v>
      </c>
      <c r="AF19" s="43" t="s">
        <v>470</v>
      </c>
      <c r="AG19" s="43"/>
      <c r="AH19" s="43" t="s">
        <v>473</v>
      </c>
      <c r="AI19" s="43" t="s">
        <v>473</v>
      </c>
      <c r="AJ19" s="41" t="s">
        <v>508</v>
      </c>
      <c r="AK19" s="35" t="s">
        <v>475</v>
      </c>
      <c r="AL19" s="42" t="s">
        <v>476</v>
      </c>
      <c r="AM19" s="61"/>
      <c r="AN19" s="42"/>
      <c r="AO19" s="97"/>
      <c r="AP19" s="48" t="b">
        <f>A19=[2]员工报账!A19</f>
        <v>1</v>
      </c>
      <c r="AQ19" s="48" t="b">
        <f>B19=[2]员工报账!B19</f>
        <v>1</v>
      </c>
      <c r="AR19" s="48" t="b">
        <f>C19=[2]员工报账!C19</f>
        <v>1</v>
      </c>
      <c r="AS19" s="48" t="b">
        <f>D19=[2]员工报账!D19</f>
        <v>1</v>
      </c>
      <c r="AT19" s="48" t="b">
        <f>E19=[2]员工报账!E19</f>
        <v>1</v>
      </c>
      <c r="AU19" s="48" t="b">
        <f>F19=[2]员工报账!F19</f>
        <v>1</v>
      </c>
      <c r="AV19" s="48" t="b">
        <f>G19=[2]员工报账!G19</f>
        <v>1</v>
      </c>
      <c r="AW19" s="48" t="b">
        <f>H19=[2]员工报账!H19</f>
        <v>1</v>
      </c>
      <c r="AX19" s="48" t="b">
        <f>I19=[2]员工报账!I19</f>
        <v>1</v>
      </c>
      <c r="AY19" s="48" t="b">
        <f>J19=[2]员工报账!J19</f>
        <v>1</v>
      </c>
      <c r="AZ19" s="48" t="b">
        <f>K19=[2]员工报账!K19</f>
        <v>1</v>
      </c>
      <c r="BA19" s="48" t="b">
        <f>L19=[2]员工报账!L19</f>
        <v>1</v>
      </c>
      <c r="BB19" s="48" t="b">
        <f>M19=[2]员工报账!M19</f>
        <v>1</v>
      </c>
      <c r="BC19" s="48" t="b">
        <f>N19=[2]员工报账!N19</f>
        <v>1</v>
      </c>
      <c r="BD19" s="48" t="b">
        <f>O19=[2]员工报账!O19</f>
        <v>1</v>
      </c>
      <c r="BE19" s="48" t="b">
        <f>P19=[2]员工报账!P19</f>
        <v>1</v>
      </c>
      <c r="BF19" s="48" t="b">
        <f>Q19=[2]员工报账!Q19</f>
        <v>1</v>
      </c>
      <c r="BG19" s="48" t="b">
        <f>R19=[2]员工报账!R19</f>
        <v>1</v>
      </c>
      <c r="BH19" s="48" t="b">
        <f>S19=[2]员工报账!S19</f>
        <v>1</v>
      </c>
      <c r="BI19" s="48" t="b">
        <f>T19=[2]员工报账!T19</f>
        <v>1</v>
      </c>
      <c r="BJ19" s="48" t="b">
        <f>U19=[2]员工报账!U19</f>
        <v>1</v>
      </c>
      <c r="BK19" s="48" t="b">
        <f>V19=[2]员工报账!V19</f>
        <v>1</v>
      </c>
      <c r="BL19" s="48" t="b">
        <f>W19=[2]员工报账!W19</f>
        <v>1</v>
      </c>
      <c r="BM19" s="48" t="b">
        <f>X19=[2]员工报账!X19</f>
        <v>1</v>
      </c>
      <c r="BN19" s="48" t="b">
        <f>Y19=[2]员工报账!Y19</f>
        <v>1</v>
      </c>
      <c r="BO19" s="48" t="b">
        <f>Z19=[2]员工报账!Z19</f>
        <v>1</v>
      </c>
      <c r="BP19" s="48" t="b">
        <f>AA19=[2]员工报账!AA19</f>
        <v>1</v>
      </c>
      <c r="BQ19" s="48" t="b">
        <f>AB19=[2]员工报账!AB19</f>
        <v>1</v>
      </c>
      <c r="BR19" s="48" t="b">
        <f>AC19=[2]员工报账!AC19</f>
        <v>1</v>
      </c>
      <c r="BS19" s="48" t="b">
        <f>AD19=[2]员工报账!AD19</f>
        <v>1</v>
      </c>
      <c r="BT19" s="48" t="b">
        <f>AE19=[2]员工报账!AE19</f>
        <v>1</v>
      </c>
      <c r="BU19" s="48" t="b">
        <f>AF19=[2]员工报账!AF19</f>
        <v>1</v>
      </c>
      <c r="BV19" s="48" t="b">
        <f>AG19=[2]员工报账!AG19</f>
        <v>1</v>
      </c>
      <c r="BW19" s="48" t="b">
        <f>AH19=[2]员工报账!AH19</f>
        <v>1</v>
      </c>
      <c r="BX19" s="48" t="b">
        <f>AI19=[2]员工报账!AI19</f>
        <v>1</v>
      </c>
      <c r="BY19" s="48" t="b">
        <f>AJ19=[2]员工报账!AJ19</f>
        <v>1</v>
      </c>
      <c r="BZ19" s="48" t="b">
        <f>AK19=[2]员工报账!AK19</f>
        <v>1</v>
      </c>
    </row>
    <row r="20" s="48" customFormat="1" ht="66" spans="1:78">
      <c r="A20" s="62"/>
      <c r="B20" s="62"/>
      <c r="C20" s="63"/>
      <c r="D20" s="57" t="s">
        <v>518</v>
      </c>
      <c r="E20" s="58" t="s">
        <v>549</v>
      </c>
      <c r="F20" s="59" t="s">
        <v>458</v>
      </c>
      <c r="G20" s="57" t="s">
        <v>550</v>
      </c>
      <c r="H20" s="58" t="s">
        <v>551</v>
      </c>
      <c r="I20" s="35" t="s">
        <v>552</v>
      </c>
      <c r="J20" s="42" t="s">
        <v>553</v>
      </c>
      <c r="K20" s="35"/>
      <c r="L20" s="35"/>
      <c r="M20" s="35" t="s">
        <v>36</v>
      </c>
      <c r="N20" s="35"/>
      <c r="O20" s="35"/>
      <c r="P20" s="35"/>
      <c r="Q20" s="35"/>
      <c r="R20" s="35"/>
      <c r="S20" s="35"/>
      <c r="T20" s="43" t="s">
        <v>463</v>
      </c>
      <c r="U20" s="35" t="s">
        <v>464</v>
      </c>
      <c r="V20" s="42" t="s">
        <v>554</v>
      </c>
      <c r="W20" s="41" t="s">
        <v>481</v>
      </c>
      <c r="X20" s="43" t="s">
        <v>467</v>
      </c>
      <c r="Y20" s="43" t="s">
        <v>468</v>
      </c>
      <c r="Z20" s="43"/>
      <c r="AA20" s="43" t="s">
        <v>469</v>
      </c>
      <c r="AB20" s="43" t="s">
        <v>470</v>
      </c>
      <c r="AC20" s="43"/>
      <c r="AD20" s="41" t="s">
        <v>526</v>
      </c>
      <c r="AE20" s="43" t="s">
        <v>472</v>
      </c>
      <c r="AF20" s="43" t="s">
        <v>470</v>
      </c>
      <c r="AG20" s="43"/>
      <c r="AH20" s="43" t="s">
        <v>473</v>
      </c>
      <c r="AI20" s="43" t="s">
        <v>473</v>
      </c>
      <c r="AJ20" s="41" t="s">
        <v>555</v>
      </c>
      <c r="AK20" s="35" t="s">
        <v>475</v>
      </c>
      <c r="AL20" s="42" t="s">
        <v>476</v>
      </c>
      <c r="AM20" s="61"/>
      <c r="AN20" s="42"/>
      <c r="AO20" s="97"/>
      <c r="AP20" s="48" t="b">
        <f>A20=[2]员工报账!A20</f>
        <v>1</v>
      </c>
      <c r="AQ20" s="48" t="b">
        <f>B20=[2]员工报账!B20</f>
        <v>1</v>
      </c>
      <c r="AR20" s="48" t="b">
        <f>C20=[2]员工报账!C20</f>
        <v>1</v>
      </c>
      <c r="AS20" s="48" t="b">
        <f>D20=[2]员工报账!D20</f>
        <v>1</v>
      </c>
      <c r="AT20" s="48" t="b">
        <f>E20=[2]员工报账!E20</f>
        <v>1</v>
      </c>
      <c r="AU20" s="48" t="b">
        <f>F20=[2]员工报账!F20</f>
        <v>1</v>
      </c>
      <c r="AV20" s="48" t="b">
        <f>G20=[2]员工报账!G20</f>
        <v>1</v>
      </c>
      <c r="AW20" s="48" t="b">
        <f>H20=[2]员工报账!H20</f>
        <v>1</v>
      </c>
      <c r="AX20" s="48" t="b">
        <f>I20=[2]员工报账!I20</f>
        <v>1</v>
      </c>
      <c r="AY20" s="48" t="b">
        <f>J20=[2]员工报账!J20</f>
        <v>1</v>
      </c>
      <c r="AZ20" s="48" t="b">
        <f>K20=[2]员工报账!K20</f>
        <v>1</v>
      </c>
      <c r="BA20" s="48" t="b">
        <f>L20=[2]员工报账!L20</f>
        <v>1</v>
      </c>
      <c r="BB20" s="48" t="b">
        <f>M20=[2]员工报账!M20</f>
        <v>1</v>
      </c>
      <c r="BC20" s="48" t="b">
        <f>N20=[2]员工报账!N20</f>
        <v>1</v>
      </c>
      <c r="BD20" s="48" t="b">
        <f>O20=[2]员工报账!O20</f>
        <v>1</v>
      </c>
      <c r="BE20" s="48" t="b">
        <f>P20=[2]员工报账!P20</f>
        <v>1</v>
      </c>
      <c r="BF20" s="48" t="b">
        <f>Q20=[2]员工报账!Q20</f>
        <v>1</v>
      </c>
      <c r="BG20" s="48" t="b">
        <f>R20=[2]员工报账!R20</f>
        <v>1</v>
      </c>
      <c r="BH20" s="48" t="b">
        <f>S20=[2]员工报账!S20</f>
        <v>1</v>
      </c>
      <c r="BI20" s="48" t="b">
        <f>T20=[2]员工报账!T20</f>
        <v>1</v>
      </c>
      <c r="BJ20" s="48" t="b">
        <f>U20=[2]员工报账!U20</f>
        <v>1</v>
      </c>
      <c r="BK20" s="48" t="b">
        <f>V20=[2]员工报账!V20</f>
        <v>1</v>
      </c>
      <c r="BL20" s="48" t="b">
        <f>W20=[2]员工报账!W20</f>
        <v>1</v>
      </c>
      <c r="BM20" s="48" t="b">
        <f>X20=[2]员工报账!X20</f>
        <v>1</v>
      </c>
      <c r="BN20" s="48" t="b">
        <f>Y20=[2]员工报账!Y20</f>
        <v>1</v>
      </c>
      <c r="BO20" s="48" t="b">
        <f>Z20=[2]员工报账!Z20</f>
        <v>1</v>
      </c>
      <c r="BP20" s="48" t="b">
        <f>AA20=[2]员工报账!AA20</f>
        <v>1</v>
      </c>
      <c r="BQ20" s="48" t="b">
        <f>AB20=[2]员工报账!AB20</f>
        <v>1</v>
      </c>
      <c r="BR20" s="48" t="b">
        <f>AC20=[2]员工报账!AC20</f>
        <v>1</v>
      </c>
      <c r="BS20" s="48" t="b">
        <f>AD20=[2]员工报账!AD20</f>
        <v>1</v>
      </c>
      <c r="BT20" s="48" t="b">
        <f>AE20=[2]员工报账!AE20</f>
        <v>1</v>
      </c>
      <c r="BU20" s="48" t="b">
        <f>AF20=[2]员工报账!AF20</f>
        <v>1</v>
      </c>
      <c r="BV20" s="48" t="b">
        <f>AG20=[2]员工报账!AG20</f>
        <v>1</v>
      </c>
      <c r="BW20" s="48" t="b">
        <f>AH20=[2]员工报账!AH20</f>
        <v>1</v>
      </c>
      <c r="BX20" s="48" t="b">
        <f>AI20=[2]员工报账!AI20</f>
        <v>1</v>
      </c>
      <c r="BY20" s="48" t="b">
        <f>AJ20=[2]员工报账!AJ20</f>
        <v>1</v>
      </c>
      <c r="BZ20" s="48" t="b">
        <f>AK20=[2]员工报账!AK20</f>
        <v>1</v>
      </c>
    </row>
    <row r="21" s="48" customFormat="1" ht="66" spans="1:78">
      <c r="A21" s="62"/>
      <c r="B21" s="62"/>
      <c r="C21" s="63"/>
      <c r="D21" s="63"/>
      <c r="E21" s="64"/>
      <c r="F21" s="64"/>
      <c r="G21" s="63"/>
      <c r="H21" s="64"/>
      <c r="I21" s="35" t="s">
        <v>556</v>
      </c>
      <c r="J21" s="42" t="s">
        <v>557</v>
      </c>
      <c r="K21" s="35"/>
      <c r="L21" s="35"/>
      <c r="M21" s="35" t="s">
        <v>36</v>
      </c>
      <c r="N21" s="35"/>
      <c r="O21" s="35"/>
      <c r="P21" s="35"/>
      <c r="Q21" s="35"/>
      <c r="R21" s="35"/>
      <c r="S21" s="35" t="s">
        <v>36</v>
      </c>
      <c r="T21" s="43" t="s">
        <v>463</v>
      </c>
      <c r="U21" s="35" t="s">
        <v>464</v>
      </c>
      <c r="V21" s="42" t="s">
        <v>558</v>
      </c>
      <c r="W21" s="41" t="s">
        <v>481</v>
      </c>
      <c r="X21" s="43" t="s">
        <v>467</v>
      </c>
      <c r="Y21" s="43" t="s">
        <v>468</v>
      </c>
      <c r="Z21" s="43"/>
      <c r="AA21" s="43" t="s">
        <v>469</v>
      </c>
      <c r="AB21" s="43" t="s">
        <v>470</v>
      </c>
      <c r="AC21" s="43"/>
      <c r="AD21" s="41" t="s">
        <v>526</v>
      </c>
      <c r="AE21" s="43" t="s">
        <v>472</v>
      </c>
      <c r="AF21" s="43" t="s">
        <v>470</v>
      </c>
      <c r="AG21" s="43"/>
      <c r="AH21" s="43" t="s">
        <v>473</v>
      </c>
      <c r="AI21" s="43" t="s">
        <v>473</v>
      </c>
      <c r="AJ21" s="41" t="s">
        <v>555</v>
      </c>
      <c r="AK21" s="35" t="s">
        <v>475</v>
      </c>
      <c r="AL21" s="42" t="s">
        <v>476</v>
      </c>
      <c r="AM21" s="61"/>
      <c r="AN21" s="42"/>
      <c r="AO21" s="97"/>
      <c r="AP21" s="48" t="b">
        <f>A21=[2]员工报账!A21</f>
        <v>1</v>
      </c>
      <c r="AQ21" s="48" t="b">
        <f>B21=[2]员工报账!B21</f>
        <v>1</v>
      </c>
      <c r="AR21" s="48" t="b">
        <f>C21=[2]员工报账!C21</f>
        <v>1</v>
      </c>
      <c r="AS21" s="48" t="b">
        <f>D21=[2]员工报账!D21</f>
        <v>1</v>
      </c>
      <c r="AT21" s="48" t="b">
        <f>E21=[2]员工报账!E21</f>
        <v>1</v>
      </c>
      <c r="AU21" s="48" t="b">
        <f>F21=[2]员工报账!F21</f>
        <v>1</v>
      </c>
      <c r="AV21" s="48" t="b">
        <f>G21=[2]员工报账!G21</f>
        <v>1</v>
      </c>
      <c r="AW21" s="48" t="b">
        <f>H21=[2]员工报账!H21</f>
        <v>1</v>
      </c>
      <c r="AX21" s="48" t="b">
        <f>I21=[2]员工报账!I21</f>
        <v>1</v>
      </c>
      <c r="AY21" s="48" t="b">
        <f>J21=[2]员工报账!J21</f>
        <v>1</v>
      </c>
      <c r="AZ21" s="48" t="b">
        <f>K21=[2]员工报账!K21</f>
        <v>1</v>
      </c>
      <c r="BA21" s="48" t="b">
        <f>L21=[2]员工报账!L21</f>
        <v>1</v>
      </c>
      <c r="BB21" s="48" t="b">
        <f>M21=[2]员工报账!M21</f>
        <v>1</v>
      </c>
      <c r="BC21" s="48" t="b">
        <f>N21=[2]员工报账!N21</f>
        <v>1</v>
      </c>
      <c r="BD21" s="48" t="b">
        <f>O21=[2]员工报账!O21</f>
        <v>1</v>
      </c>
      <c r="BE21" s="48" t="b">
        <f>P21=[2]员工报账!P21</f>
        <v>1</v>
      </c>
      <c r="BF21" s="48" t="b">
        <f>Q21=[2]员工报账!Q21</f>
        <v>1</v>
      </c>
      <c r="BG21" s="48" t="b">
        <f>R21=[2]员工报账!R21</f>
        <v>1</v>
      </c>
      <c r="BH21" s="48" t="b">
        <f>S21=[2]员工报账!S21</f>
        <v>1</v>
      </c>
      <c r="BI21" s="48" t="b">
        <f>T21=[2]员工报账!T21</f>
        <v>1</v>
      </c>
      <c r="BJ21" s="48" t="b">
        <f>U21=[2]员工报账!U21</f>
        <v>1</v>
      </c>
      <c r="BK21" s="48" t="b">
        <f>V21=[2]员工报账!V21</f>
        <v>1</v>
      </c>
      <c r="BL21" s="48" t="b">
        <f>W21=[2]员工报账!W21</f>
        <v>1</v>
      </c>
      <c r="BM21" s="48" t="b">
        <f>X21=[2]员工报账!X21</f>
        <v>1</v>
      </c>
      <c r="BN21" s="48" t="b">
        <f>Y21=[2]员工报账!Y21</f>
        <v>1</v>
      </c>
      <c r="BO21" s="48" t="b">
        <f>Z21=[2]员工报账!Z21</f>
        <v>1</v>
      </c>
      <c r="BP21" s="48" t="b">
        <f>AA21=[2]员工报账!AA21</f>
        <v>1</v>
      </c>
      <c r="BQ21" s="48" t="b">
        <f>AB21=[2]员工报账!AB21</f>
        <v>1</v>
      </c>
      <c r="BR21" s="48" t="b">
        <f>AC21=[2]员工报账!AC21</f>
        <v>1</v>
      </c>
      <c r="BS21" s="48" t="b">
        <f>AD21=[2]员工报账!AD21</f>
        <v>1</v>
      </c>
      <c r="BT21" s="48" t="b">
        <f>AE21=[2]员工报账!AE21</f>
        <v>1</v>
      </c>
      <c r="BU21" s="48" t="b">
        <f>AF21=[2]员工报账!AF21</f>
        <v>1</v>
      </c>
      <c r="BV21" s="48" t="b">
        <f>AG21=[2]员工报账!AG21</f>
        <v>1</v>
      </c>
      <c r="BW21" s="48" t="b">
        <f>AH21=[2]员工报账!AH21</f>
        <v>1</v>
      </c>
      <c r="BX21" s="48" t="b">
        <f>AI21=[2]员工报账!AI21</f>
        <v>1</v>
      </c>
      <c r="BY21" s="48" t="b">
        <f>AJ21=[2]员工报账!AJ21</f>
        <v>1</v>
      </c>
      <c r="BZ21" s="48" t="b">
        <f>AK21=[2]员工报账!AK21</f>
        <v>1</v>
      </c>
    </row>
    <row r="22" s="48" customFormat="1" ht="79.2" spans="1:78">
      <c r="A22" s="62"/>
      <c r="B22" s="62"/>
      <c r="C22" s="38"/>
      <c r="D22" s="38"/>
      <c r="E22" s="66"/>
      <c r="F22" s="66"/>
      <c r="G22" s="38"/>
      <c r="H22" s="66"/>
      <c r="I22" s="35" t="s">
        <v>559</v>
      </c>
      <c r="J22" s="42" t="s">
        <v>560</v>
      </c>
      <c r="K22" s="35"/>
      <c r="L22" s="35"/>
      <c r="M22" s="35" t="s">
        <v>36</v>
      </c>
      <c r="N22" s="35"/>
      <c r="O22" s="35"/>
      <c r="P22" s="35"/>
      <c r="Q22" s="35"/>
      <c r="R22" s="35"/>
      <c r="S22" s="35"/>
      <c r="T22" s="43" t="s">
        <v>463</v>
      </c>
      <c r="U22" s="35" t="s">
        <v>464</v>
      </c>
      <c r="V22" s="42" t="s">
        <v>561</v>
      </c>
      <c r="W22" s="41" t="s">
        <v>562</v>
      </c>
      <c r="X22" s="43" t="s">
        <v>467</v>
      </c>
      <c r="Y22" s="43" t="s">
        <v>468</v>
      </c>
      <c r="Z22" s="43"/>
      <c r="AA22" s="43" t="s">
        <v>469</v>
      </c>
      <c r="AB22" s="43" t="s">
        <v>470</v>
      </c>
      <c r="AC22" s="43"/>
      <c r="AD22" s="41" t="s">
        <v>526</v>
      </c>
      <c r="AE22" s="43" t="s">
        <v>472</v>
      </c>
      <c r="AF22" s="43" t="s">
        <v>470</v>
      </c>
      <c r="AG22" s="43"/>
      <c r="AH22" s="43" t="s">
        <v>473</v>
      </c>
      <c r="AI22" s="43" t="s">
        <v>473</v>
      </c>
      <c r="AJ22" s="41" t="s">
        <v>555</v>
      </c>
      <c r="AK22" s="35" t="s">
        <v>475</v>
      </c>
      <c r="AL22" s="42" t="s">
        <v>476</v>
      </c>
      <c r="AM22" s="61"/>
      <c r="AN22" s="42" t="s">
        <v>509</v>
      </c>
      <c r="AO22" s="97"/>
      <c r="AP22" s="48" t="b">
        <f>A22=[2]员工报账!A22</f>
        <v>1</v>
      </c>
      <c r="AQ22" s="48" t="b">
        <f>B22=[2]员工报账!B22</f>
        <v>1</v>
      </c>
      <c r="AR22" s="48" t="b">
        <f>C22=[2]员工报账!C22</f>
        <v>1</v>
      </c>
      <c r="AS22" s="48" t="b">
        <f>D22=[2]员工报账!D22</f>
        <v>1</v>
      </c>
      <c r="AT22" s="48" t="b">
        <f>E22=[2]员工报账!E22</f>
        <v>1</v>
      </c>
      <c r="AU22" s="48" t="b">
        <f>F22=[2]员工报账!F22</f>
        <v>1</v>
      </c>
      <c r="AV22" s="48" t="b">
        <f>G22=[2]员工报账!G22</f>
        <v>1</v>
      </c>
      <c r="AW22" s="48" t="b">
        <f>H22=[2]员工报账!H22</f>
        <v>1</v>
      </c>
      <c r="AX22" s="48" t="b">
        <f>I22=[2]员工报账!I22</f>
        <v>1</v>
      </c>
      <c r="AY22" s="48" t="b">
        <f>J22=[2]员工报账!J22</f>
        <v>1</v>
      </c>
      <c r="AZ22" s="48" t="b">
        <f>K22=[2]员工报账!K22</f>
        <v>1</v>
      </c>
      <c r="BA22" s="48" t="b">
        <f>L22=[2]员工报账!L22</f>
        <v>1</v>
      </c>
      <c r="BB22" s="48" t="b">
        <f>M22=[2]员工报账!M22</f>
        <v>1</v>
      </c>
      <c r="BC22" s="48" t="b">
        <f>N22=[2]员工报账!N22</f>
        <v>1</v>
      </c>
      <c r="BD22" s="48" t="b">
        <f>O22=[2]员工报账!O22</f>
        <v>1</v>
      </c>
      <c r="BE22" s="48" t="b">
        <f>P22=[2]员工报账!P22</f>
        <v>1</v>
      </c>
      <c r="BF22" s="48" t="b">
        <f>Q22=[2]员工报账!Q22</f>
        <v>1</v>
      </c>
      <c r="BG22" s="48" t="b">
        <f>R22=[2]员工报账!R22</f>
        <v>1</v>
      </c>
      <c r="BH22" s="48" t="b">
        <f>S22=[2]员工报账!S22</f>
        <v>1</v>
      </c>
      <c r="BI22" s="48" t="b">
        <f>T22=[2]员工报账!T22</f>
        <v>1</v>
      </c>
      <c r="BJ22" s="48" t="b">
        <f>U22=[2]员工报账!U22</f>
        <v>1</v>
      </c>
      <c r="BK22" s="48" t="b">
        <f>V22=[2]员工报账!V22</f>
        <v>1</v>
      </c>
      <c r="BL22" s="48" t="b">
        <f>W22=[2]员工报账!W22</f>
        <v>1</v>
      </c>
      <c r="BM22" s="48" t="b">
        <f>X22=[2]员工报账!X22</f>
        <v>1</v>
      </c>
      <c r="BN22" s="48" t="b">
        <f>Y22=[2]员工报账!Y22</f>
        <v>1</v>
      </c>
      <c r="BO22" s="48" t="b">
        <f>Z22=[2]员工报账!Z22</f>
        <v>1</v>
      </c>
      <c r="BP22" s="48" t="b">
        <f>AA22=[2]员工报账!AA22</f>
        <v>1</v>
      </c>
      <c r="BQ22" s="48" t="b">
        <f>AB22=[2]员工报账!AB22</f>
        <v>1</v>
      </c>
      <c r="BR22" s="48" t="b">
        <f>AC22=[2]员工报账!AC22</f>
        <v>1</v>
      </c>
      <c r="BS22" s="48" t="b">
        <f>AD22=[2]员工报账!AD22</f>
        <v>1</v>
      </c>
      <c r="BT22" s="48" t="b">
        <f>AE22=[2]员工报账!AE22</f>
        <v>1</v>
      </c>
      <c r="BU22" s="48" t="b">
        <f>AF22=[2]员工报账!AF22</f>
        <v>1</v>
      </c>
      <c r="BV22" s="48" t="b">
        <f>AG22=[2]员工报账!AG22</f>
        <v>1</v>
      </c>
      <c r="BW22" s="48" t="b">
        <f>AH22=[2]员工报账!AH22</f>
        <v>1</v>
      </c>
      <c r="BX22" s="48" t="b">
        <f>AI22=[2]员工报账!AI22</f>
        <v>1</v>
      </c>
      <c r="BY22" s="48" t="b">
        <f>AJ22=[2]员工报账!AJ22</f>
        <v>1</v>
      </c>
      <c r="BZ22" s="48" t="b">
        <f>AK22=[2]员工报账!AK22</f>
        <v>1</v>
      </c>
    </row>
    <row r="23" s="48" customFormat="1" ht="145.2" spans="1:78">
      <c r="A23" s="62"/>
      <c r="B23" s="62"/>
      <c r="C23" s="57" t="s">
        <v>498</v>
      </c>
      <c r="D23" s="57" t="s">
        <v>563</v>
      </c>
      <c r="E23" s="58" t="s">
        <v>564</v>
      </c>
      <c r="F23" s="59" t="s">
        <v>500</v>
      </c>
      <c r="G23" s="57" t="s">
        <v>565</v>
      </c>
      <c r="H23" s="58" t="s">
        <v>566</v>
      </c>
      <c r="I23" s="35" t="s">
        <v>567</v>
      </c>
      <c r="J23" s="42" t="s">
        <v>568</v>
      </c>
      <c r="K23" s="35"/>
      <c r="L23" s="35"/>
      <c r="M23" s="35" t="s">
        <v>36</v>
      </c>
      <c r="N23" s="35"/>
      <c r="O23" s="35"/>
      <c r="P23" s="35"/>
      <c r="Q23" s="35"/>
      <c r="R23" s="35" t="s">
        <v>36</v>
      </c>
      <c r="S23" s="35"/>
      <c r="T23" s="43" t="s">
        <v>463</v>
      </c>
      <c r="U23" s="35" t="s">
        <v>464</v>
      </c>
      <c r="V23" s="42" t="s">
        <v>569</v>
      </c>
      <c r="W23" s="41" t="s">
        <v>570</v>
      </c>
      <c r="X23" s="43" t="s">
        <v>467</v>
      </c>
      <c r="Y23" s="43" t="s">
        <v>468</v>
      </c>
      <c r="Z23" s="43"/>
      <c r="AA23" s="43" t="s">
        <v>469</v>
      </c>
      <c r="AB23" s="43" t="s">
        <v>470</v>
      </c>
      <c r="AC23" s="43"/>
      <c r="AD23" s="41" t="s">
        <v>571</v>
      </c>
      <c r="AE23" s="43" t="s">
        <v>472</v>
      </c>
      <c r="AF23" s="43" t="s">
        <v>470</v>
      </c>
      <c r="AG23" s="43"/>
      <c r="AH23" s="43" t="s">
        <v>473</v>
      </c>
      <c r="AI23" s="43" t="s">
        <v>473</v>
      </c>
      <c r="AJ23" s="41" t="s">
        <v>572</v>
      </c>
      <c r="AK23" s="35" t="s">
        <v>475</v>
      </c>
      <c r="AL23" s="42" t="s">
        <v>476</v>
      </c>
      <c r="AM23" s="61"/>
      <c r="AN23" s="42"/>
      <c r="AO23" s="97"/>
      <c r="AP23" s="48" t="b">
        <f>A23=[2]员工报账!A23</f>
        <v>1</v>
      </c>
      <c r="AQ23" s="48" t="b">
        <f>B23=[2]员工报账!B23</f>
        <v>1</v>
      </c>
      <c r="AR23" s="48" t="b">
        <f>C23=[2]员工报账!C23</f>
        <v>1</v>
      </c>
      <c r="AS23" s="48" t="b">
        <f>D23=[2]员工报账!D23</f>
        <v>1</v>
      </c>
      <c r="AT23" s="48" t="b">
        <f>E23=[2]员工报账!E23</f>
        <v>1</v>
      </c>
      <c r="AU23" s="48" t="b">
        <f>F23=[2]员工报账!F23</f>
        <v>1</v>
      </c>
      <c r="AV23" s="48" t="b">
        <f>G23=[2]员工报账!G23</f>
        <v>1</v>
      </c>
      <c r="AW23" s="48" t="b">
        <f>H23=[2]员工报账!H23</f>
        <v>1</v>
      </c>
      <c r="AX23" s="48" t="b">
        <f>I23=[2]员工报账!I23</f>
        <v>1</v>
      </c>
      <c r="AY23" s="48" t="b">
        <f>J23=[2]员工报账!J23</f>
        <v>1</v>
      </c>
      <c r="AZ23" s="48" t="b">
        <f>K23=[2]员工报账!K23</f>
        <v>1</v>
      </c>
      <c r="BA23" s="48" t="b">
        <f>L23=[2]员工报账!L23</f>
        <v>1</v>
      </c>
      <c r="BB23" s="48" t="b">
        <f>M23=[2]员工报账!M23</f>
        <v>1</v>
      </c>
      <c r="BC23" s="48" t="b">
        <f>N23=[2]员工报账!N23</f>
        <v>1</v>
      </c>
      <c r="BD23" s="48" t="b">
        <f>O23=[2]员工报账!O23</f>
        <v>1</v>
      </c>
      <c r="BE23" s="48" t="b">
        <f>P23=[2]员工报账!P23</f>
        <v>1</v>
      </c>
      <c r="BF23" s="48" t="b">
        <f>Q23=[2]员工报账!Q23</f>
        <v>1</v>
      </c>
      <c r="BG23" s="48" t="b">
        <f>R23=[2]员工报账!R23</f>
        <v>1</v>
      </c>
      <c r="BH23" s="48" t="b">
        <f>S23=[2]员工报账!S23</f>
        <v>1</v>
      </c>
      <c r="BI23" s="48" t="b">
        <f>T23=[2]员工报账!T23</f>
        <v>1</v>
      </c>
      <c r="BJ23" s="48" t="b">
        <f>U23=[2]员工报账!U23</f>
        <v>1</v>
      </c>
      <c r="BK23" s="48" t="b">
        <f>V23=[2]员工报账!V23</f>
        <v>1</v>
      </c>
      <c r="BL23" s="48" t="b">
        <f>W23=[2]员工报账!W23</f>
        <v>1</v>
      </c>
      <c r="BM23" s="48" t="b">
        <f>X23=[2]员工报账!X23</f>
        <v>1</v>
      </c>
      <c r="BN23" s="48" t="b">
        <f>Y23=[2]员工报账!Y23</f>
        <v>1</v>
      </c>
      <c r="BO23" s="48" t="b">
        <f>Z23=[2]员工报账!Z23</f>
        <v>1</v>
      </c>
      <c r="BP23" s="48" t="b">
        <f>AA23=[2]员工报账!AA23</f>
        <v>1</v>
      </c>
      <c r="BQ23" s="48" t="b">
        <f>AB23=[2]员工报账!AB23</f>
        <v>1</v>
      </c>
      <c r="BR23" s="48" t="b">
        <f>AC23=[2]员工报账!AC23</f>
        <v>1</v>
      </c>
      <c r="BS23" s="48" t="b">
        <f>AD23=[2]员工报账!AD23</f>
        <v>1</v>
      </c>
      <c r="BT23" s="48" t="b">
        <f>AE23=[2]员工报账!AE23</f>
        <v>1</v>
      </c>
      <c r="BU23" s="48" t="b">
        <f>AF23=[2]员工报账!AF23</f>
        <v>1</v>
      </c>
      <c r="BV23" s="48" t="b">
        <f>AG23=[2]员工报账!AG23</f>
        <v>1</v>
      </c>
      <c r="BW23" s="48" t="b">
        <f>AH23=[2]员工报账!AH23</f>
        <v>1</v>
      </c>
      <c r="BX23" s="48" t="b">
        <f>AI23=[2]员工报账!AI23</f>
        <v>1</v>
      </c>
      <c r="BY23" s="48" t="b">
        <f>AJ23=[2]员工报账!AJ23</f>
        <v>1</v>
      </c>
      <c r="BZ23" s="48" t="b">
        <f>AK23=[2]员工报账!AK23</f>
        <v>1</v>
      </c>
    </row>
    <row r="24" s="48" customFormat="1" ht="118.8" spans="1:78">
      <c r="A24" s="62"/>
      <c r="B24" s="62"/>
      <c r="C24" s="63"/>
      <c r="D24" s="63"/>
      <c r="E24" s="64"/>
      <c r="F24" s="64"/>
      <c r="G24" s="63"/>
      <c r="H24" s="64"/>
      <c r="I24" s="35" t="s">
        <v>573</v>
      </c>
      <c r="J24" s="42" t="s">
        <v>574</v>
      </c>
      <c r="K24" s="35"/>
      <c r="L24" s="35"/>
      <c r="M24" s="35" t="s">
        <v>36</v>
      </c>
      <c r="N24" s="35"/>
      <c r="O24" s="35"/>
      <c r="P24" s="35"/>
      <c r="Q24" s="35" t="s">
        <v>36</v>
      </c>
      <c r="R24" s="35"/>
      <c r="S24" s="35"/>
      <c r="T24" s="43" t="s">
        <v>463</v>
      </c>
      <c r="U24" s="35" t="s">
        <v>464</v>
      </c>
      <c r="V24" s="42" t="s">
        <v>569</v>
      </c>
      <c r="W24" s="41" t="s">
        <v>575</v>
      </c>
      <c r="X24" s="43" t="s">
        <v>467</v>
      </c>
      <c r="Y24" s="43" t="s">
        <v>468</v>
      </c>
      <c r="Z24" s="43"/>
      <c r="AA24" s="43" t="s">
        <v>469</v>
      </c>
      <c r="AB24" s="43" t="s">
        <v>470</v>
      </c>
      <c r="AC24" s="43"/>
      <c r="AD24" s="41" t="s">
        <v>571</v>
      </c>
      <c r="AE24" s="43" t="s">
        <v>472</v>
      </c>
      <c r="AF24" s="43" t="s">
        <v>470</v>
      </c>
      <c r="AG24" s="43"/>
      <c r="AH24" s="43" t="s">
        <v>473</v>
      </c>
      <c r="AI24" s="43" t="s">
        <v>473</v>
      </c>
      <c r="AJ24" s="41" t="s">
        <v>572</v>
      </c>
      <c r="AK24" s="35" t="s">
        <v>475</v>
      </c>
      <c r="AL24" s="42" t="s">
        <v>476</v>
      </c>
      <c r="AM24" s="61"/>
      <c r="AN24" s="42"/>
      <c r="AO24" s="97"/>
      <c r="AP24" s="48" t="b">
        <f>A24=[2]员工报账!A24</f>
        <v>1</v>
      </c>
      <c r="AQ24" s="48" t="b">
        <f>B24=[2]员工报账!B24</f>
        <v>1</v>
      </c>
      <c r="AR24" s="48" t="b">
        <f>C24=[2]员工报账!C24</f>
        <v>1</v>
      </c>
      <c r="AS24" s="48" t="b">
        <f>D24=[2]员工报账!D24</f>
        <v>1</v>
      </c>
      <c r="AT24" s="48" t="b">
        <f>E24=[2]员工报账!E24</f>
        <v>1</v>
      </c>
      <c r="AU24" s="48" t="b">
        <f>F24=[2]员工报账!F24</f>
        <v>1</v>
      </c>
      <c r="AV24" s="48" t="b">
        <f>G24=[2]员工报账!G24</f>
        <v>1</v>
      </c>
      <c r="AW24" s="48" t="b">
        <f>H24=[2]员工报账!H24</f>
        <v>1</v>
      </c>
      <c r="AX24" s="48" t="b">
        <f>I24=[2]员工报账!I24</f>
        <v>1</v>
      </c>
      <c r="AY24" s="48" t="b">
        <f>J24=[2]员工报账!J24</f>
        <v>1</v>
      </c>
      <c r="AZ24" s="48" t="b">
        <f>K24=[2]员工报账!K24</f>
        <v>1</v>
      </c>
      <c r="BA24" s="48" t="b">
        <f>L24=[2]员工报账!L24</f>
        <v>1</v>
      </c>
      <c r="BB24" s="48" t="b">
        <f>M24=[2]员工报账!M24</f>
        <v>1</v>
      </c>
      <c r="BC24" s="48" t="b">
        <f>N24=[2]员工报账!N24</f>
        <v>1</v>
      </c>
      <c r="BD24" s="48" t="b">
        <f>O24=[2]员工报账!O24</f>
        <v>1</v>
      </c>
      <c r="BE24" s="48" t="b">
        <f>P24=[2]员工报账!P24</f>
        <v>1</v>
      </c>
      <c r="BF24" s="48" t="b">
        <f>Q24=[2]员工报账!Q24</f>
        <v>1</v>
      </c>
      <c r="BG24" s="48" t="b">
        <f>R24=[2]员工报账!R24</f>
        <v>1</v>
      </c>
      <c r="BH24" s="48" t="b">
        <f>S24=[2]员工报账!S24</f>
        <v>1</v>
      </c>
      <c r="BI24" s="48" t="b">
        <f>T24=[2]员工报账!T24</f>
        <v>1</v>
      </c>
      <c r="BJ24" s="48" t="b">
        <f>U24=[2]员工报账!U24</f>
        <v>1</v>
      </c>
      <c r="BK24" s="48" t="b">
        <f>V24=[2]员工报账!V24</f>
        <v>1</v>
      </c>
      <c r="BL24" s="48" t="b">
        <f>W24=[2]员工报账!W24</f>
        <v>1</v>
      </c>
      <c r="BM24" s="48" t="b">
        <f>X24=[2]员工报账!X24</f>
        <v>1</v>
      </c>
      <c r="BN24" s="48" t="b">
        <f>Y24=[2]员工报账!Y24</f>
        <v>1</v>
      </c>
      <c r="BO24" s="48" t="b">
        <f>Z24=[2]员工报账!Z24</f>
        <v>1</v>
      </c>
      <c r="BP24" s="48" t="b">
        <f>AA24=[2]员工报账!AA24</f>
        <v>1</v>
      </c>
      <c r="BQ24" s="48" t="b">
        <f>AB24=[2]员工报账!AB24</f>
        <v>1</v>
      </c>
      <c r="BR24" s="48" t="b">
        <f>AC24=[2]员工报账!AC24</f>
        <v>1</v>
      </c>
      <c r="BS24" s="48" t="b">
        <f>AD24=[2]员工报账!AD24</f>
        <v>1</v>
      </c>
      <c r="BT24" s="48" t="b">
        <f>AE24=[2]员工报账!AE24</f>
        <v>1</v>
      </c>
      <c r="BU24" s="48" t="b">
        <f>AF24=[2]员工报账!AF24</f>
        <v>1</v>
      </c>
      <c r="BV24" s="48" t="b">
        <f>AG24=[2]员工报账!AG24</f>
        <v>1</v>
      </c>
      <c r="BW24" s="48" t="b">
        <f>AH24=[2]员工报账!AH24</f>
        <v>1</v>
      </c>
      <c r="BX24" s="48" t="b">
        <f>AI24=[2]员工报账!AI24</f>
        <v>1</v>
      </c>
      <c r="BY24" s="48" t="b">
        <f>AJ24=[2]员工报账!AJ24</f>
        <v>1</v>
      </c>
      <c r="BZ24" s="48" t="b">
        <f>AK24=[2]员工报账!AK24</f>
        <v>1</v>
      </c>
    </row>
    <row r="25" s="48" customFormat="1" ht="184.8" spans="1:78">
      <c r="A25" s="67"/>
      <c r="B25" s="67"/>
      <c r="C25" s="38"/>
      <c r="D25" s="38"/>
      <c r="E25" s="66"/>
      <c r="F25" s="66"/>
      <c r="G25" s="38"/>
      <c r="H25" s="66"/>
      <c r="I25" s="35" t="s">
        <v>576</v>
      </c>
      <c r="J25" s="42" t="s">
        <v>577</v>
      </c>
      <c r="K25" s="35"/>
      <c r="L25" s="35"/>
      <c r="M25" s="35"/>
      <c r="N25" s="35"/>
      <c r="O25" s="35"/>
      <c r="P25" s="35"/>
      <c r="Q25" s="35"/>
      <c r="R25" s="35" t="s">
        <v>36</v>
      </c>
      <c r="S25" s="35" t="s">
        <v>36</v>
      </c>
      <c r="T25" s="35" t="s">
        <v>516</v>
      </c>
      <c r="U25" s="42"/>
      <c r="V25" s="42" t="s">
        <v>532</v>
      </c>
      <c r="W25" s="41" t="s">
        <v>578</v>
      </c>
      <c r="X25" s="43" t="s">
        <v>467</v>
      </c>
      <c r="Y25" s="43" t="s">
        <v>468</v>
      </c>
      <c r="Z25" s="43"/>
      <c r="AA25" s="43" t="s">
        <v>469</v>
      </c>
      <c r="AB25" s="43" t="s">
        <v>470</v>
      </c>
      <c r="AC25" s="43"/>
      <c r="AD25" s="41" t="s">
        <v>571</v>
      </c>
      <c r="AE25" s="43" t="s">
        <v>472</v>
      </c>
      <c r="AF25" s="43" t="s">
        <v>470</v>
      </c>
      <c r="AG25" s="43"/>
      <c r="AH25" s="43" t="s">
        <v>473</v>
      </c>
      <c r="AI25" s="43" t="s">
        <v>473</v>
      </c>
      <c r="AJ25" s="41" t="s">
        <v>579</v>
      </c>
      <c r="AK25" s="35" t="s">
        <v>475</v>
      </c>
      <c r="AL25" s="42" t="s">
        <v>476</v>
      </c>
      <c r="AM25" s="61"/>
      <c r="AN25" s="42" t="s">
        <v>477</v>
      </c>
      <c r="AO25" s="97"/>
      <c r="AP25" s="48" t="b">
        <f>A25=[2]员工报账!A25</f>
        <v>1</v>
      </c>
      <c r="AQ25" s="48" t="b">
        <f>B25=[2]员工报账!B25</f>
        <v>1</v>
      </c>
      <c r="AR25" s="48" t="b">
        <f>C25=[2]员工报账!C25</f>
        <v>1</v>
      </c>
      <c r="AS25" s="48" t="b">
        <f>D25=[2]员工报账!D25</f>
        <v>1</v>
      </c>
      <c r="AT25" s="48" t="b">
        <f>E25=[2]员工报账!E25</f>
        <v>1</v>
      </c>
      <c r="AU25" s="48" t="b">
        <f>F25=[2]员工报账!F25</f>
        <v>1</v>
      </c>
      <c r="AV25" s="48" t="b">
        <f>G25=[2]员工报账!G25</f>
        <v>1</v>
      </c>
      <c r="AW25" s="48" t="b">
        <f>H25=[2]员工报账!H25</f>
        <v>1</v>
      </c>
      <c r="AX25" s="48" t="b">
        <f>I25=[2]员工报账!I25</f>
        <v>1</v>
      </c>
      <c r="AY25" s="48" t="b">
        <f>J25=[2]员工报账!J25</f>
        <v>1</v>
      </c>
      <c r="AZ25" s="48" t="b">
        <f>K25=[2]员工报账!K25</f>
        <v>1</v>
      </c>
      <c r="BA25" s="48" t="b">
        <f>L25=[2]员工报账!L25</f>
        <v>1</v>
      </c>
      <c r="BB25" s="48" t="b">
        <f>M25=[2]员工报账!M25</f>
        <v>1</v>
      </c>
      <c r="BC25" s="48" t="b">
        <f>N25=[2]员工报账!N25</f>
        <v>1</v>
      </c>
      <c r="BD25" s="48" t="b">
        <f>O25=[2]员工报账!O25</f>
        <v>1</v>
      </c>
      <c r="BE25" s="48" t="b">
        <f>P25=[2]员工报账!P25</f>
        <v>1</v>
      </c>
      <c r="BF25" s="48" t="b">
        <f>Q25=[2]员工报账!Q25</f>
        <v>1</v>
      </c>
      <c r="BG25" s="48" t="b">
        <f>R25=[2]员工报账!R25</f>
        <v>1</v>
      </c>
      <c r="BH25" s="48" t="b">
        <f>S25=[2]员工报账!S25</f>
        <v>1</v>
      </c>
      <c r="BI25" s="48" t="b">
        <f>T25=[2]员工报账!T25</f>
        <v>1</v>
      </c>
      <c r="BJ25" s="48" t="b">
        <f>U25=[2]员工报账!U25</f>
        <v>1</v>
      </c>
      <c r="BK25" s="48" t="b">
        <f>V25=[2]员工报账!V25</f>
        <v>1</v>
      </c>
      <c r="BL25" s="48" t="b">
        <f>W25=[2]员工报账!W25</f>
        <v>1</v>
      </c>
      <c r="BM25" s="48" t="b">
        <f>X25=[2]员工报账!X25</f>
        <v>1</v>
      </c>
      <c r="BN25" s="48" t="b">
        <f>Y25=[2]员工报账!Y25</f>
        <v>1</v>
      </c>
      <c r="BO25" s="48" t="b">
        <f>Z25=[2]员工报账!Z25</f>
        <v>1</v>
      </c>
      <c r="BP25" s="48" t="b">
        <f>AA25=[2]员工报账!AA25</f>
        <v>1</v>
      </c>
      <c r="BQ25" s="48" t="b">
        <f>AB25=[2]员工报账!AB25</f>
        <v>1</v>
      </c>
      <c r="BR25" s="48" t="b">
        <f>AC25=[2]员工报账!AC25</f>
        <v>1</v>
      </c>
      <c r="BS25" s="48" t="b">
        <f>AD25=[2]员工报账!AD25</f>
        <v>1</v>
      </c>
      <c r="BT25" s="48" t="b">
        <f>AE25=[2]员工报账!AE25</f>
        <v>1</v>
      </c>
      <c r="BU25" s="48" t="b">
        <f>AF25=[2]员工报账!AF25</f>
        <v>1</v>
      </c>
      <c r="BV25" s="48" t="b">
        <f>AG25=[2]员工报账!AG25</f>
        <v>1</v>
      </c>
      <c r="BW25" s="48" t="b">
        <f>AH25=[2]员工报账!AH25</f>
        <v>1</v>
      </c>
      <c r="BX25" s="48" t="b">
        <f>AI25=[2]员工报账!AI25</f>
        <v>1</v>
      </c>
      <c r="BY25" s="48" t="b">
        <f>AJ25=[2]员工报账!AJ25</f>
        <v>1</v>
      </c>
      <c r="BZ25" s="48" t="b">
        <f>AK25=[2]员工报账!AK25</f>
        <v>1</v>
      </c>
    </row>
    <row r="26" s="48" customFormat="1" ht="118.8" spans="1:78">
      <c r="A26" s="56" t="s">
        <v>453</v>
      </c>
      <c r="B26" s="56" t="s">
        <v>454</v>
      </c>
      <c r="C26" s="57" t="s">
        <v>455</v>
      </c>
      <c r="D26" s="57" t="s">
        <v>563</v>
      </c>
      <c r="E26" s="58" t="s">
        <v>580</v>
      </c>
      <c r="F26" s="59" t="s">
        <v>500</v>
      </c>
      <c r="G26" s="57" t="s">
        <v>581</v>
      </c>
      <c r="H26" s="58" t="s">
        <v>582</v>
      </c>
      <c r="I26" s="35" t="s">
        <v>583</v>
      </c>
      <c r="J26" s="42" t="s">
        <v>584</v>
      </c>
      <c r="K26" s="35"/>
      <c r="L26" s="35"/>
      <c r="M26" s="35" t="s">
        <v>36</v>
      </c>
      <c r="N26" s="35"/>
      <c r="O26" s="35"/>
      <c r="P26" s="35"/>
      <c r="Q26" s="35" t="s">
        <v>36</v>
      </c>
      <c r="R26" s="35" t="s">
        <v>36</v>
      </c>
      <c r="S26" s="35"/>
      <c r="T26" s="43" t="s">
        <v>463</v>
      </c>
      <c r="U26" s="35" t="s">
        <v>464</v>
      </c>
      <c r="V26" s="42" t="s">
        <v>585</v>
      </c>
      <c r="W26" s="42" t="s">
        <v>586</v>
      </c>
      <c r="X26" s="35" t="s">
        <v>467</v>
      </c>
      <c r="Y26" s="35" t="s">
        <v>468</v>
      </c>
      <c r="Z26" s="35"/>
      <c r="AA26" s="35" t="s">
        <v>469</v>
      </c>
      <c r="AB26" s="35" t="s">
        <v>470</v>
      </c>
      <c r="AC26" s="35"/>
      <c r="AD26" s="42" t="s">
        <v>587</v>
      </c>
      <c r="AE26" s="35" t="s">
        <v>472</v>
      </c>
      <c r="AF26" s="35" t="s">
        <v>470</v>
      </c>
      <c r="AG26" s="35"/>
      <c r="AH26" s="35" t="s">
        <v>473</v>
      </c>
      <c r="AI26" s="35" t="s">
        <v>473</v>
      </c>
      <c r="AJ26" s="42" t="s">
        <v>588</v>
      </c>
      <c r="AK26" s="35" t="s">
        <v>475</v>
      </c>
      <c r="AL26" s="42" t="s">
        <v>476</v>
      </c>
      <c r="AM26" s="61"/>
      <c r="AN26" s="42"/>
      <c r="AO26" s="97"/>
      <c r="AP26" s="48" t="b">
        <f>A26=[2]员工报账!A26</f>
        <v>1</v>
      </c>
      <c r="AQ26" s="48" t="b">
        <f>B26=[2]员工报账!B26</f>
        <v>1</v>
      </c>
      <c r="AR26" s="48" t="b">
        <f>C26=[2]员工报账!C26</f>
        <v>1</v>
      </c>
      <c r="AS26" s="48" t="b">
        <f>D26=[2]员工报账!D26</f>
        <v>1</v>
      </c>
      <c r="AT26" s="48" t="b">
        <f>E26=[2]员工报账!E26</f>
        <v>1</v>
      </c>
      <c r="AU26" s="48" t="b">
        <f>F26=[2]员工报账!F26</f>
        <v>1</v>
      </c>
      <c r="AV26" s="48" t="b">
        <f>G26=[2]员工报账!G26</f>
        <v>1</v>
      </c>
      <c r="AW26" s="48" t="b">
        <f>H26=[2]员工报账!H26</f>
        <v>1</v>
      </c>
      <c r="AX26" s="48" t="b">
        <f>I26=[2]员工报账!I26</f>
        <v>1</v>
      </c>
      <c r="AY26" s="48" t="b">
        <f>J26=[2]员工报账!J26</f>
        <v>1</v>
      </c>
      <c r="AZ26" s="48" t="b">
        <f>K26=[2]员工报账!K26</f>
        <v>1</v>
      </c>
      <c r="BA26" s="48" t="b">
        <f>L26=[2]员工报账!L26</f>
        <v>1</v>
      </c>
      <c r="BB26" s="48" t="b">
        <f>M26=[2]员工报账!M26</f>
        <v>1</v>
      </c>
      <c r="BC26" s="48" t="b">
        <f>N26=[2]员工报账!N26</f>
        <v>1</v>
      </c>
      <c r="BD26" s="48" t="b">
        <f>O26=[2]员工报账!O26</f>
        <v>1</v>
      </c>
      <c r="BE26" s="48" t="b">
        <f>P26=[2]员工报账!P26</f>
        <v>1</v>
      </c>
      <c r="BF26" s="48" t="b">
        <f>Q26=[2]员工报账!Q26</f>
        <v>1</v>
      </c>
      <c r="BG26" s="48" t="b">
        <f>R26=[2]员工报账!R26</f>
        <v>1</v>
      </c>
      <c r="BH26" s="48" t="b">
        <f>S26=[2]员工报账!S26</f>
        <v>1</v>
      </c>
      <c r="BI26" s="48" t="b">
        <f>T26=[2]员工报账!T26</f>
        <v>1</v>
      </c>
      <c r="BJ26" s="48" t="b">
        <f>U26=[2]员工报账!U26</f>
        <v>1</v>
      </c>
      <c r="BK26" s="48" t="b">
        <f>V26=[2]员工报账!V26</f>
        <v>1</v>
      </c>
      <c r="BL26" s="48" t="b">
        <f>W26=[2]员工报账!W26</f>
        <v>1</v>
      </c>
      <c r="BM26" s="48" t="b">
        <f>X26=[2]员工报账!X26</f>
        <v>1</v>
      </c>
      <c r="BN26" s="48" t="b">
        <f>Y26=[2]员工报账!Y26</f>
        <v>1</v>
      </c>
      <c r="BO26" s="48" t="b">
        <f>Z26=[2]员工报账!Z26</f>
        <v>1</v>
      </c>
      <c r="BP26" s="48" t="b">
        <f>AA26=[2]员工报账!AA26</f>
        <v>1</v>
      </c>
      <c r="BQ26" s="48" t="b">
        <f>AB26=[2]员工报账!AB26</f>
        <v>1</v>
      </c>
      <c r="BR26" s="48" t="b">
        <f>AC26=[2]员工报账!AC26</f>
        <v>1</v>
      </c>
      <c r="BS26" s="48" t="b">
        <f>AD26=[2]员工报账!AD26</f>
        <v>1</v>
      </c>
      <c r="BT26" s="48" t="b">
        <f>AE26=[2]员工报账!AE26</f>
        <v>1</v>
      </c>
      <c r="BU26" s="48" t="b">
        <f>AF26=[2]员工报账!AF26</f>
        <v>1</v>
      </c>
      <c r="BV26" s="48" t="b">
        <f>AG26=[2]员工报账!AG26</f>
        <v>1</v>
      </c>
      <c r="BW26" s="48" t="b">
        <f>AH26=[2]员工报账!AH26</f>
        <v>1</v>
      </c>
      <c r="BX26" s="48" t="b">
        <f>AI26=[2]员工报账!AI26</f>
        <v>1</v>
      </c>
      <c r="BY26" s="48" t="b">
        <f>AJ26=[2]员工报账!AJ26</f>
        <v>1</v>
      </c>
      <c r="BZ26" s="48" t="b">
        <f>AK26=[2]员工报账!AK26</f>
        <v>1</v>
      </c>
    </row>
    <row r="27" s="48" customFormat="1" ht="105.6" spans="1:78">
      <c r="A27" s="62"/>
      <c r="B27" s="62"/>
      <c r="C27" s="63"/>
      <c r="D27" s="63"/>
      <c r="E27" s="64"/>
      <c r="F27" s="69"/>
      <c r="G27" s="63"/>
      <c r="H27" s="64"/>
      <c r="I27" s="35" t="s">
        <v>589</v>
      </c>
      <c r="J27" s="42" t="s">
        <v>590</v>
      </c>
      <c r="K27" s="35"/>
      <c r="L27" s="35"/>
      <c r="M27" s="35" t="s">
        <v>36</v>
      </c>
      <c r="N27" s="35"/>
      <c r="O27" s="35"/>
      <c r="P27" s="35"/>
      <c r="Q27" s="35" t="s">
        <v>36</v>
      </c>
      <c r="R27" s="35"/>
      <c r="S27" s="35"/>
      <c r="T27" s="43" t="s">
        <v>463</v>
      </c>
      <c r="U27" s="35" t="s">
        <v>464</v>
      </c>
      <c r="V27" s="42" t="s">
        <v>585</v>
      </c>
      <c r="W27" s="42" t="s">
        <v>525</v>
      </c>
      <c r="X27" s="35" t="s">
        <v>467</v>
      </c>
      <c r="Y27" s="35" t="s">
        <v>468</v>
      </c>
      <c r="Z27" s="35"/>
      <c r="AA27" s="35" t="s">
        <v>469</v>
      </c>
      <c r="AB27" s="35" t="s">
        <v>470</v>
      </c>
      <c r="AC27" s="35"/>
      <c r="AD27" s="42" t="s">
        <v>587</v>
      </c>
      <c r="AE27" s="35" t="s">
        <v>472</v>
      </c>
      <c r="AF27" s="35" t="s">
        <v>470</v>
      </c>
      <c r="AG27" s="35"/>
      <c r="AH27" s="35" t="s">
        <v>473</v>
      </c>
      <c r="AI27" s="35" t="s">
        <v>473</v>
      </c>
      <c r="AJ27" s="42" t="s">
        <v>591</v>
      </c>
      <c r="AK27" s="35" t="s">
        <v>475</v>
      </c>
      <c r="AL27" s="42" t="s">
        <v>476</v>
      </c>
      <c r="AM27" s="61"/>
      <c r="AN27" s="42"/>
      <c r="AO27" s="97"/>
      <c r="AP27" s="48" t="b">
        <f>A27=[2]员工报账!A27</f>
        <v>1</v>
      </c>
      <c r="AQ27" s="48" t="b">
        <f>B27=[2]员工报账!B27</f>
        <v>1</v>
      </c>
      <c r="AR27" s="48" t="b">
        <f>C27=[2]员工报账!C27</f>
        <v>1</v>
      </c>
      <c r="AS27" s="48" t="b">
        <f>D27=[2]员工报账!D27</f>
        <v>1</v>
      </c>
      <c r="AT27" s="48" t="b">
        <f>E27=[2]员工报账!E27</f>
        <v>1</v>
      </c>
      <c r="AU27" s="48" t="b">
        <f>F27=[2]员工报账!F27</f>
        <v>1</v>
      </c>
      <c r="AV27" s="48" t="b">
        <f>G27=[2]员工报账!G27</f>
        <v>1</v>
      </c>
      <c r="AW27" s="48" t="b">
        <f>H27=[2]员工报账!H27</f>
        <v>1</v>
      </c>
      <c r="AX27" s="48" t="b">
        <f>I27=[2]员工报账!I27</f>
        <v>1</v>
      </c>
      <c r="AY27" s="48" t="b">
        <f>J27=[2]员工报账!J27</f>
        <v>1</v>
      </c>
      <c r="AZ27" s="48" t="b">
        <f>K27=[2]员工报账!K27</f>
        <v>1</v>
      </c>
      <c r="BA27" s="48" t="b">
        <f>L27=[2]员工报账!L27</f>
        <v>1</v>
      </c>
      <c r="BB27" s="48" t="b">
        <f>M27=[2]员工报账!M27</f>
        <v>1</v>
      </c>
      <c r="BC27" s="48" t="b">
        <f>N27=[2]员工报账!N27</f>
        <v>1</v>
      </c>
      <c r="BD27" s="48" t="b">
        <f>O27=[2]员工报账!O27</f>
        <v>1</v>
      </c>
      <c r="BE27" s="48" t="b">
        <f>P27=[2]员工报账!P27</f>
        <v>1</v>
      </c>
      <c r="BF27" s="48" t="b">
        <f>Q27=[2]员工报账!Q27</f>
        <v>1</v>
      </c>
      <c r="BG27" s="48" t="b">
        <f>R27=[2]员工报账!R27</f>
        <v>1</v>
      </c>
      <c r="BH27" s="48" t="b">
        <f>S27=[2]员工报账!S27</f>
        <v>1</v>
      </c>
      <c r="BI27" s="48" t="b">
        <f>T27=[2]员工报账!T27</f>
        <v>1</v>
      </c>
      <c r="BJ27" s="48" t="b">
        <f>U27=[2]员工报账!U27</f>
        <v>1</v>
      </c>
      <c r="BK27" s="48" t="b">
        <f>V27=[2]员工报账!V27</f>
        <v>1</v>
      </c>
      <c r="BL27" s="48" t="b">
        <f>W27=[2]员工报账!W27</f>
        <v>1</v>
      </c>
      <c r="BM27" s="48" t="b">
        <f>X27=[2]员工报账!X27</f>
        <v>1</v>
      </c>
      <c r="BN27" s="48" t="b">
        <f>Y27=[2]员工报账!Y27</f>
        <v>1</v>
      </c>
      <c r="BO27" s="48" t="b">
        <f>Z27=[2]员工报账!Z27</f>
        <v>1</v>
      </c>
      <c r="BP27" s="48" t="b">
        <f>AA27=[2]员工报账!AA27</f>
        <v>1</v>
      </c>
      <c r="BQ27" s="48" t="b">
        <f>AB27=[2]员工报账!AB27</f>
        <v>1</v>
      </c>
      <c r="BR27" s="48" t="b">
        <f>AC27=[2]员工报账!AC27</f>
        <v>1</v>
      </c>
      <c r="BS27" s="48" t="b">
        <f>AD27=[2]员工报账!AD27</f>
        <v>1</v>
      </c>
      <c r="BT27" s="48" t="b">
        <f>AE27=[2]员工报账!AE27</f>
        <v>1</v>
      </c>
      <c r="BU27" s="48" t="b">
        <f>AF27=[2]员工报账!AF27</f>
        <v>1</v>
      </c>
      <c r="BV27" s="48" t="b">
        <f>AG27=[2]员工报账!AG27</f>
        <v>1</v>
      </c>
      <c r="BW27" s="48" t="b">
        <f>AH27=[2]员工报账!AH27</f>
        <v>1</v>
      </c>
      <c r="BX27" s="48" t="b">
        <f>AI27=[2]员工报账!AI27</f>
        <v>1</v>
      </c>
      <c r="BY27" s="48" t="b">
        <f>AJ27=[2]员工报账!AJ27</f>
        <v>1</v>
      </c>
      <c r="BZ27" s="48" t="b">
        <f>AK27=[2]员工报账!AK27</f>
        <v>1</v>
      </c>
    </row>
    <row r="28" s="48" customFormat="1" ht="118.8" spans="1:78">
      <c r="A28" s="62"/>
      <c r="B28" s="62"/>
      <c r="C28" s="63"/>
      <c r="D28" s="63"/>
      <c r="E28" s="64"/>
      <c r="F28" s="69"/>
      <c r="G28" s="63"/>
      <c r="H28" s="64"/>
      <c r="I28" s="35" t="s">
        <v>592</v>
      </c>
      <c r="J28" s="42" t="s">
        <v>593</v>
      </c>
      <c r="K28" s="35"/>
      <c r="L28" s="35"/>
      <c r="M28" s="35" t="s">
        <v>36</v>
      </c>
      <c r="N28" s="35"/>
      <c r="O28" s="35"/>
      <c r="P28" s="35"/>
      <c r="Q28" s="35"/>
      <c r="R28" s="35" t="s">
        <v>36</v>
      </c>
      <c r="S28" s="35"/>
      <c r="T28" s="43" t="s">
        <v>463</v>
      </c>
      <c r="U28" s="35" t="s">
        <v>464</v>
      </c>
      <c r="V28" s="42" t="s">
        <v>585</v>
      </c>
      <c r="W28" s="42" t="s">
        <v>586</v>
      </c>
      <c r="X28" s="35" t="s">
        <v>467</v>
      </c>
      <c r="Y28" s="35" t="s">
        <v>468</v>
      </c>
      <c r="Z28" s="35"/>
      <c r="AA28" s="35" t="s">
        <v>469</v>
      </c>
      <c r="AB28" s="35" t="s">
        <v>470</v>
      </c>
      <c r="AC28" s="35"/>
      <c r="AD28" s="42" t="s">
        <v>587</v>
      </c>
      <c r="AE28" s="35" t="s">
        <v>472</v>
      </c>
      <c r="AF28" s="35" t="s">
        <v>470</v>
      </c>
      <c r="AG28" s="35"/>
      <c r="AH28" s="35" t="s">
        <v>473</v>
      </c>
      <c r="AI28" s="35" t="s">
        <v>473</v>
      </c>
      <c r="AJ28" s="42" t="s">
        <v>594</v>
      </c>
      <c r="AK28" s="35" t="s">
        <v>475</v>
      </c>
      <c r="AL28" s="42" t="s">
        <v>476</v>
      </c>
      <c r="AM28" s="61"/>
      <c r="AN28" s="42"/>
      <c r="AO28" s="97"/>
      <c r="AP28" s="48" t="b">
        <f>A28=[2]员工报账!A28</f>
        <v>1</v>
      </c>
      <c r="AQ28" s="48" t="b">
        <f>B28=[2]员工报账!B28</f>
        <v>1</v>
      </c>
      <c r="AR28" s="48" t="b">
        <f>C28=[2]员工报账!C28</f>
        <v>1</v>
      </c>
      <c r="AS28" s="48" t="b">
        <f>D28=[2]员工报账!D28</f>
        <v>1</v>
      </c>
      <c r="AT28" s="48" t="b">
        <f>E28=[2]员工报账!E28</f>
        <v>1</v>
      </c>
      <c r="AU28" s="48" t="b">
        <f>F28=[2]员工报账!F28</f>
        <v>1</v>
      </c>
      <c r="AV28" s="48" t="b">
        <f>G28=[2]员工报账!G28</f>
        <v>1</v>
      </c>
      <c r="AW28" s="48" t="b">
        <f>H28=[2]员工报账!H28</f>
        <v>1</v>
      </c>
      <c r="AX28" s="48" t="b">
        <f>I28=[2]员工报账!I28</f>
        <v>1</v>
      </c>
      <c r="AY28" s="48" t="b">
        <f>J28=[2]员工报账!J28</f>
        <v>1</v>
      </c>
      <c r="AZ28" s="48" t="b">
        <f>K28=[2]员工报账!K28</f>
        <v>1</v>
      </c>
      <c r="BA28" s="48" t="b">
        <f>L28=[2]员工报账!L28</f>
        <v>1</v>
      </c>
      <c r="BB28" s="48" t="b">
        <f>M28=[2]员工报账!M28</f>
        <v>1</v>
      </c>
      <c r="BC28" s="48" t="b">
        <f>N28=[2]员工报账!N28</f>
        <v>1</v>
      </c>
      <c r="BD28" s="48" t="b">
        <f>O28=[2]员工报账!O28</f>
        <v>1</v>
      </c>
      <c r="BE28" s="48" t="b">
        <f>P28=[2]员工报账!P28</f>
        <v>1</v>
      </c>
      <c r="BF28" s="48" t="b">
        <f>Q28=[2]员工报账!Q28</f>
        <v>1</v>
      </c>
      <c r="BG28" s="48" t="b">
        <f>R28=[2]员工报账!R28</f>
        <v>1</v>
      </c>
      <c r="BH28" s="48" t="b">
        <f>S28=[2]员工报账!S28</f>
        <v>1</v>
      </c>
      <c r="BI28" s="48" t="b">
        <f>T28=[2]员工报账!T28</f>
        <v>1</v>
      </c>
      <c r="BJ28" s="48" t="b">
        <f>U28=[2]员工报账!U28</f>
        <v>1</v>
      </c>
      <c r="BK28" s="48" t="b">
        <f>V28=[2]员工报账!V28</f>
        <v>1</v>
      </c>
      <c r="BL28" s="48" t="b">
        <f>W28=[2]员工报账!W28</f>
        <v>1</v>
      </c>
      <c r="BM28" s="48" t="b">
        <f>X28=[2]员工报账!X28</f>
        <v>1</v>
      </c>
      <c r="BN28" s="48" t="b">
        <f>Y28=[2]员工报账!Y28</f>
        <v>1</v>
      </c>
      <c r="BO28" s="48" t="b">
        <f>Z28=[2]员工报账!Z28</f>
        <v>1</v>
      </c>
      <c r="BP28" s="48" t="b">
        <f>AA28=[2]员工报账!AA28</f>
        <v>1</v>
      </c>
      <c r="BQ28" s="48" t="b">
        <f>AB28=[2]员工报账!AB28</f>
        <v>1</v>
      </c>
      <c r="BR28" s="48" t="b">
        <f>AC28=[2]员工报账!AC28</f>
        <v>1</v>
      </c>
      <c r="BS28" s="48" t="b">
        <f>AD28=[2]员工报账!AD28</f>
        <v>1</v>
      </c>
      <c r="BT28" s="48" t="b">
        <f>AE28=[2]员工报账!AE28</f>
        <v>1</v>
      </c>
      <c r="BU28" s="48" t="b">
        <f>AF28=[2]员工报账!AF28</f>
        <v>1</v>
      </c>
      <c r="BV28" s="48" t="b">
        <f>AG28=[2]员工报账!AG28</f>
        <v>1</v>
      </c>
      <c r="BW28" s="48" t="b">
        <f>AH28=[2]员工报账!AH28</f>
        <v>1</v>
      </c>
      <c r="BX28" s="48" t="b">
        <f>AI28=[2]员工报账!AI28</f>
        <v>1</v>
      </c>
      <c r="BY28" s="48" t="b">
        <f>AJ28=[2]员工报账!AJ28</f>
        <v>1</v>
      </c>
      <c r="BZ28" s="48" t="b">
        <f>AK28=[2]员工报账!AK28</f>
        <v>1</v>
      </c>
    </row>
    <row r="29" s="48" customFormat="1" ht="118.8" spans="1:78">
      <c r="A29" s="67"/>
      <c r="B29" s="67"/>
      <c r="C29" s="38"/>
      <c r="D29" s="38"/>
      <c r="E29" s="66"/>
      <c r="F29" s="70"/>
      <c r="G29" s="38"/>
      <c r="H29" s="66"/>
      <c r="I29" s="35" t="s">
        <v>595</v>
      </c>
      <c r="J29" s="42" t="s">
        <v>596</v>
      </c>
      <c r="K29" s="35"/>
      <c r="L29" s="35"/>
      <c r="M29" s="35" t="s">
        <v>36</v>
      </c>
      <c r="N29" s="35"/>
      <c r="O29" s="35"/>
      <c r="P29" s="35"/>
      <c r="Q29" s="35" t="s">
        <v>36</v>
      </c>
      <c r="R29" s="35"/>
      <c r="S29" s="35"/>
      <c r="T29" s="43" t="s">
        <v>463</v>
      </c>
      <c r="U29" s="35" t="s">
        <v>464</v>
      </c>
      <c r="V29" s="42" t="s">
        <v>585</v>
      </c>
      <c r="W29" s="42" t="s">
        <v>586</v>
      </c>
      <c r="X29" s="35" t="s">
        <v>467</v>
      </c>
      <c r="Y29" s="35" t="s">
        <v>468</v>
      </c>
      <c r="Z29" s="35"/>
      <c r="AA29" s="35" t="s">
        <v>469</v>
      </c>
      <c r="AB29" s="35" t="s">
        <v>470</v>
      </c>
      <c r="AC29" s="35"/>
      <c r="AD29" s="42" t="s">
        <v>587</v>
      </c>
      <c r="AE29" s="35" t="s">
        <v>472</v>
      </c>
      <c r="AF29" s="35" t="s">
        <v>470</v>
      </c>
      <c r="AG29" s="35"/>
      <c r="AH29" s="35" t="s">
        <v>473</v>
      </c>
      <c r="AI29" s="35" t="s">
        <v>473</v>
      </c>
      <c r="AJ29" s="42" t="s">
        <v>591</v>
      </c>
      <c r="AK29" s="35" t="s">
        <v>475</v>
      </c>
      <c r="AL29" s="42" t="s">
        <v>476</v>
      </c>
      <c r="AM29" s="61"/>
      <c r="AN29" s="42"/>
      <c r="AO29" s="97"/>
      <c r="AP29" s="48" t="b">
        <f>A29=[2]员工报账!A29</f>
        <v>1</v>
      </c>
      <c r="AQ29" s="48" t="b">
        <f>B29=[2]员工报账!B29</f>
        <v>1</v>
      </c>
      <c r="AR29" s="48" t="b">
        <f>C29=[2]员工报账!C29</f>
        <v>1</v>
      </c>
      <c r="AS29" s="48" t="b">
        <f>D29=[2]员工报账!D29</f>
        <v>1</v>
      </c>
      <c r="AT29" s="48" t="b">
        <f>E29=[2]员工报账!E29</f>
        <v>1</v>
      </c>
      <c r="AU29" s="48" t="b">
        <f>F29=[2]员工报账!F29</f>
        <v>1</v>
      </c>
      <c r="AV29" s="48" t="b">
        <f>G29=[2]员工报账!G29</f>
        <v>1</v>
      </c>
      <c r="AW29" s="48" t="b">
        <f>H29=[2]员工报账!H29</f>
        <v>1</v>
      </c>
      <c r="AX29" s="48" t="b">
        <f>I29=[2]员工报账!I29</f>
        <v>1</v>
      </c>
      <c r="AY29" s="48" t="b">
        <f>J29=[2]员工报账!J29</f>
        <v>1</v>
      </c>
      <c r="AZ29" s="48" t="b">
        <f>K29=[2]员工报账!K29</f>
        <v>1</v>
      </c>
      <c r="BA29" s="48" t="b">
        <f>L29=[2]员工报账!L29</f>
        <v>1</v>
      </c>
      <c r="BB29" s="48" t="b">
        <f>M29=[2]员工报账!M29</f>
        <v>1</v>
      </c>
      <c r="BC29" s="48" t="b">
        <f>N29=[2]员工报账!N29</f>
        <v>1</v>
      </c>
      <c r="BD29" s="48" t="b">
        <f>O29=[2]员工报账!O29</f>
        <v>1</v>
      </c>
      <c r="BE29" s="48" t="b">
        <f>P29=[2]员工报账!P29</f>
        <v>1</v>
      </c>
      <c r="BF29" s="48" t="b">
        <f>Q29=[2]员工报账!Q29</f>
        <v>1</v>
      </c>
      <c r="BG29" s="48" t="b">
        <f>R29=[2]员工报账!R29</f>
        <v>1</v>
      </c>
      <c r="BH29" s="48" t="b">
        <f>S29=[2]员工报账!S29</f>
        <v>1</v>
      </c>
      <c r="BI29" s="48" t="b">
        <f>T29=[2]员工报账!T29</f>
        <v>1</v>
      </c>
      <c r="BJ29" s="48" t="b">
        <f>U29=[2]员工报账!U29</f>
        <v>1</v>
      </c>
      <c r="BK29" s="48" t="b">
        <f>V29=[2]员工报账!V29</f>
        <v>1</v>
      </c>
      <c r="BL29" s="48" t="b">
        <f>W29=[2]员工报账!W29</f>
        <v>1</v>
      </c>
      <c r="BM29" s="48" t="b">
        <f>X29=[2]员工报账!X29</f>
        <v>1</v>
      </c>
      <c r="BN29" s="48" t="b">
        <f>Y29=[2]员工报账!Y29</f>
        <v>1</v>
      </c>
      <c r="BO29" s="48" t="b">
        <f>Z29=[2]员工报账!Z29</f>
        <v>1</v>
      </c>
      <c r="BP29" s="48" t="b">
        <f>AA29=[2]员工报账!AA29</f>
        <v>1</v>
      </c>
      <c r="BQ29" s="48" t="b">
        <f>AB29=[2]员工报账!AB29</f>
        <v>1</v>
      </c>
      <c r="BR29" s="48" t="b">
        <f>AC29=[2]员工报账!AC29</f>
        <v>1</v>
      </c>
      <c r="BS29" s="48" t="b">
        <f>AD29=[2]员工报账!AD29</f>
        <v>1</v>
      </c>
      <c r="BT29" s="48" t="b">
        <f>AE29=[2]员工报账!AE29</f>
        <v>1</v>
      </c>
      <c r="BU29" s="48" t="b">
        <f>AF29=[2]员工报账!AF29</f>
        <v>1</v>
      </c>
      <c r="BV29" s="48" t="b">
        <f>AG29=[2]员工报账!AG29</f>
        <v>1</v>
      </c>
      <c r="BW29" s="48" t="b">
        <f>AH29=[2]员工报账!AH29</f>
        <v>1</v>
      </c>
      <c r="BX29" s="48" t="b">
        <f>AI29=[2]员工报账!AI29</f>
        <v>1</v>
      </c>
      <c r="BY29" s="48" t="b">
        <f>AJ29=[2]员工报账!AJ29</f>
        <v>1</v>
      </c>
      <c r="BZ29" s="48" t="b">
        <f>AK29=[2]员工报账!AK29</f>
        <v>1</v>
      </c>
    </row>
    <row r="30" s="48" customFormat="1" ht="158.4" spans="1:78">
      <c r="A30" s="56" t="s">
        <v>453</v>
      </c>
      <c r="B30" s="56" t="s">
        <v>454</v>
      </c>
      <c r="C30" s="63" t="s">
        <v>455</v>
      </c>
      <c r="D30" s="63" t="s">
        <v>563</v>
      </c>
      <c r="E30" s="66" t="s">
        <v>580</v>
      </c>
      <c r="F30" s="73" t="s">
        <v>500</v>
      </c>
      <c r="G30" s="38" t="s">
        <v>581</v>
      </c>
      <c r="H30" s="66" t="s">
        <v>582</v>
      </c>
      <c r="I30" s="35" t="s">
        <v>597</v>
      </c>
      <c r="J30" s="42" t="s">
        <v>598</v>
      </c>
      <c r="K30" s="35"/>
      <c r="L30" s="35"/>
      <c r="M30" s="35" t="s">
        <v>36</v>
      </c>
      <c r="N30" s="35"/>
      <c r="O30" s="35"/>
      <c r="P30" s="35"/>
      <c r="Q30" s="35"/>
      <c r="R30" s="35" t="s">
        <v>36</v>
      </c>
      <c r="S30" s="35" t="s">
        <v>36</v>
      </c>
      <c r="T30" s="35" t="s">
        <v>516</v>
      </c>
      <c r="U30" s="42"/>
      <c r="V30" s="42" t="s">
        <v>532</v>
      </c>
      <c r="W30" s="42" t="s">
        <v>599</v>
      </c>
      <c r="X30" s="35" t="s">
        <v>467</v>
      </c>
      <c r="Y30" s="35" t="s">
        <v>468</v>
      </c>
      <c r="Z30" s="35"/>
      <c r="AA30" s="35" t="s">
        <v>469</v>
      </c>
      <c r="AB30" s="35" t="s">
        <v>470</v>
      </c>
      <c r="AC30" s="35"/>
      <c r="AD30" s="42" t="s">
        <v>587</v>
      </c>
      <c r="AE30" s="35" t="s">
        <v>472</v>
      </c>
      <c r="AF30" s="35" t="s">
        <v>470</v>
      </c>
      <c r="AG30" s="35"/>
      <c r="AH30" s="35" t="s">
        <v>473</v>
      </c>
      <c r="AI30" s="35" t="s">
        <v>473</v>
      </c>
      <c r="AJ30" s="42" t="s">
        <v>600</v>
      </c>
      <c r="AK30" s="35" t="s">
        <v>475</v>
      </c>
      <c r="AL30" s="42" t="s">
        <v>476</v>
      </c>
      <c r="AM30" s="61"/>
      <c r="AN30" s="42" t="s">
        <v>477</v>
      </c>
      <c r="AO30" s="97"/>
      <c r="AP30" s="48" t="b">
        <f>A30=[2]员工报账!A30</f>
        <v>1</v>
      </c>
      <c r="AQ30" s="48" t="b">
        <f>B30=[2]员工报账!B30</f>
        <v>1</v>
      </c>
      <c r="AR30" s="48" t="b">
        <f>C30=[2]员工报账!C30</f>
        <v>1</v>
      </c>
      <c r="AS30" s="48" t="b">
        <f>D30=[2]员工报账!D30</f>
        <v>1</v>
      </c>
      <c r="AT30" s="48" t="b">
        <f>E30=[2]员工报账!E30</f>
        <v>1</v>
      </c>
      <c r="AU30" s="48" t="b">
        <f>F30=[2]员工报账!F30</f>
        <v>1</v>
      </c>
      <c r="AV30" s="48" t="b">
        <f>G30=[2]员工报账!G30</f>
        <v>1</v>
      </c>
      <c r="AW30" s="48" t="b">
        <f>H30=[2]员工报账!H30</f>
        <v>1</v>
      </c>
      <c r="AX30" s="48" t="b">
        <f>I30=[2]员工报账!I30</f>
        <v>1</v>
      </c>
      <c r="AY30" s="48" t="b">
        <f>J30=[2]员工报账!J30</f>
        <v>1</v>
      </c>
      <c r="AZ30" s="48" t="b">
        <f>K30=[2]员工报账!K30</f>
        <v>1</v>
      </c>
      <c r="BA30" s="48" t="b">
        <f>L30=[2]员工报账!L30</f>
        <v>1</v>
      </c>
      <c r="BB30" s="48" t="b">
        <f>M30=[2]员工报账!M30</f>
        <v>1</v>
      </c>
      <c r="BC30" s="48" t="b">
        <f>N30=[2]员工报账!N30</f>
        <v>1</v>
      </c>
      <c r="BD30" s="48" t="b">
        <f>O30=[2]员工报账!O30</f>
        <v>1</v>
      </c>
      <c r="BE30" s="48" t="b">
        <f>P30=[2]员工报账!P30</f>
        <v>1</v>
      </c>
      <c r="BF30" s="48" t="b">
        <f>Q30=[2]员工报账!Q30</f>
        <v>1</v>
      </c>
      <c r="BG30" s="48" t="b">
        <f>R30=[2]员工报账!R30</f>
        <v>1</v>
      </c>
      <c r="BH30" s="48" t="b">
        <f>S30=[2]员工报账!S30</f>
        <v>1</v>
      </c>
      <c r="BI30" s="48" t="b">
        <f>T30=[2]员工报账!T30</f>
        <v>1</v>
      </c>
      <c r="BJ30" s="48" t="b">
        <f>U30=[2]员工报账!U30</f>
        <v>1</v>
      </c>
      <c r="BK30" s="48" t="b">
        <f>V30=[2]员工报账!V30</f>
        <v>1</v>
      </c>
      <c r="BL30" s="48" t="b">
        <f>W30=[2]员工报账!W30</f>
        <v>1</v>
      </c>
      <c r="BM30" s="48" t="b">
        <f>X30=[2]员工报账!X30</f>
        <v>1</v>
      </c>
      <c r="BN30" s="48" t="b">
        <f>Y30=[2]员工报账!Y30</f>
        <v>1</v>
      </c>
      <c r="BO30" s="48" t="b">
        <f>Z30=[2]员工报账!Z30</f>
        <v>1</v>
      </c>
      <c r="BP30" s="48" t="b">
        <f>AA30=[2]员工报账!AA30</f>
        <v>1</v>
      </c>
      <c r="BQ30" s="48" t="b">
        <f>AB30=[2]员工报账!AB30</f>
        <v>1</v>
      </c>
      <c r="BR30" s="48" t="b">
        <f>AC30=[2]员工报账!AC30</f>
        <v>1</v>
      </c>
      <c r="BS30" s="48" t="b">
        <f>AD30=[2]员工报账!AD30</f>
        <v>1</v>
      </c>
      <c r="BT30" s="48" t="b">
        <f>AE30=[2]员工报账!AE30</f>
        <v>1</v>
      </c>
      <c r="BU30" s="48" t="b">
        <f>AF30=[2]员工报账!AF30</f>
        <v>1</v>
      </c>
      <c r="BV30" s="48" t="b">
        <f>AG30=[2]员工报账!AG30</f>
        <v>1</v>
      </c>
      <c r="BW30" s="48" t="b">
        <f>AH30=[2]员工报账!AH30</f>
        <v>1</v>
      </c>
      <c r="BX30" s="48" t="b">
        <f>AI30=[2]员工报账!AI30</f>
        <v>1</v>
      </c>
      <c r="BY30" s="48" t="b">
        <f>AJ30=[2]员工报账!AJ30</f>
        <v>1</v>
      </c>
      <c r="BZ30" s="48" t="b">
        <f>AK30=[2]员工报账!AK30</f>
        <v>1</v>
      </c>
    </row>
    <row r="31" s="48" customFormat="1" ht="92.4" spans="1:78">
      <c r="A31" s="62"/>
      <c r="B31" s="62"/>
      <c r="C31" s="63"/>
      <c r="D31" s="63"/>
      <c r="E31" s="58" t="s">
        <v>601</v>
      </c>
      <c r="F31" s="73"/>
      <c r="G31" s="57" t="s">
        <v>602</v>
      </c>
      <c r="H31" s="58" t="s">
        <v>603</v>
      </c>
      <c r="I31" s="35" t="s">
        <v>604</v>
      </c>
      <c r="J31" s="42" t="s">
        <v>605</v>
      </c>
      <c r="K31" s="35"/>
      <c r="L31" s="35"/>
      <c r="M31" s="35"/>
      <c r="N31" s="35"/>
      <c r="O31" s="35"/>
      <c r="P31" s="35"/>
      <c r="Q31" s="35"/>
      <c r="R31" s="35"/>
      <c r="S31" s="35" t="s">
        <v>36</v>
      </c>
      <c r="T31" s="35" t="s">
        <v>497</v>
      </c>
      <c r="U31" s="35" t="s">
        <v>464</v>
      </c>
      <c r="V31" s="42" t="s">
        <v>606</v>
      </c>
      <c r="W31" s="42" t="s">
        <v>481</v>
      </c>
      <c r="X31" s="35" t="s">
        <v>467</v>
      </c>
      <c r="Y31" s="35" t="s">
        <v>468</v>
      </c>
      <c r="Z31" s="35"/>
      <c r="AA31" s="35" t="s">
        <v>469</v>
      </c>
      <c r="AB31" s="35" t="s">
        <v>470</v>
      </c>
      <c r="AC31" s="35"/>
      <c r="AD31" s="42" t="s">
        <v>587</v>
      </c>
      <c r="AE31" s="35" t="s">
        <v>472</v>
      </c>
      <c r="AF31" s="35" t="s">
        <v>470</v>
      </c>
      <c r="AG31" s="35"/>
      <c r="AH31" s="35" t="s">
        <v>473</v>
      </c>
      <c r="AI31" s="35" t="s">
        <v>473</v>
      </c>
      <c r="AJ31" s="42" t="s">
        <v>607</v>
      </c>
      <c r="AK31" s="35" t="s">
        <v>475</v>
      </c>
      <c r="AL31" s="42" t="s">
        <v>476</v>
      </c>
      <c r="AM31" s="61"/>
      <c r="AN31" s="42"/>
      <c r="AO31" s="97"/>
      <c r="AP31" s="48" t="b">
        <f>A31=[2]员工报账!A31</f>
        <v>1</v>
      </c>
      <c r="AQ31" s="48" t="b">
        <f>B31=[2]员工报账!B31</f>
        <v>1</v>
      </c>
      <c r="AR31" s="48" t="b">
        <f>C31=[2]员工报账!C31</f>
        <v>1</v>
      </c>
      <c r="AS31" s="48" t="b">
        <f>D31=[2]员工报账!D31</f>
        <v>1</v>
      </c>
      <c r="AT31" s="48" t="b">
        <f>E31=[2]员工报账!E31</f>
        <v>1</v>
      </c>
      <c r="AU31" s="48" t="b">
        <f>F31=[2]员工报账!F31</f>
        <v>1</v>
      </c>
      <c r="AV31" s="48" t="b">
        <f>G31=[2]员工报账!G31</f>
        <v>1</v>
      </c>
      <c r="AW31" s="48" t="b">
        <f>H31=[2]员工报账!H31</f>
        <v>1</v>
      </c>
      <c r="AX31" s="48" t="b">
        <f>I31=[2]员工报账!I31</f>
        <v>1</v>
      </c>
      <c r="AY31" s="48" t="b">
        <f>J31=[2]员工报账!J31</f>
        <v>1</v>
      </c>
      <c r="AZ31" s="48" t="b">
        <f>K31=[2]员工报账!K31</f>
        <v>1</v>
      </c>
      <c r="BA31" s="48" t="b">
        <f>L31=[2]员工报账!L31</f>
        <v>1</v>
      </c>
      <c r="BB31" s="48" t="b">
        <f>M31=[2]员工报账!M31</f>
        <v>1</v>
      </c>
      <c r="BC31" s="48" t="b">
        <f>N31=[2]员工报账!N31</f>
        <v>1</v>
      </c>
      <c r="BD31" s="48" t="b">
        <f>O31=[2]员工报账!O31</f>
        <v>1</v>
      </c>
      <c r="BE31" s="48" t="b">
        <f>P31=[2]员工报账!P31</f>
        <v>1</v>
      </c>
      <c r="BF31" s="48" t="b">
        <f>Q31=[2]员工报账!Q31</f>
        <v>1</v>
      </c>
      <c r="BG31" s="48" t="b">
        <f>R31=[2]员工报账!R31</f>
        <v>1</v>
      </c>
      <c r="BH31" s="48" t="b">
        <f>S31=[2]员工报账!S31</f>
        <v>1</v>
      </c>
      <c r="BI31" s="48" t="b">
        <f>T31=[2]员工报账!T31</f>
        <v>1</v>
      </c>
      <c r="BJ31" s="48" t="b">
        <f>U31=[2]员工报账!U31</f>
        <v>1</v>
      </c>
      <c r="BK31" s="48" t="b">
        <f>V31=[2]员工报账!V31</f>
        <v>1</v>
      </c>
      <c r="BL31" s="48" t="b">
        <f>W31=[2]员工报账!W31</f>
        <v>1</v>
      </c>
      <c r="BM31" s="48" t="b">
        <f>X31=[2]员工报账!X31</f>
        <v>1</v>
      </c>
      <c r="BN31" s="48" t="b">
        <f>Y31=[2]员工报账!Y31</f>
        <v>1</v>
      </c>
      <c r="BO31" s="48" t="b">
        <f>Z31=[2]员工报账!Z31</f>
        <v>1</v>
      </c>
      <c r="BP31" s="48" t="b">
        <f>AA31=[2]员工报账!AA31</f>
        <v>1</v>
      </c>
      <c r="BQ31" s="48" t="b">
        <f>AB31=[2]员工报账!AB31</f>
        <v>1</v>
      </c>
      <c r="BR31" s="48" t="b">
        <f>AC31=[2]员工报账!AC31</f>
        <v>1</v>
      </c>
      <c r="BS31" s="48" t="b">
        <f>AD31=[2]员工报账!AD31</f>
        <v>1</v>
      </c>
      <c r="BT31" s="48" t="b">
        <f>AE31=[2]员工报账!AE31</f>
        <v>1</v>
      </c>
      <c r="BU31" s="48" t="b">
        <f>AF31=[2]员工报账!AF31</f>
        <v>1</v>
      </c>
      <c r="BV31" s="48" t="b">
        <f>AG31=[2]员工报账!AG31</f>
        <v>1</v>
      </c>
      <c r="BW31" s="48" t="b">
        <f>AH31=[2]员工报账!AH31</f>
        <v>1</v>
      </c>
      <c r="BX31" s="48" t="b">
        <f>AI31=[2]员工报账!AI31</f>
        <v>1</v>
      </c>
      <c r="BY31" s="48" t="b">
        <f>AJ31=[2]员工报账!AJ31</f>
        <v>1</v>
      </c>
      <c r="BZ31" s="48" t="b">
        <f>AK31=[2]员工报账!AK31</f>
        <v>1</v>
      </c>
    </row>
    <row r="32" s="48" customFormat="1" ht="92.4" spans="1:78">
      <c r="A32" s="62"/>
      <c r="B32" s="62"/>
      <c r="C32" s="63"/>
      <c r="D32" s="63"/>
      <c r="E32" s="64"/>
      <c r="F32" s="73"/>
      <c r="G32" s="63"/>
      <c r="H32" s="64"/>
      <c r="I32" s="35" t="s">
        <v>608</v>
      </c>
      <c r="J32" s="42" t="s">
        <v>609</v>
      </c>
      <c r="K32" s="35"/>
      <c r="L32" s="35"/>
      <c r="M32" s="35" t="s">
        <v>36</v>
      </c>
      <c r="N32" s="35"/>
      <c r="O32" s="35"/>
      <c r="P32" s="35"/>
      <c r="Q32" s="35" t="s">
        <v>36</v>
      </c>
      <c r="R32" s="35" t="s">
        <v>36</v>
      </c>
      <c r="S32" s="35"/>
      <c r="T32" s="35" t="s">
        <v>516</v>
      </c>
      <c r="U32" s="42"/>
      <c r="V32" s="42" t="s">
        <v>606</v>
      </c>
      <c r="W32" s="42" t="s">
        <v>610</v>
      </c>
      <c r="X32" s="35" t="s">
        <v>467</v>
      </c>
      <c r="Y32" s="35" t="s">
        <v>468</v>
      </c>
      <c r="Z32" s="35"/>
      <c r="AA32" s="35" t="s">
        <v>469</v>
      </c>
      <c r="AB32" s="35" t="s">
        <v>470</v>
      </c>
      <c r="AC32" s="35"/>
      <c r="AD32" s="42" t="s">
        <v>587</v>
      </c>
      <c r="AE32" s="35" t="s">
        <v>472</v>
      </c>
      <c r="AF32" s="35" t="s">
        <v>470</v>
      </c>
      <c r="AG32" s="35"/>
      <c r="AH32" s="35" t="s">
        <v>473</v>
      </c>
      <c r="AI32" s="35" t="s">
        <v>473</v>
      </c>
      <c r="AJ32" s="42" t="s">
        <v>607</v>
      </c>
      <c r="AK32" s="35" t="s">
        <v>475</v>
      </c>
      <c r="AL32" s="42" t="s">
        <v>476</v>
      </c>
      <c r="AM32" s="61"/>
      <c r="AN32" s="42" t="s">
        <v>509</v>
      </c>
      <c r="AO32" s="97"/>
      <c r="AP32" s="48" t="b">
        <f>A32=[2]员工报账!A32</f>
        <v>1</v>
      </c>
      <c r="AQ32" s="48" t="b">
        <f>B32=[2]员工报账!B32</f>
        <v>1</v>
      </c>
      <c r="AR32" s="48" t="b">
        <f>C32=[2]员工报账!C32</f>
        <v>1</v>
      </c>
      <c r="AS32" s="48" t="b">
        <f>D32=[2]员工报账!D32</f>
        <v>1</v>
      </c>
      <c r="AT32" s="48" t="b">
        <f>E32=[2]员工报账!E32</f>
        <v>1</v>
      </c>
      <c r="AU32" s="48" t="b">
        <f>F32=[2]员工报账!F32</f>
        <v>1</v>
      </c>
      <c r="AV32" s="48" t="b">
        <f>G32=[2]员工报账!G32</f>
        <v>1</v>
      </c>
      <c r="AW32" s="48" t="b">
        <f>H32=[2]员工报账!H32</f>
        <v>1</v>
      </c>
      <c r="AX32" s="48" t="b">
        <f>I32=[2]员工报账!I32</f>
        <v>1</v>
      </c>
      <c r="AY32" s="48" t="b">
        <f>J32=[2]员工报账!J32</f>
        <v>1</v>
      </c>
      <c r="AZ32" s="48" t="b">
        <f>K32=[2]员工报账!K32</f>
        <v>1</v>
      </c>
      <c r="BA32" s="48" t="b">
        <f>L32=[2]员工报账!L32</f>
        <v>1</v>
      </c>
      <c r="BB32" s="48" t="b">
        <f>M32=[2]员工报账!M32</f>
        <v>1</v>
      </c>
      <c r="BC32" s="48" t="b">
        <f>N32=[2]员工报账!N32</f>
        <v>1</v>
      </c>
      <c r="BD32" s="48" t="b">
        <f>O32=[2]员工报账!O32</f>
        <v>1</v>
      </c>
      <c r="BE32" s="48" t="b">
        <f>P32=[2]员工报账!P32</f>
        <v>1</v>
      </c>
      <c r="BF32" s="48" t="b">
        <f>Q32=[2]员工报账!Q32</f>
        <v>1</v>
      </c>
      <c r="BG32" s="48" t="b">
        <f>R32=[2]员工报账!R32</f>
        <v>1</v>
      </c>
      <c r="BH32" s="48" t="b">
        <f>S32=[2]员工报账!S32</f>
        <v>1</v>
      </c>
      <c r="BI32" s="48" t="b">
        <f>T32=[2]员工报账!T32</f>
        <v>1</v>
      </c>
      <c r="BJ32" s="48" t="b">
        <f>U32=[2]员工报账!U32</f>
        <v>1</v>
      </c>
      <c r="BK32" s="48" t="b">
        <f>V32=[2]员工报账!V32</f>
        <v>1</v>
      </c>
      <c r="BL32" s="48" t="b">
        <f>W32=[2]员工报账!W32</f>
        <v>1</v>
      </c>
      <c r="BM32" s="48" t="b">
        <f>X32=[2]员工报账!X32</f>
        <v>1</v>
      </c>
      <c r="BN32" s="48" t="b">
        <f>Y32=[2]员工报账!Y32</f>
        <v>1</v>
      </c>
      <c r="BO32" s="48" t="b">
        <f>Z32=[2]员工报账!Z32</f>
        <v>1</v>
      </c>
      <c r="BP32" s="48" t="b">
        <f>AA32=[2]员工报账!AA32</f>
        <v>1</v>
      </c>
      <c r="BQ32" s="48" t="b">
        <f>AB32=[2]员工报账!AB32</f>
        <v>1</v>
      </c>
      <c r="BR32" s="48" t="b">
        <f>AC32=[2]员工报账!AC32</f>
        <v>1</v>
      </c>
      <c r="BS32" s="48" t="b">
        <f>AD32=[2]员工报账!AD32</f>
        <v>1</v>
      </c>
      <c r="BT32" s="48" t="b">
        <f>AE32=[2]员工报账!AE32</f>
        <v>1</v>
      </c>
      <c r="BU32" s="48" t="b">
        <f>AF32=[2]员工报账!AF32</f>
        <v>1</v>
      </c>
      <c r="BV32" s="48" t="b">
        <f>AG32=[2]员工报账!AG32</f>
        <v>1</v>
      </c>
      <c r="BW32" s="48" t="b">
        <f>AH32=[2]员工报账!AH32</f>
        <v>1</v>
      </c>
      <c r="BX32" s="48" t="b">
        <f>AI32=[2]员工报账!AI32</f>
        <v>1</v>
      </c>
      <c r="BY32" s="48" t="b">
        <f>AJ32=[2]员工报账!AJ32</f>
        <v>1</v>
      </c>
      <c r="BZ32" s="48" t="b">
        <f>AK32=[2]员工报账!AK32</f>
        <v>1</v>
      </c>
    </row>
    <row r="33" s="48" customFormat="1" ht="92.4" spans="1:78">
      <c r="A33" s="62"/>
      <c r="B33" s="62"/>
      <c r="C33" s="63"/>
      <c r="D33" s="63"/>
      <c r="E33" s="64"/>
      <c r="F33" s="73"/>
      <c r="G33" s="63"/>
      <c r="H33" s="64"/>
      <c r="I33" s="35" t="s">
        <v>611</v>
      </c>
      <c r="J33" s="42" t="s">
        <v>612</v>
      </c>
      <c r="K33" s="35"/>
      <c r="L33" s="35"/>
      <c r="M33" s="35" t="s">
        <v>36</v>
      </c>
      <c r="N33" s="35"/>
      <c r="O33" s="35"/>
      <c r="P33" s="35"/>
      <c r="Q33" s="35" t="s">
        <v>36</v>
      </c>
      <c r="R33" s="35" t="s">
        <v>36</v>
      </c>
      <c r="S33" s="35"/>
      <c r="T33" s="43" t="s">
        <v>463</v>
      </c>
      <c r="U33" s="35" t="s">
        <v>464</v>
      </c>
      <c r="V33" s="42" t="s">
        <v>606</v>
      </c>
      <c r="W33" s="42" t="s">
        <v>613</v>
      </c>
      <c r="X33" s="35" t="s">
        <v>467</v>
      </c>
      <c r="Y33" s="35" t="s">
        <v>468</v>
      </c>
      <c r="Z33" s="35"/>
      <c r="AA33" s="35" t="s">
        <v>469</v>
      </c>
      <c r="AB33" s="35" t="s">
        <v>470</v>
      </c>
      <c r="AC33" s="35"/>
      <c r="AD33" s="42" t="s">
        <v>587</v>
      </c>
      <c r="AE33" s="35" t="s">
        <v>472</v>
      </c>
      <c r="AF33" s="35" t="s">
        <v>470</v>
      </c>
      <c r="AG33" s="35"/>
      <c r="AH33" s="35" t="s">
        <v>473</v>
      </c>
      <c r="AI33" s="35" t="s">
        <v>473</v>
      </c>
      <c r="AJ33" s="42" t="s">
        <v>607</v>
      </c>
      <c r="AK33" s="35" t="s">
        <v>475</v>
      </c>
      <c r="AL33" s="42" t="s">
        <v>476</v>
      </c>
      <c r="AM33" s="61"/>
      <c r="AN33" s="42"/>
      <c r="AO33" s="97"/>
      <c r="AP33" s="48" t="b">
        <f>A33=[2]员工报账!A33</f>
        <v>1</v>
      </c>
      <c r="AQ33" s="48" t="b">
        <f>B33=[2]员工报账!B33</f>
        <v>1</v>
      </c>
      <c r="AR33" s="48" t="b">
        <f>C33=[2]员工报账!C33</f>
        <v>1</v>
      </c>
      <c r="AS33" s="48" t="b">
        <f>D33=[2]员工报账!D33</f>
        <v>1</v>
      </c>
      <c r="AT33" s="48" t="b">
        <f>E33=[2]员工报账!E33</f>
        <v>1</v>
      </c>
      <c r="AU33" s="48" t="b">
        <f>F33=[2]员工报账!F33</f>
        <v>1</v>
      </c>
      <c r="AV33" s="48" t="b">
        <f>G33=[2]员工报账!G33</f>
        <v>1</v>
      </c>
      <c r="AW33" s="48" t="b">
        <f>H33=[2]员工报账!H33</f>
        <v>1</v>
      </c>
      <c r="AX33" s="48" t="b">
        <f>I33=[2]员工报账!I33</f>
        <v>1</v>
      </c>
      <c r="AY33" s="48" t="b">
        <f>J33=[2]员工报账!J33</f>
        <v>1</v>
      </c>
      <c r="AZ33" s="48" t="b">
        <f>K33=[2]员工报账!K33</f>
        <v>1</v>
      </c>
      <c r="BA33" s="48" t="b">
        <f>L33=[2]员工报账!L33</f>
        <v>1</v>
      </c>
      <c r="BB33" s="48" t="b">
        <f>M33=[2]员工报账!M33</f>
        <v>1</v>
      </c>
      <c r="BC33" s="48" t="b">
        <f>N33=[2]员工报账!N33</f>
        <v>1</v>
      </c>
      <c r="BD33" s="48" t="b">
        <f>O33=[2]员工报账!O33</f>
        <v>1</v>
      </c>
      <c r="BE33" s="48" t="b">
        <f>P33=[2]员工报账!P33</f>
        <v>1</v>
      </c>
      <c r="BF33" s="48" t="b">
        <f>Q33=[2]员工报账!Q33</f>
        <v>1</v>
      </c>
      <c r="BG33" s="48" t="b">
        <f>R33=[2]员工报账!R33</f>
        <v>1</v>
      </c>
      <c r="BH33" s="48" t="b">
        <f>S33=[2]员工报账!S33</f>
        <v>1</v>
      </c>
      <c r="BI33" s="48" t="b">
        <f>T33=[2]员工报账!T33</f>
        <v>1</v>
      </c>
      <c r="BJ33" s="48" t="b">
        <f>U33=[2]员工报账!U33</f>
        <v>1</v>
      </c>
      <c r="BK33" s="48" t="b">
        <f>V33=[2]员工报账!V33</f>
        <v>1</v>
      </c>
      <c r="BL33" s="48" t="b">
        <f>W33=[2]员工报账!W33</f>
        <v>1</v>
      </c>
      <c r="BM33" s="48" t="b">
        <f>X33=[2]员工报账!X33</f>
        <v>1</v>
      </c>
      <c r="BN33" s="48" t="b">
        <f>Y33=[2]员工报账!Y33</f>
        <v>1</v>
      </c>
      <c r="BO33" s="48" t="b">
        <f>Z33=[2]员工报账!Z33</f>
        <v>1</v>
      </c>
      <c r="BP33" s="48" t="b">
        <f>AA33=[2]员工报账!AA33</f>
        <v>1</v>
      </c>
      <c r="BQ33" s="48" t="b">
        <f>AB33=[2]员工报账!AB33</f>
        <v>1</v>
      </c>
      <c r="BR33" s="48" t="b">
        <f>AC33=[2]员工报账!AC33</f>
        <v>1</v>
      </c>
      <c r="BS33" s="48" t="b">
        <f>AD33=[2]员工报账!AD33</f>
        <v>1</v>
      </c>
      <c r="BT33" s="48" t="b">
        <f>AE33=[2]员工报账!AE33</f>
        <v>1</v>
      </c>
      <c r="BU33" s="48" t="b">
        <f>AF33=[2]员工报账!AF33</f>
        <v>1</v>
      </c>
      <c r="BV33" s="48" t="b">
        <f>AG33=[2]员工报账!AG33</f>
        <v>1</v>
      </c>
      <c r="BW33" s="48" t="b">
        <f>AH33=[2]员工报账!AH33</f>
        <v>1</v>
      </c>
      <c r="BX33" s="48" t="b">
        <f>AI33=[2]员工报账!AI33</f>
        <v>1</v>
      </c>
      <c r="BY33" s="48" t="b">
        <f>AJ33=[2]员工报账!AJ33</f>
        <v>1</v>
      </c>
      <c r="BZ33" s="48" t="b">
        <f>AK33=[2]员工报账!AK33</f>
        <v>1</v>
      </c>
    </row>
    <row r="34" s="48" customFormat="1" ht="79.2" spans="1:78">
      <c r="A34" s="67"/>
      <c r="B34" s="67"/>
      <c r="C34" s="38"/>
      <c r="D34" s="38"/>
      <c r="E34" s="66"/>
      <c r="F34" s="73"/>
      <c r="G34" s="38"/>
      <c r="H34" s="66"/>
      <c r="I34" s="35" t="s">
        <v>614</v>
      </c>
      <c r="J34" s="42" t="s">
        <v>615</v>
      </c>
      <c r="K34" s="35"/>
      <c r="L34" s="35"/>
      <c r="M34" s="35" t="s">
        <v>36</v>
      </c>
      <c r="N34" s="35"/>
      <c r="O34" s="35"/>
      <c r="P34" s="35"/>
      <c r="Q34" s="35"/>
      <c r="R34" s="35" t="s">
        <v>36</v>
      </c>
      <c r="S34" s="35"/>
      <c r="T34" s="35" t="s">
        <v>516</v>
      </c>
      <c r="U34" s="42"/>
      <c r="V34" s="42" t="s">
        <v>616</v>
      </c>
      <c r="W34" s="42" t="s">
        <v>617</v>
      </c>
      <c r="X34" s="35" t="s">
        <v>467</v>
      </c>
      <c r="Y34" s="35" t="s">
        <v>468</v>
      </c>
      <c r="Z34" s="35"/>
      <c r="AA34" s="35" t="s">
        <v>469</v>
      </c>
      <c r="AB34" s="35" t="s">
        <v>470</v>
      </c>
      <c r="AC34" s="35"/>
      <c r="AD34" s="42" t="s">
        <v>587</v>
      </c>
      <c r="AE34" s="35" t="s">
        <v>472</v>
      </c>
      <c r="AF34" s="35" t="s">
        <v>470</v>
      </c>
      <c r="AG34" s="35"/>
      <c r="AH34" s="35" t="s">
        <v>473</v>
      </c>
      <c r="AI34" s="35" t="s">
        <v>473</v>
      </c>
      <c r="AJ34" s="42" t="s">
        <v>618</v>
      </c>
      <c r="AK34" s="35" t="s">
        <v>475</v>
      </c>
      <c r="AL34" s="42" t="s">
        <v>476</v>
      </c>
      <c r="AM34" s="61"/>
      <c r="AN34" s="42" t="s">
        <v>477</v>
      </c>
      <c r="AO34" s="97"/>
      <c r="AP34" s="48" t="b">
        <f>A34=[2]员工报账!A34</f>
        <v>1</v>
      </c>
      <c r="AQ34" s="48" t="b">
        <f>B34=[2]员工报账!B34</f>
        <v>1</v>
      </c>
      <c r="AR34" s="48" t="b">
        <f>C34=[2]员工报账!C34</f>
        <v>1</v>
      </c>
      <c r="AS34" s="48" t="b">
        <f>D34=[2]员工报账!D34</f>
        <v>1</v>
      </c>
      <c r="AT34" s="48" t="b">
        <f>E34=[2]员工报账!E34</f>
        <v>1</v>
      </c>
      <c r="AU34" s="48" t="b">
        <f>F34=[2]员工报账!F34</f>
        <v>1</v>
      </c>
      <c r="AV34" s="48" t="b">
        <f>G34=[2]员工报账!G34</f>
        <v>1</v>
      </c>
      <c r="AW34" s="48" t="b">
        <f>H34=[2]员工报账!H34</f>
        <v>1</v>
      </c>
      <c r="AX34" s="48" t="b">
        <f>I34=[2]员工报账!I34</f>
        <v>1</v>
      </c>
      <c r="AY34" s="48" t="b">
        <f>J34=[2]员工报账!J34</f>
        <v>1</v>
      </c>
      <c r="AZ34" s="48" t="b">
        <f>K34=[2]员工报账!K34</f>
        <v>1</v>
      </c>
      <c r="BA34" s="48" t="b">
        <f>L34=[2]员工报账!L34</f>
        <v>1</v>
      </c>
      <c r="BB34" s="48" t="b">
        <f>M34=[2]员工报账!M34</f>
        <v>1</v>
      </c>
      <c r="BC34" s="48" t="b">
        <f>N34=[2]员工报账!N34</f>
        <v>1</v>
      </c>
      <c r="BD34" s="48" t="b">
        <f>O34=[2]员工报账!O34</f>
        <v>1</v>
      </c>
      <c r="BE34" s="48" t="b">
        <f>P34=[2]员工报账!P34</f>
        <v>1</v>
      </c>
      <c r="BF34" s="48" t="b">
        <f>Q34=[2]员工报账!Q34</f>
        <v>1</v>
      </c>
      <c r="BG34" s="48" t="b">
        <f>R34=[2]员工报账!R34</f>
        <v>1</v>
      </c>
      <c r="BH34" s="48" t="b">
        <f>S34=[2]员工报账!S34</f>
        <v>1</v>
      </c>
      <c r="BI34" s="48" t="b">
        <f>T34=[2]员工报账!T34</f>
        <v>1</v>
      </c>
      <c r="BJ34" s="48" t="b">
        <f>U34=[2]员工报账!U34</f>
        <v>1</v>
      </c>
      <c r="BK34" s="48" t="b">
        <f>V34=[2]员工报账!V34</f>
        <v>1</v>
      </c>
      <c r="BL34" s="48" t="b">
        <f>W34=[2]员工报账!W34</f>
        <v>1</v>
      </c>
      <c r="BM34" s="48" t="b">
        <f>X34=[2]员工报账!X34</f>
        <v>1</v>
      </c>
      <c r="BN34" s="48" t="b">
        <f>Y34=[2]员工报账!Y34</f>
        <v>1</v>
      </c>
      <c r="BO34" s="48" t="b">
        <f>Z34=[2]员工报账!Z34</f>
        <v>1</v>
      </c>
      <c r="BP34" s="48" t="b">
        <f>AA34=[2]员工报账!AA34</f>
        <v>1</v>
      </c>
      <c r="BQ34" s="48" t="b">
        <f>AB34=[2]员工报账!AB34</f>
        <v>1</v>
      </c>
      <c r="BR34" s="48" t="b">
        <f>AC34=[2]员工报账!AC34</f>
        <v>1</v>
      </c>
      <c r="BS34" s="48" t="b">
        <f>AD34=[2]员工报账!AD34</f>
        <v>1</v>
      </c>
      <c r="BT34" s="48" t="b">
        <f>AE34=[2]员工报账!AE34</f>
        <v>1</v>
      </c>
      <c r="BU34" s="48" t="b">
        <f>AF34=[2]员工报账!AF34</f>
        <v>1</v>
      </c>
      <c r="BV34" s="48" t="b">
        <f>AG34=[2]员工报账!AG34</f>
        <v>1</v>
      </c>
      <c r="BW34" s="48" t="b">
        <f>AH34=[2]员工报账!AH34</f>
        <v>1</v>
      </c>
      <c r="BX34" s="48" t="b">
        <f>AI34=[2]员工报账!AI34</f>
        <v>1</v>
      </c>
      <c r="BY34" s="48" t="b">
        <f>AJ34=[2]员工报账!AJ34</f>
        <v>1</v>
      </c>
      <c r="BZ34" s="48" t="b">
        <f>AK34=[2]员工报账!AK34</f>
        <v>1</v>
      </c>
    </row>
    <row r="35" s="48" customFormat="1" ht="118.8" spans="1:78">
      <c r="A35" s="56" t="s">
        <v>453</v>
      </c>
      <c r="B35" s="56" t="s">
        <v>454</v>
      </c>
      <c r="C35" s="57" t="s">
        <v>619</v>
      </c>
      <c r="D35" s="57" t="s">
        <v>620</v>
      </c>
      <c r="E35" s="58" t="s">
        <v>621</v>
      </c>
      <c r="F35" s="57"/>
      <c r="G35" s="57" t="s">
        <v>622</v>
      </c>
      <c r="H35" s="58" t="s">
        <v>623</v>
      </c>
      <c r="I35" s="35" t="s">
        <v>624</v>
      </c>
      <c r="J35" s="42" t="s">
        <v>625</v>
      </c>
      <c r="K35" s="35"/>
      <c r="L35" s="35" t="s">
        <v>36</v>
      </c>
      <c r="M35" s="35"/>
      <c r="N35" s="35"/>
      <c r="O35" s="35"/>
      <c r="P35" s="35"/>
      <c r="Q35" s="35"/>
      <c r="R35" s="35" t="s">
        <v>36</v>
      </c>
      <c r="S35" s="35"/>
      <c r="T35" s="35" t="s">
        <v>516</v>
      </c>
      <c r="U35" s="42"/>
      <c r="V35" s="42" t="s">
        <v>626</v>
      </c>
      <c r="W35" s="42" t="s">
        <v>627</v>
      </c>
      <c r="X35" s="35" t="s">
        <v>628</v>
      </c>
      <c r="Y35" s="35" t="s">
        <v>470</v>
      </c>
      <c r="Z35" s="35"/>
      <c r="AA35" s="35" t="s">
        <v>469</v>
      </c>
      <c r="AB35" s="35" t="s">
        <v>470</v>
      </c>
      <c r="AC35" s="35"/>
      <c r="AD35" s="42" t="s">
        <v>629</v>
      </c>
      <c r="AE35" s="35" t="s">
        <v>469</v>
      </c>
      <c r="AF35" s="35" t="s">
        <v>470</v>
      </c>
      <c r="AG35" s="35"/>
      <c r="AH35" s="35" t="s">
        <v>473</v>
      </c>
      <c r="AI35" s="35" t="s">
        <v>473</v>
      </c>
      <c r="AJ35" s="42" t="s">
        <v>630</v>
      </c>
      <c r="AK35" s="35" t="s">
        <v>631</v>
      </c>
      <c r="AL35" s="42" t="s">
        <v>632</v>
      </c>
      <c r="AM35" s="61"/>
      <c r="AN35" s="42" t="s">
        <v>477</v>
      </c>
      <c r="AO35" s="97"/>
      <c r="AP35" s="48" t="b">
        <f>A35=[2]员工报账!A35</f>
        <v>1</v>
      </c>
      <c r="AQ35" s="48" t="b">
        <f>B35=[2]员工报账!B35</f>
        <v>1</v>
      </c>
      <c r="AR35" s="48" t="b">
        <f>C35=[2]员工报账!C35</f>
        <v>1</v>
      </c>
      <c r="AS35" s="48" t="b">
        <f>D35=[2]员工报账!D35</f>
        <v>1</v>
      </c>
      <c r="AT35" s="48" t="b">
        <f>E35=[2]员工报账!E35</f>
        <v>1</v>
      </c>
      <c r="AU35" s="48" t="b">
        <f>F35=[2]员工报账!F35</f>
        <v>1</v>
      </c>
      <c r="AV35" s="48" t="b">
        <f>G35=[2]员工报账!G35</f>
        <v>1</v>
      </c>
      <c r="AW35" s="48" t="b">
        <f>H35=[2]员工报账!H35</f>
        <v>1</v>
      </c>
      <c r="AX35" s="48" t="b">
        <f>I35=[2]员工报账!I35</f>
        <v>1</v>
      </c>
      <c r="AY35" s="48" t="b">
        <f>J35=[2]员工报账!J35</f>
        <v>1</v>
      </c>
      <c r="AZ35" s="48" t="b">
        <f>K35=[2]员工报账!K35</f>
        <v>1</v>
      </c>
      <c r="BA35" s="48" t="b">
        <f>L35=[2]员工报账!L35</f>
        <v>1</v>
      </c>
      <c r="BB35" s="48" t="b">
        <f>M35=[2]员工报账!M35</f>
        <v>1</v>
      </c>
      <c r="BC35" s="48" t="b">
        <f>N35=[2]员工报账!N35</f>
        <v>1</v>
      </c>
      <c r="BD35" s="48" t="b">
        <f>O35=[2]员工报账!O35</f>
        <v>1</v>
      </c>
      <c r="BE35" s="48" t="b">
        <f>P35=[2]员工报账!P35</f>
        <v>1</v>
      </c>
      <c r="BF35" s="48" t="b">
        <f>Q35=[2]员工报账!Q35</f>
        <v>1</v>
      </c>
      <c r="BG35" s="48" t="b">
        <f>R35=[2]员工报账!R35</f>
        <v>1</v>
      </c>
      <c r="BH35" s="48" t="b">
        <f>S35=[2]员工报账!S35</f>
        <v>1</v>
      </c>
      <c r="BI35" s="48" t="b">
        <f>T35=[2]员工报账!T35</f>
        <v>1</v>
      </c>
      <c r="BJ35" s="48" t="b">
        <f>U35=[2]员工报账!U35</f>
        <v>1</v>
      </c>
      <c r="BK35" s="48" t="b">
        <f>V35=[2]员工报账!V35</f>
        <v>1</v>
      </c>
      <c r="BL35" s="48" t="b">
        <f>W35=[2]员工报账!W35</f>
        <v>1</v>
      </c>
      <c r="BM35" s="48" t="b">
        <f>X35=[2]员工报账!X35</f>
        <v>1</v>
      </c>
      <c r="BN35" s="48" t="b">
        <f>Y35=[2]员工报账!Y35</f>
        <v>1</v>
      </c>
      <c r="BO35" s="48" t="b">
        <f>Z35=[2]员工报账!Z35</f>
        <v>1</v>
      </c>
      <c r="BP35" s="48" t="b">
        <f>AA35=[2]员工报账!AA35</f>
        <v>1</v>
      </c>
      <c r="BQ35" s="48" t="b">
        <f>AB35=[2]员工报账!AB35</f>
        <v>1</v>
      </c>
      <c r="BR35" s="48" t="b">
        <f>AC35=[2]员工报账!AC35</f>
        <v>1</v>
      </c>
      <c r="BS35" s="48" t="b">
        <f>AD35=[2]员工报账!AD35</f>
        <v>1</v>
      </c>
      <c r="BT35" s="48" t="b">
        <f>AE35=[2]员工报账!AE35</f>
        <v>1</v>
      </c>
      <c r="BU35" s="48" t="b">
        <f>AF35=[2]员工报账!AF35</f>
        <v>1</v>
      </c>
      <c r="BV35" s="48" t="b">
        <f>AG35=[2]员工报账!AG35</f>
        <v>1</v>
      </c>
      <c r="BW35" s="48" t="b">
        <f>AH35=[2]员工报账!AH35</f>
        <v>1</v>
      </c>
      <c r="BX35" s="48" t="b">
        <f>AI35=[2]员工报账!AI35</f>
        <v>1</v>
      </c>
      <c r="BY35" s="48" t="b">
        <f>AJ35=[2]员工报账!AJ35</f>
        <v>1</v>
      </c>
      <c r="BZ35" s="48" t="b">
        <f>AK35=[2]员工报账!AK35</f>
        <v>1</v>
      </c>
    </row>
    <row r="36" s="48" customFormat="1" ht="118.8" spans="1:78">
      <c r="A36" s="62"/>
      <c r="B36" s="62"/>
      <c r="C36" s="63"/>
      <c r="D36" s="63"/>
      <c r="E36" s="64"/>
      <c r="F36" s="63"/>
      <c r="G36" s="63"/>
      <c r="H36" s="64"/>
      <c r="I36" s="35" t="s">
        <v>633</v>
      </c>
      <c r="J36" s="42" t="s">
        <v>634</v>
      </c>
      <c r="K36" s="35"/>
      <c r="L36" s="35"/>
      <c r="M36" s="35"/>
      <c r="N36" s="35"/>
      <c r="O36" s="35"/>
      <c r="P36" s="35"/>
      <c r="Q36" s="35" t="s">
        <v>36</v>
      </c>
      <c r="R36" s="35"/>
      <c r="S36" s="35"/>
      <c r="T36" s="43" t="s">
        <v>463</v>
      </c>
      <c r="U36" s="35" t="s">
        <v>635</v>
      </c>
      <c r="V36" s="42" t="s">
        <v>626</v>
      </c>
      <c r="W36" s="42" t="s">
        <v>627</v>
      </c>
      <c r="X36" s="35" t="s">
        <v>628</v>
      </c>
      <c r="Y36" s="35" t="s">
        <v>470</v>
      </c>
      <c r="Z36" s="35"/>
      <c r="AA36" s="35" t="s">
        <v>469</v>
      </c>
      <c r="AB36" s="35" t="s">
        <v>470</v>
      </c>
      <c r="AC36" s="35"/>
      <c r="AD36" s="42" t="s">
        <v>629</v>
      </c>
      <c r="AE36" s="35" t="s">
        <v>469</v>
      </c>
      <c r="AF36" s="35" t="s">
        <v>470</v>
      </c>
      <c r="AG36" s="35"/>
      <c r="AH36" s="35" t="s">
        <v>473</v>
      </c>
      <c r="AI36" s="35" t="s">
        <v>473</v>
      </c>
      <c r="AJ36" s="42" t="s">
        <v>636</v>
      </c>
      <c r="AK36" s="35" t="s">
        <v>631</v>
      </c>
      <c r="AL36" s="42" t="s">
        <v>632</v>
      </c>
      <c r="AM36" s="61"/>
      <c r="AN36" s="42" t="s">
        <v>477</v>
      </c>
      <c r="AO36" s="97"/>
      <c r="AP36" s="48" t="b">
        <f>A36=[2]员工报账!A36</f>
        <v>1</v>
      </c>
      <c r="AQ36" s="48" t="b">
        <f>B36=[2]员工报账!B36</f>
        <v>1</v>
      </c>
      <c r="AR36" s="48" t="b">
        <f>C36=[2]员工报账!C36</f>
        <v>1</v>
      </c>
      <c r="AS36" s="48" t="b">
        <f>D36=[2]员工报账!D36</f>
        <v>1</v>
      </c>
      <c r="AT36" s="48" t="b">
        <f>E36=[2]员工报账!E36</f>
        <v>1</v>
      </c>
      <c r="AU36" s="48" t="b">
        <f>F36=[2]员工报账!F36</f>
        <v>1</v>
      </c>
      <c r="AV36" s="48" t="b">
        <f>G36=[2]员工报账!G36</f>
        <v>1</v>
      </c>
      <c r="AW36" s="48" t="b">
        <f>H36=[2]员工报账!H36</f>
        <v>1</v>
      </c>
      <c r="AX36" s="48" t="b">
        <f>I36=[2]员工报账!I36</f>
        <v>1</v>
      </c>
      <c r="AY36" s="48" t="b">
        <f>J36=[2]员工报账!J36</f>
        <v>1</v>
      </c>
      <c r="AZ36" s="48" t="b">
        <f>K36=[2]员工报账!K36</f>
        <v>1</v>
      </c>
      <c r="BA36" s="48" t="b">
        <f>L36=[2]员工报账!L36</f>
        <v>1</v>
      </c>
      <c r="BB36" s="48" t="b">
        <f>M36=[2]员工报账!M36</f>
        <v>1</v>
      </c>
      <c r="BC36" s="48" t="b">
        <f>N36=[2]员工报账!N36</f>
        <v>1</v>
      </c>
      <c r="BD36" s="48" t="b">
        <f>O36=[2]员工报账!O36</f>
        <v>1</v>
      </c>
      <c r="BE36" s="48" t="b">
        <f>P36=[2]员工报账!P36</f>
        <v>1</v>
      </c>
      <c r="BF36" s="48" t="b">
        <f>Q36=[2]员工报账!Q36</f>
        <v>1</v>
      </c>
      <c r="BG36" s="48" t="b">
        <f>R36=[2]员工报账!R36</f>
        <v>1</v>
      </c>
      <c r="BH36" s="48" t="b">
        <f>S36=[2]员工报账!S36</f>
        <v>1</v>
      </c>
      <c r="BI36" s="48" t="b">
        <f>T36=[2]员工报账!T36</f>
        <v>1</v>
      </c>
      <c r="BJ36" s="48" t="b">
        <f>U36=[2]员工报账!U36</f>
        <v>1</v>
      </c>
      <c r="BK36" s="48" t="b">
        <f>V36=[2]员工报账!V36</f>
        <v>1</v>
      </c>
      <c r="BL36" s="48" t="b">
        <f>W36=[2]员工报账!W36</f>
        <v>1</v>
      </c>
      <c r="BM36" s="48" t="b">
        <f>X36=[2]员工报账!X36</f>
        <v>1</v>
      </c>
      <c r="BN36" s="48" t="b">
        <f>Y36=[2]员工报账!Y36</f>
        <v>1</v>
      </c>
      <c r="BO36" s="48" t="b">
        <f>Z36=[2]员工报账!Z36</f>
        <v>1</v>
      </c>
      <c r="BP36" s="48" t="b">
        <f>AA36=[2]员工报账!AA36</f>
        <v>1</v>
      </c>
      <c r="BQ36" s="48" t="b">
        <f>AB36=[2]员工报账!AB36</f>
        <v>1</v>
      </c>
      <c r="BR36" s="48" t="b">
        <f>AC36=[2]员工报账!AC36</f>
        <v>1</v>
      </c>
      <c r="BS36" s="48" t="b">
        <f>AD36=[2]员工报账!AD36</f>
        <v>1</v>
      </c>
      <c r="BT36" s="48" t="b">
        <f>AE36=[2]员工报账!AE36</f>
        <v>1</v>
      </c>
      <c r="BU36" s="48" t="b">
        <f>AF36=[2]员工报账!AF36</f>
        <v>1</v>
      </c>
      <c r="BV36" s="48" t="b">
        <f>AG36=[2]员工报账!AG36</f>
        <v>1</v>
      </c>
      <c r="BW36" s="48" t="b">
        <f>AH36=[2]员工报账!AH36</f>
        <v>1</v>
      </c>
      <c r="BX36" s="48" t="b">
        <f>AI36=[2]员工报账!AI36</f>
        <v>1</v>
      </c>
      <c r="BY36" s="48" t="b">
        <f>AJ36=[2]员工报账!AJ36</f>
        <v>1</v>
      </c>
      <c r="BZ36" s="48" t="b">
        <f>AK36=[2]员工报账!AK36</f>
        <v>1</v>
      </c>
    </row>
    <row r="37" s="48" customFormat="1" ht="105.6" spans="1:78">
      <c r="A37" s="62"/>
      <c r="B37" s="62"/>
      <c r="C37" s="63"/>
      <c r="D37" s="63"/>
      <c r="E37" s="64"/>
      <c r="F37" s="63"/>
      <c r="G37" s="63"/>
      <c r="H37" s="64"/>
      <c r="I37" s="35" t="s">
        <v>637</v>
      </c>
      <c r="J37" s="42" t="s">
        <v>638</v>
      </c>
      <c r="K37" s="35"/>
      <c r="L37" s="35"/>
      <c r="M37" s="35" t="s">
        <v>36</v>
      </c>
      <c r="N37" s="35"/>
      <c r="O37" s="35"/>
      <c r="P37" s="35"/>
      <c r="Q37" s="35" t="s">
        <v>36</v>
      </c>
      <c r="R37" s="35"/>
      <c r="S37" s="35"/>
      <c r="T37" s="43" t="s">
        <v>463</v>
      </c>
      <c r="U37" s="35" t="s">
        <v>635</v>
      </c>
      <c r="V37" s="42" t="s">
        <v>626</v>
      </c>
      <c r="W37" s="42" t="s">
        <v>627</v>
      </c>
      <c r="X37" s="35" t="s">
        <v>628</v>
      </c>
      <c r="Y37" s="35" t="s">
        <v>470</v>
      </c>
      <c r="Z37" s="35"/>
      <c r="AA37" s="35" t="s">
        <v>469</v>
      </c>
      <c r="AB37" s="35" t="s">
        <v>470</v>
      </c>
      <c r="AC37" s="35"/>
      <c r="AD37" s="42" t="s">
        <v>629</v>
      </c>
      <c r="AE37" s="35" t="s">
        <v>469</v>
      </c>
      <c r="AF37" s="35" t="s">
        <v>470</v>
      </c>
      <c r="AG37" s="35"/>
      <c r="AH37" s="35" t="s">
        <v>473</v>
      </c>
      <c r="AI37" s="35" t="s">
        <v>473</v>
      </c>
      <c r="AJ37" s="42" t="s">
        <v>639</v>
      </c>
      <c r="AK37" s="35" t="s">
        <v>631</v>
      </c>
      <c r="AL37" s="42" t="s">
        <v>632</v>
      </c>
      <c r="AM37" s="61"/>
      <c r="AN37" s="42"/>
      <c r="AO37" s="97"/>
      <c r="AP37" s="48" t="b">
        <f>A37=[2]员工报账!A37</f>
        <v>1</v>
      </c>
      <c r="AQ37" s="48" t="b">
        <f>B37=[2]员工报账!B37</f>
        <v>1</v>
      </c>
      <c r="AR37" s="48" t="b">
        <f>C37=[2]员工报账!C37</f>
        <v>1</v>
      </c>
      <c r="AS37" s="48" t="b">
        <f>D37=[2]员工报账!D37</f>
        <v>1</v>
      </c>
      <c r="AT37" s="48" t="b">
        <f>E37=[2]员工报账!E37</f>
        <v>1</v>
      </c>
      <c r="AU37" s="48" t="b">
        <f>F37=[2]员工报账!F37</f>
        <v>1</v>
      </c>
      <c r="AV37" s="48" t="b">
        <f>G37=[2]员工报账!G37</f>
        <v>1</v>
      </c>
      <c r="AW37" s="48" t="b">
        <f>H37=[2]员工报账!H37</f>
        <v>1</v>
      </c>
      <c r="AX37" s="48" t="b">
        <f>I37=[2]员工报账!I37</f>
        <v>1</v>
      </c>
      <c r="AY37" s="48" t="b">
        <f>J37=[2]员工报账!J37</f>
        <v>1</v>
      </c>
      <c r="AZ37" s="48" t="b">
        <f>K37=[2]员工报账!K37</f>
        <v>1</v>
      </c>
      <c r="BA37" s="48" t="b">
        <f>L37=[2]员工报账!L37</f>
        <v>1</v>
      </c>
      <c r="BB37" s="48" t="b">
        <f>M37=[2]员工报账!M37</f>
        <v>1</v>
      </c>
      <c r="BC37" s="48" t="b">
        <f>N37=[2]员工报账!N37</f>
        <v>1</v>
      </c>
      <c r="BD37" s="48" t="b">
        <f>O37=[2]员工报账!O37</f>
        <v>1</v>
      </c>
      <c r="BE37" s="48" t="b">
        <f>P37=[2]员工报账!P37</f>
        <v>1</v>
      </c>
      <c r="BF37" s="48" t="b">
        <f>Q37=[2]员工报账!Q37</f>
        <v>1</v>
      </c>
      <c r="BG37" s="48" t="b">
        <f>R37=[2]员工报账!R37</f>
        <v>1</v>
      </c>
      <c r="BH37" s="48" t="b">
        <f>S37=[2]员工报账!S37</f>
        <v>1</v>
      </c>
      <c r="BI37" s="48" t="b">
        <f>T37=[2]员工报账!T37</f>
        <v>1</v>
      </c>
      <c r="BJ37" s="48" t="b">
        <f>U37=[2]员工报账!U37</f>
        <v>1</v>
      </c>
      <c r="BK37" s="48" t="b">
        <f>V37=[2]员工报账!V37</f>
        <v>1</v>
      </c>
      <c r="BL37" s="48" t="b">
        <f>W37=[2]员工报账!W37</f>
        <v>1</v>
      </c>
      <c r="BM37" s="48" t="b">
        <f>X37=[2]员工报账!X37</f>
        <v>1</v>
      </c>
      <c r="BN37" s="48" t="b">
        <f>Y37=[2]员工报账!Y37</f>
        <v>1</v>
      </c>
      <c r="BO37" s="48" t="b">
        <f>Z37=[2]员工报账!Z37</f>
        <v>1</v>
      </c>
      <c r="BP37" s="48" t="b">
        <f>AA37=[2]员工报账!AA37</f>
        <v>1</v>
      </c>
      <c r="BQ37" s="48" t="b">
        <f>AB37=[2]员工报账!AB37</f>
        <v>1</v>
      </c>
      <c r="BR37" s="48" t="b">
        <f>AC37=[2]员工报账!AC37</f>
        <v>1</v>
      </c>
      <c r="BS37" s="48" t="b">
        <f>AD37=[2]员工报账!AD37</f>
        <v>1</v>
      </c>
      <c r="BT37" s="48" t="b">
        <f>AE37=[2]员工报账!AE37</f>
        <v>1</v>
      </c>
      <c r="BU37" s="48" t="b">
        <f>AF37=[2]员工报账!AF37</f>
        <v>1</v>
      </c>
      <c r="BV37" s="48" t="b">
        <f>AG37=[2]员工报账!AG37</f>
        <v>1</v>
      </c>
      <c r="BW37" s="48" t="b">
        <f>AH37=[2]员工报账!AH37</f>
        <v>1</v>
      </c>
      <c r="BX37" s="48" t="b">
        <f>AI37=[2]员工报账!AI37</f>
        <v>1</v>
      </c>
      <c r="BY37" s="48" t="b">
        <f>AJ37=[2]员工报账!AJ37</f>
        <v>1</v>
      </c>
      <c r="BZ37" s="48" t="b">
        <f>AK37=[2]员工报账!AK37</f>
        <v>1</v>
      </c>
    </row>
    <row r="38" s="48" customFormat="1" ht="132" spans="1:78">
      <c r="A38" s="62"/>
      <c r="B38" s="67"/>
      <c r="C38" s="38"/>
      <c r="D38" s="38"/>
      <c r="E38" s="66"/>
      <c r="F38" s="38"/>
      <c r="G38" s="38"/>
      <c r="H38" s="66"/>
      <c r="I38" s="35" t="s">
        <v>640</v>
      </c>
      <c r="J38" s="42" t="s">
        <v>641</v>
      </c>
      <c r="K38" s="35"/>
      <c r="L38" s="35"/>
      <c r="M38" s="35"/>
      <c r="N38" s="35"/>
      <c r="O38" s="35"/>
      <c r="P38" s="35"/>
      <c r="Q38" s="35"/>
      <c r="R38" s="35" t="s">
        <v>36</v>
      </c>
      <c r="S38" s="35"/>
      <c r="T38" s="35" t="s">
        <v>516</v>
      </c>
      <c r="U38" s="42"/>
      <c r="V38" s="42" t="s">
        <v>642</v>
      </c>
      <c r="W38" s="42" t="s">
        <v>643</v>
      </c>
      <c r="X38" s="35" t="s">
        <v>628</v>
      </c>
      <c r="Y38" s="35" t="s">
        <v>470</v>
      </c>
      <c r="Z38" s="35"/>
      <c r="AA38" s="35" t="s">
        <v>469</v>
      </c>
      <c r="AB38" s="35" t="s">
        <v>470</v>
      </c>
      <c r="AC38" s="35"/>
      <c r="AD38" s="42" t="s">
        <v>629</v>
      </c>
      <c r="AE38" s="35" t="s">
        <v>469</v>
      </c>
      <c r="AF38" s="35" t="s">
        <v>470</v>
      </c>
      <c r="AG38" s="35"/>
      <c r="AH38" s="35" t="s">
        <v>473</v>
      </c>
      <c r="AI38" s="35" t="s">
        <v>473</v>
      </c>
      <c r="AJ38" s="42" t="s">
        <v>639</v>
      </c>
      <c r="AK38" s="35" t="s">
        <v>631</v>
      </c>
      <c r="AL38" s="42" t="s">
        <v>632</v>
      </c>
      <c r="AM38" s="61"/>
      <c r="AN38" s="42"/>
      <c r="AO38" s="97"/>
      <c r="AP38" s="48" t="b">
        <f>A38=[2]员工报账!A38</f>
        <v>1</v>
      </c>
      <c r="AQ38" s="48" t="b">
        <f>B38=[2]员工报账!B38</f>
        <v>1</v>
      </c>
      <c r="AR38" s="48" t="b">
        <f>C38=[2]员工报账!C38</f>
        <v>1</v>
      </c>
      <c r="AS38" s="48" t="b">
        <f>D38=[2]员工报账!D38</f>
        <v>1</v>
      </c>
      <c r="AT38" s="48" t="b">
        <f>E38=[2]员工报账!E38</f>
        <v>1</v>
      </c>
      <c r="AU38" s="48" t="b">
        <f>F38=[2]员工报账!F38</f>
        <v>1</v>
      </c>
      <c r="AV38" s="48" t="b">
        <f>G38=[2]员工报账!G38</f>
        <v>1</v>
      </c>
      <c r="AW38" s="48" t="b">
        <f>H38=[2]员工报账!H38</f>
        <v>1</v>
      </c>
      <c r="AX38" s="48" t="b">
        <f>I38=[2]员工报账!I38</f>
        <v>1</v>
      </c>
      <c r="AY38" s="48" t="b">
        <f>J38=[2]员工报账!J38</f>
        <v>1</v>
      </c>
      <c r="AZ38" s="48" t="b">
        <f>K38=[2]员工报账!K38</f>
        <v>1</v>
      </c>
      <c r="BA38" s="48" t="b">
        <f>L38=[2]员工报账!L38</f>
        <v>1</v>
      </c>
      <c r="BB38" s="48" t="b">
        <f>M38=[2]员工报账!M38</f>
        <v>1</v>
      </c>
      <c r="BC38" s="48" t="b">
        <f>N38=[2]员工报账!N38</f>
        <v>1</v>
      </c>
      <c r="BD38" s="48" t="b">
        <f>O38=[2]员工报账!O38</f>
        <v>1</v>
      </c>
      <c r="BE38" s="48" t="b">
        <f>P38=[2]员工报账!P38</f>
        <v>1</v>
      </c>
      <c r="BF38" s="48" t="b">
        <f>Q38=[2]员工报账!Q38</f>
        <v>1</v>
      </c>
      <c r="BG38" s="48" t="b">
        <f>R38=[2]员工报账!R38</f>
        <v>1</v>
      </c>
      <c r="BH38" s="48" t="b">
        <f>S38=[2]员工报账!S38</f>
        <v>1</v>
      </c>
      <c r="BI38" s="48" t="b">
        <f>T38=[2]员工报账!T38</f>
        <v>1</v>
      </c>
      <c r="BJ38" s="48" t="b">
        <f>U38=[2]员工报账!U38</f>
        <v>1</v>
      </c>
      <c r="BK38" s="48" t="b">
        <f>V38=[2]员工报账!V38</f>
        <v>1</v>
      </c>
      <c r="BL38" s="48" t="b">
        <f>W38=[2]员工报账!W38</f>
        <v>1</v>
      </c>
      <c r="BM38" s="48" t="b">
        <f>X38=[2]员工报账!X38</f>
        <v>1</v>
      </c>
      <c r="BN38" s="48" t="b">
        <f>Y38=[2]员工报账!Y38</f>
        <v>1</v>
      </c>
      <c r="BO38" s="48" t="b">
        <f>Z38=[2]员工报账!Z38</f>
        <v>1</v>
      </c>
      <c r="BP38" s="48" t="b">
        <f>AA38=[2]员工报账!AA38</f>
        <v>1</v>
      </c>
      <c r="BQ38" s="48" t="b">
        <f>AB38=[2]员工报账!AB38</f>
        <v>1</v>
      </c>
      <c r="BR38" s="48" t="b">
        <f>AC38=[2]员工报账!AC38</f>
        <v>1</v>
      </c>
      <c r="BS38" s="48" t="b">
        <f>AD38=[2]员工报账!AD38</f>
        <v>1</v>
      </c>
      <c r="BT38" s="48" t="b">
        <f>AE38=[2]员工报账!AE38</f>
        <v>1</v>
      </c>
      <c r="BU38" s="48" t="b">
        <f>AF38=[2]员工报账!AF38</f>
        <v>1</v>
      </c>
      <c r="BV38" s="48" t="b">
        <f>AG38=[2]员工报账!AG38</f>
        <v>1</v>
      </c>
      <c r="BW38" s="48" t="b">
        <f>AH38=[2]员工报账!AH38</f>
        <v>1</v>
      </c>
      <c r="BX38" s="48" t="b">
        <f>AI38=[2]员工报账!AI38</f>
        <v>1</v>
      </c>
      <c r="BY38" s="48" t="b">
        <f>AJ38=[2]员工报账!AJ38</f>
        <v>1</v>
      </c>
      <c r="BZ38" s="48" t="b">
        <f>AK38=[2]员工报账!AK38</f>
        <v>1</v>
      </c>
    </row>
    <row r="39" s="48" customFormat="1" ht="92.4" spans="1:78">
      <c r="A39" s="62"/>
      <c r="B39" s="62" t="s">
        <v>644</v>
      </c>
      <c r="C39" s="63" t="s">
        <v>498</v>
      </c>
      <c r="D39" s="63" t="s">
        <v>645</v>
      </c>
      <c r="E39" s="64" t="s">
        <v>646</v>
      </c>
      <c r="F39" s="57"/>
      <c r="G39" s="63" t="s">
        <v>647</v>
      </c>
      <c r="H39" s="64" t="s">
        <v>648</v>
      </c>
      <c r="I39" s="38" t="s">
        <v>649</v>
      </c>
      <c r="J39" s="42" t="s">
        <v>650</v>
      </c>
      <c r="K39" s="35"/>
      <c r="L39" s="35" t="s">
        <v>36</v>
      </c>
      <c r="M39" s="35" t="s">
        <v>36</v>
      </c>
      <c r="N39" s="35"/>
      <c r="O39" s="35"/>
      <c r="P39" s="35"/>
      <c r="Q39" s="35"/>
      <c r="R39" s="35"/>
      <c r="S39" s="35"/>
      <c r="T39" s="43" t="s">
        <v>463</v>
      </c>
      <c r="U39" s="35" t="s">
        <v>635</v>
      </c>
      <c r="V39" s="42" t="s">
        <v>651</v>
      </c>
      <c r="W39" s="42" t="s">
        <v>627</v>
      </c>
      <c r="X39" s="35" t="s">
        <v>628</v>
      </c>
      <c r="Y39" s="35" t="s">
        <v>470</v>
      </c>
      <c r="Z39" s="35"/>
      <c r="AA39" s="35" t="s">
        <v>469</v>
      </c>
      <c r="AB39" s="35" t="s">
        <v>470</v>
      </c>
      <c r="AC39" s="35"/>
      <c r="AD39" s="42" t="s">
        <v>652</v>
      </c>
      <c r="AE39" s="35" t="s">
        <v>469</v>
      </c>
      <c r="AF39" s="35" t="s">
        <v>470</v>
      </c>
      <c r="AG39" s="35"/>
      <c r="AH39" s="35" t="s">
        <v>473</v>
      </c>
      <c r="AI39" s="35" t="s">
        <v>473</v>
      </c>
      <c r="AJ39" s="42" t="s">
        <v>653</v>
      </c>
      <c r="AK39" s="35" t="s">
        <v>631</v>
      </c>
      <c r="AL39" s="42" t="s">
        <v>632</v>
      </c>
      <c r="AM39" s="61"/>
      <c r="AN39" s="42"/>
      <c r="AO39" s="97"/>
      <c r="AP39" s="48" t="b">
        <f>A39=[2]员工报账!A39</f>
        <v>1</v>
      </c>
      <c r="AQ39" s="48" t="b">
        <f>B39=[2]员工报账!B39</f>
        <v>1</v>
      </c>
      <c r="AR39" s="48" t="b">
        <f>C39=[2]员工报账!C39</f>
        <v>1</v>
      </c>
      <c r="AS39" s="48" t="b">
        <f>D39=[2]员工报账!D39</f>
        <v>1</v>
      </c>
      <c r="AT39" s="48" t="b">
        <f>E39=[2]员工报账!E39</f>
        <v>1</v>
      </c>
      <c r="AU39" s="48" t="b">
        <f>F39=[2]员工报账!F39</f>
        <v>1</v>
      </c>
      <c r="AV39" s="48" t="b">
        <f>G39=[2]员工报账!G39</f>
        <v>1</v>
      </c>
      <c r="AW39" s="48" t="b">
        <f>H39=[2]员工报账!H39</f>
        <v>1</v>
      </c>
      <c r="AX39" s="48" t="b">
        <f>I39=[2]员工报账!I39</f>
        <v>1</v>
      </c>
      <c r="AY39" s="48" t="b">
        <f>J39=[2]员工报账!J39</f>
        <v>1</v>
      </c>
      <c r="AZ39" s="48" t="b">
        <f>K39=[2]员工报账!K39</f>
        <v>1</v>
      </c>
      <c r="BA39" s="48" t="b">
        <f>L39=[2]员工报账!L39</f>
        <v>1</v>
      </c>
      <c r="BB39" s="48" t="b">
        <f>M39=[2]员工报账!M39</f>
        <v>1</v>
      </c>
      <c r="BC39" s="48" t="b">
        <f>N39=[2]员工报账!N39</f>
        <v>1</v>
      </c>
      <c r="BD39" s="48" t="b">
        <f>O39=[2]员工报账!O39</f>
        <v>1</v>
      </c>
      <c r="BE39" s="48" t="b">
        <f>P39=[2]员工报账!P39</f>
        <v>1</v>
      </c>
      <c r="BF39" s="48" t="b">
        <f>Q39=[2]员工报账!Q39</f>
        <v>1</v>
      </c>
      <c r="BG39" s="48" t="b">
        <f>R39=[2]员工报账!R39</f>
        <v>1</v>
      </c>
      <c r="BH39" s="48" t="b">
        <f>S39=[2]员工报账!S39</f>
        <v>1</v>
      </c>
      <c r="BI39" s="48" t="b">
        <f>T39=[2]员工报账!T39</f>
        <v>1</v>
      </c>
      <c r="BJ39" s="48" t="b">
        <f>U39=[2]员工报账!U39</f>
        <v>1</v>
      </c>
      <c r="BK39" s="48" t="b">
        <f>V39=[2]员工报账!V39</f>
        <v>1</v>
      </c>
      <c r="BL39" s="48" t="b">
        <f>W39=[2]员工报账!W39</f>
        <v>1</v>
      </c>
      <c r="BM39" s="48" t="b">
        <f>X39=[2]员工报账!X39</f>
        <v>1</v>
      </c>
      <c r="BN39" s="48" t="b">
        <f>Y39=[2]员工报账!Y39</f>
        <v>1</v>
      </c>
      <c r="BO39" s="48" t="b">
        <f>Z39=[2]员工报账!Z39</f>
        <v>1</v>
      </c>
      <c r="BP39" s="48" t="b">
        <f>AA39=[2]员工报账!AA39</f>
        <v>1</v>
      </c>
      <c r="BQ39" s="48" t="b">
        <f>AB39=[2]员工报账!AB39</f>
        <v>1</v>
      </c>
      <c r="BR39" s="48" t="b">
        <f>AC39=[2]员工报账!AC39</f>
        <v>1</v>
      </c>
      <c r="BS39" s="48" t="b">
        <f>AD39=[2]员工报账!AD39</f>
        <v>1</v>
      </c>
      <c r="BT39" s="48" t="b">
        <f>AE39=[2]员工报账!AE39</f>
        <v>1</v>
      </c>
      <c r="BU39" s="48" t="b">
        <f>AF39=[2]员工报账!AF39</f>
        <v>1</v>
      </c>
      <c r="BV39" s="48" t="b">
        <f>AG39=[2]员工报账!AG39</f>
        <v>1</v>
      </c>
      <c r="BW39" s="48" t="b">
        <f>AH39=[2]员工报账!AH39</f>
        <v>1</v>
      </c>
      <c r="BX39" s="48" t="b">
        <f>AI39=[2]员工报账!AI39</f>
        <v>1</v>
      </c>
      <c r="BY39" s="48" t="b">
        <f>AJ39=[2]员工报账!AJ39</f>
        <v>1</v>
      </c>
      <c r="BZ39" s="48" t="b">
        <f>AK39=[2]员工报账!AK39</f>
        <v>1</v>
      </c>
    </row>
    <row r="40" s="48" customFormat="1" ht="92.4" spans="1:78">
      <c r="A40" s="67"/>
      <c r="B40" s="67"/>
      <c r="C40" s="38"/>
      <c r="D40" s="38"/>
      <c r="E40" s="66"/>
      <c r="F40" s="38"/>
      <c r="G40" s="38"/>
      <c r="H40" s="66"/>
      <c r="I40" s="35" t="s">
        <v>654</v>
      </c>
      <c r="J40" s="42" t="s">
        <v>655</v>
      </c>
      <c r="K40" s="35"/>
      <c r="L40" s="35"/>
      <c r="M40" s="35" t="s">
        <v>36</v>
      </c>
      <c r="N40" s="35"/>
      <c r="O40" s="35"/>
      <c r="P40" s="35"/>
      <c r="Q40" s="35"/>
      <c r="R40" s="35" t="s">
        <v>36</v>
      </c>
      <c r="S40" s="35"/>
      <c r="T40" s="43" t="s">
        <v>463</v>
      </c>
      <c r="U40" s="35" t="s">
        <v>635</v>
      </c>
      <c r="V40" s="42" t="s">
        <v>651</v>
      </c>
      <c r="W40" s="42" t="s">
        <v>656</v>
      </c>
      <c r="X40" s="35" t="s">
        <v>628</v>
      </c>
      <c r="Y40" s="35" t="s">
        <v>470</v>
      </c>
      <c r="Z40" s="35"/>
      <c r="AA40" s="35" t="s">
        <v>469</v>
      </c>
      <c r="AB40" s="35" t="s">
        <v>470</v>
      </c>
      <c r="AC40" s="35"/>
      <c r="AD40" s="42" t="s">
        <v>652</v>
      </c>
      <c r="AE40" s="35" t="s">
        <v>469</v>
      </c>
      <c r="AF40" s="35" t="s">
        <v>470</v>
      </c>
      <c r="AG40" s="35"/>
      <c r="AH40" s="35" t="s">
        <v>473</v>
      </c>
      <c r="AI40" s="35" t="s">
        <v>473</v>
      </c>
      <c r="AJ40" s="42" t="s">
        <v>653</v>
      </c>
      <c r="AK40" s="35" t="s">
        <v>657</v>
      </c>
      <c r="AL40" s="42" t="s">
        <v>658</v>
      </c>
      <c r="AM40" s="61"/>
      <c r="AN40" s="42"/>
      <c r="AO40" s="97"/>
      <c r="AP40" s="48" t="b">
        <f>A40=[2]员工报账!A40</f>
        <v>1</v>
      </c>
      <c r="AQ40" s="48" t="b">
        <f>B40=[2]员工报账!B40</f>
        <v>1</v>
      </c>
      <c r="AR40" s="48" t="b">
        <f>C40=[2]员工报账!C40</f>
        <v>1</v>
      </c>
      <c r="AS40" s="48" t="b">
        <f>D40=[2]员工报账!D40</f>
        <v>1</v>
      </c>
      <c r="AT40" s="48" t="b">
        <f>E40=[2]员工报账!E40</f>
        <v>1</v>
      </c>
      <c r="AU40" s="48" t="b">
        <f>F40=[2]员工报账!F40</f>
        <v>1</v>
      </c>
      <c r="AV40" s="48" t="b">
        <f>G40=[2]员工报账!G40</f>
        <v>1</v>
      </c>
      <c r="AW40" s="48" t="b">
        <f>H40=[2]员工报账!H40</f>
        <v>1</v>
      </c>
      <c r="AX40" s="48" t="b">
        <f>I40=[2]员工报账!I40</f>
        <v>1</v>
      </c>
      <c r="AY40" s="48" t="b">
        <f>J40=[2]员工报账!J40</f>
        <v>1</v>
      </c>
      <c r="AZ40" s="48" t="b">
        <f>K40=[2]员工报账!K40</f>
        <v>1</v>
      </c>
      <c r="BA40" s="48" t="b">
        <f>L40=[2]员工报账!L40</f>
        <v>1</v>
      </c>
      <c r="BB40" s="48" t="b">
        <f>M40=[2]员工报账!M40</f>
        <v>1</v>
      </c>
      <c r="BC40" s="48" t="b">
        <f>N40=[2]员工报账!N40</f>
        <v>1</v>
      </c>
      <c r="BD40" s="48" t="b">
        <f>O40=[2]员工报账!O40</f>
        <v>1</v>
      </c>
      <c r="BE40" s="48" t="b">
        <f>P40=[2]员工报账!P40</f>
        <v>1</v>
      </c>
      <c r="BF40" s="48" t="b">
        <f>Q40=[2]员工报账!Q40</f>
        <v>1</v>
      </c>
      <c r="BG40" s="48" t="b">
        <f>R40=[2]员工报账!R40</f>
        <v>1</v>
      </c>
      <c r="BH40" s="48" t="b">
        <f>S40=[2]员工报账!S40</f>
        <v>1</v>
      </c>
      <c r="BI40" s="48" t="b">
        <f>T40=[2]员工报账!T40</f>
        <v>1</v>
      </c>
      <c r="BJ40" s="48" t="b">
        <f>U40=[2]员工报账!U40</f>
        <v>1</v>
      </c>
      <c r="BK40" s="48" t="b">
        <f>V40=[2]员工报账!V40</f>
        <v>1</v>
      </c>
      <c r="BL40" s="48" t="b">
        <f>W40=[2]员工报账!W40</f>
        <v>1</v>
      </c>
      <c r="BM40" s="48" t="b">
        <f>X40=[2]员工报账!X40</f>
        <v>1</v>
      </c>
      <c r="BN40" s="48" t="b">
        <f>Y40=[2]员工报账!Y40</f>
        <v>1</v>
      </c>
      <c r="BO40" s="48" t="b">
        <f>Z40=[2]员工报账!Z40</f>
        <v>1</v>
      </c>
      <c r="BP40" s="48" t="b">
        <f>AA40=[2]员工报账!AA40</f>
        <v>1</v>
      </c>
      <c r="BQ40" s="48" t="b">
        <f>AB40=[2]员工报账!AB40</f>
        <v>1</v>
      </c>
      <c r="BR40" s="48" t="b">
        <f>AC40=[2]员工报账!AC40</f>
        <v>1</v>
      </c>
      <c r="BS40" s="48" t="b">
        <f>AD40=[2]员工报账!AD40</f>
        <v>1</v>
      </c>
      <c r="BT40" s="48" t="b">
        <f>AE40=[2]员工报账!AE40</f>
        <v>1</v>
      </c>
      <c r="BU40" s="48" t="b">
        <f>AF40=[2]员工报账!AF40</f>
        <v>1</v>
      </c>
      <c r="BV40" s="48" t="b">
        <f>AG40=[2]员工报账!AG40</f>
        <v>1</v>
      </c>
      <c r="BW40" s="48" t="b">
        <f>AH40=[2]员工报账!AH40</f>
        <v>1</v>
      </c>
      <c r="BX40" s="48" t="b">
        <f>AI40=[2]员工报账!AI40</f>
        <v>1</v>
      </c>
      <c r="BY40" s="48" t="b">
        <f>AJ40=[2]员工报账!AJ40</f>
        <v>1</v>
      </c>
      <c r="BZ40" s="48" t="b">
        <f>AK40=[2]员工报账!AK40</f>
        <v>1</v>
      </c>
    </row>
    <row r="41" s="48" customFormat="1" ht="145.2" spans="1:78">
      <c r="A41" s="56" t="s">
        <v>453</v>
      </c>
      <c r="B41" s="56" t="s">
        <v>644</v>
      </c>
      <c r="C41" s="57" t="s">
        <v>498</v>
      </c>
      <c r="D41" s="57" t="s">
        <v>645</v>
      </c>
      <c r="E41" s="58" t="s">
        <v>646</v>
      </c>
      <c r="F41" s="35"/>
      <c r="G41" s="57" t="s">
        <v>647</v>
      </c>
      <c r="H41" s="58" t="s">
        <v>648</v>
      </c>
      <c r="I41" s="35" t="s">
        <v>659</v>
      </c>
      <c r="J41" s="74" t="s">
        <v>997</v>
      </c>
      <c r="K41" s="35"/>
      <c r="L41" s="35"/>
      <c r="M41" s="35"/>
      <c r="N41" s="35"/>
      <c r="O41" s="35" t="s">
        <v>36</v>
      </c>
      <c r="P41" s="35"/>
      <c r="Q41" s="35"/>
      <c r="R41" s="35"/>
      <c r="S41" s="35"/>
      <c r="T41" s="43" t="s">
        <v>463</v>
      </c>
      <c r="U41" s="35" t="s">
        <v>635</v>
      </c>
      <c r="V41" s="42" t="s">
        <v>651</v>
      </c>
      <c r="W41" s="42" t="s">
        <v>656</v>
      </c>
      <c r="X41" s="35" t="s">
        <v>628</v>
      </c>
      <c r="Y41" s="35" t="s">
        <v>470</v>
      </c>
      <c r="Z41" s="35"/>
      <c r="AA41" s="35" t="s">
        <v>469</v>
      </c>
      <c r="AB41" s="35" t="s">
        <v>470</v>
      </c>
      <c r="AC41" s="35"/>
      <c r="AD41" s="42" t="s">
        <v>652</v>
      </c>
      <c r="AE41" s="35" t="s">
        <v>469</v>
      </c>
      <c r="AF41" s="35" t="s">
        <v>470</v>
      </c>
      <c r="AG41" s="35"/>
      <c r="AH41" s="35" t="s">
        <v>473</v>
      </c>
      <c r="AI41" s="35" t="s">
        <v>473</v>
      </c>
      <c r="AJ41" s="42" t="s">
        <v>653</v>
      </c>
      <c r="AK41" s="35" t="s">
        <v>631</v>
      </c>
      <c r="AL41" s="35" t="s">
        <v>658</v>
      </c>
      <c r="AM41" s="61"/>
      <c r="AN41" s="42" t="s">
        <v>998</v>
      </c>
      <c r="AO41" s="98" t="s">
        <v>999</v>
      </c>
      <c r="AP41" s="48" t="b">
        <f>A41=[2]员工报账!A41</f>
        <v>1</v>
      </c>
      <c r="AQ41" s="48" t="b">
        <f>B41=[2]员工报账!B41</f>
        <v>1</v>
      </c>
      <c r="AR41" s="48" t="b">
        <f>C41=[2]员工报账!C41</f>
        <v>1</v>
      </c>
      <c r="AS41" s="48" t="b">
        <f>D41=[2]员工报账!D41</f>
        <v>1</v>
      </c>
      <c r="AT41" s="48" t="b">
        <f>E41=[2]员工报账!E41</f>
        <v>1</v>
      </c>
      <c r="AU41" s="48" t="b">
        <f>F41=[2]员工报账!F41</f>
        <v>1</v>
      </c>
      <c r="AV41" s="48" t="b">
        <f>G41=[2]员工报账!G41</f>
        <v>1</v>
      </c>
      <c r="AW41" s="48" t="b">
        <f>H41=[2]员工报账!H41</f>
        <v>1</v>
      </c>
      <c r="AX41" s="48" t="b">
        <f>I41=[2]员工报账!I41</f>
        <v>1</v>
      </c>
      <c r="AY41" s="48" t="b">
        <f>J41=[2]员工报账!J41</f>
        <v>0</v>
      </c>
      <c r="AZ41" s="48" t="b">
        <f>K41=[2]员工报账!K41</f>
        <v>1</v>
      </c>
      <c r="BA41" s="48" t="b">
        <f>L41=[2]员工报账!L41</f>
        <v>1</v>
      </c>
      <c r="BB41" s="48" t="b">
        <f>M41=[2]员工报账!M41</f>
        <v>1</v>
      </c>
      <c r="BC41" s="48" t="b">
        <f>N41=[2]员工报账!N41</f>
        <v>1</v>
      </c>
      <c r="BD41" s="48" t="b">
        <f>O41=[2]员工报账!O41</f>
        <v>1</v>
      </c>
      <c r="BE41" s="48" t="b">
        <f>P41=[2]员工报账!P41</f>
        <v>1</v>
      </c>
      <c r="BF41" s="48" t="b">
        <f>Q41=[2]员工报账!Q41</f>
        <v>1</v>
      </c>
      <c r="BG41" s="48" t="b">
        <f>R41=[2]员工报账!R41</f>
        <v>1</v>
      </c>
      <c r="BH41" s="48" t="b">
        <f>S41=[2]员工报账!S41</f>
        <v>1</v>
      </c>
      <c r="BI41" s="48" t="b">
        <f>T41=[2]员工报账!T41</f>
        <v>0</v>
      </c>
      <c r="BJ41" s="48" t="b">
        <f>U41=[2]员工报账!U41</f>
        <v>1</v>
      </c>
      <c r="BK41" s="48" t="b">
        <f>V41=[2]员工报账!V41</f>
        <v>1</v>
      </c>
      <c r="BL41" s="48" t="b">
        <f>W41=[2]员工报账!W41</f>
        <v>1</v>
      </c>
      <c r="BM41" s="48" t="b">
        <f>X41=[2]员工报账!X41</f>
        <v>1</v>
      </c>
      <c r="BN41" s="48" t="b">
        <f>Y41=[2]员工报账!Y41</f>
        <v>1</v>
      </c>
      <c r="BO41" s="48" t="b">
        <f>Z41=[2]员工报账!Z41</f>
        <v>1</v>
      </c>
      <c r="BP41" s="48" t="b">
        <f>AA41=[2]员工报账!AA41</f>
        <v>1</v>
      </c>
      <c r="BQ41" s="48" t="b">
        <f>AB41=[2]员工报账!AB41</f>
        <v>1</v>
      </c>
      <c r="BR41" s="48" t="b">
        <f>AC41=[2]员工报账!AC41</f>
        <v>1</v>
      </c>
      <c r="BS41" s="48" t="b">
        <f>AD41=[2]员工报账!AD41</f>
        <v>1</v>
      </c>
      <c r="BT41" s="48" t="b">
        <f>AE41=[2]员工报账!AE41</f>
        <v>1</v>
      </c>
      <c r="BU41" s="48" t="b">
        <f>AF41=[2]员工报账!AF41</f>
        <v>1</v>
      </c>
      <c r="BV41" s="48" t="b">
        <f>AG41=[2]员工报账!AG41</f>
        <v>1</v>
      </c>
      <c r="BW41" s="48" t="b">
        <f>AH41=[2]员工报账!AH41</f>
        <v>1</v>
      </c>
      <c r="BX41" s="48" t="b">
        <f>AI41=[2]员工报账!AI41</f>
        <v>1</v>
      </c>
      <c r="BY41" s="48" t="b">
        <f>AJ41=[2]员工报账!AJ41</f>
        <v>1</v>
      </c>
      <c r="BZ41" s="48" t="b">
        <f>AK41=[2]员工报账!AK41</f>
        <v>1</v>
      </c>
    </row>
    <row r="42" s="48" customFormat="1" ht="92.4" spans="1:78">
      <c r="A42" s="62"/>
      <c r="B42" s="62"/>
      <c r="C42" s="63"/>
      <c r="D42" s="63"/>
      <c r="E42" s="64"/>
      <c r="F42" s="35"/>
      <c r="G42" s="63"/>
      <c r="H42" s="64"/>
      <c r="I42" s="35" t="s">
        <v>663</v>
      </c>
      <c r="J42" s="42" t="s">
        <v>664</v>
      </c>
      <c r="K42" s="35"/>
      <c r="L42" s="35"/>
      <c r="M42" s="35"/>
      <c r="N42" s="35"/>
      <c r="O42" s="35"/>
      <c r="P42" s="35"/>
      <c r="Q42" s="35" t="s">
        <v>36</v>
      </c>
      <c r="R42" s="35" t="s">
        <v>36</v>
      </c>
      <c r="S42" s="35"/>
      <c r="T42" s="35" t="s">
        <v>516</v>
      </c>
      <c r="U42" s="42"/>
      <c r="V42" s="42" t="s">
        <v>651</v>
      </c>
      <c r="W42" s="42" t="s">
        <v>627</v>
      </c>
      <c r="X42" s="35" t="s">
        <v>628</v>
      </c>
      <c r="Y42" s="35" t="s">
        <v>470</v>
      </c>
      <c r="Z42" s="35"/>
      <c r="AA42" s="35" t="s">
        <v>469</v>
      </c>
      <c r="AB42" s="35" t="s">
        <v>470</v>
      </c>
      <c r="AC42" s="35"/>
      <c r="AD42" s="42" t="s">
        <v>652</v>
      </c>
      <c r="AE42" s="35" t="s">
        <v>469</v>
      </c>
      <c r="AF42" s="35" t="s">
        <v>470</v>
      </c>
      <c r="AG42" s="35"/>
      <c r="AH42" s="35" t="s">
        <v>473</v>
      </c>
      <c r="AI42" s="35" t="s">
        <v>473</v>
      </c>
      <c r="AJ42" s="42" t="s">
        <v>653</v>
      </c>
      <c r="AK42" s="35" t="s">
        <v>631</v>
      </c>
      <c r="AL42" s="35" t="s">
        <v>658</v>
      </c>
      <c r="AM42" s="61"/>
      <c r="AN42" s="42"/>
      <c r="AO42" s="97"/>
      <c r="AP42" s="48" t="b">
        <f>A42=[2]员工报账!A42</f>
        <v>1</v>
      </c>
      <c r="AQ42" s="48" t="b">
        <f>B42=[2]员工报账!B42</f>
        <v>1</v>
      </c>
      <c r="AR42" s="48" t="b">
        <f>C42=[2]员工报账!C42</f>
        <v>1</v>
      </c>
      <c r="AS42" s="48" t="b">
        <f>D42=[2]员工报账!D42</f>
        <v>1</v>
      </c>
      <c r="AT42" s="48" t="b">
        <f>E42=[2]员工报账!E42</f>
        <v>1</v>
      </c>
      <c r="AU42" s="48" t="b">
        <f>F42=[2]员工报账!F42</f>
        <v>1</v>
      </c>
      <c r="AV42" s="48" t="b">
        <f>G42=[2]员工报账!G42</f>
        <v>1</v>
      </c>
      <c r="AW42" s="48" t="b">
        <f>H42=[2]员工报账!H42</f>
        <v>1</v>
      </c>
      <c r="AX42" s="48" t="b">
        <f>I42=[2]员工报账!I42</f>
        <v>1</v>
      </c>
      <c r="AY42" s="48" t="b">
        <f>J42=[2]员工报账!J42</f>
        <v>1</v>
      </c>
      <c r="AZ42" s="48" t="b">
        <f>K42=[2]员工报账!K42</f>
        <v>1</v>
      </c>
      <c r="BA42" s="48" t="b">
        <f>L42=[2]员工报账!L42</f>
        <v>1</v>
      </c>
      <c r="BB42" s="48" t="b">
        <f>M42=[2]员工报账!M42</f>
        <v>1</v>
      </c>
      <c r="BC42" s="48" t="b">
        <f>N42=[2]员工报账!N42</f>
        <v>1</v>
      </c>
      <c r="BD42" s="48" t="b">
        <f>O42=[2]员工报账!O42</f>
        <v>1</v>
      </c>
      <c r="BE42" s="48" t="b">
        <f>P42=[2]员工报账!P42</f>
        <v>1</v>
      </c>
      <c r="BF42" s="48" t="b">
        <f>Q42=[2]员工报账!Q42</f>
        <v>1</v>
      </c>
      <c r="BG42" s="48" t="b">
        <f>R42=[2]员工报账!R42</f>
        <v>1</v>
      </c>
      <c r="BH42" s="48" t="b">
        <f>S42=[2]员工报账!S42</f>
        <v>1</v>
      </c>
      <c r="BI42" s="48" t="b">
        <f>T42=[2]员工报账!T42</f>
        <v>1</v>
      </c>
      <c r="BJ42" s="48" t="b">
        <f>U42=[2]员工报账!U42</f>
        <v>1</v>
      </c>
      <c r="BK42" s="48" t="b">
        <f>V42=[2]员工报账!V42</f>
        <v>1</v>
      </c>
      <c r="BL42" s="48" t="b">
        <f>W42=[2]员工报账!W42</f>
        <v>1</v>
      </c>
      <c r="BM42" s="48" t="b">
        <f>X42=[2]员工报账!X42</f>
        <v>1</v>
      </c>
      <c r="BN42" s="48" t="b">
        <f>Y42=[2]员工报账!Y42</f>
        <v>1</v>
      </c>
      <c r="BO42" s="48" t="b">
        <f>Z42=[2]员工报账!Z42</f>
        <v>1</v>
      </c>
      <c r="BP42" s="48" t="b">
        <f>AA42=[2]员工报账!AA42</f>
        <v>1</v>
      </c>
      <c r="BQ42" s="48" t="b">
        <f>AB42=[2]员工报账!AB42</f>
        <v>1</v>
      </c>
      <c r="BR42" s="48" t="b">
        <f>AC42=[2]员工报账!AC42</f>
        <v>1</v>
      </c>
      <c r="BS42" s="48" t="b">
        <f>AD42=[2]员工报账!AD42</f>
        <v>1</v>
      </c>
      <c r="BT42" s="48" t="b">
        <f>AE42=[2]员工报账!AE42</f>
        <v>1</v>
      </c>
      <c r="BU42" s="48" t="b">
        <f>AF42=[2]员工报账!AF42</f>
        <v>1</v>
      </c>
      <c r="BV42" s="48" t="b">
        <f>AG42=[2]员工报账!AG42</f>
        <v>1</v>
      </c>
      <c r="BW42" s="48" t="b">
        <f>AH42=[2]员工报账!AH42</f>
        <v>1</v>
      </c>
      <c r="BX42" s="48" t="b">
        <f>AI42=[2]员工报账!AI42</f>
        <v>1</v>
      </c>
      <c r="BY42" s="48" t="b">
        <f>AJ42=[2]员工报账!AJ42</f>
        <v>1</v>
      </c>
      <c r="BZ42" s="48" t="b">
        <f>AK42=[2]员工报账!AK42</f>
        <v>1</v>
      </c>
    </row>
    <row r="43" s="48" customFormat="1" ht="132" spans="1:78">
      <c r="A43" s="62"/>
      <c r="B43" s="62"/>
      <c r="C43" s="63"/>
      <c r="D43" s="38"/>
      <c r="E43" s="66"/>
      <c r="F43" s="35"/>
      <c r="G43" s="38"/>
      <c r="H43" s="66"/>
      <c r="I43" s="35" t="s">
        <v>665</v>
      </c>
      <c r="J43" s="42" t="s">
        <v>666</v>
      </c>
      <c r="K43" s="35"/>
      <c r="L43" s="35"/>
      <c r="M43" s="35" t="s">
        <v>36</v>
      </c>
      <c r="N43" s="35"/>
      <c r="O43" s="35"/>
      <c r="P43" s="35"/>
      <c r="Q43" s="35" t="s">
        <v>36</v>
      </c>
      <c r="R43" s="35"/>
      <c r="S43" s="35"/>
      <c r="T43" s="35" t="s">
        <v>516</v>
      </c>
      <c r="U43" s="42"/>
      <c r="V43" s="42" t="s">
        <v>651</v>
      </c>
      <c r="W43" s="42" t="s">
        <v>667</v>
      </c>
      <c r="X43" s="35" t="s">
        <v>628</v>
      </c>
      <c r="Y43" s="35" t="s">
        <v>470</v>
      </c>
      <c r="Z43" s="35"/>
      <c r="AA43" s="35" t="s">
        <v>469</v>
      </c>
      <c r="AB43" s="35" t="s">
        <v>470</v>
      </c>
      <c r="AC43" s="35"/>
      <c r="AD43" s="42" t="s">
        <v>652</v>
      </c>
      <c r="AE43" s="35" t="s">
        <v>469</v>
      </c>
      <c r="AF43" s="35" t="s">
        <v>470</v>
      </c>
      <c r="AG43" s="35"/>
      <c r="AH43" s="35" t="s">
        <v>473</v>
      </c>
      <c r="AI43" s="35" t="s">
        <v>473</v>
      </c>
      <c r="AJ43" s="42" t="s">
        <v>653</v>
      </c>
      <c r="AK43" s="35" t="s">
        <v>631</v>
      </c>
      <c r="AL43" s="35" t="s">
        <v>658</v>
      </c>
      <c r="AM43" s="61"/>
      <c r="AN43" s="42" t="s">
        <v>509</v>
      </c>
      <c r="AO43" s="97"/>
      <c r="AP43" s="48" t="b">
        <f>A43=[2]员工报账!A43</f>
        <v>1</v>
      </c>
      <c r="AQ43" s="48" t="b">
        <f>B43=[2]员工报账!B43</f>
        <v>1</v>
      </c>
      <c r="AR43" s="48" t="b">
        <f>C43=[2]员工报账!C43</f>
        <v>1</v>
      </c>
      <c r="AS43" s="48" t="b">
        <f>D43=[2]员工报账!D43</f>
        <v>1</v>
      </c>
      <c r="AT43" s="48" t="b">
        <f>E43=[2]员工报账!E43</f>
        <v>1</v>
      </c>
      <c r="AU43" s="48" t="b">
        <f>F43=[2]员工报账!F43</f>
        <v>1</v>
      </c>
      <c r="AV43" s="48" t="b">
        <f>G43=[2]员工报账!G43</f>
        <v>1</v>
      </c>
      <c r="AW43" s="48" t="b">
        <f>H43=[2]员工报账!H43</f>
        <v>1</v>
      </c>
      <c r="AX43" s="48" t="b">
        <f>I43=[2]员工报账!I43</f>
        <v>1</v>
      </c>
      <c r="AY43" s="48" t="b">
        <f>J43=[2]员工报账!J43</f>
        <v>1</v>
      </c>
      <c r="AZ43" s="48" t="b">
        <f>K43=[2]员工报账!K43</f>
        <v>1</v>
      </c>
      <c r="BA43" s="48" t="b">
        <f>L43=[2]员工报账!L43</f>
        <v>1</v>
      </c>
      <c r="BB43" s="48" t="b">
        <f>M43=[2]员工报账!M43</f>
        <v>1</v>
      </c>
      <c r="BC43" s="48" t="b">
        <f>N43=[2]员工报账!N43</f>
        <v>1</v>
      </c>
      <c r="BD43" s="48" t="b">
        <f>O43=[2]员工报账!O43</f>
        <v>1</v>
      </c>
      <c r="BE43" s="48" t="b">
        <f>P43=[2]员工报账!P43</f>
        <v>1</v>
      </c>
      <c r="BF43" s="48" t="b">
        <f>Q43=[2]员工报账!Q43</f>
        <v>1</v>
      </c>
      <c r="BG43" s="48" t="b">
        <f>R43=[2]员工报账!R43</f>
        <v>1</v>
      </c>
      <c r="BH43" s="48" t="b">
        <f>S43=[2]员工报账!S43</f>
        <v>1</v>
      </c>
      <c r="BI43" s="48" t="b">
        <f>T43=[2]员工报账!T43</f>
        <v>1</v>
      </c>
      <c r="BJ43" s="48" t="b">
        <f>U43=[2]员工报账!U43</f>
        <v>1</v>
      </c>
      <c r="BK43" s="48" t="b">
        <f>V43=[2]员工报账!V43</f>
        <v>1</v>
      </c>
      <c r="BL43" s="48" t="b">
        <f>W43=[2]员工报账!W43</f>
        <v>1</v>
      </c>
      <c r="BM43" s="48" t="b">
        <f>X43=[2]员工报账!X43</f>
        <v>1</v>
      </c>
      <c r="BN43" s="48" t="b">
        <f>Y43=[2]员工报账!Y43</f>
        <v>1</v>
      </c>
      <c r="BO43" s="48" t="b">
        <f>Z43=[2]员工报账!Z43</f>
        <v>1</v>
      </c>
      <c r="BP43" s="48" t="b">
        <f>AA43=[2]员工报账!AA43</f>
        <v>1</v>
      </c>
      <c r="BQ43" s="48" t="b">
        <f>AB43=[2]员工报账!AB43</f>
        <v>1</v>
      </c>
      <c r="BR43" s="48" t="b">
        <f>AC43=[2]员工报账!AC43</f>
        <v>1</v>
      </c>
      <c r="BS43" s="48" t="b">
        <f>AD43=[2]员工报账!AD43</f>
        <v>1</v>
      </c>
      <c r="BT43" s="48" t="b">
        <f>AE43=[2]员工报账!AE43</f>
        <v>1</v>
      </c>
      <c r="BU43" s="48" t="b">
        <f>AF43=[2]员工报账!AF43</f>
        <v>1</v>
      </c>
      <c r="BV43" s="48" t="b">
        <f>AG43=[2]员工报账!AG43</f>
        <v>1</v>
      </c>
      <c r="BW43" s="48" t="b">
        <f>AH43=[2]员工报账!AH43</f>
        <v>1</v>
      </c>
      <c r="BX43" s="48" t="b">
        <f>AI43=[2]员工报账!AI43</f>
        <v>1</v>
      </c>
      <c r="BY43" s="48" t="b">
        <f>AJ43=[2]员工报账!AJ43</f>
        <v>1</v>
      </c>
      <c r="BZ43" s="48" t="b">
        <f>AK43=[2]员工报账!AK43</f>
        <v>1</v>
      </c>
    </row>
    <row r="44" s="48" customFormat="1" ht="316.8" spans="1:78">
      <c r="A44" s="67"/>
      <c r="B44" s="67"/>
      <c r="C44" s="38"/>
      <c r="D44" s="38" t="s">
        <v>668</v>
      </c>
      <c r="E44" s="66" t="s">
        <v>669</v>
      </c>
      <c r="F44" s="75"/>
      <c r="G44" s="38" t="s">
        <v>670</v>
      </c>
      <c r="H44" s="66" t="s">
        <v>671</v>
      </c>
      <c r="I44" s="38" t="s">
        <v>672</v>
      </c>
      <c r="J44" s="42" t="s">
        <v>673</v>
      </c>
      <c r="K44" s="35"/>
      <c r="L44" s="35"/>
      <c r="M44" s="35" t="s">
        <v>36</v>
      </c>
      <c r="N44" s="35"/>
      <c r="O44" s="35"/>
      <c r="P44" s="35"/>
      <c r="Q44" s="35"/>
      <c r="R44" s="35"/>
      <c r="S44" s="35"/>
      <c r="T44" s="35" t="s">
        <v>516</v>
      </c>
      <c r="U44" s="42"/>
      <c r="V44" s="42" t="s">
        <v>674</v>
      </c>
      <c r="W44" s="42" t="s">
        <v>675</v>
      </c>
      <c r="X44" s="35" t="s">
        <v>628</v>
      </c>
      <c r="Y44" s="35" t="s">
        <v>470</v>
      </c>
      <c r="Z44" s="35"/>
      <c r="AA44" s="35" t="s">
        <v>469</v>
      </c>
      <c r="AB44" s="35" t="s">
        <v>470</v>
      </c>
      <c r="AC44" s="35"/>
      <c r="AD44" s="42" t="s">
        <v>676</v>
      </c>
      <c r="AE44" s="35" t="s">
        <v>469</v>
      </c>
      <c r="AF44" s="35" t="s">
        <v>470</v>
      </c>
      <c r="AG44" s="35"/>
      <c r="AH44" s="35" t="s">
        <v>473</v>
      </c>
      <c r="AI44" s="35" t="s">
        <v>473</v>
      </c>
      <c r="AJ44" s="42" t="s">
        <v>677</v>
      </c>
      <c r="AK44" s="35" t="s">
        <v>678</v>
      </c>
      <c r="AL44" s="42" t="s">
        <v>679</v>
      </c>
      <c r="AM44" s="61"/>
      <c r="AN44" s="42"/>
      <c r="AO44" s="97"/>
      <c r="AP44" s="48" t="b">
        <f>A44=[2]员工报账!A44</f>
        <v>1</v>
      </c>
      <c r="AQ44" s="48" t="b">
        <f>B44=[2]员工报账!B44</f>
        <v>1</v>
      </c>
      <c r="AR44" s="48" t="b">
        <f>C44=[2]员工报账!C44</f>
        <v>1</v>
      </c>
      <c r="AS44" s="48" t="b">
        <f>D44=[2]员工报账!D44</f>
        <v>1</v>
      </c>
      <c r="AT44" s="48" t="b">
        <f>E44=[2]员工报账!E44</f>
        <v>1</v>
      </c>
      <c r="AU44" s="48" t="b">
        <f>F44=[2]员工报账!F44</f>
        <v>1</v>
      </c>
      <c r="AV44" s="48" t="b">
        <f>G44=[2]员工报账!G44</f>
        <v>1</v>
      </c>
      <c r="AW44" s="48" t="b">
        <f>H44=[2]员工报账!H44</f>
        <v>1</v>
      </c>
      <c r="AX44" s="48" t="b">
        <f>I44=[2]员工报账!I44</f>
        <v>1</v>
      </c>
      <c r="AY44" s="48" t="b">
        <f>J44=[2]员工报账!J44</f>
        <v>1</v>
      </c>
      <c r="AZ44" s="48" t="b">
        <f>K44=[2]员工报账!K44</f>
        <v>1</v>
      </c>
      <c r="BA44" s="48" t="b">
        <f>L44=[2]员工报账!L44</f>
        <v>1</v>
      </c>
      <c r="BB44" s="48" t="b">
        <f>M44=[2]员工报账!M44</f>
        <v>1</v>
      </c>
      <c r="BC44" s="48" t="b">
        <f>N44=[2]员工报账!N44</f>
        <v>1</v>
      </c>
      <c r="BD44" s="48" t="b">
        <f>O44=[2]员工报账!O44</f>
        <v>1</v>
      </c>
      <c r="BE44" s="48" t="b">
        <f>P44=[2]员工报账!P44</f>
        <v>1</v>
      </c>
      <c r="BF44" s="48" t="b">
        <f>Q44=[2]员工报账!Q44</f>
        <v>1</v>
      </c>
      <c r="BG44" s="48" t="b">
        <f>R44=[2]员工报账!R44</f>
        <v>1</v>
      </c>
      <c r="BH44" s="48" t="b">
        <f>S44=[2]员工报账!S44</f>
        <v>1</v>
      </c>
      <c r="BI44" s="48" t="b">
        <f>T44=[2]员工报账!T44</f>
        <v>1</v>
      </c>
      <c r="BJ44" s="48" t="b">
        <f>U44=[2]员工报账!U44</f>
        <v>1</v>
      </c>
      <c r="BK44" s="48" t="b">
        <f>V44=[2]员工报账!V44</f>
        <v>1</v>
      </c>
      <c r="BL44" s="48" t="b">
        <f>W44=[2]员工报账!W44</f>
        <v>1</v>
      </c>
      <c r="BM44" s="48" t="b">
        <f>X44=[2]员工报账!X44</f>
        <v>1</v>
      </c>
      <c r="BN44" s="48" t="b">
        <f>Y44=[2]员工报账!Y44</f>
        <v>1</v>
      </c>
      <c r="BO44" s="48" t="b">
        <f>Z44=[2]员工报账!Z44</f>
        <v>1</v>
      </c>
      <c r="BP44" s="48" t="b">
        <f>AA44=[2]员工报账!AA44</f>
        <v>1</v>
      </c>
      <c r="BQ44" s="48" t="b">
        <f>AB44=[2]员工报账!AB44</f>
        <v>1</v>
      </c>
      <c r="BR44" s="48" t="b">
        <f>AC44=[2]员工报账!AC44</f>
        <v>1</v>
      </c>
      <c r="BS44" s="48" t="b">
        <f>AD44=[2]员工报账!AD44</f>
        <v>1</v>
      </c>
      <c r="BT44" s="48" t="b">
        <f>AE44=[2]员工报账!AE44</f>
        <v>1</v>
      </c>
      <c r="BU44" s="48" t="b">
        <f>AF44=[2]员工报账!AF44</f>
        <v>1</v>
      </c>
      <c r="BV44" s="48" t="b">
        <f>AG44=[2]员工报账!AG44</f>
        <v>1</v>
      </c>
      <c r="BW44" s="48" t="b">
        <f>AH44=[2]员工报账!AH44</f>
        <v>1</v>
      </c>
      <c r="BX44" s="48" t="b">
        <f>AI44=[2]员工报账!AI44</f>
        <v>1</v>
      </c>
      <c r="BY44" s="48" t="b">
        <f>AJ44=[2]员工报账!AJ44</f>
        <v>1</v>
      </c>
      <c r="BZ44" s="48" t="b">
        <f>AK44=[2]员工报账!AK44</f>
        <v>1</v>
      </c>
    </row>
    <row r="45" s="48" customFormat="1" ht="158.4" spans="1:78">
      <c r="A45" s="56" t="s">
        <v>453</v>
      </c>
      <c r="B45" s="56" t="s">
        <v>644</v>
      </c>
      <c r="C45" s="57" t="s">
        <v>498</v>
      </c>
      <c r="D45" s="57" t="s">
        <v>668</v>
      </c>
      <c r="E45" s="58" t="s">
        <v>669</v>
      </c>
      <c r="F45" s="58"/>
      <c r="G45" s="57" t="s">
        <v>670</v>
      </c>
      <c r="H45" s="58" t="s">
        <v>671</v>
      </c>
      <c r="I45" s="35" t="s">
        <v>680</v>
      </c>
      <c r="J45" s="42" t="s">
        <v>681</v>
      </c>
      <c r="K45" s="35"/>
      <c r="L45" s="35" t="s">
        <v>36</v>
      </c>
      <c r="M45" s="35"/>
      <c r="N45" s="35"/>
      <c r="O45" s="35"/>
      <c r="P45" s="35"/>
      <c r="Q45" s="35"/>
      <c r="R45" s="35"/>
      <c r="S45" s="35"/>
      <c r="T45" s="35" t="s">
        <v>516</v>
      </c>
      <c r="U45" s="42"/>
      <c r="V45" s="42" t="s">
        <v>674</v>
      </c>
      <c r="W45" s="42" t="s">
        <v>675</v>
      </c>
      <c r="X45" s="35" t="s">
        <v>628</v>
      </c>
      <c r="Y45" s="35" t="s">
        <v>470</v>
      </c>
      <c r="Z45" s="35"/>
      <c r="AA45" s="35" t="s">
        <v>469</v>
      </c>
      <c r="AB45" s="35" t="s">
        <v>470</v>
      </c>
      <c r="AC45" s="35"/>
      <c r="AD45" s="42" t="s">
        <v>676</v>
      </c>
      <c r="AE45" s="35" t="s">
        <v>469</v>
      </c>
      <c r="AF45" s="35" t="s">
        <v>470</v>
      </c>
      <c r="AG45" s="35"/>
      <c r="AH45" s="35" t="s">
        <v>473</v>
      </c>
      <c r="AI45" s="35" t="s">
        <v>473</v>
      </c>
      <c r="AJ45" s="42" t="s">
        <v>682</v>
      </c>
      <c r="AK45" s="35" t="s">
        <v>678</v>
      </c>
      <c r="AL45" s="42" t="s">
        <v>679</v>
      </c>
      <c r="AM45" s="61"/>
      <c r="AN45" s="42"/>
      <c r="AO45" s="97"/>
      <c r="AP45" s="48" t="b">
        <f>A45=[2]员工报账!A45</f>
        <v>1</v>
      </c>
      <c r="AQ45" s="48" t="b">
        <f>B45=[2]员工报账!B45</f>
        <v>1</v>
      </c>
      <c r="AR45" s="48" t="b">
        <f>C45=[2]员工报账!C45</f>
        <v>1</v>
      </c>
      <c r="AS45" s="48" t="b">
        <f>D45=[2]员工报账!D45</f>
        <v>1</v>
      </c>
      <c r="AT45" s="48" t="b">
        <f>E45=[2]员工报账!E45</f>
        <v>1</v>
      </c>
      <c r="AU45" s="48" t="b">
        <f>F45=[2]员工报账!F45</f>
        <v>1</v>
      </c>
      <c r="AV45" s="48" t="b">
        <f>G45=[2]员工报账!G45</f>
        <v>1</v>
      </c>
      <c r="AW45" s="48" t="b">
        <f>H45=[2]员工报账!H45</f>
        <v>1</v>
      </c>
      <c r="AX45" s="48" t="b">
        <f>I45=[2]员工报账!I45</f>
        <v>1</v>
      </c>
      <c r="AY45" s="48" t="b">
        <f>J45=[2]员工报账!J45</f>
        <v>1</v>
      </c>
      <c r="AZ45" s="48" t="b">
        <f>K45=[2]员工报账!K45</f>
        <v>1</v>
      </c>
      <c r="BA45" s="48" t="b">
        <f>L45=[2]员工报账!L45</f>
        <v>1</v>
      </c>
      <c r="BB45" s="48" t="b">
        <f>M45=[2]员工报账!M45</f>
        <v>1</v>
      </c>
      <c r="BC45" s="48" t="b">
        <f>N45=[2]员工报账!N45</f>
        <v>1</v>
      </c>
      <c r="BD45" s="48" t="b">
        <f>O45=[2]员工报账!O45</f>
        <v>1</v>
      </c>
      <c r="BE45" s="48" t="b">
        <f>P45=[2]员工报账!P45</f>
        <v>1</v>
      </c>
      <c r="BF45" s="48" t="b">
        <f>Q45=[2]员工报账!Q45</f>
        <v>1</v>
      </c>
      <c r="BG45" s="48" t="b">
        <f>R45=[2]员工报账!R45</f>
        <v>1</v>
      </c>
      <c r="BH45" s="48" t="b">
        <f>S45=[2]员工报账!S45</f>
        <v>1</v>
      </c>
      <c r="BI45" s="48" t="b">
        <f>T45=[2]员工报账!T45</f>
        <v>1</v>
      </c>
      <c r="BJ45" s="48" t="b">
        <f>U45=[2]员工报账!U45</f>
        <v>1</v>
      </c>
      <c r="BK45" s="48" t="b">
        <f>V45=[2]员工报账!V45</f>
        <v>1</v>
      </c>
      <c r="BL45" s="48" t="b">
        <f>W45=[2]员工报账!W45</f>
        <v>1</v>
      </c>
      <c r="BM45" s="48" t="b">
        <f>X45=[2]员工报账!X45</f>
        <v>1</v>
      </c>
      <c r="BN45" s="48" t="b">
        <f>Y45=[2]员工报账!Y45</f>
        <v>1</v>
      </c>
      <c r="BO45" s="48" t="b">
        <f>Z45=[2]员工报账!Z45</f>
        <v>1</v>
      </c>
      <c r="BP45" s="48" t="b">
        <f>AA45=[2]员工报账!AA45</f>
        <v>1</v>
      </c>
      <c r="BQ45" s="48" t="b">
        <f>AB45=[2]员工报账!AB45</f>
        <v>1</v>
      </c>
      <c r="BR45" s="48" t="b">
        <f>AC45=[2]员工报账!AC45</f>
        <v>1</v>
      </c>
      <c r="BS45" s="48" t="b">
        <f>AD45=[2]员工报账!AD45</f>
        <v>1</v>
      </c>
      <c r="BT45" s="48" t="b">
        <f>AE45=[2]员工报账!AE45</f>
        <v>1</v>
      </c>
      <c r="BU45" s="48" t="b">
        <f>AF45=[2]员工报账!AF45</f>
        <v>1</v>
      </c>
      <c r="BV45" s="48" t="b">
        <f>AG45=[2]员工报账!AG45</f>
        <v>1</v>
      </c>
      <c r="BW45" s="48" t="b">
        <f>AH45=[2]员工报账!AH45</f>
        <v>1</v>
      </c>
      <c r="BX45" s="48" t="b">
        <f>AI45=[2]员工报账!AI45</f>
        <v>1</v>
      </c>
      <c r="BY45" s="48" t="b">
        <f>AJ45=[2]员工报账!AJ45</f>
        <v>1</v>
      </c>
      <c r="BZ45" s="48" t="b">
        <f>AK45=[2]员工报账!AK45</f>
        <v>1</v>
      </c>
    </row>
    <row r="46" s="48" customFormat="1" ht="184.8" spans="1:78">
      <c r="A46" s="62"/>
      <c r="B46" s="62"/>
      <c r="C46" s="38"/>
      <c r="D46" s="38"/>
      <c r="E46" s="66"/>
      <c r="F46" s="66"/>
      <c r="G46" s="38"/>
      <c r="H46" s="66"/>
      <c r="I46" s="35" t="s">
        <v>683</v>
      </c>
      <c r="J46" s="42" t="s">
        <v>684</v>
      </c>
      <c r="K46" s="35"/>
      <c r="L46" s="35"/>
      <c r="M46" s="35"/>
      <c r="N46" s="35"/>
      <c r="O46" s="35"/>
      <c r="P46" s="35"/>
      <c r="Q46" s="35" t="s">
        <v>36</v>
      </c>
      <c r="R46" s="35" t="s">
        <v>36</v>
      </c>
      <c r="S46" s="35"/>
      <c r="T46" s="35" t="s">
        <v>516</v>
      </c>
      <c r="U46" s="42"/>
      <c r="V46" s="42" t="s">
        <v>674</v>
      </c>
      <c r="W46" s="42" t="s">
        <v>685</v>
      </c>
      <c r="X46" s="35" t="s">
        <v>628</v>
      </c>
      <c r="Y46" s="35" t="s">
        <v>470</v>
      </c>
      <c r="Z46" s="35"/>
      <c r="AA46" s="35" t="s">
        <v>469</v>
      </c>
      <c r="AB46" s="35" t="s">
        <v>470</v>
      </c>
      <c r="AC46" s="35"/>
      <c r="AD46" s="42" t="s">
        <v>676</v>
      </c>
      <c r="AE46" s="35" t="s">
        <v>469</v>
      </c>
      <c r="AF46" s="35" t="s">
        <v>470</v>
      </c>
      <c r="AG46" s="35"/>
      <c r="AH46" s="35" t="s">
        <v>473</v>
      </c>
      <c r="AI46" s="35" t="s">
        <v>473</v>
      </c>
      <c r="AJ46" s="42" t="s">
        <v>682</v>
      </c>
      <c r="AK46" s="35" t="s">
        <v>678</v>
      </c>
      <c r="AL46" s="42" t="s">
        <v>679</v>
      </c>
      <c r="AM46" s="61"/>
      <c r="AN46" s="42"/>
      <c r="AO46" s="97"/>
      <c r="AP46" s="48" t="b">
        <f>A46=[2]员工报账!A46</f>
        <v>1</v>
      </c>
      <c r="AQ46" s="48" t="b">
        <f>B46=[2]员工报账!B46</f>
        <v>1</v>
      </c>
      <c r="AR46" s="48" t="b">
        <f>C46=[2]员工报账!C46</f>
        <v>1</v>
      </c>
      <c r="AS46" s="48" t="b">
        <f>D46=[2]员工报账!D46</f>
        <v>1</v>
      </c>
      <c r="AT46" s="48" t="b">
        <f>E46=[2]员工报账!E46</f>
        <v>1</v>
      </c>
      <c r="AU46" s="48" t="b">
        <f>F46=[2]员工报账!F46</f>
        <v>1</v>
      </c>
      <c r="AV46" s="48" t="b">
        <f>G46=[2]员工报账!G46</f>
        <v>1</v>
      </c>
      <c r="AW46" s="48" t="b">
        <f>H46=[2]员工报账!H46</f>
        <v>1</v>
      </c>
      <c r="AX46" s="48" t="b">
        <f>I46=[2]员工报账!I46</f>
        <v>1</v>
      </c>
      <c r="AY46" s="48" t="b">
        <f>J46=[2]员工报账!J46</f>
        <v>1</v>
      </c>
      <c r="AZ46" s="48" t="b">
        <f>K46=[2]员工报账!K46</f>
        <v>1</v>
      </c>
      <c r="BA46" s="48" t="b">
        <f>L46=[2]员工报账!L46</f>
        <v>1</v>
      </c>
      <c r="BB46" s="48" t="b">
        <f>M46=[2]员工报账!M46</f>
        <v>1</v>
      </c>
      <c r="BC46" s="48" t="b">
        <f>N46=[2]员工报账!N46</f>
        <v>1</v>
      </c>
      <c r="BD46" s="48" t="b">
        <f>O46=[2]员工报账!O46</f>
        <v>1</v>
      </c>
      <c r="BE46" s="48" t="b">
        <f>P46=[2]员工报账!P46</f>
        <v>1</v>
      </c>
      <c r="BF46" s="48" t="b">
        <f>Q46=[2]员工报账!Q46</f>
        <v>1</v>
      </c>
      <c r="BG46" s="48" t="b">
        <f>R46=[2]员工报账!R46</f>
        <v>1</v>
      </c>
      <c r="BH46" s="48" t="b">
        <f>S46=[2]员工报账!S46</f>
        <v>1</v>
      </c>
      <c r="BI46" s="48" t="b">
        <f>T46=[2]员工报账!T46</f>
        <v>1</v>
      </c>
      <c r="BJ46" s="48" t="b">
        <f>U46=[2]员工报账!U46</f>
        <v>1</v>
      </c>
      <c r="BK46" s="48" t="b">
        <f>V46=[2]员工报账!V46</f>
        <v>1</v>
      </c>
      <c r="BL46" s="48" t="b">
        <f>W46=[2]员工报账!W46</f>
        <v>1</v>
      </c>
      <c r="BM46" s="48" t="b">
        <f>X46=[2]员工报账!X46</f>
        <v>1</v>
      </c>
      <c r="BN46" s="48" t="b">
        <f>Y46=[2]员工报账!Y46</f>
        <v>1</v>
      </c>
      <c r="BO46" s="48" t="b">
        <f>Z46=[2]员工报账!Z46</f>
        <v>1</v>
      </c>
      <c r="BP46" s="48" t="b">
        <f>AA46=[2]员工报账!AA46</f>
        <v>1</v>
      </c>
      <c r="BQ46" s="48" t="b">
        <f>AB46=[2]员工报账!AB46</f>
        <v>1</v>
      </c>
      <c r="BR46" s="48" t="b">
        <f>AC46=[2]员工报账!AC46</f>
        <v>1</v>
      </c>
      <c r="BS46" s="48" t="b">
        <f>AD46=[2]员工报账!AD46</f>
        <v>1</v>
      </c>
      <c r="BT46" s="48" t="b">
        <f>AE46=[2]员工报账!AE46</f>
        <v>1</v>
      </c>
      <c r="BU46" s="48" t="b">
        <f>AF46=[2]员工报账!AF46</f>
        <v>1</v>
      </c>
      <c r="BV46" s="48" t="b">
        <f>AG46=[2]员工报账!AG46</f>
        <v>1</v>
      </c>
      <c r="BW46" s="48" t="b">
        <f>AH46=[2]员工报账!AH46</f>
        <v>1</v>
      </c>
      <c r="BX46" s="48" t="b">
        <f>AI46=[2]员工报账!AI46</f>
        <v>1</v>
      </c>
      <c r="BY46" s="48" t="b">
        <f>AJ46=[2]员工报账!AJ46</f>
        <v>1</v>
      </c>
      <c r="BZ46" s="48" t="b">
        <f>AK46=[2]员工报账!AK46</f>
        <v>1</v>
      </c>
    </row>
    <row r="47" s="48" customFormat="1" ht="132" spans="1:78">
      <c r="A47" s="62"/>
      <c r="B47" s="62"/>
      <c r="C47" s="57" t="s">
        <v>455</v>
      </c>
      <c r="D47" s="57" t="s">
        <v>686</v>
      </c>
      <c r="E47" s="58" t="s">
        <v>687</v>
      </c>
      <c r="F47" s="59" t="s">
        <v>688</v>
      </c>
      <c r="G47" s="57" t="s">
        <v>689</v>
      </c>
      <c r="H47" s="58" t="s">
        <v>690</v>
      </c>
      <c r="I47" s="35" t="s">
        <v>691</v>
      </c>
      <c r="J47" s="42" t="s">
        <v>692</v>
      </c>
      <c r="K47" s="35"/>
      <c r="L47" s="35"/>
      <c r="M47" s="35" t="s">
        <v>36</v>
      </c>
      <c r="N47" s="35"/>
      <c r="O47" s="35"/>
      <c r="P47" s="35"/>
      <c r="Q47" s="35"/>
      <c r="R47" s="35"/>
      <c r="S47" s="35"/>
      <c r="T47" s="35" t="s">
        <v>497</v>
      </c>
      <c r="U47" s="35" t="s">
        <v>693</v>
      </c>
      <c r="V47" s="42" t="s">
        <v>694</v>
      </c>
      <c r="W47" s="42" t="s">
        <v>695</v>
      </c>
      <c r="X47" s="35" t="s">
        <v>628</v>
      </c>
      <c r="Y47" s="35" t="s">
        <v>470</v>
      </c>
      <c r="Z47" s="35"/>
      <c r="AA47" s="35" t="s">
        <v>469</v>
      </c>
      <c r="AB47" s="35" t="s">
        <v>470</v>
      </c>
      <c r="AC47" s="35"/>
      <c r="AD47" s="42" t="s">
        <v>696</v>
      </c>
      <c r="AE47" s="35" t="s">
        <v>469</v>
      </c>
      <c r="AF47" s="35" t="s">
        <v>470</v>
      </c>
      <c r="AG47" s="35"/>
      <c r="AH47" s="35" t="s">
        <v>473</v>
      </c>
      <c r="AI47" s="35" t="s">
        <v>473</v>
      </c>
      <c r="AJ47" s="42" t="s">
        <v>697</v>
      </c>
      <c r="AK47" s="35" t="s">
        <v>698</v>
      </c>
      <c r="AL47" s="42" t="s">
        <v>699</v>
      </c>
      <c r="AM47" s="61"/>
      <c r="AN47" s="42"/>
      <c r="AO47" s="97"/>
      <c r="AP47" s="48" t="b">
        <f>A47=[2]员工报账!A47</f>
        <v>1</v>
      </c>
      <c r="AQ47" s="48" t="b">
        <f>B47=[2]员工报账!B47</f>
        <v>1</v>
      </c>
      <c r="AR47" s="48" t="b">
        <f>C47=[2]员工报账!C47</f>
        <v>1</v>
      </c>
      <c r="AS47" s="48" t="b">
        <f>D47=[2]员工报账!D47</f>
        <v>1</v>
      </c>
      <c r="AT47" s="48" t="b">
        <f>E47=[2]员工报账!E47</f>
        <v>1</v>
      </c>
      <c r="AU47" s="48" t="b">
        <f>F47=[2]员工报账!F47</f>
        <v>1</v>
      </c>
      <c r="AV47" s="48" t="b">
        <f>G47=[2]员工报账!G47</f>
        <v>1</v>
      </c>
      <c r="AW47" s="48" t="b">
        <f>H47=[2]员工报账!H47</f>
        <v>1</v>
      </c>
      <c r="AX47" s="48" t="b">
        <f>I47=[2]员工报账!I47</f>
        <v>1</v>
      </c>
      <c r="AY47" s="48" t="b">
        <f>J47=[2]员工报账!J47</f>
        <v>1</v>
      </c>
      <c r="AZ47" s="48" t="b">
        <f>K47=[2]员工报账!K47</f>
        <v>1</v>
      </c>
      <c r="BA47" s="48" t="b">
        <f>L47=[2]员工报账!L47</f>
        <v>1</v>
      </c>
      <c r="BB47" s="48" t="b">
        <f>M47=[2]员工报账!M47</f>
        <v>1</v>
      </c>
      <c r="BC47" s="48" t="b">
        <f>N47=[2]员工报账!N47</f>
        <v>1</v>
      </c>
      <c r="BD47" s="48" t="b">
        <f>O47=[2]员工报账!O47</f>
        <v>1</v>
      </c>
      <c r="BE47" s="48" t="b">
        <f>P47=[2]员工报账!P47</f>
        <v>1</v>
      </c>
      <c r="BF47" s="48" t="b">
        <f>Q47=[2]员工报账!Q47</f>
        <v>1</v>
      </c>
      <c r="BG47" s="48" t="b">
        <f>R47=[2]员工报账!R47</f>
        <v>1</v>
      </c>
      <c r="BH47" s="48" t="b">
        <f>S47=[2]员工报账!S47</f>
        <v>1</v>
      </c>
      <c r="BI47" s="48" t="b">
        <f>T47=[2]员工报账!T47</f>
        <v>1</v>
      </c>
      <c r="BJ47" s="48" t="b">
        <f>U47=[2]员工报账!U47</f>
        <v>1</v>
      </c>
      <c r="BK47" s="48" t="b">
        <f>V47=[2]员工报账!V47</f>
        <v>1</v>
      </c>
      <c r="BL47" s="48" t="b">
        <f>W47=[2]员工报账!W47</f>
        <v>1</v>
      </c>
      <c r="BM47" s="48" t="b">
        <f>X47=[2]员工报账!X47</f>
        <v>1</v>
      </c>
      <c r="BN47" s="48" t="b">
        <f>Y47=[2]员工报账!Y47</f>
        <v>1</v>
      </c>
      <c r="BO47" s="48" t="b">
        <f>Z47=[2]员工报账!Z47</f>
        <v>1</v>
      </c>
      <c r="BP47" s="48" t="b">
        <f>AA47=[2]员工报账!AA47</f>
        <v>1</v>
      </c>
      <c r="BQ47" s="48" t="b">
        <f>AB47=[2]员工报账!AB47</f>
        <v>1</v>
      </c>
      <c r="BR47" s="48" t="b">
        <f>AC47=[2]员工报账!AC47</f>
        <v>1</v>
      </c>
      <c r="BS47" s="48" t="b">
        <f>AD47=[2]员工报账!AD47</f>
        <v>1</v>
      </c>
      <c r="BT47" s="48" t="b">
        <f>AE47=[2]员工报账!AE47</f>
        <v>1</v>
      </c>
      <c r="BU47" s="48" t="b">
        <f>AF47=[2]员工报账!AF47</f>
        <v>1</v>
      </c>
      <c r="BV47" s="48" t="b">
        <f>AG47=[2]员工报账!AG47</f>
        <v>1</v>
      </c>
      <c r="BW47" s="48" t="b">
        <f>AH47=[2]员工报账!AH47</f>
        <v>1</v>
      </c>
      <c r="BX47" s="48" t="b">
        <f>AI47=[2]员工报账!AI47</f>
        <v>1</v>
      </c>
      <c r="BY47" s="48" t="b">
        <f>AJ47=[2]员工报账!AJ47</f>
        <v>1</v>
      </c>
      <c r="BZ47" s="48" t="b">
        <f>AK47=[2]员工报账!AK47</f>
        <v>1</v>
      </c>
    </row>
    <row r="48" s="48" customFormat="1" ht="132" spans="1:78">
      <c r="A48" s="67"/>
      <c r="B48" s="67"/>
      <c r="C48" s="38"/>
      <c r="D48" s="38"/>
      <c r="E48" s="66"/>
      <c r="F48" s="70"/>
      <c r="G48" s="38"/>
      <c r="H48" s="66"/>
      <c r="I48" s="35" t="s">
        <v>700</v>
      </c>
      <c r="J48" s="42" t="s">
        <v>701</v>
      </c>
      <c r="K48" s="35"/>
      <c r="L48" s="35"/>
      <c r="M48" s="35"/>
      <c r="N48" s="35" t="s">
        <v>36</v>
      </c>
      <c r="O48" s="35" t="s">
        <v>36</v>
      </c>
      <c r="P48" s="35"/>
      <c r="Q48" s="35"/>
      <c r="R48" s="35"/>
      <c r="S48" s="35"/>
      <c r="T48" s="35" t="s">
        <v>497</v>
      </c>
      <c r="U48" s="35" t="s">
        <v>635</v>
      </c>
      <c r="V48" s="42" t="s">
        <v>694</v>
      </c>
      <c r="W48" s="42" t="s">
        <v>695</v>
      </c>
      <c r="X48" s="35" t="s">
        <v>628</v>
      </c>
      <c r="Y48" s="35" t="s">
        <v>470</v>
      </c>
      <c r="Z48" s="35"/>
      <c r="AA48" s="35" t="s">
        <v>469</v>
      </c>
      <c r="AB48" s="35" t="s">
        <v>470</v>
      </c>
      <c r="AC48" s="35"/>
      <c r="AD48" s="42" t="s">
        <v>696</v>
      </c>
      <c r="AE48" s="35" t="s">
        <v>469</v>
      </c>
      <c r="AF48" s="35" t="s">
        <v>470</v>
      </c>
      <c r="AG48" s="35"/>
      <c r="AH48" s="35" t="s">
        <v>473</v>
      </c>
      <c r="AI48" s="35" t="s">
        <v>473</v>
      </c>
      <c r="AJ48" s="42" t="s">
        <v>697</v>
      </c>
      <c r="AK48" s="35" t="s">
        <v>698</v>
      </c>
      <c r="AL48" s="42" t="s">
        <v>699</v>
      </c>
      <c r="AM48" s="61"/>
      <c r="AN48" s="42"/>
      <c r="AO48" s="97"/>
      <c r="AP48" s="48" t="b">
        <f>A48=[2]员工报账!A48</f>
        <v>1</v>
      </c>
      <c r="AQ48" s="48" t="b">
        <f>B48=[2]员工报账!B48</f>
        <v>1</v>
      </c>
      <c r="AR48" s="48" t="b">
        <f>C48=[2]员工报账!C48</f>
        <v>1</v>
      </c>
      <c r="AS48" s="48" t="b">
        <f>D48=[2]员工报账!D48</f>
        <v>1</v>
      </c>
      <c r="AT48" s="48" t="b">
        <f>E48=[2]员工报账!E48</f>
        <v>1</v>
      </c>
      <c r="AU48" s="48" t="b">
        <f>F48=[2]员工报账!F48</f>
        <v>1</v>
      </c>
      <c r="AV48" s="48" t="b">
        <f>G48=[2]员工报账!G48</f>
        <v>1</v>
      </c>
      <c r="AW48" s="48" t="b">
        <f>H48=[2]员工报账!H48</f>
        <v>1</v>
      </c>
      <c r="AX48" s="48" t="b">
        <f>I48=[2]员工报账!I48</f>
        <v>1</v>
      </c>
      <c r="AY48" s="48" t="b">
        <f>J48=[2]员工报账!J48</f>
        <v>1</v>
      </c>
      <c r="AZ48" s="48" t="b">
        <f>K48=[2]员工报账!K48</f>
        <v>1</v>
      </c>
      <c r="BA48" s="48" t="b">
        <f>L48=[2]员工报账!L48</f>
        <v>1</v>
      </c>
      <c r="BB48" s="48" t="b">
        <f>M48=[2]员工报账!M48</f>
        <v>1</v>
      </c>
      <c r="BC48" s="48" t="b">
        <f>N48=[2]员工报账!N48</f>
        <v>1</v>
      </c>
      <c r="BD48" s="48" t="b">
        <f>O48=[2]员工报账!O48</f>
        <v>1</v>
      </c>
      <c r="BE48" s="48" t="b">
        <f>P48=[2]员工报账!P48</f>
        <v>1</v>
      </c>
      <c r="BF48" s="48" t="b">
        <f>Q48=[2]员工报账!Q48</f>
        <v>1</v>
      </c>
      <c r="BG48" s="48" t="b">
        <f>R48=[2]员工报账!R48</f>
        <v>1</v>
      </c>
      <c r="BH48" s="48" t="b">
        <f>S48=[2]员工报账!S48</f>
        <v>1</v>
      </c>
      <c r="BI48" s="48" t="b">
        <f>T48=[2]员工报账!T48</f>
        <v>1</v>
      </c>
      <c r="BJ48" s="48" t="b">
        <f>U48=[2]员工报账!U48</f>
        <v>1</v>
      </c>
      <c r="BK48" s="48" t="b">
        <f>V48=[2]员工报账!V48</f>
        <v>1</v>
      </c>
      <c r="BL48" s="48" t="b">
        <f>W48=[2]员工报账!W48</f>
        <v>1</v>
      </c>
      <c r="BM48" s="48" t="b">
        <f>X48=[2]员工报账!X48</f>
        <v>1</v>
      </c>
      <c r="BN48" s="48" t="b">
        <f>Y48=[2]员工报账!Y48</f>
        <v>1</v>
      </c>
      <c r="BO48" s="48" t="b">
        <f>Z48=[2]员工报账!Z48</f>
        <v>1</v>
      </c>
      <c r="BP48" s="48" t="b">
        <f>AA48=[2]员工报账!AA48</f>
        <v>1</v>
      </c>
      <c r="BQ48" s="48" t="b">
        <f>AB48=[2]员工报账!AB48</f>
        <v>1</v>
      </c>
      <c r="BR48" s="48" t="b">
        <f>AC48=[2]员工报账!AC48</f>
        <v>1</v>
      </c>
      <c r="BS48" s="48" t="b">
        <f>AD48=[2]员工报账!AD48</f>
        <v>1</v>
      </c>
      <c r="BT48" s="48" t="b">
        <f>AE48=[2]员工报账!AE48</f>
        <v>1</v>
      </c>
      <c r="BU48" s="48" t="b">
        <f>AF48=[2]员工报账!AF48</f>
        <v>1</v>
      </c>
      <c r="BV48" s="48" t="b">
        <f>AG48=[2]员工报账!AG48</f>
        <v>1</v>
      </c>
      <c r="BW48" s="48" t="b">
        <f>AH48=[2]员工报账!AH48</f>
        <v>1</v>
      </c>
      <c r="BX48" s="48" t="b">
        <f>AI48=[2]员工报账!AI48</f>
        <v>1</v>
      </c>
      <c r="BY48" s="48" t="b">
        <f>AJ48=[2]员工报账!AJ48</f>
        <v>1</v>
      </c>
      <c r="BZ48" s="48" t="b">
        <f>AK48=[2]员工报账!AK48</f>
        <v>1</v>
      </c>
    </row>
    <row r="49" s="48" customFormat="1" ht="132" spans="1:78">
      <c r="A49" s="56" t="s">
        <v>453</v>
      </c>
      <c r="B49" s="56" t="s">
        <v>644</v>
      </c>
      <c r="C49" s="35" t="s">
        <v>455</v>
      </c>
      <c r="D49" s="35" t="s">
        <v>686</v>
      </c>
      <c r="E49" s="42" t="s">
        <v>687</v>
      </c>
      <c r="F49" s="73" t="s">
        <v>688</v>
      </c>
      <c r="G49" s="35"/>
      <c r="H49" s="42"/>
      <c r="I49" s="35" t="s">
        <v>702</v>
      </c>
      <c r="J49" s="66" t="s">
        <v>703</v>
      </c>
      <c r="K49" s="35"/>
      <c r="L49" s="35"/>
      <c r="M49" s="35" t="s">
        <v>36</v>
      </c>
      <c r="N49" s="35"/>
      <c r="O49" s="35"/>
      <c r="P49" s="35"/>
      <c r="Q49" s="35"/>
      <c r="R49" s="35" t="s">
        <v>36</v>
      </c>
      <c r="S49" s="35"/>
      <c r="T49" s="35" t="s">
        <v>516</v>
      </c>
      <c r="U49" s="42"/>
      <c r="V49" s="42" t="s">
        <v>694</v>
      </c>
      <c r="W49" s="42" t="s">
        <v>704</v>
      </c>
      <c r="X49" s="35" t="s">
        <v>628</v>
      </c>
      <c r="Y49" s="35" t="s">
        <v>470</v>
      </c>
      <c r="Z49" s="35"/>
      <c r="AA49" s="35" t="s">
        <v>469</v>
      </c>
      <c r="AB49" s="35" t="s">
        <v>470</v>
      </c>
      <c r="AC49" s="35"/>
      <c r="AD49" s="42" t="s">
        <v>696</v>
      </c>
      <c r="AE49" s="35" t="s">
        <v>469</v>
      </c>
      <c r="AF49" s="35" t="s">
        <v>470</v>
      </c>
      <c r="AG49" s="35"/>
      <c r="AH49" s="35" t="s">
        <v>473</v>
      </c>
      <c r="AI49" s="35" t="s">
        <v>473</v>
      </c>
      <c r="AJ49" s="42" t="s">
        <v>697</v>
      </c>
      <c r="AK49" s="35" t="s">
        <v>698</v>
      </c>
      <c r="AL49" s="42" t="s">
        <v>699</v>
      </c>
      <c r="AM49" s="61"/>
      <c r="AN49" s="42"/>
      <c r="AO49" s="97"/>
      <c r="AP49" s="48" t="b">
        <f>A49=[2]员工报账!A49</f>
        <v>1</v>
      </c>
      <c r="AQ49" s="48" t="b">
        <f>B49=[2]员工报账!B49</f>
        <v>1</v>
      </c>
      <c r="AR49" s="48" t="b">
        <f>C49=[2]员工报账!C49</f>
        <v>1</v>
      </c>
      <c r="AS49" s="48" t="b">
        <f>D49=[2]员工报账!D49</f>
        <v>1</v>
      </c>
      <c r="AT49" s="48" t="b">
        <f>E49=[2]员工报账!E49</f>
        <v>1</v>
      </c>
      <c r="AU49" s="48" t="b">
        <f>F49=[2]员工报账!F49</f>
        <v>1</v>
      </c>
      <c r="AV49" s="48" t="b">
        <f>G49=[2]员工报账!G49</f>
        <v>1</v>
      </c>
      <c r="AW49" s="48" t="b">
        <f>H49=[2]员工报账!H49</f>
        <v>1</v>
      </c>
      <c r="AX49" s="48" t="b">
        <f>I49=[2]员工报账!I49</f>
        <v>1</v>
      </c>
      <c r="AY49" s="48" t="b">
        <f>J49=[2]员工报账!J49</f>
        <v>1</v>
      </c>
      <c r="AZ49" s="48" t="b">
        <f>K49=[2]员工报账!K49</f>
        <v>1</v>
      </c>
      <c r="BA49" s="48" t="b">
        <f>L49=[2]员工报账!L49</f>
        <v>1</v>
      </c>
      <c r="BB49" s="48" t="b">
        <f>M49=[2]员工报账!M49</f>
        <v>1</v>
      </c>
      <c r="BC49" s="48" t="b">
        <f>N49=[2]员工报账!N49</f>
        <v>1</v>
      </c>
      <c r="BD49" s="48" t="b">
        <f>O49=[2]员工报账!O49</f>
        <v>1</v>
      </c>
      <c r="BE49" s="48" t="b">
        <f>P49=[2]员工报账!P49</f>
        <v>1</v>
      </c>
      <c r="BF49" s="48" t="b">
        <f>Q49=[2]员工报账!Q49</f>
        <v>1</v>
      </c>
      <c r="BG49" s="48" t="b">
        <f>R49=[2]员工报账!R49</f>
        <v>1</v>
      </c>
      <c r="BH49" s="48" t="b">
        <f>S49=[2]员工报账!S49</f>
        <v>1</v>
      </c>
      <c r="BI49" s="48" t="b">
        <f>T49=[2]员工报账!T49</f>
        <v>1</v>
      </c>
      <c r="BJ49" s="48" t="b">
        <f>U49=[2]员工报账!U49</f>
        <v>1</v>
      </c>
      <c r="BK49" s="48" t="b">
        <f>V49=[2]员工报账!V49</f>
        <v>1</v>
      </c>
      <c r="BL49" s="48" t="b">
        <f>W49=[2]员工报账!W49</f>
        <v>1</v>
      </c>
      <c r="BM49" s="48" t="b">
        <f>X49=[2]员工报账!X49</f>
        <v>1</v>
      </c>
      <c r="BN49" s="48" t="b">
        <f>Y49=[2]员工报账!Y49</f>
        <v>1</v>
      </c>
      <c r="BO49" s="48" t="b">
        <f>Z49=[2]员工报账!Z49</f>
        <v>1</v>
      </c>
      <c r="BP49" s="48" t="b">
        <f>AA49=[2]员工报账!AA49</f>
        <v>1</v>
      </c>
      <c r="BQ49" s="48" t="b">
        <f>AB49=[2]员工报账!AB49</f>
        <v>1</v>
      </c>
      <c r="BR49" s="48" t="b">
        <f>AC49=[2]员工报账!AC49</f>
        <v>1</v>
      </c>
      <c r="BS49" s="48" t="b">
        <f>AD49=[2]员工报账!AD49</f>
        <v>1</v>
      </c>
      <c r="BT49" s="48" t="b">
        <f>AE49=[2]员工报账!AE49</f>
        <v>1</v>
      </c>
      <c r="BU49" s="48" t="b">
        <f>AF49=[2]员工报账!AF49</f>
        <v>1</v>
      </c>
      <c r="BV49" s="48" t="b">
        <f>AG49=[2]员工报账!AG49</f>
        <v>1</v>
      </c>
      <c r="BW49" s="48" t="b">
        <f>AH49=[2]员工报账!AH49</f>
        <v>1</v>
      </c>
      <c r="BX49" s="48" t="b">
        <f>AI49=[2]员工报账!AI49</f>
        <v>1</v>
      </c>
      <c r="BY49" s="48" t="b">
        <f>AJ49=[2]员工报账!AJ49</f>
        <v>1</v>
      </c>
      <c r="BZ49" s="48" t="b">
        <f>AK49=[2]员工报账!AK49</f>
        <v>1</v>
      </c>
    </row>
    <row r="50" s="48" customFormat="1" ht="158.4" spans="1:78">
      <c r="A50" s="62"/>
      <c r="B50" s="62"/>
      <c r="C50" s="57" t="s">
        <v>498</v>
      </c>
      <c r="D50" s="57" t="s">
        <v>705</v>
      </c>
      <c r="E50" s="58" t="s">
        <v>706</v>
      </c>
      <c r="F50" s="58"/>
      <c r="G50" s="57" t="s">
        <v>707</v>
      </c>
      <c r="H50" s="58" t="s">
        <v>708</v>
      </c>
      <c r="I50" s="35" t="s">
        <v>709</v>
      </c>
      <c r="J50" s="42" t="s">
        <v>710</v>
      </c>
      <c r="K50" s="35"/>
      <c r="L50" s="35"/>
      <c r="M50" s="35"/>
      <c r="N50" s="35" t="s">
        <v>36</v>
      </c>
      <c r="O50" s="35"/>
      <c r="P50" s="35"/>
      <c r="Q50" s="35"/>
      <c r="R50" s="35" t="s">
        <v>36</v>
      </c>
      <c r="S50" s="35"/>
      <c r="T50" s="35" t="s">
        <v>516</v>
      </c>
      <c r="U50" s="42"/>
      <c r="V50" s="42" t="s">
        <v>711</v>
      </c>
      <c r="W50" s="42" t="s">
        <v>712</v>
      </c>
      <c r="X50" s="35" t="s">
        <v>628</v>
      </c>
      <c r="Y50" s="35" t="s">
        <v>470</v>
      </c>
      <c r="Z50" s="35"/>
      <c r="AA50" s="35" t="s">
        <v>469</v>
      </c>
      <c r="AB50" s="35" t="s">
        <v>470</v>
      </c>
      <c r="AC50" s="35"/>
      <c r="AD50" s="42" t="s">
        <v>713</v>
      </c>
      <c r="AE50" s="35" t="s">
        <v>469</v>
      </c>
      <c r="AF50" s="35" t="s">
        <v>470</v>
      </c>
      <c r="AG50" s="35"/>
      <c r="AH50" s="35" t="s">
        <v>473</v>
      </c>
      <c r="AI50" s="35" t="s">
        <v>473</v>
      </c>
      <c r="AJ50" s="42" t="s">
        <v>714</v>
      </c>
      <c r="AK50" s="35" t="s">
        <v>715</v>
      </c>
      <c r="AL50" s="42"/>
      <c r="AM50" s="61"/>
      <c r="AN50" s="42"/>
      <c r="AO50" s="97"/>
      <c r="AP50" s="48" t="b">
        <f>A50=[2]员工报账!A50</f>
        <v>1</v>
      </c>
      <c r="AQ50" s="48" t="b">
        <f>B50=[2]员工报账!B50</f>
        <v>1</v>
      </c>
      <c r="AR50" s="48" t="b">
        <f>C50=[2]员工报账!C50</f>
        <v>1</v>
      </c>
      <c r="AS50" s="48" t="b">
        <f>D50=[2]员工报账!D50</f>
        <v>1</v>
      </c>
      <c r="AT50" s="48" t="b">
        <f>E50=[2]员工报账!E50</f>
        <v>1</v>
      </c>
      <c r="AU50" s="48" t="b">
        <f>F50=[2]员工报账!F50</f>
        <v>1</v>
      </c>
      <c r="AV50" s="48" t="b">
        <f>G50=[2]员工报账!G50</f>
        <v>1</v>
      </c>
      <c r="AW50" s="48" t="b">
        <f>H50=[2]员工报账!H50</f>
        <v>1</v>
      </c>
      <c r="AX50" s="48" t="b">
        <f>I50=[2]员工报账!I50</f>
        <v>1</v>
      </c>
      <c r="AY50" s="48" t="b">
        <f>J50=[2]员工报账!J50</f>
        <v>1</v>
      </c>
      <c r="AZ50" s="48" t="b">
        <f>K50=[2]员工报账!K50</f>
        <v>1</v>
      </c>
      <c r="BA50" s="48" t="b">
        <f>L50=[2]员工报账!L50</f>
        <v>1</v>
      </c>
      <c r="BB50" s="48" t="b">
        <f>M50=[2]员工报账!M50</f>
        <v>1</v>
      </c>
      <c r="BC50" s="48" t="b">
        <f>N50=[2]员工报账!N50</f>
        <v>1</v>
      </c>
      <c r="BD50" s="48" t="b">
        <f>O50=[2]员工报账!O50</f>
        <v>1</v>
      </c>
      <c r="BE50" s="48" t="b">
        <f>P50=[2]员工报账!P50</f>
        <v>1</v>
      </c>
      <c r="BF50" s="48" t="b">
        <f>Q50=[2]员工报账!Q50</f>
        <v>1</v>
      </c>
      <c r="BG50" s="48" t="b">
        <f>R50=[2]员工报账!R50</f>
        <v>1</v>
      </c>
      <c r="BH50" s="48" t="b">
        <f>S50=[2]员工报账!S50</f>
        <v>1</v>
      </c>
      <c r="BI50" s="48" t="b">
        <f>T50=[2]员工报账!T50</f>
        <v>1</v>
      </c>
      <c r="BJ50" s="48" t="b">
        <f>U50=[2]员工报账!U50</f>
        <v>1</v>
      </c>
      <c r="BK50" s="48" t="b">
        <f>V50=[2]员工报账!V50</f>
        <v>1</v>
      </c>
      <c r="BL50" s="48" t="b">
        <f>W50=[2]员工报账!W50</f>
        <v>1</v>
      </c>
      <c r="BM50" s="48" t="b">
        <f>X50=[2]员工报账!X50</f>
        <v>1</v>
      </c>
      <c r="BN50" s="48" t="b">
        <f>Y50=[2]员工报账!Y50</f>
        <v>1</v>
      </c>
      <c r="BO50" s="48" t="b">
        <f>Z50=[2]员工报账!Z50</f>
        <v>1</v>
      </c>
      <c r="BP50" s="48" t="b">
        <f>AA50=[2]员工报账!AA50</f>
        <v>1</v>
      </c>
      <c r="BQ50" s="48" t="b">
        <f>AB50=[2]员工报账!AB50</f>
        <v>1</v>
      </c>
      <c r="BR50" s="48" t="b">
        <f>AC50=[2]员工报账!AC50</f>
        <v>1</v>
      </c>
      <c r="BS50" s="48" t="b">
        <f>AD50=[2]员工报账!AD50</f>
        <v>1</v>
      </c>
      <c r="BT50" s="48" t="b">
        <f>AE50=[2]员工报账!AE50</f>
        <v>1</v>
      </c>
      <c r="BU50" s="48" t="b">
        <f>AF50=[2]员工报账!AF50</f>
        <v>1</v>
      </c>
      <c r="BV50" s="48" t="b">
        <f>AG50=[2]员工报账!AG50</f>
        <v>1</v>
      </c>
      <c r="BW50" s="48" t="b">
        <f>AH50=[2]员工报账!AH50</f>
        <v>1</v>
      </c>
      <c r="BX50" s="48" t="b">
        <f>AI50=[2]员工报账!AI50</f>
        <v>1</v>
      </c>
      <c r="BY50" s="48" t="b">
        <f>AJ50=[2]员工报账!AJ50</f>
        <v>1</v>
      </c>
      <c r="BZ50" s="48" t="b">
        <f>AK50=[2]员工报账!AK50</f>
        <v>1</v>
      </c>
    </row>
    <row r="51" s="48" customFormat="1" ht="158.4" spans="1:78">
      <c r="A51" s="62"/>
      <c r="B51" s="62"/>
      <c r="C51" s="63"/>
      <c r="D51" s="63"/>
      <c r="E51" s="64"/>
      <c r="F51" s="64"/>
      <c r="G51" s="63"/>
      <c r="H51" s="64"/>
      <c r="I51" s="35" t="s">
        <v>716</v>
      </c>
      <c r="J51" s="42" t="s">
        <v>717</v>
      </c>
      <c r="K51" s="35"/>
      <c r="L51" s="35" t="s">
        <v>36</v>
      </c>
      <c r="M51" s="35" t="s">
        <v>36</v>
      </c>
      <c r="N51" s="35"/>
      <c r="O51" s="35" t="s">
        <v>36</v>
      </c>
      <c r="P51" s="35"/>
      <c r="Q51" s="35"/>
      <c r="R51" s="35"/>
      <c r="S51" s="35"/>
      <c r="T51" s="35" t="s">
        <v>516</v>
      </c>
      <c r="U51" s="42"/>
      <c r="V51" s="42" t="s">
        <v>711</v>
      </c>
      <c r="W51" s="42" t="s">
        <v>718</v>
      </c>
      <c r="X51" s="35" t="s">
        <v>628</v>
      </c>
      <c r="Y51" s="35" t="s">
        <v>470</v>
      </c>
      <c r="Z51" s="35"/>
      <c r="AA51" s="35" t="s">
        <v>469</v>
      </c>
      <c r="AB51" s="35" t="s">
        <v>470</v>
      </c>
      <c r="AC51" s="35"/>
      <c r="AD51" s="42" t="s">
        <v>713</v>
      </c>
      <c r="AE51" s="35" t="s">
        <v>469</v>
      </c>
      <c r="AF51" s="35" t="s">
        <v>470</v>
      </c>
      <c r="AG51" s="35"/>
      <c r="AH51" s="35" t="s">
        <v>473</v>
      </c>
      <c r="AI51" s="35" t="s">
        <v>473</v>
      </c>
      <c r="AJ51" s="42" t="s">
        <v>714</v>
      </c>
      <c r="AK51" s="35" t="s">
        <v>715</v>
      </c>
      <c r="AL51" s="42"/>
      <c r="AM51" s="61"/>
      <c r="AN51" s="42"/>
      <c r="AO51" s="97"/>
      <c r="AP51" s="48" t="b">
        <f>A51=[2]员工报账!A51</f>
        <v>1</v>
      </c>
      <c r="AQ51" s="48" t="b">
        <f>B51=[2]员工报账!B51</f>
        <v>1</v>
      </c>
      <c r="AR51" s="48" t="b">
        <f>C51=[2]员工报账!C51</f>
        <v>1</v>
      </c>
      <c r="AS51" s="48" t="b">
        <f>D51=[2]员工报账!D51</f>
        <v>1</v>
      </c>
      <c r="AT51" s="48" t="b">
        <f>E51=[2]员工报账!E51</f>
        <v>1</v>
      </c>
      <c r="AU51" s="48" t="b">
        <f>F51=[2]员工报账!F51</f>
        <v>1</v>
      </c>
      <c r="AV51" s="48" t="b">
        <f>G51=[2]员工报账!G51</f>
        <v>1</v>
      </c>
      <c r="AW51" s="48" t="b">
        <f>H51=[2]员工报账!H51</f>
        <v>1</v>
      </c>
      <c r="AX51" s="48" t="b">
        <f>I51=[2]员工报账!I51</f>
        <v>1</v>
      </c>
      <c r="AY51" s="48" t="b">
        <f>J51=[2]员工报账!J51</f>
        <v>1</v>
      </c>
      <c r="AZ51" s="48" t="b">
        <f>K51=[2]员工报账!K51</f>
        <v>1</v>
      </c>
      <c r="BA51" s="48" t="b">
        <f>L51=[2]员工报账!L51</f>
        <v>1</v>
      </c>
      <c r="BB51" s="48" t="b">
        <f>M51=[2]员工报账!M51</f>
        <v>1</v>
      </c>
      <c r="BC51" s="48" t="b">
        <f>N51=[2]员工报账!N51</f>
        <v>1</v>
      </c>
      <c r="BD51" s="48" t="b">
        <f>O51=[2]员工报账!O51</f>
        <v>1</v>
      </c>
      <c r="BE51" s="48" t="b">
        <f>P51=[2]员工报账!P51</f>
        <v>1</v>
      </c>
      <c r="BF51" s="48" t="b">
        <f>Q51=[2]员工报账!Q51</f>
        <v>1</v>
      </c>
      <c r="BG51" s="48" t="b">
        <f>R51=[2]员工报账!R51</f>
        <v>1</v>
      </c>
      <c r="BH51" s="48" t="b">
        <f>S51=[2]员工报账!S51</f>
        <v>1</v>
      </c>
      <c r="BI51" s="48" t="b">
        <f>T51=[2]员工报账!T51</f>
        <v>1</v>
      </c>
      <c r="BJ51" s="48" t="b">
        <f>U51=[2]员工报账!U51</f>
        <v>1</v>
      </c>
      <c r="BK51" s="48" t="b">
        <f>V51=[2]员工报账!V51</f>
        <v>1</v>
      </c>
      <c r="BL51" s="48" t="b">
        <f>W51=[2]员工报账!W51</f>
        <v>1</v>
      </c>
      <c r="BM51" s="48" t="b">
        <f>X51=[2]员工报账!X51</f>
        <v>1</v>
      </c>
      <c r="BN51" s="48" t="b">
        <f>Y51=[2]员工报账!Y51</f>
        <v>1</v>
      </c>
      <c r="BO51" s="48" t="b">
        <f>Z51=[2]员工报账!Z51</f>
        <v>1</v>
      </c>
      <c r="BP51" s="48" t="b">
        <f>AA51=[2]员工报账!AA51</f>
        <v>1</v>
      </c>
      <c r="BQ51" s="48" t="b">
        <f>AB51=[2]员工报账!AB51</f>
        <v>1</v>
      </c>
      <c r="BR51" s="48" t="b">
        <f>AC51=[2]员工报账!AC51</f>
        <v>1</v>
      </c>
      <c r="BS51" s="48" t="b">
        <f>AD51=[2]员工报账!AD51</f>
        <v>1</v>
      </c>
      <c r="BT51" s="48" t="b">
        <f>AE51=[2]员工报账!AE51</f>
        <v>1</v>
      </c>
      <c r="BU51" s="48" t="b">
        <f>AF51=[2]员工报账!AF51</f>
        <v>1</v>
      </c>
      <c r="BV51" s="48" t="b">
        <f>AG51=[2]员工报账!AG51</f>
        <v>1</v>
      </c>
      <c r="BW51" s="48" t="b">
        <f>AH51=[2]员工报账!AH51</f>
        <v>1</v>
      </c>
      <c r="BX51" s="48" t="b">
        <f>AI51=[2]员工报账!AI51</f>
        <v>1</v>
      </c>
      <c r="BY51" s="48" t="b">
        <f>AJ51=[2]员工报账!AJ51</f>
        <v>1</v>
      </c>
      <c r="BZ51" s="48" t="b">
        <f>AK51=[2]员工报账!AK51</f>
        <v>1</v>
      </c>
    </row>
    <row r="52" s="48" customFormat="1" ht="158.4" spans="1:78">
      <c r="A52" s="67"/>
      <c r="B52" s="67"/>
      <c r="C52" s="38"/>
      <c r="D52" s="38"/>
      <c r="E52" s="66"/>
      <c r="F52" s="66"/>
      <c r="G52" s="38"/>
      <c r="H52" s="66"/>
      <c r="I52" s="35" t="s">
        <v>719</v>
      </c>
      <c r="J52" s="42" t="s">
        <v>720</v>
      </c>
      <c r="K52" s="35"/>
      <c r="L52" s="35"/>
      <c r="M52" s="35"/>
      <c r="N52" s="35"/>
      <c r="O52" s="35"/>
      <c r="P52" s="35"/>
      <c r="Q52" s="35" t="s">
        <v>36</v>
      </c>
      <c r="R52" s="35" t="s">
        <v>36</v>
      </c>
      <c r="S52" s="35"/>
      <c r="T52" s="35" t="s">
        <v>516</v>
      </c>
      <c r="U52" s="42"/>
      <c r="V52" s="42" t="s">
        <v>711</v>
      </c>
      <c r="W52" s="42" t="s">
        <v>712</v>
      </c>
      <c r="X52" s="35" t="s">
        <v>628</v>
      </c>
      <c r="Y52" s="35" t="s">
        <v>470</v>
      </c>
      <c r="Z52" s="35"/>
      <c r="AA52" s="35" t="s">
        <v>469</v>
      </c>
      <c r="AB52" s="35" t="s">
        <v>470</v>
      </c>
      <c r="AC52" s="35"/>
      <c r="AD52" s="42" t="s">
        <v>713</v>
      </c>
      <c r="AE52" s="35" t="s">
        <v>469</v>
      </c>
      <c r="AF52" s="35" t="s">
        <v>470</v>
      </c>
      <c r="AG52" s="35"/>
      <c r="AH52" s="35" t="s">
        <v>473</v>
      </c>
      <c r="AI52" s="35" t="s">
        <v>473</v>
      </c>
      <c r="AJ52" s="42" t="s">
        <v>714</v>
      </c>
      <c r="AK52" s="35" t="s">
        <v>715</v>
      </c>
      <c r="AL52" s="42"/>
      <c r="AM52" s="61"/>
      <c r="AN52" s="42"/>
      <c r="AO52" s="97"/>
      <c r="AP52" s="48" t="b">
        <f>A52=[2]员工报账!A52</f>
        <v>1</v>
      </c>
      <c r="AQ52" s="48" t="b">
        <f>B52=[2]员工报账!B52</f>
        <v>1</v>
      </c>
      <c r="AR52" s="48" t="b">
        <f>C52=[2]员工报账!C52</f>
        <v>1</v>
      </c>
      <c r="AS52" s="48" t="b">
        <f>D52=[2]员工报账!D52</f>
        <v>1</v>
      </c>
      <c r="AT52" s="48" t="b">
        <f>E52=[2]员工报账!E52</f>
        <v>1</v>
      </c>
      <c r="AU52" s="48" t="b">
        <f>F52=[2]员工报账!F52</f>
        <v>1</v>
      </c>
      <c r="AV52" s="48" t="b">
        <f>G52=[2]员工报账!G52</f>
        <v>1</v>
      </c>
      <c r="AW52" s="48" t="b">
        <f>H52=[2]员工报账!H52</f>
        <v>1</v>
      </c>
      <c r="AX52" s="48" t="b">
        <f>I52=[2]员工报账!I52</f>
        <v>1</v>
      </c>
      <c r="AY52" s="48" t="b">
        <f>J52=[2]员工报账!J52</f>
        <v>1</v>
      </c>
      <c r="AZ52" s="48" t="b">
        <f>K52=[2]员工报账!K52</f>
        <v>1</v>
      </c>
      <c r="BA52" s="48" t="b">
        <f>L52=[2]员工报账!L52</f>
        <v>1</v>
      </c>
      <c r="BB52" s="48" t="b">
        <f>M52=[2]员工报账!M52</f>
        <v>1</v>
      </c>
      <c r="BC52" s="48" t="b">
        <f>N52=[2]员工报账!N52</f>
        <v>1</v>
      </c>
      <c r="BD52" s="48" t="b">
        <f>O52=[2]员工报账!O52</f>
        <v>1</v>
      </c>
      <c r="BE52" s="48" t="b">
        <f>P52=[2]员工报账!P52</f>
        <v>1</v>
      </c>
      <c r="BF52" s="48" t="b">
        <f>Q52=[2]员工报账!Q52</f>
        <v>1</v>
      </c>
      <c r="BG52" s="48" t="b">
        <f>R52=[2]员工报账!R52</f>
        <v>1</v>
      </c>
      <c r="BH52" s="48" t="b">
        <f>S52=[2]员工报账!S52</f>
        <v>1</v>
      </c>
      <c r="BI52" s="48" t="b">
        <f>T52=[2]员工报账!T52</f>
        <v>1</v>
      </c>
      <c r="BJ52" s="48" t="b">
        <f>U52=[2]员工报账!U52</f>
        <v>1</v>
      </c>
      <c r="BK52" s="48" t="b">
        <f>V52=[2]员工报账!V52</f>
        <v>1</v>
      </c>
      <c r="BL52" s="48" t="b">
        <f>W52=[2]员工报账!W52</f>
        <v>1</v>
      </c>
      <c r="BM52" s="48" t="b">
        <f>X52=[2]员工报账!X52</f>
        <v>1</v>
      </c>
      <c r="BN52" s="48" t="b">
        <f>Y52=[2]员工报账!Y52</f>
        <v>1</v>
      </c>
      <c r="BO52" s="48" t="b">
        <f>Z52=[2]员工报账!Z52</f>
        <v>1</v>
      </c>
      <c r="BP52" s="48" t="b">
        <f>AA52=[2]员工报账!AA52</f>
        <v>1</v>
      </c>
      <c r="BQ52" s="48" t="b">
        <f>AB52=[2]员工报账!AB52</f>
        <v>1</v>
      </c>
      <c r="BR52" s="48" t="b">
        <f>AC52=[2]员工报账!AC52</f>
        <v>1</v>
      </c>
      <c r="BS52" s="48" t="b">
        <f>AD52=[2]员工报账!AD52</f>
        <v>1</v>
      </c>
      <c r="BT52" s="48" t="b">
        <f>AE52=[2]员工报账!AE52</f>
        <v>1</v>
      </c>
      <c r="BU52" s="48" t="b">
        <f>AF52=[2]员工报账!AF52</f>
        <v>1</v>
      </c>
      <c r="BV52" s="48" t="b">
        <f>AG52=[2]员工报账!AG52</f>
        <v>1</v>
      </c>
      <c r="BW52" s="48" t="b">
        <f>AH52=[2]员工报账!AH52</f>
        <v>1</v>
      </c>
      <c r="BX52" s="48" t="b">
        <f>AI52=[2]员工报账!AI52</f>
        <v>1</v>
      </c>
      <c r="BY52" s="48" t="b">
        <f>AJ52=[2]员工报账!AJ52</f>
        <v>1</v>
      </c>
      <c r="BZ52" s="48" t="b">
        <f>AK52=[2]员工报账!AK52</f>
        <v>1</v>
      </c>
    </row>
    <row r="53" s="48" customFormat="1" ht="290.4" spans="1:78">
      <c r="A53" s="56" t="s">
        <v>453</v>
      </c>
      <c r="B53" s="56" t="s">
        <v>644</v>
      </c>
      <c r="C53" s="57" t="s">
        <v>455</v>
      </c>
      <c r="D53" s="57" t="s">
        <v>721</v>
      </c>
      <c r="E53" s="58" t="s">
        <v>722</v>
      </c>
      <c r="F53" s="58"/>
      <c r="G53" s="57" t="s">
        <v>723</v>
      </c>
      <c r="H53" s="58" t="s">
        <v>724</v>
      </c>
      <c r="I53" s="35" t="s">
        <v>725</v>
      </c>
      <c r="J53" s="42" t="s">
        <v>726</v>
      </c>
      <c r="K53" s="35"/>
      <c r="L53" s="35" t="s">
        <v>36</v>
      </c>
      <c r="M53" s="35" t="s">
        <v>36</v>
      </c>
      <c r="N53" s="35"/>
      <c r="O53" s="35"/>
      <c r="P53" s="35"/>
      <c r="Q53" s="35"/>
      <c r="R53" s="35"/>
      <c r="S53" s="35"/>
      <c r="T53" s="35" t="s">
        <v>516</v>
      </c>
      <c r="U53" s="42"/>
      <c r="V53" s="42" t="s">
        <v>727</v>
      </c>
      <c r="W53" s="42" t="s">
        <v>728</v>
      </c>
      <c r="X53" s="35" t="s">
        <v>628</v>
      </c>
      <c r="Y53" s="35" t="s">
        <v>470</v>
      </c>
      <c r="Z53" s="35"/>
      <c r="AA53" s="35" t="s">
        <v>469</v>
      </c>
      <c r="AB53" s="35" t="s">
        <v>470</v>
      </c>
      <c r="AC53" s="35"/>
      <c r="AD53" s="42" t="s">
        <v>729</v>
      </c>
      <c r="AE53" s="35" t="s">
        <v>469</v>
      </c>
      <c r="AF53" s="35" t="s">
        <v>470</v>
      </c>
      <c r="AG53" s="35"/>
      <c r="AH53" s="35" t="s">
        <v>473</v>
      </c>
      <c r="AI53" s="35" t="s">
        <v>473</v>
      </c>
      <c r="AJ53" s="42" t="s">
        <v>730</v>
      </c>
      <c r="AK53" s="35" t="s">
        <v>678</v>
      </c>
      <c r="AL53" s="42" t="s">
        <v>679</v>
      </c>
      <c r="AM53" s="61"/>
      <c r="AN53" s="42"/>
      <c r="AO53" s="97"/>
      <c r="AP53" s="48" t="b">
        <f>A53=[2]员工报账!A53</f>
        <v>1</v>
      </c>
      <c r="AQ53" s="48" t="b">
        <f>B53=[2]员工报账!B53</f>
        <v>1</v>
      </c>
      <c r="AR53" s="48" t="b">
        <f>C53=[2]员工报账!C53</f>
        <v>1</v>
      </c>
      <c r="AS53" s="48" t="b">
        <f>D53=[2]员工报账!D53</f>
        <v>1</v>
      </c>
      <c r="AT53" s="48" t="b">
        <f>E53=[2]员工报账!E53</f>
        <v>1</v>
      </c>
      <c r="AU53" s="48" t="b">
        <f>F53=[2]员工报账!F53</f>
        <v>1</v>
      </c>
      <c r="AV53" s="48" t="b">
        <f>G53=[2]员工报账!G53</f>
        <v>1</v>
      </c>
      <c r="AW53" s="48" t="b">
        <f>H53=[2]员工报账!H53</f>
        <v>1</v>
      </c>
      <c r="AX53" s="48" t="b">
        <f>I53=[2]员工报账!I53</f>
        <v>1</v>
      </c>
      <c r="AY53" s="48" t="b">
        <f>J53=[2]员工报账!J53</f>
        <v>1</v>
      </c>
      <c r="AZ53" s="48" t="b">
        <f>K53=[2]员工报账!K53</f>
        <v>1</v>
      </c>
      <c r="BA53" s="48" t="b">
        <f>L53=[2]员工报账!L53</f>
        <v>1</v>
      </c>
      <c r="BB53" s="48" t="b">
        <f>M53=[2]员工报账!M53</f>
        <v>1</v>
      </c>
      <c r="BC53" s="48" t="b">
        <f>N53=[2]员工报账!N53</f>
        <v>1</v>
      </c>
      <c r="BD53" s="48" t="b">
        <f>O53=[2]员工报账!O53</f>
        <v>1</v>
      </c>
      <c r="BE53" s="48" t="b">
        <f>P53=[2]员工报账!P53</f>
        <v>1</v>
      </c>
      <c r="BF53" s="48" t="b">
        <f>Q53=[2]员工报账!Q53</f>
        <v>1</v>
      </c>
      <c r="BG53" s="48" t="b">
        <f>R53=[2]员工报账!R53</f>
        <v>1</v>
      </c>
      <c r="BH53" s="48" t="b">
        <f>S53=[2]员工报账!S53</f>
        <v>1</v>
      </c>
      <c r="BI53" s="48" t="b">
        <f>T53=[2]员工报账!T53</f>
        <v>1</v>
      </c>
      <c r="BJ53" s="48" t="b">
        <f>U53=[2]员工报账!U53</f>
        <v>1</v>
      </c>
      <c r="BK53" s="48" t="b">
        <f>V53=[2]员工报账!V53</f>
        <v>1</v>
      </c>
      <c r="BL53" s="48" t="b">
        <f>W53=[2]员工报账!W53</f>
        <v>1</v>
      </c>
      <c r="BM53" s="48" t="b">
        <f>X53=[2]员工报账!X53</f>
        <v>1</v>
      </c>
      <c r="BN53" s="48" t="b">
        <f>Y53=[2]员工报账!Y53</f>
        <v>1</v>
      </c>
      <c r="BO53" s="48" t="b">
        <f>Z53=[2]员工报账!Z53</f>
        <v>1</v>
      </c>
      <c r="BP53" s="48" t="b">
        <f>AA53=[2]员工报账!AA53</f>
        <v>1</v>
      </c>
      <c r="BQ53" s="48" t="b">
        <f>AB53=[2]员工报账!AB53</f>
        <v>1</v>
      </c>
      <c r="BR53" s="48" t="b">
        <f>AC53=[2]员工报账!AC53</f>
        <v>1</v>
      </c>
      <c r="BS53" s="48" t="b">
        <f>AD53=[2]员工报账!AD53</f>
        <v>1</v>
      </c>
      <c r="BT53" s="48" t="b">
        <f>AE53=[2]员工报账!AE53</f>
        <v>1</v>
      </c>
      <c r="BU53" s="48" t="b">
        <f>AF53=[2]员工报账!AF53</f>
        <v>1</v>
      </c>
      <c r="BV53" s="48" t="b">
        <f>AG53=[2]员工报账!AG53</f>
        <v>1</v>
      </c>
      <c r="BW53" s="48" t="b">
        <f>AH53=[2]员工报账!AH53</f>
        <v>1</v>
      </c>
      <c r="BX53" s="48" t="b">
        <f>AI53=[2]员工报账!AI53</f>
        <v>1</v>
      </c>
      <c r="BY53" s="48" t="b">
        <f>AJ53=[2]员工报账!AJ53</f>
        <v>1</v>
      </c>
      <c r="BZ53" s="48" t="b">
        <f>AK53=[2]员工报账!AK53</f>
        <v>1</v>
      </c>
    </row>
    <row r="54" s="48" customFormat="1" ht="158.4" spans="1:78">
      <c r="A54" s="62"/>
      <c r="B54" s="62"/>
      <c r="C54" s="63"/>
      <c r="D54" s="63"/>
      <c r="E54" s="64"/>
      <c r="F54" s="64"/>
      <c r="G54" s="63"/>
      <c r="H54" s="64"/>
      <c r="I54" s="35" t="s">
        <v>731</v>
      </c>
      <c r="J54" s="42" t="s">
        <v>732</v>
      </c>
      <c r="K54" s="35"/>
      <c r="L54" s="35"/>
      <c r="M54" s="35"/>
      <c r="N54" s="35" t="s">
        <v>36</v>
      </c>
      <c r="O54" s="35" t="s">
        <v>36</v>
      </c>
      <c r="P54" s="35"/>
      <c r="Q54" s="35"/>
      <c r="R54" s="35"/>
      <c r="S54" s="35"/>
      <c r="T54" s="35" t="s">
        <v>516</v>
      </c>
      <c r="U54" s="42"/>
      <c r="V54" s="42" t="s">
        <v>727</v>
      </c>
      <c r="W54" s="42" t="s">
        <v>728</v>
      </c>
      <c r="X54" s="35" t="s">
        <v>628</v>
      </c>
      <c r="Y54" s="35" t="s">
        <v>470</v>
      </c>
      <c r="Z54" s="35"/>
      <c r="AA54" s="35" t="s">
        <v>469</v>
      </c>
      <c r="AB54" s="35" t="s">
        <v>470</v>
      </c>
      <c r="AC54" s="35"/>
      <c r="AD54" s="42" t="s">
        <v>729</v>
      </c>
      <c r="AE54" s="35" t="s">
        <v>469</v>
      </c>
      <c r="AF54" s="35" t="s">
        <v>470</v>
      </c>
      <c r="AG54" s="35"/>
      <c r="AH54" s="35" t="s">
        <v>473</v>
      </c>
      <c r="AI54" s="35" t="s">
        <v>473</v>
      </c>
      <c r="AJ54" s="42" t="s">
        <v>730</v>
      </c>
      <c r="AK54" s="35" t="s">
        <v>678</v>
      </c>
      <c r="AL54" s="42" t="s">
        <v>679</v>
      </c>
      <c r="AM54" s="61"/>
      <c r="AN54" s="42"/>
      <c r="AO54" s="97"/>
      <c r="AP54" s="48" t="b">
        <f>A54=[2]员工报账!A54</f>
        <v>1</v>
      </c>
      <c r="AQ54" s="48" t="b">
        <f>B54=[2]员工报账!B54</f>
        <v>1</v>
      </c>
      <c r="AR54" s="48" t="b">
        <f>C54=[2]员工报账!C54</f>
        <v>1</v>
      </c>
      <c r="AS54" s="48" t="b">
        <f>D54=[2]员工报账!D54</f>
        <v>1</v>
      </c>
      <c r="AT54" s="48" t="b">
        <f>E54=[2]员工报账!E54</f>
        <v>1</v>
      </c>
      <c r="AU54" s="48" t="b">
        <f>F54=[2]员工报账!F54</f>
        <v>1</v>
      </c>
      <c r="AV54" s="48" t="b">
        <f>G54=[2]员工报账!G54</f>
        <v>1</v>
      </c>
      <c r="AW54" s="48" t="b">
        <f>H54=[2]员工报账!H54</f>
        <v>1</v>
      </c>
      <c r="AX54" s="48" t="b">
        <f>I54=[2]员工报账!I54</f>
        <v>1</v>
      </c>
      <c r="AY54" s="48" t="b">
        <f>J54=[2]员工报账!J54</f>
        <v>1</v>
      </c>
      <c r="AZ54" s="48" t="b">
        <f>K54=[2]员工报账!K54</f>
        <v>1</v>
      </c>
      <c r="BA54" s="48" t="b">
        <f>L54=[2]员工报账!L54</f>
        <v>1</v>
      </c>
      <c r="BB54" s="48" t="b">
        <f>M54=[2]员工报账!M54</f>
        <v>1</v>
      </c>
      <c r="BC54" s="48" t="b">
        <f>N54=[2]员工报账!N54</f>
        <v>1</v>
      </c>
      <c r="BD54" s="48" t="b">
        <f>O54=[2]员工报账!O54</f>
        <v>1</v>
      </c>
      <c r="BE54" s="48" t="b">
        <f>P54=[2]员工报账!P54</f>
        <v>1</v>
      </c>
      <c r="BF54" s="48" t="b">
        <f>Q54=[2]员工报账!Q54</f>
        <v>1</v>
      </c>
      <c r="BG54" s="48" t="b">
        <f>R54=[2]员工报账!R54</f>
        <v>1</v>
      </c>
      <c r="BH54" s="48" t="b">
        <f>S54=[2]员工报账!S54</f>
        <v>1</v>
      </c>
      <c r="BI54" s="48" t="b">
        <f>T54=[2]员工报账!T54</f>
        <v>1</v>
      </c>
      <c r="BJ54" s="48" t="b">
        <f>U54=[2]员工报账!U54</f>
        <v>1</v>
      </c>
      <c r="BK54" s="48" t="b">
        <f>V54=[2]员工报账!V54</f>
        <v>1</v>
      </c>
      <c r="BL54" s="48" t="b">
        <f>W54=[2]员工报账!W54</f>
        <v>1</v>
      </c>
      <c r="BM54" s="48" t="b">
        <f>X54=[2]员工报账!X54</f>
        <v>1</v>
      </c>
      <c r="BN54" s="48" t="b">
        <f>Y54=[2]员工报账!Y54</f>
        <v>1</v>
      </c>
      <c r="BO54" s="48" t="b">
        <f>Z54=[2]员工报账!Z54</f>
        <v>1</v>
      </c>
      <c r="BP54" s="48" t="b">
        <f>AA54=[2]员工报账!AA54</f>
        <v>1</v>
      </c>
      <c r="BQ54" s="48" t="b">
        <f>AB54=[2]员工报账!AB54</f>
        <v>1</v>
      </c>
      <c r="BR54" s="48" t="b">
        <f>AC54=[2]员工报账!AC54</f>
        <v>1</v>
      </c>
      <c r="BS54" s="48" t="b">
        <f>AD54=[2]员工报账!AD54</f>
        <v>1</v>
      </c>
      <c r="BT54" s="48" t="b">
        <f>AE54=[2]员工报账!AE54</f>
        <v>1</v>
      </c>
      <c r="BU54" s="48" t="b">
        <f>AF54=[2]员工报账!AF54</f>
        <v>1</v>
      </c>
      <c r="BV54" s="48" t="b">
        <f>AG54=[2]员工报账!AG54</f>
        <v>1</v>
      </c>
      <c r="BW54" s="48" t="b">
        <f>AH54=[2]员工报账!AH54</f>
        <v>1</v>
      </c>
      <c r="BX54" s="48" t="b">
        <f>AI54=[2]员工报账!AI54</f>
        <v>1</v>
      </c>
      <c r="BY54" s="48" t="b">
        <f>AJ54=[2]员工报账!AJ54</f>
        <v>1</v>
      </c>
      <c r="BZ54" s="48" t="b">
        <f>AK54=[2]员工报账!AK54</f>
        <v>1</v>
      </c>
    </row>
    <row r="55" s="48" customFormat="1" ht="184.8" spans="1:78">
      <c r="A55" s="67"/>
      <c r="B55" s="67"/>
      <c r="C55" s="38"/>
      <c r="D55" s="38"/>
      <c r="E55" s="66"/>
      <c r="F55" s="66"/>
      <c r="G55" s="38"/>
      <c r="H55" s="66"/>
      <c r="I55" s="35" t="s">
        <v>733</v>
      </c>
      <c r="J55" s="42" t="s">
        <v>684</v>
      </c>
      <c r="K55" s="35"/>
      <c r="L55" s="35"/>
      <c r="M55" s="35"/>
      <c r="N55" s="35"/>
      <c r="O55" s="35"/>
      <c r="P55" s="35"/>
      <c r="Q55" s="35" t="s">
        <v>36</v>
      </c>
      <c r="R55" s="35" t="s">
        <v>36</v>
      </c>
      <c r="S55" s="35"/>
      <c r="T55" s="35" t="s">
        <v>516</v>
      </c>
      <c r="U55" s="42"/>
      <c r="V55" s="42" t="s">
        <v>727</v>
      </c>
      <c r="W55" s="42" t="s">
        <v>734</v>
      </c>
      <c r="X55" s="35" t="s">
        <v>628</v>
      </c>
      <c r="Y55" s="35" t="s">
        <v>470</v>
      </c>
      <c r="Z55" s="35"/>
      <c r="AA55" s="35" t="s">
        <v>469</v>
      </c>
      <c r="AB55" s="35" t="s">
        <v>470</v>
      </c>
      <c r="AC55" s="35"/>
      <c r="AD55" s="42" t="s">
        <v>729</v>
      </c>
      <c r="AE55" s="35" t="s">
        <v>469</v>
      </c>
      <c r="AF55" s="35" t="s">
        <v>470</v>
      </c>
      <c r="AG55" s="35"/>
      <c r="AH55" s="35" t="s">
        <v>473</v>
      </c>
      <c r="AI55" s="35" t="s">
        <v>473</v>
      </c>
      <c r="AJ55" s="42" t="s">
        <v>730</v>
      </c>
      <c r="AK55" s="35" t="s">
        <v>678</v>
      </c>
      <c r="AL55" s="42" t="s">
        <v>679</v>
      </c>
      <c r="AM55" s="61"/>
      <c r="AN55" s="42"/>
      <c r="AO55" s="97"/>
      <c r="AP55" s="48" t="b">
        <f>A55=[2]员工报账!A55</f>
        <v>1</v>
      </c>
      <c r="AQ55" s="48" t="b">
        <f>B55=[2]员工报账!B55</f>
        <v>1</v>
      </c>
      <c r="AR55" s="48" t="b">
        <f>C55=[2]员工报账!C55</f>
        <v>1</v>
      </c>
      <c r="AS55" s="48" t="b">
        <f>D55=[2]员工报账!D55</f>
        <v>1</v>
      </c>
      <c r="AT55" s="48" t="b">
        <f>E55=[2]员工报账!E55</f>
        <v>1</v>
      </c>
      <c r="AU55" s="48" t="b">
        <f>F55=[2]员工报账!F55</f>
        <v>1</v>
      </c>
      <c r="AV55" s="48" t="b">
        <f>G55=[2]员工报账!G55</f>
        <v>1</v>
      </c>
      <c r="AW55" s="48" t="b">
        <f>H55=[2]员工报账!H55</f>
        <v>1</v>
      </c>
      <c r="AX55" s="48" t="b">
        <f>I55=[2]员工报账!I55</f>
        <v>1</v>
      </c>
      <c r="AY55" s="48" t="b">
        <f>J55=[2]员工报账!J55</f>
        <v>1</v>
      </c>
      <c r="AZ55" s="48" t="b">
        <f>K55=[2]员工报账!K55</f>
        <v>1</v>
      </c>
      <c r="BA55" s="48" t="b">
        <f>L55=[2]员工报账!L55</f>
        <v>1</v>
      </c>
      <c r="BB55" s="48" t="b">
        <f>M55=[2]员工报账!M55</f>
        <v>1</v>
      </c>
      <c r="BC55" s="48" t="b">
        <f>N55=[2]员工报账!N55</f>
        <v>1</v>
      </c>
      <c r="BD55" s="48" t="b">
        <f>O55=[2]员工报账!O55</f>
        <v>1</v>
      </c>
      <c r="BE55" s="48" t="b">
        <f>P55=[2]员工报账!P55</f>
        <v>1</v>
      </c>
      <c r="BF55" s="48" t="b">
        <f>Q55=[2]员工报账!Q55</f>
        <v>1</v>
      </c>
      <c r="BG55" s="48" t="b">
        <f>R55=[2]员工报账!R55</f>
        <v>1</v>
      </c>
      <c r="BH55" s="48" t="b">
        <f>S55=[2]员工报账!S55</f>
        <v>1</v>
      </c>
      <c r="BI55" s="48" t="b">
        <f>T55=[2]员工报账!T55</f>
        <v>1</v>
      </c>
      <c r="BJ55" s="48" t="b">
        <f>U55=[2]员工报账!U55</f>
        <v>1</v>
      </c>
      <c r="BK55" s="48" t="b">
        <f>V55=[2]员工报账!V55</f>
        <v>1</v>
      </c>
      <c r="BL55" s="48" t="b">
        <f>W55=[2]员工报账!W55</f>
        <v>1</v>
      </c>
      <c r="BM55" s="48" t="b">
        <f>X55=[2]员工报账!X55</f>
        <v>1</v>
      </c>
      <c r="BN55" s="48" t="b">
        <f>Y55=[2]员工报账!Y55</f>
        <v>1</v>
      </c>
      <c r="BO55" s="48" t="b">
        <f>Z55=[2]员工报账!Z55</f>
        <v>1</v>
      </c>
      <c r="BP55" s="48" t="b">
        <f>AA55=[2]员工报账!AA55</f>
        <v>1</v>
      </c>
      <c r="BQ55" s="48" t="b">
        <f>AB55=[2]员工报账!AB55</f>
        <v>1</v>
      </c>
      <c r="BR55" s="48" t="b">
        <f>AC55=[2]员工报账!AC55</f>
        <v>1</v>
      </c>
      <c r="BS55" s="48" t="b">
        <f>AD55=[2]员工报账!AD55</f>
        <v>1</v>
      </c>
      <c r="BT55" s="48" t="b">
        <f>AE55=[2]员工报账!AE55</f>
        <v>1</v>
      </c>
      <c r="BU55" s="48" t="b">
        <f>AF55=[2]员工报账!AF55</f>
        <v>1</v>
      </c>
      <c r="BV55" s="48" t="b">
        <f>AG55=[2]员工报账!AG55</f>
        <v>1</v>
      </c>
      <c r="BW55" s="48" t="b">
        <f>AH55=[2]员工报账!AH55</f>
        <v>1</v>
      </c>
      <c r="BX55" s="48" t="b">
        <f>AI55=[2]员工报账!AI55</f>
        <v>1</v>
      </c>
      <c r="BY55" s="48" t="b">
        <f>AJ55=[2]员工报账!AJ55</f>
        <v>1</v>
      </c>
      <c r="BZ55" s="48" t="b">
        <f>AK55=[2]员工报账!AK55</f>
        <v>1</v>
      </c>
    </row>
    <row r="56" s="48" customFormat="1" ht="145.2" spans="1:78">
      <c r="A56" s="56" t="s">
        <v>453</v>
      </c>
      <c r="B56" s="56" t="s">
        <v>644</v>
      </c>
      <c r="C56" s="57" t="s">
        <v>455</v>
      </c>
      <c r="D56" s="57" t="s">
        <v>735</v>
      </c>
      <c r="E56" s="58" t="s">
        <v>736</v>
      </c>
      <c r="F56" s="35"/>
      <c r="G56" s="57" t="s">
        <v>737</v>
      </c>
      <c r="H56" s="58" t="s">
        <v>738</v>
      </c>
      <c r="I56" s="35" t="s">
        <v>739</v>
      </c>
      <c r="J56" s="42" t="s">
        <v>740</v>
      </c>
      <c r="K56" s="35"/>
      <c r="L56" s="35" t="s">
        <v>36</v>
      </c>
      <c r="M56" s="35" t="s">
        <v>36</v>
      </c>
      <c r="N56" s="35"/>
      <c r="O56" s="35" t="s">
        <v>36</v>
      </c>
      <c r="P56" s="35"/>
      <c r="Q56" s="35"/>
      <c r="R56" s="35"/>
      <c r="S56" s="35"/>
      <c r="T56" s="35" t="s">
        <v>516</v>
      </c>
      <c r="U56" s="42"/>
      <c r="V56" s="42" t="s">
        <v>741</v>
      </c>
      <c r="W56" s="42" t="s">
        <v>742</v>
      </c>
      <c r="X56" s="35" t="s">
        <v>628</v>
      </c>
      <c r="Y56" s="35" t="s">
        <v>470</v>
      </c>
      <c r="Z56" s="35"/>
      <c r="AA56" s="35" t="s">
        <v>469</v>
      </c>
      <c r="AB56" s="35" t="s">
        <v>470</v>
      </c>
      <c r="AC56" s="35"/>
      <c r="AD56" s="42" t="s">
        <v>743</v>
      </c>
      <c r="AE56" s="35" t="s">
        <v>469</v>
      </c>
      <c r="AF56" s="35" t="s">
        <v>470</v>
      </c>
      <c r="AG56" s="35"/>
      <c r="AH56" s="35" t="s">
        <v>473</v>
      </c>
      <c r="AI56" s="35" t="s">
        <v>473</v>
      </c>
      <c r="AJ56" s="42" t="s">
        <v>744</v>
      </c>
      <c r="AK56" s="35" t="s">
        <v>698</v>
      </c>
      <c r="AL56" s="42" t="s">
        <v>679</v>
      </c>
      <c r="AM56" s="61"/>
      <c r="AN56" s="42"/>
      <c r="AO56" s="97"/>
      <c r="AP56" s="48" t="b">
        <f>A56=[2]员工报账!A56</f>
        <v>1</v>
      </c>
      <c r="AQ56" s="48" t="b">
        <f>B56=[2]员工报账!B56</f>
        <v>1</v>
      </c>
      <c r="AR56" s="48" t="b">
        <f>C56=[2]员工报账!C56</f>
        <v>1</v>
      </c>
      <c r="AS56" s="48" t="b">
        <f>D56=[2]员工报账!D56</f>
        <v>1</v>
      </c>
      <c r="AT56" s="48" t="b">
        <f>E56=[2]员工报账!E56</f>
        <v>1</v>
      </c>
      <c r="AU56" s="48" t="b">
        <f>F56=[2]员工报账!F56</f>
        <v>1</v>
      </c>
      <c r="AV56" s="48" t="b">
        <f>G56=[2]员工报账!G56</f>
        <v>1</v>
      </c>
      <c r="AW56" s="48" t="b">
        <f>H56=[2]员工报账!H56</f>
        <v>1</v>
      </c>
      <c r="AX56" s="48" t="b">
        <f>I56=[2]员工报账!I56</f>
        <v>1</v>
      </c>
      <c r="AY56" s="48" t="b">
        <f>J56=[2]员工报账!J56</f>
        <v>1</v>
      </c>
      <c r="AZ56" s="48" t="b">
        <f>K56=[2]员工报账!K56</f>
        <v>1</v>
      </c>
      <c r="BA56" s="48" t="b">
        <f>L56=[2]员工报账!L56</f>
        <v>1</v>
      </c>
      <c r="BB56" s="48" t="b">
        <f>M56=[2]员工报账!M56</f>
        <v>1</v>
      </c>
      <c r="BC56" s="48" t="b">
        <f>N56=[2]员工报账!N56</f>
        <v>1</v>
      </c>
      <c r="BD56" s="48" t="b">
        <f>O56=[2]员工报账!O56</f>
        <v>1</v>
      </c>
      <c r="BE56" s="48" t="b">
        <f>P56=[2]员工报账!P56</f>
        <v>1</v>
      </c>
      <c r="BF56" s="48" t="b">
        <f>Q56=[2]员工报账!Q56</f>
        <v>1</v>
      </c>
      <c r="BG56" s="48" t="b">
        <f>R56=[2]员工报账!R56</f>
        <v>1</v>
      </c>
      <c r="BH56" s="48" t="b">
        <f>S56=[2]员工报账!S56</f>
        <v>1</v>
      </c>
      <c r="BI56" s="48" t="b">
        <f>T56=[2]员工报账!T56</f>
        <v>1</v>
      </c>
      <c r="BJ56" s="48" t="b">
        <f>U56=[2]员工报账!U56</f>
        <v>1</v>
      </c>
      <c r="BK56" s="48" t="b">
        <f>V56=[2]员工报账!V56</f>
        <v>1</v>
      </c>
      <c r="BL56" s="48" t="b">
        <f>W56=[2]员工报账!W56</f>
        <v>1</v>
      </c>
      <c r="BM56" s="48" t="b">
        <f>X56=[2]员工报账!X56</f>
        <v>1</v>
      </c>
      <c r="BN56" s="48" t="b">
        <f>Y56=[2]员工报账!Y56</f>
        <v>1</v>
      </c>
      <c r="BO56" s="48" t="b">
        <f>Z56=[2]员工报账!Z56</f>
        <v>1</v>
      </c>
      <c r="BP56" s="48" t="b">
        <f>AA56=[2]员工报账!AA56</f>
        <v>1</v>
      </c>
      <c r="BQ56" s="48" t="b">
        <f>AB56=[2]员工报账!AB56</f>
        <v>1</v>
      </c>
      <c r="BR56" s="48" t="b">
        <f>AC56=[2]员工报账!AC56</f>
        <v>1</v>
      </c>
      <c r="BS56" s="48" t="b">
        <f>AD56=[2]员工报账!AD56</f>
        <v>1</v>
      </c>
      <c r="BT56" s="48" t="b">
        <f>AE56=[2]员工报账!AE56</f>
        <v>1</v>
      </c>
      <c r="BU56" s="48" t="b">
        <f>AF56=[2]员工报账!AF56</f>
        <v>1</v>
      </c>
      <c r="BV56" s="48" t="b">
        <f>AG56=[2]员工报账!AG56</f>
        <v>1</v>
      </c>
      <c r="BW56" s="48" t="b">
        <f>AH56=[2]员工报账!AH56</f>
        <v>1</v>
      </c>
      <c r="BX56" s="48" t="b">
        <f>AI56=[2]员工报账!AI56</f>
        <v>1</v>
      </c>
      <c r="BY56" s="48" t="b">
        <f>AJ56=[2]员工报账!AJ56</f>
        <v>1</v>
      </c>
      <c r="BZ56" s="48" t="b">
        <f>AK56=[2]员工报账!AK56</f>
        <v>1</v>
      </c>
    </row>
    <row r="57" s="48" customFormat="1" ht="184.8" spans="1:78">
      <c r="A57" s="62"/>
      <c r="B57" s="62"/>
      <c r="C57" s="38"/>
      <c r="D57" s="38"/>
      <c r="E57" s="66"/>
      <c r="F57" s="35"/>
      <c r="G57" s="38"/>
      <c r="H57" s="66"/>
      <c r="I57" s="35" t="s">
        <v>745</v>
      </c>
      <c r="J57" s="42" t="s">
        <v>746</v>
      </c>
      <c r="K57" s="35"/>
      <c r="L57" s="35"/>
      <c r="M57" s="35"/>
      <c r="N57" s="35"/>
      <c r="O57" s="35"/>
      <c r="P57" s="35"/>
      <c r="Q57" s="35" t="s">
        <v>36</v>
      </c>
      <c r="R57" s="35" t="s">
        <v>36</v>
      </c>
      <c r="S57" s="35"/>
      <c r="T57" s="35" t="s">
        <v>516</v>
      </c>
      <c r="U57" s="42"/>
      <c r="V57" s="42" t="s">
        <v>741</v>
      </c>
      <c r="W57" s="42" t="s">
        <v>747</v>
      </c>
      <c r="X57" s="35" t="s">
        <v>628</v>
      </c>
      <c r="Y57" s="35" t="s">
        <v>470</v>
      </c>
      <c r="Z57" s="35"/>
      <c r="AA57" s="35" t="s">
        <v>469</v>
      </c>
      <c r="AB57" s="35" t="s">
        <v>470</v>
      </c>
      <c r="AC57" s="35"/>
      <c r="AD57" s="42" t="s">
        <v>743</v>
      </c>
      <c r="AE57" s="35" t="s">
        <v>469</v>
      </c>
      <c r="AF57" s="35" t="s">
        <v>470</v>
      </c>
      <c r="AG57" s="35"/>
      <c r="AH57" s="35" t="s">
        <v>473</v>
      </c>
      <c r="AI57" s="35" t="s">
        <v>473</v>
      </c>
      <c r="AJ57" s="42" t="s">
        <v>744</v>
      </c>
      <c r="AK57" s="35" t="s">
        <v>698</v>
      </c>
      <c r="AL57" s="42" t="s">
        <v>679</v>
      </c>
      <c r="AM57" s="61"/>
      <c r="AN57" s="42"/>
      <c r="AO57" s="97"/>
      <c r="AP57" s="48" t="b">
        <f>A57=[2]员工报账!A57</f>
        <v>1</v>
      </c>
      <c r="AQ57" s="48" t="b">
        <f>B57=[2]员工报账!B57</f>
        <v>1</v>
      </c>
      <c r="AR57" s="48" t="b">
        <f>C57=[2]员工报账!C57</f>
        <v>1</v>
      </c>
      <c r="AS57" s="48" t="b">
        <f>D57=[2]员工报账!D57</f>
        <v>1</v>
      </c>
      <c r="AT57" s="48" t="b">
        <f>E57=[2]员工报账!E57</f>
        <v>1</v>
      </c>
      <c r="AU57" s="48" t="b">
        <f>F57=[2]员工报账!F57</f>
        <v>1</v>
      </c>
      <c r="AV57" s="48" t="b">
        <f>G57=[2]员工报账!G57</f>
        <v>1</v>
      </c>
      <c r="AW57" s="48" t="b">
        <f>H57=[2]员工报账!H57</f>
        <v>1</v>
      </c>
      <c r="AX57" s="48" t="b">
        <f>I57=[2]员工报账!I57</f>
        <v>1</v>
      </c>
      <c r="AY57" s="48" t="b">
        <f>J57=[2]员工报账!J57</f>
        <v>1</v>
      </c>
      <c r="AZ57" s="48" t="b">
        <f>K57=[2]员工报账!K57</f>
        <v>1</v>
      </c>
      <c r="BA57" s="48" t="b">
        <f>L57=[2]员工报账!L57</f>
        <v>1</v>
      </c>
      <c r="BB57" s="48" t="b">
        <f>M57=[2]员工报账!M57</f>
        <v>1</v>
      </c>
      <c r="BC57" s="48" t="b">
        <f>N57=[2]员工报账!N57</f>
        <v>1</v>
      </c>
      <c r="BD57" s="48" t="b">
        <f>O57=[2]员工报账!O57</f>
        <v>1</v>
      </c>
      <c r="BE57" s="48" t="b">
        <f>P57=[2]员工报账!P57</f>
        <v>1</v>
      </c>
      <c r="BF57" s="48" t="b">
        <f>Q57=[2]员工报账!Q57</f>
        <v>1</v>
      </c>
      <c r="BG57" s="48" t="b">
        <f>R57=[2]员工报账!R57</f>
        <v>1</v>
      </c>
      <c r="BH57" s="48" t="b">
        <f>S57=[2]员工报账!S57</f>
        <v>1</v>
      </c>
      <c r="BI57" s="48" t="b">
        <f>T57=[2]员工报账!T57</f>
        <v>1</v>
      </c>
      <c r="BJ57" s="48" t="b">
        <f>U57=[2]员工报账!U57</f>
        <v>1</v>
      </c>
      <c r="BK57" s="48" t="b">
        <f>V57=[2]员工报账!V57</f>
        <v>1</v>
      </c>
      <c r="BL57" s="48" t="b">
        <f>W57=[2]员工报账!W57</f>
        <v>1</v>
      </c>
      <c r="BM57" s="48" t="b">
        <f>X57=[2]员工报账!X57</f>
        <v>1</v>
      </c>
      <c r="BN57" s="48" t="b">
        <f>Y57=[2]员工报账!Y57</f>
        <v>1</v>
      </c>
      <c r="BO57" s="48" t="b">
        <f>Z57=[2]员工报账!Z57</f>
        <v>1</v>
      </c>
      <c r="BP57" s="48" t="b">
        <f>AA57=[2]员工报账!AA57</f>
        <v>1</v>
      </c>
      <c r="BQ57" s="48" t="b">
        <f>AB57=[2]员工报账!AB57</f>
        <v>1</v>
      </c>
      <c r="BR57" s="48" t="b">
        <f>AC57=[2]员工报账!AC57</f>
        <v>1</v>
      </c>
      <c r="BS57" s="48" t="b">
        <f>AD57=[2]员工报账!AD57</f>
        <v>1</v>
      </c>
      <c r="BT57" s="48" t="b">
        <f>AE57=[2]员工报账!AE57</f>
        <v>1</v>
      </c>
      <c r="BU57" s="48" t="b">
        <f>AF57=[2]员工报账!AF57</f>
        <v>1</v>
      </c>
      <c r="BV57" s="48" t="b">
        <f>AG57=[2]员工报账!AG57</f>
        <v>1</v>
      </c>
      <c r="BW57" s="48" t="b">
        <f>AH57=[2]员工报账!AH57</f>
        <v>1</v>
      </c>
      <c r="BX57" s="48" t="b">
        <f>AI57=[2]员工报账!AI57</f>
        <v>1</v>
      </c>
      <c r="BY57" s="48" t="b">
        <f>AJ57=[2]员工报账!AJ57</f>
        <v>1</v>
      </c>
      <c r="BZ57" s="48" t="b">
        <f>AK57=[2]员工报账!AK57</f>
        <v>1</v>
      </c>
    </row>
    <row r="58" s="48" customFormat="1" ht="171.6" spans="1:78">
      <c r="A58" s="62"/>
      <c r="B58" s="62"/>
      <c r="C58" s="57" t="s">
        <v>498</v>
      </c>
      <c r="D58" s="57" t="s">
        <v>748</v>
      </c>
      <c r="E58" s="58" t="s">
        <v>749</v>
      </c>
      <c r="F58" s="63"/>
      <c r="G58" s="57" t="s">
        <v>750</v>
      </c>
      <c r="H58" s="58" t="s">
        <v>751</v>
      </c>
      <c r="I58" s="35" t="s">
        <v>752</v>
      </c>
      <c r="J58" s="42" t="s">
        <v>753</v>
      </c>
      <c r="K58" s="35"/>
      <c r="L58" s="35"/>
      <c r="M58" s="35"/>
      <c r="N58" s="35"/>
      <c r="O58" s="35" t="s">
        <v>36</v>
      </c>
      <c r="P58" s="35"/>
      <c r="Q58" s="35"/>
      <c r="R58" s="35"/>
      <c r="S58" s="35"/>
      <c r="T58" s="35" t="s">
        <v>516</v>
      </c>
      <c r="U58" s="42"/>
      <c r="V58" s="42" t="s">
        <v>754</v>
      </c>
      <c r="W58" s="42" t="s">
        <v>755</v>
      </c>
      <c r="X58" s="35" t="s">
        <v>628</v>
      </c>
      <c r="Y58" s="35" t="s">
        <v>470</v>
      </c>
      <c r="Z58" s="35"/>
      <c r="AA58" s="35" t="s">
        <v>469</v>
      </c>
      <c r="AB58" s="35" t="s">
        <v>470</v>
      </c>
      <c r="AC58" s="35"/>
      <c r="AD58" s="42" t="s">
        <v>756</v>
      </c>
      <c r="AE58" s="35" t="s">
        <v>469</v>
      </c>
      <c r="AF58" s="35" t="s">
        <v>470</v>
      </c>
      <c r="AG58" s="35"/>
      <c r="AH58" s="35" t="s">
        <v>473</v>
      </c>
      <c r="AI58" s="35" t="s">
        <v>473</v>
      </c>
      <c r="AJ58" s="42" t="s">
        <v>757</v>
      </c>
      <c r="AK58" s="35" t="s">
        <v>758</v>
      </c>
      <c r="AL58" s="42" t="s">
        <v>759</v>
      </c>
      <c r="AM58" s="61"/>
      <c r="AN58" s="42"/>
      <c r="AO58" s="97"/>
      <c r="AP58" s="48" t="b">
        <f>A58=[2]员工报账!A58</f>
        <v>1</v>
      </c>
      <c r="AQ58" s="48" t="b">
        <f>B58=[2]员工报账!B58</f>
        <v>1</v>
      </c>
      <c r="AR58" s="48" t="b">
        <f>C58=[2]员工报账!C58</f>
        <v>1</v>
      </c>
      <c r="AS58" s="48" t="b">
        <f>D58=[2]员工报账!D58</f>
        <v>1</v>
      </c>
      <c r="AT58" s="48" t="b">
        <f>E58=[2]员工报账!E58</f>
        <v>1</v>
      </c>
      <c r="AU58" s="48" t="b">
        <f>F58=[2]员工报账!F58</f>
        <v>1</v>
      </c>
      <c r="AV58" s="48" t="b">
        <f>G58=[2]员工报账!G58</f>
        <v>1</v>
      </c>
      <c r="AW58" s="48" t="b">
        <f>H58=[2]员工报账!H58</f>
        <v>1</v>
      </c>
      <c r="AX58" s="48" t="b">
        <f>I58=[2]员工报账!I58</f>
        <v>1</v>
      </c>
      <c r="AY58" s="48" t="b">
        <f>J58=[2]员工报账!J58</f>
        <v>1</v>
      </c>
      <c r="AZ58" s="48" t="b">
        <f>K58=[2]员工报账!K58</f>
        <v>1</v>
      </c>
      <c r="BA58" s="48" t="b">
        <f>L58=[2]员工报账!L58</f>
        <v>1</v>
      </c>
      <c r="BB58" s="48" t="b">
        <f>M58=[2]员工报账!M58</f>
        <v>1</v>
      </c>
      <c r="BC58" s="48" t="b">
        <f>N58=[2]员工报账!N58</f>
        <v>1</v>
      </c>
      <c r="BD58" s="48" t="b">
        <f>O58=[2]员工报账!O58</f>
        <v>1</v>
      </c>
      <c r="BE58" s="48" t="b">
        <f>P58=[2]员工报账!P58</f>
        <v>1</v>
      </c>
      <c r="BF58" s="48" t="b">
        <f>Q58=[2]员工报账!Q58</f>
        <v>1</v>
      </c>
      <c r="BG58" s="48" t="b">
        <f>R58=[2]员工报账!R58</f>
        <v>1</v>
      </c>
      <c r="BH58" s="48" t="b">
        <f>S58=[2]员工报账!S58</f>
        <v>1</v>
      </c>
      <c r="BI58" s="48" t="b">
        <f>T58=[2]员工报账!T58</f>
        <v>1</v>
      </c>
      <c r="BJ58" s="48" t="b">
        <f>U58=[2]员工报账!U58</f>
        <v>1</v>
      </c>
      <c r="BK58" s="48" t="b">
        <f>V58=[2]员工报账!V58</f>
        <v>1</v>
      </c>
      <c r="BL58" s="48" t="b">
        <f>W58=[2]员工报账!W58</f>
        <v>1</v>
      </c>
      <c r="BM58" s="48" t="b">
        <f>X58=[2]员工报账!X58</f>
        <v>1</v>
      </c>
      <c r="BN58" s="48" t="b">
        <f>Y58=[2]员工报账!Y58</f>
        <v>1</v>
      </c>
      <c r="BO58" s="48" t="b">
        <f>Z58=[2]员工报账!Z58</f>
        <v>1</v>
      </c>
      <c r="BP58" s="48" t="b">
        <f>AA58=[2]员工报账!AA58</f>
        <v>1</v>
      </c>
      <c r="BQ58" s="48" t="b">
        <f>AB58=[2]员工报账!AB58</f>
        <v>1</v>
      </c>
      <c r="BR58" s="48" t="b">
        <f>AC58=[2]员工报账!AC58</f>
        <v>1</v>
      </c>
      <c r="BS58" s="48" t="b">
        <f>AD58=[2]员工报账!AD58</f>
        <v>1</v>
      </c>
      <c r="BT58" s="48" t="b">
        <f>AE58=[2]员工报账!AE58</f>
        <v>1</v>
      </c>
      <c r="BU58" s="48" t="b">
        <f>AF58=[2]员工报账!AF58</f>
        <v>1</v>
      </c>
      <c r="BV58" s="48" t="b">
        <f>AG58=[2]员工报账!AG58</f>
        <v>1</v>
      </c>
      <c r="BW58" s="48" t="b">
        <f>AH58=[2]员工报账!AH58</f>
        <v>1</v>
      </c>
      <c r="BX58" s="48" t="b">
        <f>AI58=[2]员工报账!AI58</f>
        <v>1</v>
      </c>
      <c r="BY58" s="48" t="b">
        <f>AJ58=[2]员工报账!AJ58</f>
        <v>1</v>
      </c>
      <c r="BZ58" s="48" t="b">
        <f>AK58=[2]员工报账!AK58</f>
        <v>1</v>
      </c>
    </row>
    <row r="59" s="48" customFormat="1" ht="171.6" spans="1:78">
      <c r="A59" s="62"/>
      <c r="B59" s="62"/>
      <c r="C59" s="63"/>
      <c r="D59" s="63"/>
      <c r="E59" s="64"/>
      <c r="F59" s="63"/>
      <c r="G59" s="63"/>
      <c r="H59" s="64"/>
      <c r="I59" s="35" t="s">
        <v>760</v>
      </c>
      <c r="J59" s="42" t="s">
        <v>761</v>
      </c>
      <c r="K59" s="35"/>
      <c r="L59" s="35" t="s">
        <v>36</v>
      </c>
      <c r="M59" s="35"/>
      <c r="N59" s="35"/>
      <c r="O59" s="35"/>
      <c r="P59" s="35"/>
      <c r="Q59" s="35"/>
      <c r="R59" s="35"/>
      <c r="S59" s="35"/>
      <c r="T59" s="35" t="s">
        <v>516</v>
      </c>
      <c r="U59" s="42"/>
      <c r="V59" s="42" t="s">
        <v>754</v>
      </c>
      <c r="W59" s="42" t="s">
        <v>755</v>
      </c>
      <c r="X59" s="35" t="s">
        <v>628</v>
      </c>
      <c r="Y59" s="35" t="s">
        <v>470</v>
      </c>
      <c r="Z59" s="35"/>
      <c r="AA59" s="35" t="s">
        <v>469</v>
      </c>
      <c r="AB59" s="35" t="s">
        <v>470</v>
      </c>
      <c r="AC59" s="35"/>
      <c r="AD59" s="42" t="s">
        <v>756</v>
      </c>
      <c r="AE59" s="35" t="s">
        <v>469</v>
      </c>
      <c r="AF59" s="35" t="s">
        <v>470</v>
      </c>
      <c r="AG59" s="35"/>
      <c r="AH59" s="35" t="s">
        <v>473</v>
      </c>
      <c r="AI59" s="35" t="s">
        <v>473</v>
      </c>
      <c r="AJ59" s="42" t="s">
        <v>757</v>
      </c>
      <c r="AK59" s="35" t="s">
        <v>758</v>
      </c>
      <c r="AL59" s="42" t="s">
        <v>759</v>
      </c>
      <c r="AM59" s="61"/>
      <c r="AN59" s="42"/>
      <c r="AO59" s="97"/>
      <c r="AP59" s="48" t="b">
        <f>A59=[2]员工报账!A59</f>
        <v>1</v>
      </c>
      <c r="AQ59" s="48" t="b">
        <f>B59=[2]员工报账!B59</f>
        <v>1</v>
      </c>
      <c r="AR59" s="48" t="b">
        <f>C59=[2]员工报账!C59</f>
        <v>1</v>
      </c>
      <c r="AS59" s="48" t="b">
        <f>D59=[2]员工报账!D59</f>
        <v>1</v>
      </c>
      <c r="AT59" s="48" t="b">
        <f>E59=[2]员工报账!E59</f>
        <v>1</v>
      </c>
      <c r="AU59" s="48" t="b">
        <f>F59=[2]员工报账!F59</f>
        <v>1</v>
      </c>
      <c r="AV59" s="48" t="b">
        <f>G59=[2]员工报账!G59</f>
        <v>1</v>
      </c>
      <c r="AW59" s="48" t="b">
        <f>H59=[2]员工报账!H59</f>
        <v>1</v>
      </c>
      <c r="AX59" s="48" t="b">
        <f>I59=[2]员工报账!I59</f>
        <v>1</v>
      </c>
      <c r="AY59" s="48" t="b">
        <f>J59=[2]员工报账!J59</f>
        <v>1</v>
      </c>
      <c r="AZ59" s="48" t="b">
        <f>K59=[2]员工报账!K59</f>
        <v>1</v>
      </c>
      <c r="BA59" s="48" t="b">
        <f>L59=[2]员工报账!L59</f>
        <v>1</v>
      </c>
      <c r="BB59" s="48" t="b">
        <f>M59=[2]员工报账!M59</f>
        <v>1</v>
      </c>
      <c r="BC59" s="48" t="b">
        <f>N59=[2]员工报账!N59</f>
        <v>1</v>
      </c>
      <c r="BD59" s="48" t="b">
        <f>O59=[2]员工报账!O59</f>
        <v>1</v>
      </c>
      <c r="BE59" s="48" t="b">
        <f>P59=[2]员工报账!P59</f>
        <v>1</v>
      </c>
      <c r="BF59" s="48" t="b">
        <f>Q59=[2]员工报账!Q59</f>
        <v>1</v>
      </c>
      <c r="BG59" s="48" t="b">
        <f>R59=[2]员工报账!R59</f>
        <v>1</v>
      </c>
      <c r="BH59" s="48" t="b">
        <f>S59=[2]员工报账!S59</f>
        <v>1</v>
      </c>
      <c r="BI59" s="48" t="b">
        <f>T59=[2]员工报账!T59</f>
        <v>1</v>
      </c>
      <c r="BJ59" s="48" t="b">
        <f>U59=[2]员工报账!U59</f>
        <v>1</v>
      </c>
      <c r="BK59" s="48" t="b">
        <f>V59=[2]员工报账!V59</f>
        <v>1</v>
      </c>
      <c r="BL59" s="48" t="b">
        <f>W59=[2]员工报账!W59</f>
        <v>1</v>
      </c>
      <c r="BM59" s="48" t="b">
        <f>X59=[2]员工报账!X59</f>
        <v>1</v>
      </c>
      <c r="BN59" s="48" t="b">
        <f>Y59=[2]员工报账!Y59</f>
        <v>1</v>
      </c>
      <c r="BO59" s="48" t="b">
        <f>Z59=[2]员工报账!Z59</f>
        <v>1</v>
      </c>
      <c r="BP59" s="48" t="b">
        <f>AA59=[2]员工报账!AA59</f>
        <v>1</v>
      </c>
      <c r="BQ59" s="48" t="b">
        <f>AB59=[2]员工报账!AB59</f>
        <v>1</v>
      </c>
      <c r="BR59" s="48" t="b">
        <f>AC59=[2]员工报账!AC59</f>
        <v>1</v>
      </c>
      <c r="BS59" s="48" t="b">
        <f>AD59=[2]员工报账!AD59</f>
        <v>1</v>
      </c>
      <c r="BT59" s="48" t="b">
        <f>AE59=[2]员工报账!AE59</f>
        <v>1</v>
      </c>
      <c r="BU59" s="48" t="b">
        <f>AF59=[2]员工报账!AF59</f>
        <v>1</v>
      </c>
      <c r="BV59" s="48" t="b">
        <f>AG59=[2]员工报账!AG59</f>
        <v>1</v>
      </c>
      <c r="BW59" s="48" t="b">
        <f>AH59=[2]员工报账!AH59</f>
        <v>1</v>
      </c>
      <c r="BX59" s="48" t="b">
        <f>AI59=[2]员工报账!AI59</f>
        <v>1</v>
      </c>
      <c r="BY59" s="48" t="b">
        <f>AJ59=[2]员工报账!AJ59</f>
        <v>1</v>
      </c>
      <c r="BZ59" s="48" t="b">
        <f>AK59=[2]员工报账!AK59</f>
        <v>1</v>
      </c>
    </row>
    <row r="60" s="48" customFormat="1" ht="171.6" spans="1:78">
      <c r="A60" s="67"/>
      <c r="B60" s="67"/>
      <c r="C60" s="38"/>
      <c r="D60" s="38"/>
      <c r="E60" s="66"/>
      <c r="F60" s="38"/>
      <c r="G60" s="38"/>
      <c r="H60" s="66"/>
      <c r="I60" s="35" t="s">
        <v>762</v>
      </c>
      <c r="J60" s="42" t="s">
        <v>763</v>
      </c>
      <c r="K60" s="35"/>
      <c r="L60" s="35"/>
      <c r="M60" s="35"/>
      <c r="N60" s="35"/>
      <c r="O60" s="35" t="s">
        <v>36</v>
      </c>
      <c r="P60" s="35"/>
      <c r="Q60" s="35"/>
      <c r="R60" s="35" t="s">
        <v>36</v>
      </c>
      <c r="S60" s="35"/>
      <c r="T60" s="35" t="s">
        <v>516</v>
      </c>
      <c r="U60" s="42"/>
      <c r="V60" s="42" t="s">
        <v>754</v>
      </c>
      <c r="W60" s="42" t="s">
        <v>755</v>
      </c>
      <c r="X60" s="35" t="s">
        <v>628</v>
      </c>
      <c r="Y60" s="35" t="s">
        <v>470</v>
      </c>
      <c r="Z60" s="35"/>
      <c r="AA60" s="35" t="s">
        <v>469</v>
      </c>
      <c r="AB60" s="35" t="s">
        <v>470</v>
      </c>
      <c r="AC60" s="35"/>
      <c r="AD60" s="42" t="s">
        <v>756</v>
      </c>
      <c r="AE60" s="35" t="s">
        <v>469</v>
      </c>
      <c r="AF60" s="35" t="s">
        <v>470</v>
      </c>
      <c r="AG60" s="35"/>
      <c r="AH60" s="35" t="s">
        <v>473</v>
      </c>
      <c r="AI60" s="35" t="s">
        <v>473</v>
      </c>
      <c r="AJ60" s="42" t="s">
        <v>757</v>
      </c>
      <c r="AK60" s="35" t="s">
        <v>758</v>
      </c>
      <c r="AL60" s="42" t="s">
        <v>759</v>
      </c>
      <c r="AM60" s="61"/>
      <c r="AN60" s="42"/>
      <c r="AO60" s="97"/>
      <c r="AP60" s="48" t="b">
        <f>A60=[2]员工报账!A60</f>
        <v>1</v>
      </c>
      <c r="AQ60" s="48" t="b">
        <f>B60=[2]员工报账!B60</f>
        <v>1</v>
      </c>
      <c r="AR60" s="48" t="b">
        <f>C60=[2]员工报账!C60</f>
        <v>1</v>
      </c>
      <c r="AS60" s="48" t="b">
        <f>D60=[2]员工报账!D60</f>
        <v>1</v>
      </c>
      <c r="AT60" s="48" t="b">
        <f>E60=[2]员工报账!E60</f>
        <v>1</v>
      </c>
      <c r="AU60" s="48" t="b">
        <f>F60=[2]员工报账!F60</f>
        <v>1</v>
      </c>
      <c r="AV60" s="48" t="b">
        <f>G60=[2]员工报账!G60</f>
        <v>1</v>
      </c>
      <c r="AW60" s="48" t="b">
        <f>H60=[2]员工报账!H60</f>
        <v>1</v>
      </c>
      <c r="AX60" s="48" t="b">
        <f>I60=[2]员工报账!I60</f>
        <v>1</v>
      </c>
      <c r="AY60" s="48" t="b">
        <f>J60=[2]员工报账!J60</f>
        <v>1</v>
      </c>
      <c r="AZ60" s="48" t="b">
        <f>K60=[2]员工报账!K60</f>
        <v>1</v>
      </c>
      <c r="BA60" s="48" t="b">
        <f>L60=[2]员工报账!L60</f>
        <v>1</v>
      </c>
      <c r="BB60" s="48" t="b">
        <f>M60=[2]员工报账!M60</f>
        <v>1</v>
      </c>
      <c r="BC60" s="48" t="b">
        <f>N60=[2]员工报账!N60</f>
        <v>1</v>
      </c>
      <c r="BD60" s="48" t="b">
        <f>O60=[2]员工报账!O60</f>
        <v>1</v>
      </c>
      <c r="BE60" s="48" t="b">
        <f>P60=[2]员工报账!P60</f>
        <v>1</v>
      </c>
      <c r="BF60" s="48" t="b">
        <f>Q60=[2]员工报账!Q60</f>
        <v>1</v>
      </c>
      <c r="BG60" s="48" t="b">
        <f>R60=[2]员工报账!R60</f>
        <v>1</v>
      </c>
      <c r="BH60" s="48" t="b">
        <f>S60=[2]员工报账!S60</f>
        <v>1</v>
      </c>
      <c r="BI60" s="48" t="b">
        <f>T60=[2]员工报账!T60</f>
        <v>1</v>
      </c>
      <c r="BJ60" s="48" t="b">
        <f>U60=[2]员工报账!U60</f>
        <v>1</v>
      </c>
      <c r="BK60" s="48" t="b">
        <f>V60=[2]员工报账!V60</f>
        <v>1</v>
      </c>
      <c r="BL60" s="48" t="b">
        <f>W60=[2]员工报账!W60</f>
        <v>1</v>
      </c>
      <c r="BM60" s="48" t="b">
        <f>X60=[2]员工报账!X60</f>
        <v>1</v>
      </c>
      <c r="BN60" s="48" t="b">
        <f>Y60=[2]员工报账!Y60</f>
        <v>1</v>
      </c>
      <c r="BO60" s="48" t="b">
        <f>Z60=[2]员工报账!Z60</f>
        <v>1</v>
      </c>
      <c r="BP60" s="48" t="b">
        <f>AA60=[2]员工报账!AA60</f>
        <v>1</v>
      </c>
      <c r="BQ60" s="48" t="b">
        <f>AB60=[2]员工报账!AB60</f>
        <v>1</v>
      </c>
      <c r="BR60" s="48" t="b">
        <f>AC60=[2]员工报账!AC60</f>
        <v>1</v>
      </c>
      <c r="BS60" s="48" t="b">
        <f>AD60=[2]员工报账!AD60</f>
        <v>1</v>
      </c>
      <c r="BT60" s="48" t="b">
        <f>AE60=[2]员工报账!AE60</f>
        <v>1</v>
      </c>
      <c r="BU60" s="48" t="b">
        <f>AF60=[2]员工报账!AF60</f>
        <v>1</v>
      </c>
      <c r="BV60" s="48" t="b">
        <f>AG60=[2]员工报账!AG60</f>
        <v>1</v>
      </c>
      <c r="BW60" s="48" t="b">
        <f>AH60=[2]员工报账!AH60</f>
        <v>1</v>
      </c>
      <c r="BX60" s="48" t="b">
        <f>AI60=[2]员工报账!AI60</f>
        <v>1</v>
      </c>
      <c r="BY60" s="48" t="b">
        <f>AJ60=[2]员工报账!AJ60</f>
        <v>1</v>
      </c>
      <c r="BZ60" s="48" t="b">
        <f>AK60=[2]员工报账!AK60</f>
        <v>1</v>
      </c>
    </row>
    <row r="61" s="48" customFormat="1" ht="92.4" spans="1:78">
      <c r="A61" s="56" t="s">
        <v>453</v>
      </c>
      <c r="B61" s="56" t="s">
        <v>644</v>
      </c>
      <c r="C61" s="35" t="s">
        <v>498</v>
      </c>
      <c r="D61" s="35" t="s">
        <v>748</v>
      </c>
      <c r="E61" s="42" t="s">
        <v>749</v>
      </c>
      <c r="F61" s="76"/>
      <c r="G61" s="35" t="s">
        <v>750</v>
      </c>
      <c r="H61" s="42" t="s">
        <v>751</v>
      </c>
      <c r="I61" s="35" t="s">
        <v>764</v>
      </c>
      <c r="J61" s="42" t="s">
        <v>765</v>
      </c>
      <c r="K61" s="35"/>
      <c r="L61" s="35"/>
      <c r="M61" s="35"/>
      <c r="N61" s="35"/>
      <c r="O61" s="35"/>
      <c r="P61" s="35"/>
      <c r="Q61" s="35"/>
      <c r="R61" s="35" t="s">
        <v>36</v>
      </c>
      <c r="S61" s="35"/>
      <c r="T61" s="35" t="s">
        <v>516</v>
      </c>
      <c r="U61" s="42"/>
      <c r="V61" s="42" t="s">
        <v>766</v>
      </c>
      <c r="W61" s="42" t="s">
        <v>767</v>
      </c>
      <c r="X61" s="35" t="s">
        <v>628</v>
      </c>
      <c r="Y61" s="35" t="s">
        <v>470</v>
      </c>
      <c r="Z61" s="35"/>
      <c r="AA61" s="35" t="s">
        <v>469</v>
      </c>
      <c r="AB61" s="35" t="s">
        <v>470</v>
      </c>
      <c r="AC61" s="35"/>
      <c r="AD61" s="42" t="s">
        <v>756</v>
      </c>
      <c r="AE61" s="35" t="s">
        <v>469</v>
      </c>
      <c r="AF61" s="35" t="s">
        <v>470</v>
      </c>
      <c r="AG61" s="35"/>
      <c r="AH61" s="35" t="s">
        <v>473</v>
      </c>
      <c r="AI61" s="35" t="s">
        <v>473</v>
      </c>
      <c r="AJ61" s="42" t="s">
        <v>757</v>
      </c>
      <c r="AK61" s="35" t="s">
        <v>698</v>
      </c>
      <c r="AL61" s="42" t="s">
        <v>768</v>
      </c>
      <c r="AM61" s="61"/>
      <c r="AN61" s="42"/>
      <c r="AO61" s="97"/>
      <c r="AP61" s="48" t="b">
        <f>A61=[2]员工报账!A61</f>
        <v>1</v>
      </c>
      <c r="AQ61" s="48" t="b">
        <f>B61=[2]员工报账!B61</f>
        <v>1</v>
      </c>
      <c r="AR61" s="48" t="b">
        <f>C61=[2]员工报账!C61</f>
        <v>1</v>
      </c>
      <c r="AS61" s="48" t="b">
        <f>D61=[2]员工报账!D61</f>
        <v>1</v>
      </c>
      <c r="AT61" s="48" t="b">
        <f>E61=[2]员工报账!E61</f>
        <v>1</v>
      </c>
      <c r="AU61" s="48" t="b">
        <f>F61=[2]员工报账!F61</f>
        <v>1</v>
      </c>
      <c r="AV61" s="48" t="b">
        <f>G61=[2]员工报账!G61</f>
        <v>1</v>
      </c>
      <c r="AW61" s="48" t="b">
        <f>H61=[2]员工报账!H61</f>
        <v>1</v>
      </c>
      <c r="AX61" s="48" t="b">
        <f>I61=[2]员工报账!I61</f>
        <v>1</v>
      </c>
      <c r="AY61" s="48" t="b">
        <f>J61=[2]员工报账!J61</f>
        <v>1</v>
      </c>
      <c r="AZ61" s="48" t="b">
        <f>K61=[2]员工报账!K61</f>
        <v>1</v>
      </c>
      <c r="BA61" s="48" t="b">
        <f>L61=[2]员工报账!L61</f>
        <v>1</v>
      </c>
      <c r="BB61" s="48" t="b">
        <f>M61=[2]员工报账!M61</f>
        <v>1</v>
      </c>
      <c r="BC61" s="48" t="b">
        <f>N61=[2]员工报账!N61</f>
        <v>1</v>
      </c>
      <c r="BD61" s="48" t="b">
        <f>O61=[2]员工报账!O61</f>
        <v>1</v>
      </c>
      <c r="BE61" s="48" t="b">
        <f>P61=[2]员工报账!P61</f>
        <v>1</v>
      </c>
      <c r="BF61" s="48" t="b">
        <f>Q61=[2]员工报账!Q61</f>
        <v>1</v>
      </c>
      <c r="BG61" s="48" t="b">
        <f>R61=[2]员工报账!R61</f>
        <v>1</v>
      </c>
      <c r="BH61" s="48" t="b">
        <f>S61=[2]员工报账!S61</f>
        <v>1</v>
      </c>
      <c r="BI61" s="48" t="b">
        <f>T61=[2]员工报账!T61</f>
        <v>1</v>
      </c>
      <c r="BJ61" s="48" t="b">
        <f>U61=[2]员工报账!U61</f>
        <v>1</v>
      </c>
      <c r="BK61" s="48" t="b">
        <f>V61=[2]员工报账!V61</f>
        <v>1</v>
      </c>
      <c r="BL61" s="48" t="b">
        <f>W61=[2]员工报账!W61</f>
        <v>1</v>
      </c>
      <c r="BM61" s="48" t="b">
        <f>X61=[2]员工报账!X61</f>
        <v>1</v>
      </c>
      <c r="BN61" s="48" t="b">
        <f>Y61=[2]员工报账!Y61</f>
        <v>1</v>
      </c>
      <c r="BO61" s="48" t="b">
        <f>Z61=[2]员工报账!Z61</f>
        <v>1</v>
      </c>
      <c r="BP61" s="48" t="b">
        <f>AA61=[2]员工报账!AA61</f>
        <v>1</v>
      </c>
      <c r="BQ61" s="48" t="b">
        <f>AB61=[2]员工报账!AB61</f>
        <v>1</v>
      </c>
      <c r="BR61" s="48" t="b">
        <f>AC61=[2]员工报账!AC61</f>
        <v>1</v>
      </c>
      <c r="BS61" s="48" t="b">
        <f>AD61=[2]员工报账!AD61</f>
        <v>1</v>
      </c>
      <c r="BT61" s="48" t="b">
        <f>AE61=[2]员工报账!AE61</f>
        <v>1</v>
      </c>
      <c r="BU61" s="48" t="b">
        <f>AF61=[2]员工报账!AF61</f>
        <v>1</v>
      </c>
      <c r="BV61" s="48" t="b">
        <f>AG61=[2]员工报账!AG61</f>
        <v>1</v>
      </c>
      <c r="BW61" s="48" t="b">
        <f>AH61=[2]员工报账!AH61</f>
        <v>1</v>
      </c>
      <c r="BX61" s="48" t="b">
        <f>AI61=[2]员工报账!AI61</f>
        <v>1</v>
      </c>
      <c r="BY61" s="48" t="b">
        <f>AJ61=[2]员工报账!AJ61</f>
        <v>1</v>
      </c>
      <c r="BZ61" s="48" t="b">
        <f>AK61=[2]员工报账!AK61</f>
        <v>1</v>
      </c>
    </row>
    <row r="62" s="48" customFormat="1" ht="92.4" spans="1:78">
      <c r="A62" s="62"/>
      <c r="B62" s="62"/>
      <c r="C62" s="57" t="s">
        <v>498</v>
      </c>
      <c r="D62" s="57" t="s">
        <v>769</v>
      </c>
      <c r="E62" s="58" t="s">
        <v>770</v>
      </c>
      <c r="F62" s="35"/>
      <c r="G62" s="57" t="s">
        <v>771</v>
      </c>
      <c r="H62" s="58" t="s">
        <v>772</v>
      </c>
      <c r="I62" s="35" t="s">
        <v>773</v>
      </c>
      <c r="J62" s="42" t="s">
        <v>774</v>
      </c>
      <c r="K62" s="35"/>
      <c r="L62" s="35" t="s">
        <v>36</v>
      </c>
      <c r="M62" s="35"/>
      <c r="N62" s="35"/>
      <c r="O62" s="35"/>
      <c r="P62" s="35"/>
      <c r="Q62" s="35"/>
      <c r="R62" s="35"/>
      <c r="S62" s="35"/>
      <c r="T62" s="35" t="s">
        <v>516</v>
      </c>
      <c r="U62" s="42"/>
      <c r="V62" s="42" t="s">
        <v>775</v>
      </c>
      <c r="W62" s="42" t="s">
        <v>776</v>
      </c>
      <c r="X62" s="35" t="s">
        <v>628</v>
      </c>
      <c r="Y62" s="35" t="s">
        <v>470</v>
      </c>
      <c r="Z62" s="35"/>
      <c r="AA62" s="35" t="s">
        <v>469</v>
      </c>
      <c r="AB62" s="35" t="s">
        <v>470</v>
      </c>
      <c r="AC62" s="35"/>
      <c r="AD62" s="42" t="s">
        <v>777</v>
      </c>
      <c r="AE62" s="35" t="s">
        <v>469</v>
      </c>
      <c r="AF62" s="35" t="s">
        <v>470</v>
      </c>
      <c r="AG62" s="35"/>
      <c r="AH62" s="35" t="s">
        <v>473</v>
      </c>
      <c r="AI62" s="35" t="s">
        <v>473</v>
      </c>
      <c r="AJ62" s="42" t="s">
        <v>778</v>
      </c>
      <c r="AK62" s="35" t="s">
        <v>779</v>
      </c>
      <c r="AL62" s="42" t="s">
        <v>780</v>
      </c>
      <c r="AM62" s="61"/>
      <c r="AN62" s="42"/>
      <c r="AO62" s="97"/>
      <c r="AP62" s="48" t="b">
        <f>A62=[2]员工报账!A62</f>
        <v>1</v>
      </c>
      <c r="AQ62" s="48" t="b">
        <f>B62=[2]员工报账!B62</f>
        <v>1</v>
      </c>
      <c r="AR62" s="48" t="b">
        <f>C62=[2]员工报账!C62</f>
        <v>1</v>
      </c>
      <c r="AS62" s="48" t="b">
        <f>D62=[2]员工报账!D62</f>
        <v>1</v>
      </c>
      <c r="AT62" s="48" t="b">
        <f>E62=[2]员工报账!E62</f>
        <v>1</v>
      </c>
      <c r="AU62" s="48" t="b">
        <f>F62=[2]员工报账!F62</f>
        <v>1</v>
      </c>
      <c r="AV62" s="48" t="b">
        <f>G62=[2]员工报账!G62</f>
        <v>1</v>
      </c>
      <c r="AW62" s="48" t="b">
        <f>H62=[2]员工报账!H62</f>
        <v>1</v>
      </c>
      <c r="AX62" s="48" t="b">
        <f>I62=[2]员工报账!I62</f>
        <v>1</v>
      </c>
      <c r="AY62" s="48" t="b">
        <f>J62=[2]员工报账!J62</f>
        <v>1</v>
      </c>
      <c r="AZ62" s="48" t="b">
        <f>K62=[2]员工报账!K62</f>
        <v>1</v>
      </c>
      <c r="BA62" s="48" t="b">
        <f>L62=[2]员工报账!L62</f>
        <v>1</v>
      </c>
      <c r="BB62" s="48" t="b">
        <f>M62=[2]员工报账!M62</f>
        <v>1</v>
      </c>
      <c r="BC62" s="48" t="b">
        <f>N62=[2]员工报账!N62</f>
        <v>1</v>
      </c>
      <c r="BD62" s="48" t="b">
        <f>O62=[2]员工报账!O62</f>
        <v>1</v>
      </c>
      <c r="BE62" s="48" t="b">
        <f>P62=[2]员工报账!P62</f>
        <v>1</v>
      </c>
      <c r="BF62" s="48" t="b">
        <f>Q62=[2]员工报账!Q62</f>
        <v>1</v>
      </c>
      <c r="BG62" s="48" t="b">
        <f>R62=[2]员工报账!R62</f>
        <v>1</v>
      </c>
      <c r="BH62" s="48" t="b">
        <f>S62=[2]员工报账!S62</f>
        <v>1</v>
      </c>
      <c r="BI62" s="48" t="b">
        <f>T62=[2]员工报账!T62</f>
        <v>1</v>
      </c>
      <c r="BJ62" s="48" t="b">
        <f>U62=[2]员工报账!U62</f>
        <v>1</v>
      </c>
      <c r="BK62" s="48" t="b">
        <f>V62=[2]员工报账!V62</f>
        <v>1</v>
      </c>
      <c r="BL62" s="48" t="b">
        <f>W62=[2]员工报账!W62</f>
        <v>1</v>
      </c>
      <c r="BM62" s="48" t="b">
        <f>X62=[2]员工报账!X62</f>
        <v>1</v>
      </c>
      <c r="BN62" s="48" t="b">
        <f>Y62=[2]员工报账!Y62</f>
        <v>1</v>
      </c>
      <c r="BO62" s="48" t="b">
        <f>Z62=[2]员工报账!Z62</f>
        <v>1</v>
      </c>
      <c r="BP62" s="48" t="b">
        <f>AA62=[2]员工报账!AA62</f>
        <v>1</v>
      </c>
      <c r="BQ62" s="48" t="b">
        <f>AB62=[2]员工报账!AB62</f>
        <v>1</v>
      </c>
      <c r="BR62" s="48" t="b">
        <f>AC62=[2]员工报账!AC62</f>
        <v>1</v>
      </c>
      <c r="BS62" s="48" t="b">
        <f>AD62=[2]员工报账!AD62</f>
        <v>1</v>
      </c>
      <c r="BT62" s="48" t="b">
        <f>AE62=[2]员工报账!AE62</f>
        <v>1</v>
      </c>
      <c r="BU62" s="48" t="b">
        <f>AF62=[2]员工报账!AF62</f>
        <v>1</v>
      </c>
      <c r="BV62" s="48" t="b">
        <f>AG62=[2]员工报账!AG62</f>
        <v>1</v>
      </c>
      <c r="BW62" s="48" t="b">
        <f>AH62=[2]员工报账!AH62</f>
        <v>1</v>
      </c>
      <c r="BX62" s="48" t="b">
        <f>AI62=[2]员工报账!AI62</f>
        <v>1</v>
      </c>
      <c r="BY62" s="48" t="b">
        <f>AJ62=[2]员工报账!AJ62</f>
        <v>1</v>
      </c>
      <c r="BZ62" s="48" t="b">
        <f>AK62=[2]员工报账!AK62</f>
        <v>1</v>
      </c>
    </row>
    <row r="63" s="48" customFormat="1" ht="118.8" spans="1:78">
      <c r="A63" s="62"/>
      <c r="B63" s="62"/>
      <c r="C63" s="38"/>
      <c r="D63" s="38"/>
      <c r="E63" s="66"/>
      <c r="F63" s="35"/>
      <c r="G63" s="38"/>
      <c r="H63" s="66"/>
      <c r="I63" s="35" t="s">
        <v>781</v>
      </c>
      <c r="J63" s="42" t="s">
        <v>782</v>
      </c>
      <c r="K63" s="35"/>
      <c r="L63" s="35"/>
      <c r="M63" s="35"/>
      <c r="N63" s="35"/>
      <c r="O63" s="35"/>
      <c r="P63" s="35"/>
      <c r="Q63" s="35" t="s">
        <v>36</v>
      </c>
      <c r="R63" s="35" t="s">
        <v>36</v>
      </c>
      <c r="S63" s="35"/>
      <c r="T63" s="35" t="s">
        <v>516</v>
      </c>
      <c r="U63" s="42"/>
      <c r="V63" s="42" t="s">
        <v>775</v>
      </c>
      <c r="W63" s="42" t="s">
        <v>783</v>
      </c>
      <c r="X63" s="35" t="s">
        <v>628</v>
      </c>
      <c r="Y63" s="35" t="s">
        <v>470</v>
      </c>
      <c r="Z63" s="35"/>
      <c r="AA63" s="35" t="s">
        <v>469</v>
      </c>
      <c r="AB63" s="35" t="s">
        <v>470</v>
      </c>
      <c r="AC63" s="35"/>
      <c r="AD63" s="42" t="s">
        <v>777</v>
      </c>
      <c r="AE63" s="35" t="s">
        <v>469</v>
      </c>
      <c r="AF63" s="35" t="s">
        <v>470</v>
      </c>
      <c r="AG63" s="35"/>
      <c r="AH63" s="35" t="s">
        <v>473</v>
      </c>
      <c r="AI63" s="35" t="s">
        <v>473</v>
      </c>
      <c r="AJ63" s="42" t="s">
        <v>778</v>
      </c>
      <c r="AK63" s="35" t="s">
        <v>779</v>
      </c>
      <c r="AL63" s="42" t="s">
        <v>780</v>
      </c>
      <c r="AM63" s="61"/>
      <c r="AN63" s="42"/>
      <c r="AO63" s="97"/>
      <c r="AP63" s="48" t="b">
        <f>A63=[2]员工报账!A63</f>
        <v>1</v>
      </c>
      <c r="AQ63" s="48" t="b">
        <f>B63=[2]员工报账!B63</f>
        <v>1</v>
      </c>
      <c r="AR63" s="48" t="b">
        <f>C63=[2]员工报账!C63</f>
        <v>1</v>
      </c>
      <c r="AS63" s="48" t="b">
        <f>D63=[2]员工报账!D63</f>
        <v>1</v>
      </c>
      <c r="AT63" s="48" t="b">
        <f>E63=[2]员工报账!E63</f>
        <v>1</v>
      </c>
      <c r="AU63" s="48" t="b">
        <f>F63=[2]员工报账!F63</f>
        <v>1</v>
      </c>
      <c r="AV63" s="48" t="b">
        <f>G63=[2]员工报账!G63</f>
        <v>1</v>
      </c>
      <c r="AW63" s="48" t="b">
        <f>H63=[2]员工报账!H63</f>
        <v>1</v>
      </c>
      <c r="AX63" s="48" t="b">
        <f>I63=[2]员工报账!I63</f>
        <v>1</v>
      </c>
      <c r="AY63" s="48" t="b">
        <f>J63=[2]员工报账!J63</f>
        <v>1</v>
      </c>
      <c r="AZ63" s="48" t="b">
        <f>K63=[2]员工报账!K63</f>
        <v>1</v>
      </c>
      <c r="BA63" s="48" t="b">
        <f>L63=[2]员工报账!L63</f>
        <v>1</v>
      </c>
      <c r="BB63" s="48" t="b">
        <f>M63=[2]员工报账!M63</f>
        <v>1</v>
      </c>
      <c r="BC63" s="48" t="b">
        <f>N63=[2]员工报账!N63</f>
        <v>1</v>
      </c>
      <c r="BD63" s="48" t="b">
        <f>O63=[2]员工报账!O63</f>
        <v>1</v>
      </c>
      <c r="BE63" s="48" t="b">
        <f>P63=[2]员工报账!P63</f>
        <v>1</v>
      </c>
      <c r="BF63" s="48" t="b">
        <f>Q63=[2]员工报账!Q63</f>
        <v>1</v>
      </c>
      <c r="BG63" s="48" t="b">
        <f>R63=[2]员工报账!R63</f>
        <v>1</v>
      </c>
      <c r="BH63" s="48" t="b">
        <f>S63=[2]员工报账!S63</f>
        <v>1</v>
      </c>
      <c r="BI63" s="48" t="b">
        <f>T63=[2]员工报账!T63</f>
        <v>1</v>
      </c>
      <c r="BJ63" s="48" t="b">
        <f>U63=[2]员工报账!U63</f>
        <v>1</v>
      </c>
      <c r="BK63" s="48" t="b">
        <f>V63=[2]员工报账!V63</f>
        <v>1</v>
      </c>
      <c r="BL63" s="48" t="b">
        <f>W63=[2]员工报账!W63</f>
        <v>1</v>
      </c>
      <c r="BM63" s="48" t="b">
        <f>X63=[2]员工报账!X63</f>
        <v>1</v>
      </c>
      <c r="BN63" s="48" t="b">
        <f>Y63=[2]员工报账!Y63</f>
        <v>1</v>
      </c>
      <c r="BO63" s="48" t="b">
        <f>Z63=[2]员工报账!Z63</f>
        <v>1</v>
      </c>
      <c r="BP63" s="48" t="b">
        <f>AA63=[2]员工报账!AA63</f>
        <v>1</v>
      </c>
      <c r="BQ63" s="48" t="b">
        <f>AB63=[2]员工报账!AB63</f>
        <v>1</v>
      </c>
      <c r="BR63" s="48" t="b">
        <f>AC63=[2]员工报账!AC63</f>
        <v>1</v>
      </c>
      <c r="BS63" s="48" t="b">
        <f>AD63=[2]员工报账!AD63</f>
        <v>1</v>
      </c>
      <c r="BT63" s="48" t="b">
        <f>AE63=[2]员工报账!AE63</f>
        <v>1</v>
      </c>
      <c r="BU63" s="48" t="b">
        <f>AF63=[2]员工报账!AF63</f>
        <v>1</v>
      </c>
      <c r="BV63" s="48" t="b">
        <f>AG63=[2]员工报账!AG63</f>
        <v>1</v>
      </c>
      <c r="BW63" s="48" t="b">
        <f>AH63=[2]员工报账!AH63</f>
        <v>1</v>
      </c>
      <c r="BX63" s="48" t="b">
        <f>AI63=[2]员工报账!AI63</f>
        <v>1</v>
      </c>
      <c r="BY63" s="48" t="b">
        <f>AJ63=[2]员工报账!AJ63</f>
        <v>1</v>
      </c>
      <c r="BZ63" s="48" t="b">
        <f>AK63=[2]员工报账!AK63</f>
        <v>1</v>
      </c>
    </row>
    <row r="64" s="48" customFormat="1" ht="132" spans="1:78">
      <c r="A64" s="62"/>
      <c r="B64" s="62"/>
      <c r="C64" s="57" t="s">
        <v>619</v>
      </c>
      <c r="D64" s="57" t="s">
        <v>784</v>
      </c>
      <c r="E64" s="58" t="s">
        <v>785</v>
      </c>
      <c r="F64" s="35"/>
      <c r="G64" s="57" t="s">
        <v>786</v>
      </c>
      <c r="H64" s="58" t="s">
        <v>787</v>
      </c>
      <c r="I64" s="35" t="s">
        <v>788</v>
      </c>
      <c r="J64" s="42" t="s">
        <v>789</v>
      </c>
      <c r="K64" s="35"/>
      <c r="L64" s="35"/>
      <c r="M64" s="35" t="s">
        <v>36</v>
      </c>
      <c r="N64" s="35"/>
      <c r="O64" s="35"/>
      <c r="P64" s="35"/>
      <c r="Q64" s="35"/>
      <c r="R64" s="35"/>
      <c r="S64" s="35"/>
      <c r="T64" s="43" t="s">
        <v>463</v>
      </c>
      <c r="U64" s="35" t="s">
        <v>790</v>
      </c>
      <c r="V64" s="42" t="s">
        <v>791</v>
      </c>
      <c r="W64" s="42" t="s">
        <v>792</v>
      </c>
      <c r="X64" s="35" t="s">
        <v>628</v>
      </c>
      <c r="Y64" s="35" t="s">
        <v>470</v>
      </c>
      <c r="Z64" s="35"/>
      <c r="AA64" s="35" t="s">
        <v>469</v>
      </c>
      <c r="AB64" s="35" t="s">
        <v>470</v>
      </c>
      <c r="AC64" s="35"/>
      <c r="AD64" s="42" t="s">
        <v>793</v>
      </c>
      <c r="AE64" s="35" t="s">
        <v>469</v>
      </c>
      <c r="AF64" s="35" t="s">
        <v>470</v>
      </c>
      <c r="AG64" s="35"/>
      <c r="AH64" s="35" t="s">
        <v>473</v>
      </c>
      <c r="AI64" s="35" t="s">
        <v>473</v>
      </c>
      <c r="AJ64" s="42" t="s">
        <v>794</v>
      </c>
      <c r="AK64" s="35" t="s">
        <v>795</v>
      </c>
      <c r="AL64" s="42" t="s">
        <v>796</v>
      </c>
      <c r="AM64" s="61"/>
      <c r="AN64" s="42"/>
      <c r="AO64" s="97"/>
      <c r="AP64" s="48" t="b">
        <f>A64=[2]员工报账!A64</f>
        <v>1</v>
      </c>
      <c r="AQ64" s="48" t="b">
        <f>B64=[2]员工报账!B64</f>
        <v>1</v>
      </c>
      <c r="AR64" s="48" t="b">
        <f>C64=[2]员工报账!C64</f>
        <v>1</v>
      </c>
      <c r="AS64" s="48" t="b">
        <f>D64=[2]员工报账!D64</f>
        <v>1</v>
      </c>
      <c r="AT64" s="48" t="b">
        <f>E64=[2]员工报账!E64</f>
        <v>1</v>
      </c>
      <c r="AU64" s="48" t="b">
        <f>F64=[2]员工报账!F64</f>
        <v>1</v>
      </c>
      <c r="AV64" s="48" t="b">
        <f>G64=[2]员工报账!G64</f>
        <v>1</v>
      </c>
      <c r="AW64" s="48" t="b">
        <f>H64=[2]员工报账!H64</f>
        <v>1</v>
      </c>
      <c r="AX64" s="48" t="b">
        <f>I64=[2]员工报账!I64</f>
        <v>1</v>
      </c>
      <c r="AY64" s="48" t="b">
        <f>J64=[2]员工报账!J64</f>
        <v>1</v>
      </c>
      <c r="AZ64" s="48" t="b">
        <f>K64=[2]员工报账!K64</f>
        <v>1</v>
      </c>
      <c r="BA64" s="48" t="b">
        <f>L64=[2]员工报账!L64</f>
        <v>1</v>
      </c>
      <c r="BB64" s="48" t="b">
        <f>M64=[2]员工报账!M64</f>
        <v>1</v>
      </c>
      <c r="BC64" s="48" t="b">
        <f>N64=[2]员工报账!N64</f>
        <v>1</v>
      </c>
      <c r="BD64" s="48" t="b">
        <f>O64=[2]员工报账!O64</f>
        <v>1</v>
      </c>
      <c r="BE64" s="48" t="b">
        <f>P64=[2]员工报账!P64</f>
        <v>1</v>
      </c>
      <c r="BF64" s="48" t="b">
        <f>Q64=[2]员工报账!Q64</f>
        <v>1</v>
      </c>
      <c r="BG64" s="48" t="b">
        <f>R64=[2]员工报账!R64</f>
        <v>1</v>
      </c>
      <c r="BH64" s="48" t="b">
        <f>S64=[2]员工报账!S64</f>
        <v>1</v>
      </c>
      <c r="BI64" s="48" t="b">
        <f>T64=[2]员工报账!T64</f>
        <v>1</v>
      </c>
      <c r="BJ64" s="48" t="b">
        <f>U64=[2]员工报账!U64</f>
        <v>1</v>
      </c>
      <c r="BK64" s="48" t="b">
        <f>V64=[2]员工报账!V64</f>
        <v>1</v>
      </c>
      <c r="BL64" s="48" t="b">
        <f>W64=[2]员工报账!W64</f>
        <v>1</v>
      </c>
      <c r="BM64" s="48" t="b">
        <f>X64=[2]员工报账!X64</f>
        <v>1</v>
      </c>
      <c r="BN64" s="48" t="b">
        <f>Y64=[2]员工报账!Y64</f>
        <v>1</v>
      </c>
      <c r="BO64" s="48" t="b">
        <f>Z64=[2]员工报账!Z64</f>
        <v>1</v>
      </c>
      <c r="BP64" s="48" t="b">
        <f>AA64=[2]员工报账!AA64</f>
        <v>1</v>
      </c>
      <c r="BQ64" s="48" t="b">
        <f>AB64=[2]员工报账!AB64</f>
        <v>1</v>
      </c>
      <c r="BR64" s="48" t="b">
        <f>AC64=[2]员工报账!AC64</f>
        <v>1</v>
      </c>
      <c r="BS64" s="48" t="b">
        <f>AD64=[2]员工报账!AD64</f>
        <v>1</v>
      </c>
      <c r="BT64" s="48" t="b">
        <f>AE64=[2]员工报账!AE64</f>
        <v>1</v>
      </c>
      <c r="BU64" s="48" t="b">
        <f>AF64=[2]员工报账!AF64</f>
        <v>1</v>
      </c>
      <c r="BV64" s="48" t="b">
        <f>AG64=[2]员工报账!AG64</f>
        <v>1</v>
      </c>
      <c r="BW64" s="48" t="b">
        <f>AH64=[2]员工报账!AH64</f>
        <v>1</v>
      </c>
      <c r="BX64" s="48" t="b">
        <f>AI64=[2]员工报账!AI64</f>
        <v>1</v>
      </c>
      <c r="BY64" s="48" t="b">
        <f>AJ64=[2]员工报账!AJ64</f>
        <v>1</v>
      </c>
      <c r="BZ64" s="48" t="b">
        <f>AK64=[2]员工报账!AK64</f>
        <v>1</v>
      </c>
    </row>
    <row r="65" s="48" customFormat="1" ht="132" spans="1:78">
      <c r="A65" s="62"/>
      <c r="B65" s="62"/>
      <c r="C65" s="63"/>
      <c r="D65" s="63"/>
      <c r="E65" s="64"/>
      <c r="F65" s="35"/>
      <c r="G65" s="63"/>
      <c r="H65" s="64"/>
      <c r="I65" s="35" t="s">
        <v>797</v>
      </c>
      <c r="J65" s="42" t="s">
        <v>798</v>
      </c>
      <c r="K65" s="35"/>
      <c r="L65" s="35"/>
      <c r="M65" s="35"/>
      <c r="N65" s="35"/>
      <c r="O65" s="35" t="s">
        <v>36</v>
      </c>
      <c r="P65" s="35" t="s">
        <v>36</v>
      </c>
      <c r="Q65" s="35"/>
      <c r="R65" s="35"/>
      <c r="S65" s="35"/>
      <c r="T65" s="35" t="s">
        <v>516</v>
      </c>
      <c r="U65" s="42"/>
      <c r="V65" s="42" t="s">
        <v>791</v>
      </c>
      <c r="W65" s="42" t="s">
        <v>792</v>
      </c>
      <c r="X65" s="35" t="s">
        <v>628</v>
      </c>
      <c r="Y65" s="35" t="s">
        <v>470</v>
      </c>
      <c r="Z65" s="35"/>
      <c r="AA65" s="35" t="s">
        <v>469</v>
      </c>
      <c r="AB65" s="35" t="s">
        <v>470</v>
      </c>
      <c r="AC65" s="35"/>
      <c r="AD65" s="42" t="s">
        <v>793</v>
      </c>
      <c r="AE65" s="35" t="s">
        <v>469</v>
      </c>
      <c r="AF65" s="35" t="s">
        <v>470</v>
      </c>
      <c r="AG65" s="35"/>
      <c r="AH65" s="35" t="s">
        <v>473</v>
      </c>
      <c r="AI65" s="35" t="s">
        <v>473</v>
      </c>
      <c r="AJ65" s="42" t="s">
        <v>799</v>
      </c>
      <c r="AK65" s="35" t="s">
        <v>795</v>
      </c>
      <c r="AL65" s="42" t="s">
        <v>796</v>
      </c>
      <c r="AM65" s="61"/>
      <c r="AN65" s="42"/>
      <c r="AO65" s="97"/>
      <c r="AP65" s="48" t="b">
        <f>A65=[2]员工报账!A65</f>
        <v>1</v>
      </c>
      <c r="AQ65" s="48" t="b">
        <f>B65=[2]员工报账!B65</f>
        <v>1</v>
      </c>
      <c r="AR65" s="48" t="b">
        <f>C65=[2]员工报账!C65</f>
        <v>1</v>
      </c>
      <c r="AS65" s="48" t="b">
        <f>D65=[2]员工报账!D65</f>
        <v>1</v>
      </c>
      <c r="AT65" s="48" t="b">
        <f>E65=[2]员工报账!E65</f>
        <v>1</v>
      </c>
      <c r="AU65" s="48" t="b">
        <f>F65=[2]员工报账!F65</f>
        <v>1</v>
      </c>
      <c r="AV65" s="48" t="b">
        <f>G65=[2]员工报账!G65</f>
        <v>1</v>
      </c>
      <c r="AW65" s="48" t="b">
        <f>H65=[2]员工报账!H65</f>
        <v>1</v>
      </c>
      <c r="AX65" s="48" t="b">
        <f>I65=[2]员工报账!I65</f>
        <v>1</v>
      </c>
      <c r="AY65" s="48" t="b">
        <f>J65=[2]员工报账!J65</f>
        <v>1</v>
      </c>
      <c r="AZ65" s="48" t="b">
        <f>K65=[2]员工报账!K65</f>
        <v>1</v>
      </c>
      <c r="BA65" s="48" t="b">
        <f>L65=[2]员工报账!L65</f>
        <v>1</v>
      </c>
      <c r="BB65" s="48" t="b">
        <f>M65=[2]员工报账!M65</f>
        <v>1</v>
      </c>
      <c r="BC65" s="48" t="b">
        <f>N65=[2]员工报账!N65</f>
        <v>1</v>
      </c>
      <c r="BD65" s="48" t="b">
        <f>O65=[2]员工报账!O65</f>
        <v>1</v>
      </c>
      <c r="BE65" s="48" t="b">
        <f>P65=[2]员工报账!P65</f>
        <v>1</v>
      </c>
      <c r="BF65" s="48" t="b">
        <f>Q65=[2]员工报账!Q65</f>
        <v>1</v>
      </c>
      <c r="BG65" s="48" t="b">
        <f>R65=[2]员工报账!R65</f>
        <v>1</v>
      </c>
      <c r="BH65" s="48" t="b">
        <f>S65=[2]员工报账!S65</f>
        <v>1</v>
      </c>
      <c r="BI65" s="48" t="b">
        <f>T65=[2]员工报账!T65</f>
        <v>1</v>
      </c>
      <c r="BJ65" s="48" t="b">
        <f>U65=[2]员工报账!U65</f>
        <v>1</v>
      </c>
      <c r="BK65" s="48" t="b">
        <f>V65=[2]员工报账!V65</f>
        <v>1</v>
      </c>
      <c r="BL65" s="48" t="b">
        <f>W65=[2]员工报账!W65</f>
        <v>1</v>
      </c>
      <c r="BM65" s="48" t="b">
        <f>X65=[2]员工报账!X65</f>
        <v>1</v>
      </c>
      <c r="BN65" s="48" t="b">
        <f>Y65=[2]员工报账!Y65</f>
        <v>1</v>
      </c>
      <c r="BO65" s="48" t="b">
        <f>Z65=[2]员工报账!Z65</f>
        <v>1</v>
      </c>
      <c r="BP65" s="48" t="b">
        <f>AA65=[2]员工报账!AA65</f>
        <v>1</v>
      </c>
      <c r="BQ65" s="48" t="b">
        <f>AB65=[2]员工报账!AB65</f>
        <v>1</v>
      </c>
      <c r="BR65" s="48" t="b">
        <f>AC65=[2]员工报账!AC65</f>
        <v>1</v>
      </c>
      <c r="BS65" s="48" t="b">
        <f>AD65=[2]员工报账!AD65</f>
        <v>1</v>
      </c>
      <c r="BT65" s="48" t="b">
        <f>AE65=[2]员工报账!AE65</f>
        <v>1</v>
      </c>
      <c r="BU65" s="48" t="b">
        <f>AF65=[2]员工报账!AF65</f>
        <v>1</v>
      </c>
      <c r="BV65" s="48" t="b">
        <f>AG65=[2]员工报账!AG65</f>
        <v>1</v>
      </c>
      <c r="BW65" s="48" t="b">
        <f>AH65=[2]员工报账!AH65</f>
        <v>1</v>
      </c>
      <c r="BX65" s="48" t="b">
        <f>AI65=[2]员工报账!AI65</f>
        <v>1</v>
      </c>
      <c r="BY65" s="48" t="b">
        <f>AJ65=[2]员工报账!AJ65</f>
        <v>1</v>
      </c>
      <c r="BZ65" s="48" t="b">
        <f>AK65=[2]员工报账!AK65</f>
        <v>1</v>
      </c>
    </row>
    <row r="66" s="48" customFormat="1" ht="132" spans="1:78">
      <c r="A66" s="67"/>
      <c r="B66" s="67"/>
      <c r="C66" s="38"/>
      <c r="D66" s="38"/>
      <c r="E66" s="66"/>
      <c r="F66" s="35"/>
      <c r="G66" s="38"/>
      <c r="H66" s="66"/>
      <c r="I66" s="35" t="s">
        <v>800</v>
      </c>
      <c r="J66" s="42" t="s">
        <v>801</v>
      </c>
      <c r="K66" s="35"/>
      <c r="L66" s="35"/>
      <c r="M66" s="35"/>
      <c r="N66" s="35"/>
      <c r="O66" s="35" t="s">
        <v>36</v>
      </c>
      <c r="P66" s="35" t="s">
        <v>36</v>
      </c>
      <c r="Q66" s="35"/>
      <c r="R66" s="35"/>
      <c r="S66" s="35"/>
      <c r="T66" s="35" t="s">
        <v>516</v>
      </c>
      <c r="U66" s="42"/>
      <c r="V66" s="42" t="s">
        <v>791</v>
      </c>
      <c r="W66" s="42" t="s">
        <v>792</v>
      </c>
      <c r="X66" s="35" t="s">
        <v>628</v>
      </c>
      <c r="Y66" s="35" t="s">
        <v>470</v>
      </c>
      <c r="Z66" s="35"/>
      <c r="AA66" s="35" t="s">
        <v>469</v>
      </c>
      <c r="AB66" s="35" t="s">
        <v>470</v>
      </c>
      <c r="AC66" s="35"/>
      <c r="AD66" s="42" t="s">
        <v>793</v>
      </c>
      <c r="AE66" s="35" t="s">
        <v>469</v>
      </c>
      <c r="AF66" s="35" t="s">
        <v>470</v>
      </c>
      <c r="AG66" s="35"/>
      <c r="AH66" s="35" t="s">
        <v>473</v>
      </c>
      <c r="AI66" s="35" t="s">
        <v>473</v>
      </c>
      <c r="AJ66" s="42" t="s">
        <v>799</v>
      </c>
      <c r="AK66" s="35" t="s">
        <v>795</v>
      </c>
      <c r="AL66" s="42" t="s">
        <v>796</v>
      </c>
      <c r="AM66" s="61"/>
      <c r="AN66" s="42"/>
      <c r="AO66" s="97"/>
      <c r="AP66" s="48" t="b">
        <f>A66=[2]员工报账!A66</f>
        <v>1</v>
      </c>
      <c r="AQ66" s="48" t="b">
        <f>B66=[2]员工报账!B66</f>
        <v>1</v>
      </c>
      <c r="AR66" s="48" t="b">
        <f>C66=[2]员工报账!C66</f>
        <v>1</v>
      </c>
      <c r="AS66" s="48" t="b">
        <f>D66=[2]员工报账!D66</f>
        <v>1</v>
      </c>
      <c r="AT66" s="48" t="b">
        <f>E66=[2]员工报账!E66</f>
        <v>1</v>
      </c>
      <c r="AU66" s="48" t="b">
        <f>F66=[2]员工报账!F66</f>
        <v>1</v>
      </c>
      <c r="AV66" s="48" t="b">
        <f>G66=[2]员工报账!G66</f>
        <v>1</v>
      </c>
      <c r="AW66" s="48" t="b">
        <f>H66=[2]员工报账!H66</f>
        <v>1</v>
      </c>
      <c r="AX66" s="48" t="b">
        <f>I66=[2]员工报账!I66</f>
        <v>1</v>
      </c>
      <c r="AY66" s="48" t="b">
        <f>J66=[2]员工报账!J66</f>
        <v>1</v>
      </c>
      <c r="AZ66" s="48" t="b">
        <f>K66=[2]员工报账!K66</f>
        <v>1</v>
      </c>
      <c r="BA66" s="48" t="b">
        <f>L66=[2]员工报账!L66</f>
        <v>1</v>
      </c>
      <c r="BB66" s="48" t="b">
        <f>M66=[2]员工报账!M66</f>
        <v>1</v>
      </c>
      <c r="BC66" s="48" t="b">
        <f>N66=[2]员工报账!N66</f>
        <v>1</v>
      </c>
      <c r="BD66" s="48" t="b">
        <f>O66=[2]员工报账!O66</f>
        <v>1</v>
      </c>
      <c r="BE66" s="48" t="b">
        <f>P66=[2]员工报账!P66</f>
        <v>1</v>
      </c>
      <c r="BF66" s="48" t="b">
        <f>Q66=[2]员工报账!Q66</f>
        <v>1</v>
      </c>
      <c r="BG66" s="48" t="b">
        <f>R66=[2]员工报账!R66</f>
        <v>1</v>
      </c>
      <c r="BH66" s="48" t="b">
        <f>S66=[2]员工报账!S66</f>
        <v>1</v>
      </c>
      <c r="BI66" s="48" t="b">
        <f>T66=[2]员工报账!T66</f>
        <v>1</v>
      </c>
      <c r="BJ66" s="48" t="b">
        <f>U66=[2]员工报账!U66</f>
        <v>1</v>
      </c>
      <c r="BK66" s="48" t="b">
        <f>V66=[2]员工报账!V66</f>
        <v>1</v>
      </c>
      <c r="BL66" s="48" t="b">
        <f>W66=[2]员工报账!W66</f>
        <v>1</v>
      </c>
      <c r="BM66" s="48" t="b">
        <f>X66=[2]员工报账!X66</f>
        <v>1</v>
      </c>
      <c r="BN66" s="48" t="b">
        <f>Y66=[2]员工报账!Y66</f>
        <v>1</v>
      </c>
      <c r="BO66" s="48" t="b">
        <f>Z66=[2]员工报账!Z66</f>
        <v>1</v>
      </c>
      <c r="BP66" s="48" t="b">
        <f>AA66=[2]员工报账!AA66</f>
        <v>1</v>
      </c>
      <c r="BQ66" s="48" t="b">
        <f>AB66=[2]员工报账!AB66</f>
        <v>1</v>
      </c>
      <c r="BR66" s="48" t="b">
        <f>AC66=[2]员工报账!AC66</f>
        <v>1</v>
      </c>
      <c r="BS66" s="48" t="b">
        <f>AD66=[2]员工报账!AD66</f>
        <v>1</v>
      </c>
      <c r="BT66" s="48" t="b">
        <f>AE66=[2]员工报账!AE66</f>
        <v>1</v>
      </c>
      <c r="BU66" s="48" t="b">
        <f>AF66=[2]员工报账!AF66</f>
        <v>1</v>
      </c>
      <c r="BV66" s="48" t="b">
        <f>AG66=[2]员工报账!AG66</f>
        <v>1</v>
      </c>
      <c r="BW66" s="48" t="b">
        <f>AH66=[2]员工报账!AH66</f>
        <v>1</v>
      </c>
      <c r="BX66" s="48" t="b">
        <f>AI66=[2]员工报账!AI66</f>
        <v>1</v>
      </c>
      <c r="BY66" s="48" t="b">
        <f>AJ66=[2]员工报账!AJ66</f>
        <v>1</v>
      </c>
      <c r="BZ66" s="48" t="b">
        <f>AK66=[2]员工报账!AK66</f>
        <v>1</v>
      </c>
    </row>
    <row r="67" s="48" customFormat="1" ht="132" spans="1:78">
      <c r="A67" s="62" t="s">
        <v>453</v>
      </c>
      <c r="B67" s="62" t="s">
        <v>644</v>
      </c>
      <c r="C67" s="63" t="s">
        <v>619</v>
      </c>
      <c r="D67" s="63" t="s">
        <v>784</v>
      </c>
      <c r="E67" s="64" t="s">
        <v>785</v>
      </c>
      <c r="F67" s="35"/>
      <c r="G67" s="63" t="s">
        <v>786</v>
      </c>
      <c r="H67" s="64" t="s">
        <v>787</v>
      </c>
      <c r="I67" s="38" t="s">
        <v>802</v>
      </c>
      <c r="J67" s="66" t="s">
        <v>803</v>
      </c>
      <c r="K67" s="35"/>
      <c r="L67" s="35"/>
      <c r="M67" s="35"/>
      <c r="N67" s="35"/>
      <c r="O67" s="35"/>
      <c r="P67" s="35"/>
      <c r="Q67" s="35"/>
      <c r="R67" s="35" t="s">
        <v>36</v>
      </c>
      <c r="S67" s="35"/>
      <c r="T67" s="39" t="s">
        <v>804</v>
      </c>
      <c r="U67" s="32" t="s">
        <v>805</v>
      </c>
      <c r="V67" s="42" t="s">
        <v>791</v>
      </c>
      <c r="W67" s="42" t="s">
        <v>792</v>
      </c>
      <c r="X67" s="35" t="s">
        <v>628</v>
      </c>
      <c r="Y67" s="35" t="s">
        <v>470</v>
      </c>
      <c r="Z67" s="35"/>
      <c r="AA67" s="35" t="s">
        <v>469</v>
      </c>
      <c r="AB67" s="35" t="s">
        <v>470</v>
      </c>
      <c r="AC67" s="35"/>
      <c r="AD67" s="42" t="s">
        <v>793</v>
      </c>
      <c r="AE67" s="35" t="s">
        <v>469</v>
      </c>
      <c r="AF67" s="35" t="s">
        <v>470</v>
      </c>
      <c r="AG67" s="35"/>
      <c r="AH67" s="35" t="s">
        <v>473</v>
      </c>
      <c r="AI67" s="35" t="s">
        <v>473</v>
      </c>
      <c r="AJ67" s="42" t="s">
        <v>794</v>
      </c>
      <c r="AK67" s="35" t="s">
        <v>795</v>
      </c>
      <c r="AL67" s="42" t="s">
        <v>796</v>
      </c>
      <c r="AM67" s="61"/>
      <c r="AN67" s="42" t="s">
        <v>1000</v>
      </c>
      <c r="AO67" s="97"/>
      <c r="AP67" s="48" t="b">
        <f>A67=[2]员工报账!A67</f>
        <v>1</v>
      </c>
      <c r="AQ67" s="48" t="b">
        <f>B67=[2]员工报账!B67</f>
        <v>1</v>
      </c>
      <c r="AR67" s="48" t="b">
        <f>C67=[2]员工报账!C67</f>
        <v>1</v>
      </c>
      <c r="AS67" s="48" t="b">
        <f>D67=[2]员工报账!D67</f>
        <v>1</v>
      </c>
      <c r="AT67" s="48" t="b">
        <f>E67=[2]员工报账!E67</f>
        <v>1</v>
      </c>
      <c r="AU67" s="48" t="b">
        <f>F67=[2]员工报账!F67</f>
        <v>1</v>
      </c>
      <c r="AV67" s="48" t="b">
        <f>G67=[2]员工报账!G67</f>
        <v>1</v>
      </c>
      <c r="AW67" s="48" t="b">
        <f>H67=[2]员工报账!H67</f>
        <v>1</v>
      </c>
      <c r="AX67" s="48" t="b">
        <f>I67=[2]员工报账!I67</f>
        <v>1</v>
      </c>
      <c r="AY67" s="48" t="b">
        <f>J67=[2]员工报账!J67</f>
        <v>1</v>
      </c>
      <c r="AZ67" s="48" t="b">
        <f>K67=[2]员工报账!K67</f>
        <v>1</v>
      </c>
      <c r="BA67" s="48" t="b">
        <f>L67=[2]员工报账!L67</f>
        <v>1</v>
      </c>
      <c r="BB67" s="48" t="b">
        <f>M67=[2]员工报账!M67</f>
        <v>1</v>
      </c>
      <c r="BC67" s="48" t="b">
        <f>N67=[2]员工报账!N67</f>
        <v>1</v>
      </c>
      <c r="BD67" s="48" t="b">
        <f>O67=[2]员工报账!O67</f>
        <v>1</v>
      </c>
      <c r="BE67" s="48" t="b">
        <f>P67=[2]员工报账!P67</f>
        <v>1</v>
      </c>
      <c r="BF67" s="48" t="b">
        <f>Q67=[2]员工报账!Q67</f>
        <v>1</v>
      </c>
      <c r="BG67" s="48" t="b">
        <f>R67=[2]员工报账!R67</f>
        <v>1</v>
      </c>
      <c r="BH67" s="48" t="b">
        <f>S67=[2]员工报账!S67</f>
        <v>1</v>
      </c>
      <c r="BI67" s="48" t="b">
        <f>T67=[2]员工报账!T67</f>
        <v>1</v>
      </c>
      <c r="BJ67" s="48" t="b">
        <f>U67=[2]员工报账!U67</f>
        <v>1</v>
      </c>
      <c r="BK67" s="48" t="b">
        <f>V67=[2]员工报账!V67</f>
        <v>1</v>
      </c>
      <c r="BL67" s="48" t="b">
        <f>W67=[2]员工报账!W67</f>
        <v>1</v>
      </c>
      <c r="BM67" s="48" t="b">
        <f>X67=[2]员工报账!X67</f>
        <v>1</v>
      </c>
      <c r="BN67" s="48" t="b">
        <f>Y67=[2]员工报账!Y67</f>
        <v>1</v>
      </c>
      <c r="BO67" s="48" t="b">
        <f>Z67=[2]员工报账!Z67</f>
        <v>1</v>
      </c>
      <c r="BP67" s="48" t="b">
        <f>AA67=[2]员工报账!AA67</f>
        <v>1</v>
      </c>
      <c r="BQ67" s="48" t="b">
        <f>AB67=[2]员工报账!AB67</f>
        <v>1</v>
      </c>
      <c r="BR67" s="48" t="b">
        <f>AC67=[2]员工报账!AC67</f>
        <v>1</v>
      </c>
      <c r="BS67" s="48" t="b">
        <f>AD67=[2]员工报账!AD67</f>
        <v>1</v>
      </c>
      <c r="BT67" s="48" t="b">
        <f>AE67=[2]员工报账!AE67</f>
        <v>1</v>
      </c>
      <c r="BU67" s="48" t="b">
        <f>AF67=[2]员工报账!AF67</f>
        <v>1</v>
      </c>
      <c r="BV67" s="48" t="b">
        <f>AG67=[2]员工报账!AG67</f>
        <v>1</v>
      </c>
      <c r="BW67" s="48" t="b">
        <f>AH67=[2]员工报账!AH67</f>
        <v>1</v>
      </c>
      <c r="BX67" s="48" t="b">
        <f>AI67=[2]员工报账!AI67</f>
        <v>1</v>
      </c>
      <c r="BY67" s="48" t="b">
        <f>AJ67=[2]员工报账!AJ67</f>
        <v>1</v>
      </c>
      <c r="BZ67" s="48" t="b">
        <f>AK67=[2]员工报账!AK67</f>
        <v>1</v>
      </c>
    </row>
    <row r="68" s="48" customFormat="1" ht="171.6" spans="1:78">
      <c r="A68" s="62"/>
      <c r="B68" s="62"/>
      <c r="C68" s="38"/>
      <c r="D68" s="38"/>
      <c r="E68" s="66"/>
      <c r="F68" s="35"/>
      <c r="G68" s="38"/>
      <c r="H68" s="66"/>
      <c r="I68" s="35" t="s">
        <v>807</v>
      </c>
      <c r="J68" s="42" t="s">
        <v>808</v>
      </c>
      <c r="K68" s="35"/>
      <c r="L68" s="35"/>
      <c r="M68" s="35" t="s">
        <v>36</v>
      </c>
      <c r="N68" s="35"/>
      <c r="O68" s="35"/>
      <c r="P68" s="35" t="s">
        <v>36</v>
      </c>
      <c r="Q68" s="35" t="s">
        <v>36</v>
      </c>
      <c r="R68" s="35"/>
      <c r="S68" s="35"/>
      <c r="T68" s="35" t="s">
        <v>516</v>
      </c>
      <c r="U68" s="42"/>
      <c r="V68" s="42" t="s">
        <v>791</v>
      </c>
      <c r="W68" s="42" t="s">
        <v>809</v>
      </c>
      <c r="X68" s="35" t="s">
        <v>628</v>
      </c>
      <c r="Y68" s="35" t="s">
        <v>470</v>
      </c>
      <c r="Z68" s="35"/>
      <c r="AA68" s="35" t="s">
        <v>469</v>
      </c>
      <c r="AB68" s="35" t="s">
        <v>470</v>
      </c>
      <c r="AC68" s="35"/>
      <c r="AD68" s="42" t="s">
        <v>793</v>
      </c>
      <c r="AE68" s="35" t="s">
        <v>469</v>
      </c>
      <c r="AF68" s="35" t="s">
        <v>470</v>
      </c>
      <c r="AG68" s="35"/>
      <c r="AH68" s="35" t="s">
        <v>473</v>
      </c>
      <c r="AI68" s="35" t="s">
        <v>473</v>
      </c>
      <c r="AJ68" s="42" t="s">
        <v>794</v>
      </c>
      <c r="AK68" s="35" t="s">
        <v>795</v>
      </c>
      <c r="AL68" s="42" t="s">
        <v>796</v>
      </c>
      <c r="AM68" s="61"/>
      <c r="AN68" s="42"/>
      <c r="AO68" s="97"/>
      <c r="AP68" s="48" t="b">
        <f>A68=[2]员工报账!A68</f>
        <v>1</v>
      </c>
      <c r="AQ68" s="48" t="b">
        <f>B68=[2]员工报账!B68</f>
        <v>1</v>
      </c>
      <c r="AR68" s="48" t="b">
        <f>C68=[2]员工报账!C68</f>
        <v>1</v>
      </c>
      <c r="AS68" s="48" t="b">
        <f>D68=[2]员工报账!D68</f>
        <v>1</v>
      </c>
      <c r="AT68" s="48" t="b">
        <f>E68=[2]员工报账!E68</f>
        <v>1</v>
      </c>
      <c r="AU68" s="48" t="b">
        <f>F68=[2]员工报账!F68</f>
        <v>1</v>
      </c>
      <c r="AV68" s="48" t="b">
        <f>G68=[2]员工报账!G68</f>
        <v>1</v>
      </c>
      <c r="AW68" s="48" t="b">
        <f>H68=[2]员工报账!H68</f>
        <v>1</v>
      </c>
      <c r="AX68" s="48" t="b">
        <f>I68=[2]员工报账!I68</f>
        <v>1</v>
      </c>
      <c r="AY68" s="48" t="b">
        <f>J68=[2]员工报账!J68</f>
        <v>1</v>
      </c>
      <c r="AZ68" s="48" t="b">
        <f>K68=[2]员工报账!K68</f>
        <v>1</v>
      </c>
      <c r="BA68" s="48" t="b">
        <f>L68=[2]员工报账!L68</f>
        <v>1</v>
      </c>
      <c r="BB68" s="48" t="b">
        <f>M68=[2]员工报账!M68</f>
        <v>1</v>
      </c>
      <c r="BC68" s="48" t="b">
        <f>N68=[2]员工报账!N68</f>
        <v>1</v>
      </c>
      <c r="BD68" s="48" t="b">
        <f>O68=[2]员工报账!O68</f>
        <v>1</v>
      </c>
      <c r="BE68" s="48" t="b">
        <f>P68=[2]员工报账!P68</f>
        <v>1</v>
      </c>
      <c r="BF68" s="48" t="b">
        <f>Q68=[2]员工报账!Q68</f>
        <v>1</v>
      </c>
      <c r="BG68" s="48" t="b">
        <f>R68=[2]员工报账!R68</f>
        <v>1</v>
      </c>
      <c r="BH68" s="48" t="b">
        <f>S68=[2]员工报账!S68</f>
        <v>1</v>
      </c>
      <c r="BI68" s="48" t="b">
        <f>T68=[2]员工报账!T68</f>
        <v>1</v>
      </c>
      <c r="BJ68" s="48" t="b">
        <f>U68=[2]员工报账!U68</f>
        <v>1</v>
      </c>
      <c r="BK68" s="48" t="b">
        <f>V68=[2]员工报账!V68</f>
        <v>1</v>
      </c>
      <c r="BL68" s="48" t="b">
        <f>W68=[2]员工报账!W68</f>
        <v>1</v>
      </c>
      <c r="BM68" s="48" t="b">
        <f>X68=[2]员工报账!X68</f>
        <v>1</v>
      </c>
      <c r="BN68" s="48" t="b">
        <f>Y68=[2]员工报账!Y68</f>
        <v>1</v>
      </c>
      <c r="BO68" s="48" t="b">
        <f>Z68=[2]员工报账!Z68</f>
        <v>1</v>
      </c>
      <c r="BP68" s="48" t="b">
        <f>AA68=[2]员工报账!AA68</f>
        <v>1</v>
      </c>
      <c r="BQ68" s="48" t="b">
        <f>AB68=[2]员工报账!AB68</f>
        <v>1</v>
      </c>
      <c r="BR68" s="48" t="b">
        <f>AC68=[2]员工报账!AC68</f>
        <v>1</v>
      </c>
      <c r="BS68" s="48" t="b">
        <f>AD68=[2]员工报账!AD68</f>
        <v>1</v>
      </c>
      <c r="BT68" s="48" t="b">
        <f>AE68=[2]员工报账!AE68</f>
        <v>1</v>
      </c>
      <c r="BU68" s="48" t="b">
        <f>AF68=[2]员工报账!AF68</f>
        <v>1</v>
      </c>
      <c r="BV68" s="48" t="b">
        <f>AG68=[2]员工报账!AG68</f>
        <v>1</v>
      </c>
      <c r="BW68" s="48" t="b">
        <f>AH68=[2]员工报账!AH68</f>
        <v>1</v>
      </c>
      <c r="BX68" s="48" t="b">
        <f>AI68=[2]员工报账!AI68</f>
        <v>1</v>
      </c>
      <c r="BY68" s="48" t="b">
        <f>AJ68=[2]员工报账!AJ68</f>
        <v>1</v>
      </c>
      <c r="BZ68" s="48" t="b">
        <f>AK68=[2]员工报账!AK68</f>
        <v>1</v>
      </c>
    </row>
    <row r="69" s="48" customFormat="1" ht="211.2" spans="1:78">
      <c r="A69" s="56" t="s">
        <v>453</v>
      </c>
      <c r="B69" s="56" t="s">
        <v>644</v>
      </c>
      <c r="C69" s="57" t="s">
        <v>619</v>
      </c>
      <c r="D69" s="57" t="s">
        <v>810</v>
      </c>
      <c r="E69" s="58" t="s">
        <v>811</v>
      </c>
      <c r="F69" s="57"/>
      <c r="G69" s="57" t="s">
        <v>812</v>
      </c>
      <c r="H69" s="58" t="s">
        <v>813</v>
      </c>
      <c r="I69" s="35" t="s">
        <v>814</v>
      </c>
      <c r="J69" s="42" t="s">
        <v>815</v>
      </c>
      <c r="K69" s="35"/>
      <c r="L69" s="35" t="s">
        <v>36</v>
      </c>
      <c r="M69" s="35"/>
      <c r="N69" s="35"/>
      <c r="O69" s="35" t="s">
        <v>36</v>
      </c>
      <c r="P69" s="35"/>
      <c r="Q69" s="35"/>
      <c r="R69" s="35" t="s">
        <v>36</v>
      </c>
      <c r="S69" s="35"/>
      <c r="T69" s="35" t="s">
        <v>516</v>
      </c>
      <c r="U69" s="42"/>
      <c r="V69" s="42" t="s">
        <v>816</v>
      </c>
      <c r="W69" s="42" t="s">
        <v>817</v>
      </c>
      <c r="X69" s="35" t="s">
        <v>628</v>
      </c>
      <c r="Y69" s="35" t="s">
        <v>470</v>
      </c>
      <c r="Z69" s="35"/>
      <c r="AA69" s="35" t="s">
        <v>469</v>
      </c>
      <c r="AB69" s="35" t="s">
        <v>470</v>
      </c>
      <c r="AC69" s="35"/>
      <c r="AD69" s="42" t="s">
        <v>818</v>
      </c>
      <c r="AE69" s="35" t="s">
        <v>469</v>
      </c>
      <c r="AF69" s="35" t="s">
        <v>470</v>
      </c>
      <c r="AG69" s="35"/>
      <c r="AH69" s="35" t="s">
        <v>473</v>
      </c>
      <c r="AI69" s="35" t="s">
        <v>473</v>
      </c>
      <c r="AJ69" s="42" t="s">
        <v>819</v>
      </c>
      <c r="AK69" s="35" t="s">
        <v>475</v>
      </c>
      <c r="AL69" s="42" t="s">
        <v>476</v>
      </c>
      <c r="AM69" s="61"/>
      <c r="AN69" s="42"/>
      <c r="AO69" s="97"/>
      <c r="AP69" s="48" t="b">
        <f>A69=[2]员工报账!A69</f>
        <v>1</v>
      </c>
      <c r="AQ69" s="48" t="b">
        <f>B69=[2]员工报账!B69</f>
        <v>1</v>
      </c>
      <c r="AR69" s="48" t="b">
        <f>C69=[2]员工报账!C69</f>
        <v>1</v>
      </c>
      <c r="AS69" s="48" t="b">
        <f>D69=[2]员工报账!D69</f>
        <v>1</v>
      </c>
      <c r="AT69" s="48" t="b">
        <f>E69=[2]员工报账!E69</f>
        <v>1</v>
      </c>
      <c r="AU69" s="48" t="b">
        <f>F69=[2]员工报账!F69</f>
        <v>1</v>
      </c>
      <c r="AV69" s="48" t="b">
        <f>G69=[2]员工报账!G69</f>
        <v>1</v>
      </c>
      <c r="AW69" s="48" t="b">
        <f>H69=[2]员工报账!H69</f>
        <v>1</v>
      </c>
      <c r="AX69" s="48" t="b">
        <f>I69=[2]员工报账!I69</f>
        <v>1</v>
      </c>
      <c r="AY69" s="48" t="b">
        <f>J69=[2]员工报账!J69</f>
        <v>1</v>
      </c>
      <c r="AZ69" s="48" t="b">
        <f>K69=[2]员工报账!K69</f>
        <v>1</v>
      </c>
      <c r="BA69" s="48" t="b">
        <f>L69=[2]员工报账!L69</f>
        <v>1</v>
      </c>
      <c r="BB69" s="48" t="b">
        <f>M69=[2]员工报账!M69</f>
        <v>1</v>
      </c>
      <c r="BC69" s="48" t="b">
        <f>N69=[2]员工报账!N69</f>
        <v>1</v>
      </c>
      <c r="BD69" s="48" t="b">
        <f>O69=[2]员工报账!O69</f>
        <v>1</v>
      </c>
      <c r="BE69" s="48" t="b">
        <f>P69=[2]员工报账!P69</f>
        <v>1</v>
      </c>
      <c r="BF69" s="48" t="b">
        <f>Q69=[2]员工报账!Q69</f>
        <v>1</v>
      </c>
      <c r="BG69" s="48" t="b">
        <f>R69=[2]员工报账!R69</f>
        <v>1</v>
      </c>
      <c r="BH69" s="48" t="b">
        <f>S69=[2]员工报账!S69</f>
        <v>1</v>
      </c>
      <c r="BI69" s="48" t="b">
        <f>T69=[2]员工报账!T69</f>
        <v>1</v>
      </c>
      <c r="BJ69" s="48" t="b">
        <f>U69=[2]员工报账!U69</f>
        <v>1</v>
      </c>
      <c r="BK69" s="48" t="b">
        <f>V69=[2]员工报账!V69</f>
        <v>1</v>
      </c>
      <c r="BL69" s="48" t="b">
        <f>W69=[2]员工报账!W69</f>
        <v>1</v>
      </c>
      <c r="BM69" s="48" t="b">
        <f>X69=[2]员工报账!X69</f>
        <v>1</v>
      </c>
      <c r="BN69" s="48" t="b">
        <f>Y69=[2]员工报账!Y69</f>
        <v>1</v>
      </c>
      <c r="BO69" s="48" t="b">
        <f>Z69=[2]员工报账!Z69</f>
        <v>1</v>
      </c>
      <c r="BP69" s="48" t="b">
        <f>AA69=[2]员工报账!AA69</f>
        <v>1</v>
      </c>
      <c r="BQ69" s="48" t="b">
        <f>AB69=[2]员工报账!AB69</f>
        <v>1</v>
      </c>
      <c r="BR69" s="48" t="b">
        <f>AC69=[2]员工报账!AC69</f>
        <v>1</v>
      </c>
      <c r="BS69" s="48" t="b">
        <f>AD69=[2]员工报账!AD69</f>
        <v>1</v>
      </c>
      <c r="BT69" s="48" t="b">
        <f>AE69=[2]员工报账!AE69</f>
        <v>1</v>
      </c>
      <c r="BU69" s="48" t="b">
        <f>AF69=[2]员工报账!AF69</f>
        <v>1</v>
      </c>
      <c r="BV69" s="48" t="b">
        <f>AG69=[2]员工报账!AG69</f>
        <v>1</v>
      </c>
      <c r="BW69" s="48" t="b">
        <f>AH69=[2]员工报账!AH69</f>
        <v>1</v>
      </c>
      <c r="BX69" s="48" t="b">
        <f>AI69=[2]员工报账!AI69</f>
        <v>1</v>
      </c>
      <c r="BY69" s="48" t="b">
        <f>AJ69=[2]员工报账!AJ69</f>
        <v>1</v>
      </c>
      <c r="BZ69" s="48" t="b">
        <f>AK69=[2]员工报账!AK69</f>
        <v>1</v>
      </c>
    </row>
    <row r="70" s="48" customFormat="1" ht="211.2" spans="1:78">
      <c r="A70" s="62"/>
      <c r="B70" s="62"/>
      <c r="C70" s="63"/>
      <c r="D70" s="63"/>
      <c r="E70" s="64"/>
      <c r="F70" s="63"/>
      <c r="G70" s="63"/>
      <c r="H70" s="64"/>
      <c r="I70" s="35" t="s">
        <v>820</v>
      </c>
      <c r="J70" s="42" t="s">
        <v>821</v>
      </c>
      <c r="K70" s="35"/>
      <c r="L70" s="35"/>
      <c r="M70" s="35" t="s">
        <v>36</v>
      </c>
      <c r="N70" s="35"/>
      <c r="O70" s="35" t="s">
        <v>36</v>
      </c>
      <c r="P70" s="35"/>
      <c r="Q70" s="35"/>
      <c r="R70" s="35"/>
      <c r="S70" s="35"/>
      <c r="T70" s="35" t="s">
        <v>516</v>
      </c>
      <c r="U70" s="42"/>
      <c r="V70" s="42" t="s">
        <v>816</v>
      </c>
      <c r="W70" s="42" t="s">
        <v>817</v>
      </c>
      <c r="X70" s="35" t="s">
        <v>628</v>
      </c>
      <c r="Y70" s="35" t="s">
        <v>470</v>
      </c>
      <c r="Z70" s="35"/>
      <c r="AA70" s="35" t="s">
        <v>469</v>
      </c>
      <c r="AB70" s="35" t="s">
        <v>470</v>
      </c>
      <c r="AC70" s="35"/>
      <c r="AD70" s="42" t="s">
        <v>818</v>
      </c>
      <c r="AE70" s="35" t="s">
        <v>469</v>
      </c>
      <c r="AF70" s="35" t="s">
        <v>470</v>
      </c>
      <c r="AG70" s="35"/>
      <c r="AH70" s="35" t="s">
        <v>473</v>
      </c>
      <c r="AI70" s="35" t="s">
        <v>473</v>
      </c>
      <c r="AJ70" s="42" t="s">
        <v>819</v>
      </c>
      <c r="AK70" s="35" t="s">
        <v>475</v>
      </c>
      <c r="AL70" s="42" t="s">
        <v>476</v>
      </c>
      <c r="AM70" s="61"/>
      <c r="AN70" s="42"/>
      <c r="AO70" s="97"/>
      <c r="AP70" s="48" t="b">
        <f>A70=[2]员工报账!A70</f>
        <v>1</v>
      </c>
      <c r="AQ70" s="48" t="b">
        <f>B70=[2]员工报账!B70</f>
        <v>1</v>
      </c>
      <c r="AR70" s="48" t="b">
        <f>C70=[2]员工报账!C70</f>
        <v>1</v>
      </c>
      <c r="AS70" s="48" t="b">
        <f>D70=[2]员工报账!D70</f>
        <v>1</v>
      </c>
      <c r="AT70" s="48" t="b">
        <f>E70=[2]员工报账!E70</f>
        <v>1</v>
      </c>
      <c r="AU70" s="48" t="b">
        <f>F70=[2]员工报账!F70</f>
        <v>1</v>
      </c>
      <c r="AV70" s="48" t="b">
        <f>G70=[2]员工报账!G70</f>
        <v>1</v>
      </c>
      <c r="AW70" s="48" t="b">
        <f>H70=[2]员工报账!H70</f>
        <v>1</v>
      </c>
      <c r="AX70" s="48" t="b">
        <f>I70=[2]员工报账!I70</f>
        <v>1</v>
      </c>
      <c r="AY70" s="48" t="b">
        <f>J70=[2]员工报账!J70</f>
        <v>1</v>
      </c>
      <c r="AZ70" s="48" t="b">
        <f>K70=[2]员工报账!K70</f>
        <v>1</v>
      </c>
      <c r="BA70" s="48" t="b">
        <f>L70=[2]员工报账!L70</f>
        <v>1</v>
      </c>
      <c r="BB70" s="48" t="b">
        <f>M70=[2]员工报账!M70</f>
        <v>1</v>
      </c>
      <c r="BC70" s="48" t="b">
        <f>N70=[2]员工报账!N70</f>
        <v>1</v>
      </c>
      <c r="BD70" s="48" t="b">
        <f>O70=[2]员工报账!O70</f>
        <v>1</v>
      </c>
      <c r="BE70" s="48" t="b">
        <f>P70=[2]员工报账!P70</f>
        <v>1</v>
      </c>
      <c r="BF70" s="48" t="b">
        <f>Q70=[2]员工报账!Q70</f>
        <v>1</v>
      </c>
      <c r="BG70" s="48" t="b">
        <f>R70=[2]员工报账!R70</f>
        <v>1</v>
      </c>
      <c r="BH70" s="48" t="b">
        <f>S70=[2]员工报账!S70</f>
        <v>1</v>
      </c>
      <c r="BI70" s="48" t="b">
        <f>T70=[2]员工报账!T70</f>
        <v>1</v>
      </c>
      <c r="BJ70" s="48" t="b">
        <f>U70=[2]员工报账!U70</f>
        <v>1</v>
      </c>
      <c r="BK70" s="48" t="b">
        <f>V70=[2]员工报账!V70</f>
        <v>1</v>
      </c>
      <c r="BL70" s="48" t="b">
        <f>W70=[2]员工报账!W70</f>
        <v>1</v>
      </c>
      <c r="BM70" s="48" t="b">
        <f>X70=[2]员工报账!X70</f>
        <v>1</v>
      </c>
      <c r="BN70" s="48" t="b">
        <f>Y70=[2]员工报账!Y70</f>
        <v>1</v>
      </c>
      <c r="BO70" s="48" t="b">
        <f>Z70=[2]员工报账!Z70</f>
        <v>1</v>
      </c>
      <c r="BP70" s="48" t="b">
        <f>AA70=[2]员工报账!AA70</f>
        <v>1</v>
      </c>
      <c r="BQ70" s="48" t="b">
        <f>AB70=[2]员工报账!AB70</f>
        <v>1</v>
      </c>
      <c r="BR70" s="48" t="b">
        <f>AC70=[2]员工报账!AC70</f>
        <v>1</v>
      </c>
      <c r="BS70" s="48" t="b">
        <f>AD70=[2]员工报账!AD70</f>
        <v>1</v>
      </c>
      <c r="BT70" s="48" t="b">
        <f>AE70=[2]员工报账!AE70</f>
        <v>1</v>
      </c>
      <c r="BU70" s="48" t="b">
        <f>AF70=[2]员工报账!AF70</f>
        <v>1</v>
      </c>
      <c r="BV70" s="48" t="b">
        <f>AG70=[2]员工报账!AG70</f>
        <v>1</v>
      </c>
      <c r="BW70" s="48" t="b">
        <f>AH70=[2]员工报账!AH70</f>
        <v>1</v>
      </c>
      <c r="BX70" s="48" t="b">
        <f>AI70=[2]员工报账!AI70</f>
        <v>1</v>
      </c>
      <c r="BY70" s="48" t="b">
        <f>AJ70=[2]员工报账!AJ70</f>
        <v>1</v>
      </c>
      <c r="BZ70" s="48" t="b">
        <f>AK70=[2]员工报账!AK70</f>
        <v>1</v>
      </c>
    </row>
    <row r="71" s="48" customFormat="1" ht="211.2" spans="1:78">
      <c r="A71" s="62"/>
      <c r="B71" s="62"/>
      <c r="C71" s="38"/>
      <c r="D71" s="38"/>
      <c r="E71" s="66"/>
      <c r="F71" s="38"/>
      <c r="G71" s="38"/>
      <c r="H71" s="66"/>
      <c r="I71" s="35" t="s">
        <v>822</v>
      </c>
      <c r="J71" s="42" t="s">
        <v>823</v>
      </c>
      <c r="K71" s="35"/>
      <c r="L71" s="35"/>
      <c r="M71" s="35"/>
      <c r="N71" s="35"/>
      <c r="O71" s="35"/>
      <c r="P71" s="35"/>
      <c r="Q71" s="35" t="s">
        <v>36</v>
      </c>
      <c r="R71" s="35" t="s">
        <v>36</v>
      </c>
      <c r="S71" s="35"/>
      <c r="T71" s="35" t="s">
        <v>516</v>
      </c>
      <c r="U71" s="42"/>
      <c r="V71" s="42" t="s">
        <v>816</v>
      </c>
      <c r="W71" s="42" t="s">
        <v>824</v>
      </c>
      <c r="X71" s="35" t="s">
        <v>628</v>
      </c>
      <c r="Y71" s="35" t="s">
        <v>470</v>
      </c>
      <c r="Z71" s="35"/>
      <c r="AA71" s="35" t="s">
        <v>469</v>
      </c>
      <c r="AB71" s="35" t="s">
        <v>470</v>
      </c>
      <c r="AC71" s="35"/>
      <c r="AD71" s="42" t="s">
        <v>818</v>
      </c>
      <c r="AE71" s="35" t="s">
        <v>469</v>
      </c>
      <c r="AF71" s="35" t="s">
        <v>470</v>
      </c>
      <c r="AG71" s="35"/>
      <c r="AH71" s="35" t="s">
        <v>473</v>
      </c>
      <c r="AI71" s="35" t="s">
        <v>473</v>
      </c>
      <c r="AJ71" s="42" t="s">
        <v>819</v>
      </c>
      <c r="AK71" s="35" t="s">
        <v>475</v>
      </c>
      <c r="AL71" s="42" t="s">
        <v>476</v>
      </c>
      <c r="AM71" s="61"/>
      <c r="AN71" s="42"/>
      <c r="AO71" s="97"/>
      <c r="AP71" s="48" t="b">
        <f>A71=[2]员工报账!A71</f>
        <v>1</v>
      </c>
      <c r="AQ71" s="48" t="b">
        <f>B71=[2]员工报账!B71</f>
        <v>1</v>
      </c>
      <c r="AR71" s="48" t="b">
        <f>C71=[2]员工报账!C71</f>
        <v>1</v>
      </c>
      <c r="AS71" s="48" t="b">
        <f>D71=[2]员工报账!D71</f>
        <v>1</v>
      </c>
      <c r="AT71" s="48" t="b">
        <f>E71=[2]员工报账!E71</f>
        <v>1</v>
      </c>
      <c r="AU71" s="48" t="b">
        <f>F71=[2]员工报账!F71</f>
        <v>1</v>
      </c>
      <c r="AV71" s="48" t="b">
        <f>G71=[2]员工报账!G71</f>
        <v>1</v>
      </c>
      <c r="AW71" s="48" t="b">
        <f>H71=[2]员工报账!H71</f>
        <v>1</v>
      </c>
      <c r="AX71" s="48" t="b">
        <f>I71=[2]员工报账!I71</f>
        <v>1</v>
      </c>
      <c r="AY71" s="48" t="b">
        <f>J71=[2]员工报账!J71</f>
        <v>1</v>
      </c>
      <c r="AZ71" s="48" t="b">
        <f>K71=[2]员工报账!K71</f>
        <v>1</v>
      </c>
      <c r="BA71" s="48" t="b">
        <f>L71=[2]员工报账!L71</f>
        <v>1</v>
      </c>
      <c r="BB71" s="48" t="b">
        <f>M71=[2]员工报账!M71</f>
        <v>1</v>
      </c>
      <c r="BC71" s="48" t="b">
        <f>N71=[2]员工报账!N71</f>
        <v>1</v>
      </c>
      <c r="BD71" s="48" t="b">
        <f>O71=[2]员工报账!O71</f>
        <v>1</v>
      </c>
      <c r="BE71" s="48" t="b">
        <f>P71=[2]员工报账!P71</f>
        <v>1</v>
      </c>
      <c r="BF71" s="48" t="b">
        <f>Q71=[2]员工报账!Q71</f>
        <v>1</v>
      </c>
      <c r="BG71" s="48" t="b">
        <f>R71=[2]员工报账!R71</f>
        <v>1</v>
      </c>
      <c r="BH71" s="48" t="b">
        <f>S71=[2]员工报账!S71</f>
        <v>1</v>
      </c>
      <c r="BI71" s="48" t="b">
        <f>T71=[2]员工报账!T71</f>
        <v>1</v>
      </c>
      <c r="BJ71" s="48" t="b">
        <f>U71=[2]员工报账!U71</f>
        <v>1</v>
      </c>
      <c r="BK71" s="48" t="b">
        <f>V71=[2]员工报账!V71</f>
        <v>1</v>
      </c>
      <c r="BL71" s="48" t="b">
        <f>W71=[2]员工报账!W71</f>
        <v>1</v>
      </c>
      <c r="BM71" s="48" t="b">
        <f>X71=[2]员工报账!X71</f>
        <v>1</v>
      </c>
      <c r="BN71" s="48" t="b">
        <f>Y71=[2]员工报账!Y71</f>
        <v>1</v>
      </c>
      <c r="BO71" s="48" t="b">
        <f>Z71=[2]员工报账!Z71</f>
        <v>1</v>
      </c>
      <c r="BP71" s="48" t="b">
        <f>AA71=[2]员工报账!AA71</f>
        <v>1</v>
      </c>
      <c r="BQ71" s="48" t="b">
        <f>AB71=[2]员工报账!AB71</f>
        <v>1</v>
      </c>
      <c r="BR71" s="48" t="b">
        <f>AC71=[2]员工报账!AC71</f>
        <v>1</v>
      </c>
      <c r="BS71" s="48" t="b">
        <f>AD71=[2]员工报账!AD71</f>
        <v>1</v>
      </c>
      <c r="BT71" s="48" t="b">
        <f>AE71=[2]员工报账!AE71</f>
        <v>1</v>
      </c>
      <c r="BU71" s="48" t="b">
        <f>AF71=[2]员工报账!AF71</f>
        <v>1</v>
      </c>
      <c r="BV71" s="48" t="b">
        <f>AG71=[2]员工报账!AG71</f>
        <v>1</v>
      </c>
      <c r="BW71" s="48" t="b">
        <f>AH71=[2]员工报账!AH71</f>
        <v>1</v>
      </c>
      <c r="BX71" s="48" t="b">
        <f>AI71=[2]员工报账!AI71</f>
        <v>1</v>
      </c>
      <c r="BY71" s="48" t="b">
        <f>AJ71=[2]员工报账!AJ71</f>
        <v>1</v>
      </c>
      <c r="BZ71" s="48" t="b">
        <f>AK71=[2]员工报账!AK71</f>
        <v>1</v>
      </c>
    </row>
    <row r="72" s="48" customFormat="1" ht="211.2" spans="1:78">
      <c r="A72" s="62"/>
      <c r="B72" s="62"/>
      <c r="C72" s="57" t="s">
        <v>498</v>
      </c>
      <c r="D72" s="57" t="s">
        <v>825</v>
      </c>
      <c r="E72" s="58" t="s">
        <v>826</v>
      </c>
      <c r="F72" s="57"/>
      <c r="G72" s="57" t="s">
        <v>827</v>
      </c>
      <c r="H72" s="58" t="s">
        <v>828</v>
      </c>
      <c r="I72" s="35" t="s">
        <v>829</v>
      </c>
      <c r="J72" s="42" t="s">
        <v>830</v>
      </c>
      <c r="K72" s="35"/>
      <c r="L72" s="35"/>
      <c r="M72" s="35"/>
      <c r="N72" s="35"/>
      <c r="O72" s="35" t="s">
        <v>36</v>
      </c>
      <c r="P72" s="35" t="s">
        <v>36</v>
      </c>
      <c r="Q72" s="35"/>
      <c r="R72" s="35"/>
      <c r="S72" s="35"/>
      <c r="T72" s="35" t="s">
        <v>516</v>
      </c>
      <c r="U72" s="42"/>
      <c r="V72" s="42" t="s">
        <v>816</v>
      </c>
      <c r="W72" s="42" t="s">
        <v>817</v>
      </c>
      <c r="X72" s="35" t="s">
        <v>628</v>
      </c>
      <c r="Y72" s="35" t="s">
        <v>470</v>
      </c>
      <c r="Z72" s="35"/>
      <c r="AA72" s="35" t="s">
        <v>469</v>
      </c>
      <c r="AB72" s="35" t="s">
        <v>470</v>
      </c>
      <c r="AC72" s="35"/>
      <c r="AD72" s="42" t="s">
        <v>818</v>
      </c>
      <c r="AE72" s="35" t="s">
        <v>469</v>
      </c>
      <c r="AF72" s="35" t="s">
        <v>470</v>
      </c>
      <c r="AG72" s="35"/>
      <c r="AH72" s="35" t="s">
        <v>473</v>
      </c>
      <c r="AI72" s="35" t="s">
        <v>473</v>
      </c>
      <c r="AJ72" s="42" t="s">
        <v>819</v>
      </c>
      <c r="AK72" s="35" t="s">
        <v>475</v>
      </c>
      <c r="AL72" s="42" t="s">
        <v>476</v>
      </c>
      <c r="AM72" s="61"/>
      <c r="AN72" s="42"/>
      <c r="AO72" s="97"/>
      <c r="AP72" s="48" t="b">
        <f>A72=[2]员工报账!A72</f>
        <v>1</v>
      </c>
      <c r="AQ72" s="48" t="b">
        <f>B72=[2]员工报账!B72</f>
        <v>1</v>
      </c>
      <c r="AR72" s="48" t="b">
        <f>C72=[2]员工报账!C72</f>
        <v>1</v>
      </c>
      <c r="AS72" s="48" t="b">
        <f>D72=[2]员工报账!D72</f>
        <v>1</v>
      </c>
      <c r="AT72" s="48" t="b">
        <f>E72=[2]员工报账!E72</f>
        <v>1</v>
      </c>
      <c r="AU72" s="48" t="b">
        <f>F72=[2]员工报账!F72</f>
        <v>1</v>
      </c>
      <c r="AV72" s="48" t="b">
        <f>G72=[2]员工报账!G72</f>
        <v>1</v>
      </c>
      <c r="AW72" s="48" t="b">
        <f>H72=[2]员工报账!H72</f>
        <v>1</v>
      </c>
      <c r="AX72" s="48" t="b">
        <f>I72=[2]员工报账!I72</f>
        <v>1</v>
      </c>
      <c r="AY72" s="48" t="b">
        <f>J72=[2]员工报账!J72</f>
        <v>1</v>
      </c>
      <c r="AZ72" s="48" t="b">
        <f>K72=[2]员工报账!K72</f>
        <v>1</v>
      </c>
      <c r="BA72" s="48" t="b">
        <f>L72=[2]员工报账!L72</f>
        <v>1</v>
      </c>
      <c r="BB72" s="48" t="b">
        <f>M72=[2]员工报账!M72</f>
        <v>1</v>
      </c>
      <c r="BC72" s="48" t="b">
        <f>N72=[2]员工报账!N72</f>
        <v>1</v>
      </c>
      <c r="BD72" s="48" t="b">
        <f>O72=[2]员工报账!O72</f>
        <v>1</v>
      </c>
      <c r="BE72" s="48" t="b">
        <f>P72=[2]员工报账!P72</f>
        <v>1</v>
      </c>
      <c r="BF72" s="48" t="b">
        <f>Q72=[2]员工报账!Q72</f>
        <v>1</v>
      </c>
      <c r="BG72" s="48" t="b">
        <f>R72=[2]员工报账!R72</f>
        <v>1</v>
      </c>
      <c r="BH72" s="48" t="b">
        <f>S72=[2]员工报账!S72</f>
        <v>1</v>
      </c>
      <c r="BI72" s="48" t="b">
        <f>T72=[2]员工报账!T72</f>
        <v>1</v>
      </c>
      <c r="BJ72" s="48" t="b">
        <f>U72=[2]员工报账!U72</f>
        <v>1</v>
      </c>
      <c r="BK72" s="48" t="b">
        <f>V72=[2]员工报账!V72</f>
        <v>1</v>
      </c>
      <c r="BL72" s="48" t="b">
        <f>W72=[2]员工报账!W72</f>
        <v>1</v>
      </c>
      <c r="BM72" s="48" t="b">
        <f>X72=[2]员工报账!X72</f>
        <v>1</v>
      </c>
      <c r="BN72" s="48" t="b">
        <f>Y72=[2]员工报账!Y72</f>
        <v>1</v>
      </c>
      <c r="BO72" s="48" t="b">
        <f>Z72=[2]员工报账!Z72</f>
        <v>1</v>
      </c>
      <c r="BP72" s="48" t="b">
        <f>AA72=[2]员工报账!AA72</f>
        <v>1</v>
      </c>
      <c r="BQ72" s="48" t="b">
        <f>AB72=[2]员工报账!AB72</f>
        <v>1</v>
      </c>
      <c r="BR72" s="48" t="b">
        <f>AC72=[2]员工报账!AC72</f>
        <v>1</v>
      </c>
      <c r="BS72" s="48" t="b">
        <f>AD72=[2]员工报账!AD72</f>
        <v>1</v>
      </c>
      <c r="BT72" s="48" t="b">
        <f>AE72=[2]员工报账!AE72</f>
        <v>1</v>
      </c>
      <c r="BU72" s="48" t="b">
        <f>AF72=[2]员工报账!AF72</f>
        <v>1</v>
      </c>
      <c r="BV72" s="48" t="b">
        <f>AG72=[2]员工报账!AG72</f>
        <v>1</v>
      </c>
      <c r="BW72" s="48" t="b">
        <f>AH72=[2]员工报账!AH72</f>
        <v>1</v>
      </c>
      <c r="BX72" s="48" t="b">
        <f>AI72=[2]员工报账!AI72</f>
        <v>1</v>
      </c>
      <c r="BY72" s="48" t="b">
        <f>AJ72=[2]员工报账!AJ72</f>
        <v>1</v>
      </c>
      <c r="BZ72" s="48" t="b">
        <f>AK72=[2]员工报账!AK72</f>
        <v>1</v>
      </c>
    </row>
    <row r="73" s="48" customFormat="1" ht="211.2" spans="1:78">
      <c r="A73" s="67"/>
      <c r="B73" s="67"/>
      <c r="C73" s="38"/>
      <c r="D73" s="38"/>
      <c r="E73" s="66"/>
      <c r="F73" s="38"/>
      <c r="G73" s="38"/>
      <c r="H73" s="66"/>
      <c r="I73" s="35" t="s">
        <v>831</v>
      </c>
      <c r="J73" s="42" t="s">
        <v>832</v>
      </c>
      <c r="K73" s="35"/>
      <c r="L73" s="35"/>
      <c r="M73" s="35"/>
      <c r="N73" s="35"/>
      <c r="O73" s="35"/>
      <c r="P73" s="35" t="s">
        <v>36</v>
      </c>
      <c r="Q73" s="35"/>
      <c r="R73" s="35" t="s">
        <v>36</v>
      </c>
      <c r="S73" s="35"/>
      <c r="T73" s="35" t="s">
        <v>516</v>
      </c>
      <c r="U73" s="42"/>
      <c r="V73" s="42" t="s">
        <v>816</v>
      </c>
      <c r="W73" s="42" t="s">
        <v>824</v>
      </c>
      <c r="X73" s="35" t="s">
        <v>628</v>
      </c>
      <c r="Y73" s="35" t="s">
        <v>470</v>
      </c>
      <c r="Z73" s="35"/>
      <c r="AA73" s="35" t="s">
        <v>469</v>
      </c>
      <c r="AB73" s="35" t="s">
        <v>470</v>
      </c>
      <c r="AC73" s="35"/>
      <c r="AD73" s="42" t="s">
        <v>818</v>
      </c>
      <c r="AE73" s="35" t="s">
        <v>469</v>
      </c>
      <c r="AF73" s="35" t="s">
        <v>470</v>
      </c>
      <c r="AG73" s="35"/>
      <c r="AH73" s="35" t="s">
        <v>473</v>
      </c>
      <c r="AI73" s="35" t="s">
        <v>473</v>
      </c>
      <c r="AJ73" s="42" t="s">
        <v>819</v>
      </c>
      <c r="AK73" s="35" t="s">
        <v>475</v>
      </c>
      <c r="AL73" s="42" t="s">
        <v>476</v>
      </c>
      <c r="AM73" s="61"/>
      <c r="AN73" s="42"/>
      <c r="AO73" s="97"/>
      <c r="AP73" s="48" t="b">
        <f>A73=[2]员工报账!A73</f>
        <v>1</v>
      </c>
      <c r="AQ73" s="48" t="b">
        <f>B73=[2]员工报账!B73</f>
        <v>1</v>
      </c>
      <c r="AR73" s="48" t="b">
        <f>C73=[2]员工报账!C73</f>
        <v>1</v>
      </c>
      <c r="AS73" s="48" t="b">
        <f>D73=[2]员工报账!D73</f>
        <v>1</v>
      </c>
      <c r="AT73" s="48" t="b">
        <f>E73=[2]员工报账!E73</f>
        <v>1</v>
      </c>
      <c r="AU73" s="48" t="b">
        <f>F73=[2]员工报账!F73</f>
        <v>1</v>
      </c>
      <c r="AV73" s="48" t="b">
        <f>G73=[2]员工报账!G73</f>
        <v>1</v>
      </c>
      <c r="AW73" s="48" t="b">
        <f>H73=[2]员工报账!H73</f>
        <v>1</v>
      </c>
      <c r="AX73" s="48" t="b">
        <f>I73=[2]员工报账!I73</f>
        <v>1</v>
      </c>
      <c r="AY73" s="48" t="b">
        <f>J73=[2]员工报账!J73</f>
        <v>1</v>
      </c>
      <c r="AZ73" s="48" t="b">
        <f>K73=[2]员工报账!K73</f>
        <v>1</v>
      </c>
      <c r="BA73" s="48" t="b">
        <f>L73=[2]员工报账!L73</f>
        <v>1</v>
      </c>
      <c r="BB73" s="48" t="b">
        <f>M73=[2]员工报账!M73</f>
        <v>1</v>
      </c>
      <c r="BC73" s="48" t="b">
        <f>N73=[2]员工报账!N73</f>
        <v>1</v>
      </c>
      <c r="BD73" s="48" t="b">
        <f>O73=[2]员工报账!O73</f>
        <v>1</v>
      </c>
      <c r="BE73" s="48" t="b">
        <f>P73=[2]员工报账!P73</f>
        <v>1</v>
      </c>
      <c r="BF73" s="48" t="b">
        <f>Q73=[2]员工报账!Q73</f>
        <v>1</v>
      </c>
      <c r="BG73" s="48" t="b">
        <f>R73=[2]员工报账!R73</f>
        <v>1</v>
      </c>
      <c r="BH73" s="48" t="b">
        <f>S73=[2]员工报账!S73</f>
        <v>1</v>
      </c>
      <c r="BI73" s="48" t="b">
        <f>T73=[2]员工报账!T73</f>
        <v>1</v>
      </c>
      <c r="BJ73" s="48" t="b">
        <f>U73=[2]员工报账!U73</f>
        <v>1</v>
      </c>
      <c r="BK73" s="48" t="b">
        <f>V73=[2]员工报账!V73</f>
        <v>1</v>
      </c>
      <c r="BL73" s="48" t="b">
        <f>W73=[2]员工报账!W73</f>
        <v>1</v>
      </c>
      <c r="BM73" s="48" t="b">
        <f>X73=[2]员工报账!X73</f>
        <v>1</v>
      </c>
      <c r="BN73" s="48" t="b">
        <f>Y73=[2]员工报账!Y73</f>
        <v>1</v>
      </c>
      <c r="BO73" s="48" t="b">
        <f>Z73=[2]员工报账!Z73</f>
        <v>1</v>
      </c>
      <c r="BP73" s="48" t="b">
        <f>AA73=[2]员工报账!AA73</f>
        <v>1</v>
      </c>
      <c r="BQ73" s="48" t="b">
        <f>AB73=[2]员工报账!AB73</f>
        <v>1</v>
      </c>
      <c r="BR73" s="48" t="b">
        <f>AC73=[2]员工报账!AC73</f>
        <v>1</v>
      </c>
      <c r="BS73" s="48" t="b">
        <f>AD73=[2]员工报账!AD73</f>
        <v>1</v>
      </c>
      <c r="BT73" s="48" t="b">
        <f>AE73=[2]员工报账!AE73</f>
        <v>1</v>
      </c>
      <c r="BU73" s="48" t="b">
        <f>AF73=[2]员工报账!AF73</f>
        <v>1</v>
      </c>
      <c r="BV73" s="48" t="b">
        <f>AG73=[2]员工报账!AG73</f>
        <v>1</v>
      </c>
      <c r="BW73" s="48" t="b">
        <f>AH73=[2]员工报账!AH73</f>
        <v>1</v>
      </c>
      <c r="BX73" s="48" t="b">
        <f>AI73=[2]员工报账!AI73</f>
        <v>1</v>
      </c>
      <c r="BY73" s="48" t="b">
        <f>AJ73=[2]员工报账!AJ73</f>
        <v>1</v>
      </c>
      <c r="BZ73" s="48" t="b">
        <f>AK73=[2]员工报账!AK73</f>
        <v>1</v>
      </c>
    </row>
    <row r="74" s="48" customFormat="1" ht="184.8" spans="1:78">
      <c r="A74" s="56" t="s">
        <v>453</v>
      </c>
      <c r="B74" s="56" t="s">
        <v>644</v>
      </c>
      <c r="C74" s="57" t="s">
        <v>619</v>
      </c>
      <c r="D74" s="57" t="s">
        <v>833</v>
      </c>
      <c r="E74" s="58" t="s">
        <v>834</v>
      </c>
      <c r="F74" s="59" t="s">
        <v>835</v>
      </c>
      <c r="G74" s="57" t="s">
        <v>836</v>
      </c>
      <c r="H74" s="58" t="s">
        <v>837</v>
      </c>
      <c r="I74" s="35" t="s">
        <v>838</v>
      </c>
      <c r="J74" s="42" t="s">
        <v>839</v>
      </c>
      <c r="K74" s="35"/>
      <c r="L74" s="35"/>
      <c r="M74" s="35" t="s">
        <v>36</v>
      </c>
      <c r="N74" s="35"/>
      <c r="O74" s="35" t="s">
        <v>36</v>
      </c>
      <c r="P74" s="35"/>
      <c r="Q74" s="35"/>
      <c r="R74" s="35"/>
      <c r="S74" s="35"/>
      <c r="T74" s="35" t="s">
        <v>516</v>
      </c>
      <c r="U74" s="42"/>
      <c r="V74" s="42" t="s">
        <v>840</v>
      </c>
      <c r="W74" s="42" t="s">
        <v>841</v>
      </c>
      <c r="X74" s="35" t="s">
        <v>628</v>
      </c>
      <c r="Y74" s="35" t="s">
        <v>470</v>
      </c>
      <c r="Z74" s="35"/>
      <c r="AA74" s="35" t="s">
        <v>469</v>
      </c>
      <c r="AB74" s="35" t="s">
        <v>470</v>
      </c>
      <c r="AC74" s="35"/>
      <c r="AD74" s="42" t="s">
        <v>842</v>
      </c>
      <c r="AE74" s="35" t="s">
        <v>469</v>
      </c>
      <c r="AF74" s="35" t="s">
        <v>470</v>
      </c>
      <c r="AG74" s="35"/>
      <c r="AH74" s="35" t="s">
        <v>473</v>
      </c>
      <c r="AI74" s="35" t="s">
        <v>473</v>
      </c>
      <c r="AJ74" s="42" t="s">
        <v>843</v>
      </c>
      <c r="AK74" s="35" t="s">
        <v>475</v>
      </c>
      <c r="AL74" s="42" t="s">
        <v>476</v>
      </c>
      <c r="AM74" s="61"/>
      <c r="AN74" s="42"/>
      <c r="AO74" s="97"/>
      <c r="AP74" s="48" t="b">
        <f>A74=[2]员工报账!A74</f>
        <v>1</v>
      </c>
      <c r="AQ74" s="48" t="b">
        <f>B74=[2]员工报账!B74</f>
        <v>1</v>
      </c>
      <c r="AR74" s="48" t="b">
        <f>C74=[2]员工报账!C74</f>
        <v>1</v>
      </c>
      <c r="AS74" s="48" t="b">
        <f>D74=[2]员工报账!D74</f>
        <v>1</v>
      </c>
      <c r="AT74" s="48" t="b">
        <f>E74=[2]员工报账!E74</f>
        <v>1</v>
      </c>
      <c r="AU74" s="48" t="b">
        <f>F74=[2]员工报账!F74</f>
        <v>1</v>
      </c>
      <c r="AV74" s="48" t="b">
        <f>G74=[2]员工报账!G74</f>
        <v>1</v>
      </c>
      <c r="AW74" s="48" t="b">
        <f>H74=[2]员工报账!H74</f>
        <v>1</v>
      </c>
      <c r="AX74" s="48" t="b">
        <f>I74=[2]员工报账!I74</f>
        <v>1</v>
      </c>
      <c r="AY74" s="48" t="b">
        <f>J74=[2]员工报账!J74</f>
        <v>1</v>
      </c>
      <c r="AZ74" s="48" t="b">
        <f>K74=[2]员工报账!K74</f>
        <v>1</v>
      </c>
      <c r="BA74" s="48" t="b">
        <f>L74=[2]员工报账!L74</f>
        <v>1</v>
      </c>
      <c r="BB74" s="48" t="b">
        <f>M74=[2]员工报账!M74</f>
        <v>1</v>
      </c>
      <c r="BC74" s="48" t="b">
        <f>N74=[2]员工报账!N74</f>
        <v>1</v>
      </c>
      <c r="BD74" s="48" t="b">
        <f>O74=[2]员工报账!O74</f>
        <v>1</v>
      </c>
      <c r="BE74" s="48" t="b">
        <f>P74=[2]员工报账!P74</f>
        <v>1</v>
      </c>
      <c r="BF74" s="48" t="b">
        <f>Q74=[2]员工报账!Q74</f>
        <v>1</v>
      </c>
      <c r="BG74" s="48" t="b">
        <f>R74=[2]员工报账!R74</f>
        <v>1</v>
      </c>
      <c r="BH74" s="48" t="b">
        <f>S74=[2]员工报账!S74</f>
        <v>1</v>
      </c>
      <c r="BI74" s="48" t="b">
        <f>T74=[2]员工报账!T74</f>
        <v>1</v>
      </c>
      <c r="BJ74" s="48" t="b">
        <f>U74=[2]员工报账!U74</f>
        <v>1</v>
      </c>
      <c r="BK74" s="48" t="b">
        <f>V74=[2]员工报账!V74</f>
        <v>1</v>
      </c>
      <c r="BL74" s="48" t="b">
        <f>W74=[2]员工报账!W74</f>
        <v>1</v>
      </c>
      <c r="BM74" s="48" t="b">
        <f>X74=[2]员工报账!X74</f>
        <v>1</v>
      </c>
      <c r="BN74" s="48" t="b">
        <f>Y74=[2]员工报账!Y74</f>
        <v>1</v>
      </c>
      <c r="BO74" s="48" t="b">
        <f>Z74=[2]员工报账!Z74</f>
        <v>1</v>
      </c>
      <c r="BP74" s="48" t="b">
        <f>AA74=[2]员工报账!AA74</f>
        <v>1</v>
      </c>
      <c r="BQ74" s="48" t="b">
        <f>AB74=[2]员工报账!AB74</f>
        <v>1</v>
      </c>
      <c r="BR74" s="48" t="b">
        <f>AC74=[2]员工报账!AC74</f>
        <v>1</v>
      </c>
      <c r="BS74" s="48" t="b">
        <f>AD74=[2]员工报账!AD74</f>
        <v>1</v>
      </c>
      <c r="BT74" s="48" t="b">
        <f>AE74=[2]员工报账!AE74</f>
        <v>1</v>
      </c>
      <c r="BU74" s="48" t="b">
        <f>AF74=[2]员工报账!AF74</f>
        <v>1</v>
      </c>
      <c r="BV74" s="48" t="b">
        <f>AG74=[2]员工报账!AG74</f>
        <v>1</v>
      </c>
      <c r="BW74" s="48" t="b">
        <f>AH74=[2]员工报账!AH74</f>
        <v>1</v>
      </c>
      <c r="BX74" s="48" t="b">
        <f>AI74=[2]员工报账!AI74</f>
        <v>1</v>
      </c>
      <c r="BY74" s="48" t="b">
        <f>AJ74=[2]员工报账!AJ74</f>
        <v>1</v>
      </c>
      <c r="BZ74" s="48" t="b">
        <f>AK74=[2]员工报账!AK74</f>
        <v>1</v>
      </c>
    </row>
    <row r="75" s="48" customFormat="1" ht="184.8" spans="1:78">
      <c r="A75" s="62"/>
      <c r="B75" s="62"/>
      <c r="C75" s="63"/>
      <c r="D75" s="63"/>
      <c r="E75" s="64"/>
      <c r="F75" s="64"/>
      <c r="G75" s="63"/>
      <c r="H75" s="64"/>
      <c r="I75" s="35" t="s">
        <v>844</v>
      </c>
      <c r="J75" s="42" t="s">
        <v>845</v>
      </c>
      <c r="K75" s="35"/>
      <c r="L75" s="35"/>
      <c r="M75" s="35"/>
      <c r="N75" s="35"/>
      <c r="O75" s="35" t="s">
        <v>36</v>
      </c>
      <c r="P75" s="35" t="s">
        <v>36</v>
      </c>
      <c r="Q75" s="35"/>
      <c r="R75" s="35"/>
      <c r="S75" s="35"/>
      <c r="T75" s="35" t="s">
        <v>516</v>
      </c>
      <c r="U75" s="42"/>
      <c r="V75" s="42" t="s">
        <v>840</v>
      </c>
      <c r="W75" s="42" t="s">
        <v>841</v>
      </c>
      <c r="X75" s="35" t="s">
        <v>628</v>
      </c>
      <c r="Y75" s="35" t="s">
        <v>470</v>
      </c>
      <c r="Z75" s="35"/>
      <c r="AA75" s="35" t="s">
        <v>469</v>
      </c>
      <c r="AB75" s="35" t="s">
        <v>470</v>
      </c>
      <c r="AC75" s="35"/>
      <c r="AD75" s="42" t="s">
        <v>842</v>
      </c>
      <c r="AE75" s="35" t="s">
        <v>469</v>
      </c>
      <c r="AF75" s="35" t="s">
        <v>470</v>
      </c>
      <c r="AG75" s="35"/>
      <c r="AH75" s="35" t="s">
        <v>473</v>
      </c>
      <c r="AI75" s="35" t="s">
        <v>473</v>
      </c>
      <c r="AJ75" s="42" t="s">
        <v>843</v>
      </c>
      <c r="AK75" s="35" t="s">
        <v>475</v>
      </c>
      <c r="AL75" s="42" t="s">
        <v>476</v>
      </c>
      <c r="AM75" s="61"/>
      <c r="AN75" s="42"/>
      <c r="AO75" s="97"/>
      <c r="AP75" s="48" t="b">
        <f>A75=[2]员工报账!A75</f>
        <v>1</v>
      </c>
      <c r="AQ75" s="48" t="b">
        <f>B75=[2]员工报账!B75</f>
        <v>1</v>
      </c>
      <c r="AR75" s="48" t="b">
        <f>C75=[2]员工报账!C75</f>
        <v>1</v>
      </c>
      <c r="AS75" s="48" t="b">
        <f>D75=[2]员工报账!D75</f>
        <v>1</v>
      </c>
      <c r="AT75" s="48" t="b">
        <f>E75=[2]员工报账!E75</f>
        <v>1</v>
      </c>
      <c r="AU75" s="48" t="b">
        <f>F75=[2]员工报账!F75</f>
        <v>1</v>
      </c>
      <c r="AV75" s="48" t="b">
        <f>G75=[2]员工报账!G75</f>
        <v>1</v>
      </c>
      <c r="AW75" s="48" t="b">
        <f>H75=[2]员工报账!H75</f>
        <v>1</v>
      </c>
      <c r="AX75" s="48" t="b">
        <f>I75=[2]员工报账!I75</f>
        <v>1</v>
      </c>
      <c r="AY75" s="48" t="b">
        <f>J75=[2]员工报账!J75</f>
        <v>1</v>
      </c>
      <c r="AZ75" s="48" t="b">
        <f>K75=[2]员工报账!K75</f>
        <v>1</v>
      </c>
      <c r="BA75" s="48" t="b">
        <f>L75=[2]员工报账!L75</f>
        <v>1</v>
      </c>
      <c r="BB75" s="48" t="b">
        <f>M75=[2]员工报账!M75</f>
        <v>1</v>
      </c>
      <c r="BC75" s="48" t="b">
        <f>N75=[2]员工报账!N75</f>
        <v>1</v>
      </c>
      <c r="BD75" s="48" t="b">
        <f>O75=[2]员工报账!O75</f>
        <v>1</v>
      </c>
      <c r="BE75" s="48" t="b">
        <f>P75=[2]员工报账!P75</f>
        <v>1</v>
      </c>
      <c r="BF75" s="48" t="b">
        <f>Q75=[2]员工报账!Q75</f>
        <v>1</v>
      </c>
      <c r="BG75" s="48" t="b">
        <f>R75=[2]员工报账!R75</f>
        <v>1</v>
      </c>
      <c r="BH75" s="48" t="b">
        <f>S75=[2]员工报账!S75</f>
        <v>1</v>
      </c>
      <c r="BI75" s="48" t="b">
        <f>T75=[2]员工报账!T75</f>
        <v>1</v>
      </c>
      <c r="BJ75" s="48" t="b">
        <f>U75=[2]员工报账!U75</f>
        <v>1</v>
      </c>
      <c r="BK75" s="48" t="b">
        <f>V75=[2]员工报账!V75</f>
        <v>1</v>
      </c>
      <c r="BL75" s="48" t="b">
        <f>W75=[2]员工报账!W75</f>
        <v>1</v>
      </c>
      <c r="BM75" s="48" t="b">
        <f>X75=[2]员工报账!X75</f>
        <v>1</v>
      </c>
      <c r="BN75" s="48" t="b">
        <f>Y75=[2]员工报账!Y75</f>
        <v>1</v>
      </c>
      <c r="BO75" s="48" t="b">
        <f>Z75=[2]员工报账!Z75</f>
        <v>1</v>
      </c>
      <c r="BP75" s="48" t="b">
        <f>AA75=[2]员工报账!AA75</f>
        <v>1</v>
      </c>
      <c r="BQ75" s="48" t="b">
        <f>AB75=[2]员工报账!AB75</f>
        <v>1</v>
      </c>
      <c r="BR75" s="48" t="b">
        <f>AC75=[2]员工报账!AC75</f>
        <v>1</v>
      </c>
      <c r="BS75" s="48" t="b">
        <f>AD75=[2]员工报账!AD75</f>
        <v>1</v>
      </c>
      <c r="BT75" s="48" t="b">
        <f>AE75=[2]员工报账!AE75</f>
        <v>1</v>
      </c>
      <c r="BU75" s="48" t="b">
        <f>AF75=[2]员工报账!AF75</f>
        <v>1</v>
      </c>
      <c r="BV75" s="48" t="b">
        <f>AG75=[2]员工报账!AG75</f>
        <v>1</v>
      </c>
      <c r="BW75" s="48" t="b">
        <f>AH75=[2]员工报账!AH75</f>
        <v>1</v>
      </c>
      <c r="BX75" s="48" t="b">
        <f>AI75=[2]员工报账!AI75</f>
        <v>1</v>
      </c>
      <c r="BY75" s="48" t="b">
        <f>AJ75=[2]员工报账!AJ75</f>
        <v>1</v>
      </c>
      <c r="BZ75" s="48" t="b">
        <f>AK75=[2]员工报账!AK75</f>
        <v>1</v>
      </c>
    </row>
    <row r="76" s="48" customFormat="1" ht="184.8" spans="1:78">
      <c r="A76" s="62"/>
      <c r="B76" s="62"/>
      <c r="C76" s="63"/>
      <c r="D76" s="63"/>
      <c r="E76" s="64"/>
      <c r="F76" s="64"/>
      <c r="G76" s="63"/>
      <c r="H76" s="64"/>
      <c r="I76" s="35" t="s">
        <v>846</v>
      </c>
      <c r="J76" s="42" t="s">
        <v>847</v>
      </c>
      <c r="K76" s="35" t="s">
        <v>36</v>
      </c>
      <c r="L76" s="35" t="s">
        <v>36</v>
      </c>
      <c r="M76" s="35"/>
      <c r="N76" s="35"/>
      <c r="O76" s="35"/>
      <c r="P76" s="35"/>
      <c r="Q76" s="35" t="s">
        <v>36</v>
      </c>
      <c r="R76" s="35"/>
      <c r="S76" s="35"/>
      <c r="T76" s="35" t="s">
        <v>463</v>
      </c>
      <c r="U76" s="35" t="s">
        <v>635</v>
      </c>
      <c r="V76" s="42" t="s">
        <v>840</v>
      </c>
      <c r="W76" s="42" t="s">
        <v>841</v>
      </c>
      <c r="X76" s="35" t="s">
        <v>628</v>
      </c>
      <c r="Y76" s="35" t="s">
        <v>470</v>
      </c>
      <c r="Z76" s="35"/>
      <c r="AA76" s="35" t="s">
        <v>469</v>
      </c>
      <c r="AB76" s="35" t="s">
        <v>470</v>
      </c>
      <c r="AC76" s="35"/>
      <c r="AD76" s="42" t="s">
        <v>842</v>
      </c>
      <c r="AE76" s="35" t="s">
        <v>469</v>
      </c>
      <c r="AF76" s="35" t="s">
        <v>470</v>
      </c>
      <c r="AG76" s="35"/>
      <c r="AH76" s="35" t="s">
        <v>473</v>
      </c>
      <c r="AI76" s="35" t="s">
        <v>473</v>
      </c>
      <c r="AJ76" s="42" t="s">
        <v>843</v>
      </c>
      <c r="AK76" s="35" t="s">
        <v>475</v>
      </c>
      <c r="AL76" s="42" t="s">
        <v>476</v>
      </c>
      <c r="AM76" s="61"/>
      <c r="AN76" s="42"/>
      <c r="AO76" s="97"/>
      <c r="AP76" s="48" t="b">
        <f>A76=[2]员工报账!A76</f>
        <v>1</v>
      </c>
      <c r="AQ76" s="48" t="b">
        <f>B76=[2]员工报账!B76</f>
        <v>1</v>
      </c>
      <c r="AR76" s="48" t="b">
        <f>C76=[2]员工报账!C76</f>
        <v>1</v>
      </c>
      <c r="AS76" s="48" t="b">
        <f>D76=[2]员工报账!D76</f>
        <v>1</v>
      </c>
      <c r="AT76" s="48" t="b">
        <f>E76=[2]员工报账!E76</f>
        <v>1</v>
      </c>
      <c r="AU76" s="48" t="b">
        <f>F76=[2]员工报账!F76</f>
        <v>1</v>
      </c>
      <c r="AV76" s="48" t="b">
        <f>G76=[2]员工报账!G76</f>
        <v>1</v>
      </c>
      <c r="AW76" s="48" t="b">
        <f>H76=[2]员工报账!H76</f>
        <v>1</v>
      </c>
      <c r="AX76" s="48" t="b">
        <f>I76=[2]员工报账!I76</f>
        <v>1</v>
      </c>
      <c r="AY76" s="48" t="b">
        <f>J76=[2]员工报账!J76</f>
        <v>1</v>
      </c>
      <c r="AZ76" s="48" t="b">
        <f>K76=[2]员工报账!K76</f>
        <v>1</v>
      </c>
      <c r="BA76" s="48" t="b">
        <f>L76=[2]员工报账!L76</f>
        <v>1</v>
      </c>
      <c r="BB76" s="48" t="b">
        <f>M76=[2]员工报账!M76</f>
        <v>1</v>
      </c>
      <c r="BC76" s="48" t="b">
        <f>N76=[2]员工报账!N76</f>
        <v>1</v>
      </c>
      <c r="BD76" s="48" t="b">
        <f>O76=[2]员工报账!O76</f>
        <v>1</v>
      </c>
      <c r="BE76" s="48" t="b">
        <f>P76=[2]员工报账!P76</f>
        <v>1</v>
      </c>
      <c r="BF76" s="48" t="b">
        <f>Q76=[2]员工报账!Q76</f>
        <v>1</v>
      </c>
      <c r="BG76" s="48" t="b">
        <f>R76=[2]员工报账!R76</f>
        <v>1</v>
      </c>
      <c r="BH76" s="48" t="b">
        <f>S76=[2]员工报账!S76</f>
        <v>1</v>
      </c>
      <c r="BI76" s="48" t="b">
        <f>T76=[2]员工报账!T76</f>
        <v>1</v>
      </c>
      <c r="BJ76" s="48" t="b">
        <f>U76=[2]员工报账!U76</f>
        <v>1</v>
      </c>
      <c r="BK76" s="48" t="b">
        <f>V76=[2]员工报账!V76</f>
        <v>1</v>
      </c>
      <c r="BL76" s="48" t="b">
        <f>W76=[2]员工报账!W76</f>
        <v>1</v>
      </c>
      <c r="BM76" s="48" t="b">
        <f>X76=[2]员工报账!X76</f>
        <v>1</v>
      </c>
      <c r="BN76" s="48" t="b">
        <f>Y76=[2]员工报账!Y76</f>
        <v>1</v>
      </c>
      <c r="BO76" s="48" t="b">
        <f>Z76=[2]员工报账!Z76</f>
        <v>1</v>
      </c>
      <c r="BP76" s="48" t="b">
        <f>AA76=[2]员工报账!AA76</f>
        <v>1</v>
      </c>
      <c r="BQ76" s="48" t="b">
        <f>AB76=[2]员工报账!AB76</f>
        <v>1</v>
      </c>
      <c r="BR76" s="48" t="b">
        <f>AC76=[2]员工报账!AC76</f>
        <v>1</v>
      </c>
      <c r="BS76" s="48" t="b">
        <f>AD76=[2]员工报账!AD76</f>
        <v>1</v>
      </c>
      <c r="BT76" s="48" t="b">
        <f>AE76=[2]员工报账!AE76</f>
        <v>1</v>
      </c>
      <c r="BU76" s="48" t="b">
        <f>AF76=[2]员工报账!AF76</f>
        <v>1</v>
      </c>
      <c r="BV76" s="48" t="b">
        <f>AG76=[2]员工报账!AG76</f>
        <v>1</v>
      </c>
      <c r="BW76" s="48" t="b">
        <f>AH76=[2]员工报账!AH76</f>
        <v>1</v>
      </c>
      <c r="BX76" s="48" t="b">
        <f>AI76=[2]员工报账!AI76</f>
        <v>1</v>
      </c>
      <c r="BY76" s="48" t="b">
        <f>AJ76=[2]员工报账!AJ76</f>
        <v>1</v>
      </c>
      <c r="BZ76" s="48" t="b">
        <f>AK76=[2]员工报账!AK76</f>
        <v>1</v>
      </c>
    </row>
    <row r="77" s="48" customFormat="1" ht="184.8" spans="1:78">
      <c r="A77" s="62"/>
      <c r="B77" s="62"/>
      <c r="C77" s="63"/>
      <c r="D77" s="63"/>
      <c r="E77" s="64"/>
      <c r="F77" s="64"/>
      <c r="G77" s="63"/>
      <c r="H77" s="64"/>
      <c r="I77" s="35" t="s">
        <v>848</v>
      </c>
      <c r="J77" s="42" t="s">
        <v>849</v>
      </c>
      <c r="K77" s="35"/>
      <c r="L77" s="35" t="s">
        <v>36</v>
      </c>
      <c r="M77" s="35"/>
      <c r="N77" s="35"/>
      <c r="O77" s="35"/>
      <c r="P77" s="35" t="s">
        <v>36</v>
      </c>
      <c r="Q77" s="35" t="s">
        <v>36</v>
      </c>
      <c r="R77" s="35"/>
      <c r="S77" s="35"/>
      <c r="T77" s="35" t="s">
        <v>516</v>
      </c>
      <c r="U77" s="42"/>
      <c r="V77" s="42" t="s">
        <v>840</v>
      </c>
      <c r="W77" s="42" t="s">
        <v>841</v>
      </c>
      <c r="X77" s="35" t="s">
        <v>628</v>
      </c>
      <c r="Y77" s="35" t="s">
        <v>470</v>
      </c>
      <c r="Z77" s="35"/>
      <c r="AA77" s="35" t="s">
        <v>469</v>
      </c>
      <c r="AB77" s="35" t="s">
        <v>470</v>
      </c>
      <c r="AC77" s="35"/>
      <c r="AD77" s="42" t="s">
        <v>842</v>
      </c>
      <c r="AE77" s="35" t="s">
        <v>469</v>
      </c>
      <c r="AF77" s="35" t="s">
        <v>470</v>
      </c>
      <c r="AG77" s="35"/>
      <c r="AH77" s="35" t="s">
        <v>473</v>
      </c>
      <c r="AI77" s="35" t="s">
        <v>473</v>
      </c>
      <c r="AJ77" s="42" t="s">
        <v>843</v>
      </c>
      <c r="AK77" s="35" t="s">
        <v>475</v>
      </c>
      <c r="AL77" s="42" t="s">
        <v>476</v>
      </c>
      <c r="AM77" s="61"/>
      <c r="AN77" s="42"/>
      <c r="AO77" s="97"/>
      <c r="AP77" s="48" t="b">
        <f>A77=[2]员工报账!A77</f>
        <v>1</v>
      </c>
      <c r="AQ77" s="48" t="b">
        <f>B77=[2]员工报账!B77</f>
        <v>1</v>
      </c>
      <c r="AR77" s="48" t="b">
        <f>C77=[2]员工报账!C77</f>
        <v>1</v>
      </c>
      <c r="AS77" s="48" t="b">
        <f>D77=[2]员工报账!D77</f>
        <v>1</v>
      </c>
      <c r="AT77" s="48" t="b">
        <f>E77=[2]员工报账!E77</f>
        <v>1</v>
      </c>
      <c r="AU77" s="48" t="b">
        <f>F77=[2]员工报账!F77</f>
        <v>1</v>
      </c>
      <c r="AV77" s="48" t="b">
        <f>G77=[2]员工报账!G77</f>
        <v>1</v>
      </c>
      <c r="AW77" s="48" t="b">
        <f>H77=[2]员工报账!H77</f>
        <v>1</v>
      </c>
      <c r="AX77" s="48" t="b">
        <f>I77=[2]员工报账!I77</f>
        <v>1</v>
      </c>
      <c r="AY77" s="48" t="b">
        <f>J77=[2]员工报账!J77</f>
        <v>1</v>
      </c>
      <c r="AZ77" s="48" t="b">
        <f>K77=[2]员工报账!K77</f>
        <v>1</v>
      </c>
      <c r="BA77" s="48" t="b">
        <f>L77=[2]员工报账!L77</f>
        <v>1</v>
      </c>
      <c r="BB77" s="48" t="b">
        <f>M77=[2]员工报账!M77</f>
        <v>1</v>
      </c>
      <c r="BC77" s="48" t="b">
        <f>N77=[2]员工报账!N77</f>
        <v>1</v>
      </c>
      <c r="BD77" s="48" t="b">
        <f>O77=[2]员工报账!O77</f>
        <v>1</v>
      </c>
      <c r="BE77" s="48" t="b">
        <f>P77=[2]员工报账!P77</f>
        <v>1</v>
      </c>
      <c r="BF77" s="48" t="b">
        <f>Q77=[2]员工报账!Q77</f>
        <v>1</v>
      </c>
      <c r="BG77" s="48" t="b">
        <f>R77=[2]员工报账!R77</f>
        <v>1</v>
      </c>
      <c r="BH77" s="48" t="b">
        <f>S77=[2]员工报账!S77</f>
        <v>1</v>
      </c>
      <c r="BI77" s="48" t="b">
        <f>T77=[2]员工报账!T77</f>
        <v>1</v>
      </c>
      <c r="BJ77" s="48" t="b">
        <f>U77=[2]员工报账!U77</f>
        <v>1</v>
      </c>
      <c r="BK77" s="48" t="b">
        <f>V77=[2]员工报账!V77</f>
        <v>1</v>
      </c>
      <c r="BL77" s="48" t="b">
        <f>W77=[2]员工报账!W77</f>
        <v>1</v>
      </c>
      <c r="BM77" s="48" t="b">
        <f>X77=[2]员工报账!X77</f>
        <v>1</v>
      </c>
      <c r="BN77" s="48" t="b">
        <f>Y77=[2]员工报账!Y77</f>
        <v>1</v>
      </c>
      <c r="BO77" s="48" t="b">
        <f>Z77=[2]员工报账!Z77</f>
        <v>1</v>
      </c>
      <c r="BP77" s="48" t="b">
        <f>AA77=[2]员工报账!AA77</f>
        <v>1</v>
      </c>
      <c r="BQ77" s="48" t="b">
        <f>AB77=[2]员工报账!AB77</f>
        <v>1</v>
      </c>
      <c r="BR77" s="48" t="b">
        <f>AC77=[2]员工报账!AC77</f>
        <v>1</v>
      </c>
      <c r="BS77" s="48" t="b">
        <f>AD77=[2]员工报账!AD77</f>
        <v>1</v>
      </c>
      <c r="BT77" s="48" t="b">
        <f>AE77=[2]员工报账!AE77</f>
        <v>1</v>
      </c>
      <c r="BU77" s="48" t="b">
        <f>AF77=[2]员工报账!AF77</f>
        <v>1</v>
      </c>
      <c r="BV77" s="48" t="b">
        <f>AG77=[2]员工报账!AG77</f>
        <v>1</v>
      </c>
      <c r="BW77" s="48" t="b">
        <f>AH77=[2]员工报账!AH77</f>
        <v>1</v>
      </c>
      <c r="BX77" s="48" t="b">
        <f>AI77=[2]员工报账!AI77</f>
        <v>1</v>
      </c>
      <c r="BY77" s="48" t="b">
        <f>AJ77=[2]员工报账!AJ77</f>
        <v>1</v>
      </c>
      <c r="BZ77" s="48" t="b">
        <f>AK77=[2]员工报账!AK77</f>
        <v>1</v>
      </c>
    </row>
    <row r="78" s="48" customFormat="1" ht="184.8" spans="1:78">
      <c r="A78" s="67"/>
      <c r="B78" s="67"/>
      <c r="C78" s="38"/>
      <c r="D78" s="38"/>
      <c r="E78" s="66"/>
      <c r="F78" s="66"/>
      <c r="G78" s="38"/>
      <c r="H78" s="66"/>
      <c r="I78" s="35" t="s">
        <v>850</v>
      </c>
      <c r="J78" s="42" t="s">
        <v>851</v>
      </c>
      <c r="K78" s="35"/>
      <c r="L78" s="35"/>
      <c r="M78" s="35" t="s">
        <v>36</v>
      </c>
      <c r="N78" s="35"/>
      <c r="O78" s="35"/>
      <c r="P78" s="35" t="s">
        <v>36</v>
      </c>
      <c r="Q78" s="35" t="s">
        <v>36</v>
      </c>
      <c r="R78" s="35"/>
      <c r="S78" s="35"/>
      <c r="T78" s="35" t="s">
        <v>516</v>
      </c>
      <c r="U78" s="42"/>
      <c r="V78" s="42" t="s">
        <v>840</v>
      </c>
      <c r="W78" s="42" t="s">
        <v>841</v>
      </c>
      <c r="X78" s="35" t="s">
        <v>628</v>
      </c>
      <c r="Y78" s="35" t="s">
        <v>470</v>
      </c>
      <c r="Z78" s="35"/>
      <c r="AA78" s="35" t="s">
        <v>469</v>
      </c>
      <c r="AB78" s="35" t="s">
        <v>470</v>
      </c>
      <c r="AC78" s="35"/>
      <c r="AD78" s="42" t="s">
        <v>842</v>
      </c>
      <c r="AE78" s="35" t="s">
        <v>469</v>
      </c>
      <c r="AF78" s="35" t="s">
        <v>470</v>
      </c>
      <c r="AG78" s="35"/>
      <c r="AH78" s="35" t="s">
        <v>473</v>
      </c>
      <c r="AI78" s="35" t="s">
        <v>473</v>
      </c>
      <c r="AJ78" s="42" t="s">
        <v>843</v>
      </c>
      <c r="AK78" s="35" t="s">
        <v>475</v>
      </c>
      <c r="AL78" s="42" t="s">
        <v>476</v>
      </c>
      <c r="AM78" s="61"/>
      <c r="AN78" s="42"/>
      <c r="AO78" s="97"/>
      <c r="AP78" s="48" t="b">
        <f>A78=[2]员工报账!A78</f>
        <v>1</v>
      </c>
      <c r="AQ78" s="48" t="b">
        <f>B78=[2]员工报账!B78</f>
        <v>1</v>
      </c>
      <c r="AR78" s="48" t="b">
        <f>C78=[2]员工报账!C78</f>
        <v>1</v>
      </c>
      <c r="AS78" s="48" t="b">
        <f>D78=[2]员工报账!D78</f>
        <v>1</v>
      </c>
      <c r="AT78" s="48" t="b">
        <f>E78=[2]员工报账!E78</f>
        <v>1</v>
      </c>
      <c r="AU78" s="48" t="b">
        <f>F78=[2]员工报账!F78</f>
        <v>1</v>
      </c>
      <c r="AV78" s="48" t="b">
        <f>G78=[2]员工报账!G78</f>
        <v>1</v>
      </c>
      <c r="AW78" s="48" t="b">
        <f>H78=[2]员工报账!H78</f>
        <v>1</v>
      </c>
      <c r="AX78" s="48" t="b">
        <f>I78=[2]员工报账!I78</f>
        <v>1</v>
      </c>
      <c r="AY78" s="48" t="b">
        <f>J78=[2]员工报账!J78</f>
        <v>1</v>
      </c>
      <c r="AZ78" s="48" t="b">
        <f>K78=[2]员工报账!K78</f>
        <v>1</v>
      </c>
      <c r="BA78" s="48" t="b">
        <f>L78=[2]员工报账!L78</f>
        <v>1</v>
      </c>
      <c r="BB78" s="48" t="b">
        <f>M78=[2]员工报账!M78</f>
        <v>1</v>
      </c>
      <c r="BC78" s="48" t="b">
        <f>N78=[2]员工报账!N78</f>
        <v>1</v>
      </c>
      <c r="BD78" s="48" t="b">
        <f>O78=[2]员工报账!O78</f>
        <v>1</v>
      </c>
      <c r="BE78" s="48" t="b">
        <f>P78=[2]员工报账!P78</f>
        <v>1</v>
      </c>
      <c r="BF78" s="48" t="b">
        <f>Q78=[2]员工报账!Q78</f>
        <v>1</v>
      </c>
      <c r="BG78" s="48" t="b">
        <f>R78=[2]员工报账!R78</f>
        <v>1</v>
      </c>
      <c r="BH78" s="48" t="b">
        <f>S78=[2]员工报账!S78</f>
        <v>1</v>
      </c>
      <c r="BI78" s="48" t="b">
        <f>T78=[2]员工报账!T78</f>
        <v>1</v>
      </c>
      <c r="BJ78" s="48" t="b">
        <f>U78=[2]员工报账!U78</f>
        <v>1</v>
      </c>
      <c r="BK78" s="48" t="b">
        <f>V78=[2]员工报账!V78</f>
        <v>1</v>
      </c>
      <c r="BL78" s="48" t="b">
        <f>W78=[2]员工报账!W78</f>
        <v>1</v>
      </c>
      <c r="BM78" s="48" t="b">
        <f>X78=[2]员工报账!X78</f>
        <v>1</v>
      </c>
      <c r="BN78" s="48" t="b">
        <f>Y78=[2]员工报账!Y78</f>
        <v>1</v>
      </c>
      <c r="BO78" s="48" t="b">
        <f>Z78=[2]员工报账!Z78</f>
        <v>1</v>
      </c>
      <c r="BP78" s="48" t="b">
        <f>AA78=[2]员工报账!AA78</f>
        <v>1</v>
      </c>
      <c r="BQ78" s="48" t="b">
        <f>AB78=[2]员工报账!AB78</f>
        <v>1</v>
      </c>
      <c r="BR78" s="48" t="b">
        <f>AC78=[2]员工报账!AC78</f>
        <v>1</v>
      </c>
      <c r="BS78" s="48" t="b">
        <f>AD78=[2]员工报账!AD78</f>
        <v>1</v>
      </c>
      <c r="BT78" s="48" t="b">
        <f>AE78=[2]员工报账!AE78</f>
        <v>1</v>
      </c>
      <c r="BU78" s="48" t="b">
        <f>AF78=[2]员工报账!AF78</f>
        <v>1</v>
      </c>
      <c r="BV78" s="48" t="b">
        <f>AG78=[2]员工报账!AG78</f>
        <v>1</v>
      </c>
      <c r="BW78" s="48" t="b">
        <f>AH78=[2]员工报账!AH78</f>
        <v>1</v>
      </c>
      <c r="BX78" s="48" t="b">
        <f>AI78=[2]员工报账!AI78</f>
        <v>1</v>
      </c>
      <c r="BY78" s="48" t="b">
        <f>AJ78=[2]员工报账!AJ78</f>
        <v>1</v>
      </c>
      <c r="BZ78" s="48" t="b">
        <f>AK78=[2]员工报账!AK78</f>
        <v>1</v>
      </c>
    </row>
    <row r="79" s="48" customFormat="1" ht="92.4" spans="1:78">
      <c r="A79" s="56" t="s">
        <v>453</v>
      </c>
      <c r="B79" s="56"/>
      <c r="C79" s="57" t="s">
        <v>498</v>
      </c>
      <c r="D79" s="57" t="s">
        <v>852</v>
      </c>
      <c r="E79" s="58" t="s">
        <v>853</v>
      </c>
      <c r="F79" s="58"/>
      <c r="G79" s="57" t="s">
        <v>854</v>
      </c>
      <c r="H79" s="58" t="s">
        <v>855</v>
      </c>
      <c r="I79" s="38" t="s">
        <v>856</v>
      </c>
      <c r="J79" s="66" t="s">
        <v>857</v>
      </c>
      <c r="K79" s="35"/>
      <c r="L79" s="35" t="s">
        <v>36</v>
      </c>
      <c r="M79" s="35"/>
      <c r="N79" s="35"/>
      <c r="O79" s="35"/>
      <c r="P79" s="35"/>
      <c r="Q79" s="35"/>
      <c r="R79" s="35"/>
      <c r="S79" s="35"/>
      <c r="T79" s="35" t="s">
        <v>516</v>
      </c>
      <c r="U79" s="42"/>
      <c r="V79" s="42" t="s">
        <v>858</v>
      </c>
      <c r="W79" s="42" t="s">
        <v>859</v>
      </c>
      <c r="X79" s="35" t="s">
        <v>628</v>
      </c>
      <c r="Y79" s="35" t="s">
        <v>470</v>
      </c>
      <c r="Z79" s="35"/>
      <c r="AA79" s="35" t="s">
        <v>469</v>
      </c>
      <c r="AB79" s="35" t="s">
        <v>470</v>
      </c>
      <c r="AC79" s="35"/>
      <c r="AD79" s="42" t="s">
        <v>860</v>
      </c>
      <c r="AE79" s="35" t="s">
        <v>469</v>
      </c>
      <c r="AF79" s="35" t="s">
        <v>470</v>
      </c>
      <c r="AG79" s="35"/>
      <c r="AH79" s="35" t="s">
        <v>473</v>
      </c>
      <c r="AI79" s="35" t="s">
        <v>473</v>
      </c>
      <c r="AJ79" s="42" t="s">
        <v>861</v>
      </c>
      <c r="AK79" s="35" t="s">
        <v>678</v>
      </c>
      <c r="AL79" s="42" t="s">
        <v>679</v>
      </c>
      <c r="AM79" s="61"/>
      <c r="AN79" s="42"/>
      <c r="AO79" s="97"/>
      <c r="AP79" s="48" t="b">
        <f>A79=[2]员工报账!A79</f>
        <v>1</v>
      </c>
      <c r="AQ79" s="48" t="b">
        <f>B79=[2]员工报账!B79</f>
        <v>1</v>
      </c>
      <c r="AR79" s="48" t="b">
        <f>C79=[2]员工报账!C79</f>
        <v>1</v>
      </c>
      <c r="AS79" s="48" t="b">
        <f>D79=[2]员工报账!D79</f>
        <v>1</v>
      </c>
      <c r="AT79" s="48" t="b">
        <f>E79=[2]员工报账!E79</f>
        <v>1</v>
      </c>
      <c r="AU79" s="48" t="b">
        <f>F79=[2]员工报账!F79</f>
        <v>1</v>
      </c>
      <c r="AV79" s="48" t="b">
        <f>G79=[2]员工报账!G79</f>
        <v>1</v>
      </c>
      <c r="AW79" s="48" t="b">
        <f>H79=[2]员工报账!H79</f>
        <v>1</v>
      </c>
      <c r="AX79" s="48" t="b">
        <f>I79=[2]员工报账!I79</f>
        <v>1</v>
      </c>
      <c r="AY79" s="48" t="b">
        <f>J79=[2]员工报账!J79</f>
        <v>1</v>
      </c>
      <c r="AZ79" s="48" t="b">
        <f>K79=[2]员工报账!K79</f>
        <v>1</v>
      </c>
      <c r="BA79" s="48" t="b">
        <f>L79=[2]员工报账!L79</f>
        <v>1</v>
      </c>
      <c r="BB79" s="48" t="b">
        <f>M79=[2]员工报账!M79</f>
        <v>1</v>
      </c>
      <c r="BC79" s="48" t="b">
        <f>N79=[2]员工报账!N79</f>
        <v>1</v>
      </c>
      <c r="BD79" s="48" t="b">
        <f>O79=[2]员工报账!O79</f>
        <v>1</v>
      </c>
      <c r="BE79" s="48" t="b">
        <f>P79=[2]员工报账!P79</f>
        <v>1</v>
      </c>
      <c r="BF79" s="48" t="b">
        <f>Q79=[2]员工报账!Q79</f>
        <v>1</v>
      </c>
      <c r="BG79" s="48" t="b">
        <f>R79=[2]员工报账!R79</f>
        <v>1</v>
      </c>
      <c r="BH79" s="48" t="b">
        <f>S79=[2]员工报账!S79</f>
        <v>1</v>
      </c>
      <c r="BI79" s="48" t="b">
        <f>T79=[2]员工报账!T79</f>
        <v>1</v>
      </c>
      <c r="BJ79" s="48" t="b">
        <f>U79=[2]员工报账!U79</f>
        <v>1</v>
      </c>
      <c r="BK79" s="48" t="b">
        <f>V79=[2]员工报账!V79</f>
        <v>1</v>
      </c>
      <c r="BL79" s="48" t="b">
        <f>W79=[2]员工报账!W79</f>
        <v>1</v>
      </c>
      <c r="BM79" s="48" t="b">
        <f>X79=[2]员工报账!X79</f>
        <v>1</v>
      </c>
      <c r="BN79" s="48" t="b">
        <f>Y79=[2]员工报账!Y79</f>
        <v>1</v>
      </c>
      <c r="BO79" s="48" t="b">
        <f>Z79=[2]员工报账!Z79</f>
        <v>1</v>
      </c>
      <c r="BP79" s="48" t="b">
        <f>AA79=[2]员工报账!AA79</f>
        <v>1</v>
      </c>
      <c r="BQ79" s="48" t="b">
        <f>AB79=[2]员工报账!AB79</f>
        <v>1</v>
      </c>
      <c r="BR79" s="48" t="b">
        <f>AC79=[2]员工报账!AC79</f>
        <v>1</v>
      </c>
      <c r="BS79" s="48" t="b">
        <f>AD79=[2]员工报账!AD79</f>
        <v>1</v>
      </c>
      <c r="BT79" s="48" t="b">
        <f>AE79=[2]员工报账!AE79</f>
        <v>1</v>
      </c>
      <c r="BU79" s="48" t="b">
        <f>AF79=[2]员工报账!AF79</f>
        <v>1</v>
      </c>
      <c r="BV79" s="48" t="b">
        <f>AG79=[2]员工报账!AG79</f>
        <v>1</v>
      </c>
      <c r="BW79" s="48" t="b">
        <f>AH79=[2]员工报账!AH79</f>
        <v>1</v>
      </c>
      <c r="BX79" s="48" t="b">
        <f>AI79=[2]员工报账!AI79</f>
        <v>1</v>
      </c>
      <c r="BY79" s="48" t="b">
        <f>AJ79=[2]员工报账!AJ79</f>
        <v>1</v>
      </c>
      <c r="BZ79" s="48" t="b">
        <f>AK79=[2]员工报账!AK79</f>
        <v>1</v>
      </c>
    </row>
    <row r="80" s="48" customFormat="1" ht="118.8" spans="1:78">
      <c r="A80" s="67"/>
      <c r="B80" s="67"/>
      <c r="C80" s="38"/>
      <c r="D80" s="38"/>
      <c r="E80" s="66"/>
      <c r="F80" s="66"/>
      <c r="G80" s="38"/>
      <c r="H80" s="66"/>
      <c r="I80" s="35" t="s">
        <v>862</v>
      </c>
      <c r="J80" s="42" t="s">
        <v>863</v>
      </c>
      <c r="K80" s="35"/>
      <c r="L80" s="35"/>
      <c r="M80" s="35"/>
      <c r="N80" s="35"/>
      <c r="O80" s="35"/>
      <c r="P80" s="35"/>
      <c r="Q80" s="35" t="s">
        <v>36</v>
      </c>
      <c r="R80" s="35" t="s">
        <v>36</v>
      </c>
      <c r="S80" s="35"/>
      <c r="T80" s="35" t="s">
        <v>516</v>
      </c>
      <c r="U80" s="42"/>
      <c r="V80" s="42" t="s">
        <v>864</v>
      </c>
      <c r="W80" s="42" t="s">
        <v>865</v>
      </c>
      <c r="X80" s="35" t="s">
        <v>628</v>
      </c>
      <c r="Y80" s="35" t="s">
        <v>470</v>
      </c>
      <c r="Z80" s="35"/>
      <c r="AA80" s="35" t="s">
        <v>469</v>
      </c>
      <c r="AB80" s="35" t="s">
        <v>470</v>
      </c>
      <c r="AC80" s="35"/>
      <c r="AD80" s="42" t="s">
        <v>860</v>
      </c>
      <c r="AE80" s="35" t="s">
        <v>469</v>
      </c>
      <c r="AF80" s="35" t="s">
        <v>470</v>
      </c>
      <c r="AG80" s="35"/>
      <c r="AH80" s="35" t="s">
        <v>473</v>
      </c>
      <c r="AI80" s="35" t="s">
        <v>473</v>
      </c>
      <c r="AJ80" s="42" t="s">
        <v>866</v>
      </c>
      <c r="AK80" s="35" t="s">
        <v>678</v>
      </c>
      <c r="AL80" s="42" t="s">
        <v>679</v>
      </c>
      <c r="AM80" s="61"/>
      <c r="AN80" s="42"/>
      <c r="AO80" s="97"/>
      <c r="AP80" s="48" t="b">
        <f>A80=[2]员工报账!A80</f>
        <v>1</v>
      </c>
      <c r="AQ80" s="48" t="b">
        <f>B80=[2]员工报账!B80</f>
        <v>1</v>
      </c>
      <c r="AR80" s="48" t="b">
        <f>C80=[2]员工报账!C80</f>
        <v>1</v>
      </c>
      <c r="AS80" s="48" t="b">
        <f>D80=[2]员工报账!D80</f>
        <v>1</v>
      </c>
      <c r="AT80" s="48" t="b">
        <f>E80=[2]员工报账!E80</f>
        <v>1</v>
      </c>
      <c r="AU80" s="48" t="b">
        <f>F80=[2]员工报账!F80</f>
        <v>1</v>
      </c>
      <c r="AV80" s="48" t="b">
        <f>G80=[2]员工报账!G80</f>
        <v>1</v>
      </c>
      <c r="AW80" s="48" t="b">
        <f>H80=[2]员工报账!H80</f>
        <v>1</v>
      </c>
      <c r="AX80" s="48" t="b">
        <f>I80=[2]员工报账!I80</f>
        <v>1</v>
      </c>
      <c r="AY80" s="48" t="b">
        <f>J80=[2]员工报账!J80</f>
        <v>1</v>
      </c>
      <c r="AZ80" s="48" t="b">
        <f>K80=[2]员工报账!K80</f>
        <v>1</v>
      </c>
      <c r="BA80" s="48" t="b">
        <f>L80=[2]员工报账!L80</f>
        <v>1</v>
      </c>
      <c r="BB80" s="48" t="b">
        <f>M80=[2]员工报账!M80</f>
        <v>1</v>
      </c>
      <c r="BC80" s="48" t="b">
        <f>N80=[2]员工报账!N80</f>
        <v>1</v>
      </c>
      <c r="BD80" s="48" t="b">
        <f>O80=[2]员工报账!O80</f>
        <v>1</v>
      </c>
      <c r="BE80" s="48" t="b">
        <f>P80=[2]员工报账!P80</f>
        <v>1</v>
      </c>
      <c r="BF80" s="48" t="b">
        <f>Q80=[2]员工报账!Q80</f>
        <v>1</v>
      </c>
      <c r="BG80" s="48" t="b">
        <f>R80=[2]员工报账!R80</f>
        <v>1</v>
      </c>
      <c r="BH80" s="48" t="b">
        <f>S80=[2]员工报账!S80</f>
        <v>1</v>
      </c>
      <c r="BI80" s="48" t="b">
        <f>T80=[2]员工报账!T80</f>
        <v>1</v>
      </c>
      <c r="BJ80" s="48" t="b">
        <f>U80=[2]员工报账!U80</f>
        <v>1</v>
      </c>
      <c r="BK80" s="48" t="b">
        <f>V80=[2]员工报账!V80</f>
        <v>1</v>
      </c>
      <c r="BL80" s="48" t="b">
        <f>W80=[2]员工报账!W80</f>
        <v>1</v>
      </c>
      <c r="BM80" s="48" t="b">
        <f>X80=[2]员工报账!X80</f>
        <v>1</v>
      </c>
      <c r="BN80" s="48" t="b">
        <f>Y80=[2]员工报账!Y80</f>
        <v>1</v>
      </c>
      <c r="BO80" s="48" t="b">
        <f>Z80=[2]员工报账!Z80</f>
        <v>1</v>
      </c>
      <c r="BP80" s="48" t="b">
        <f>AA80=[2]员工报账!AA80</f>
        <v>1</v>
      </c>
      <c r="BQ80" s="48" t="b">
        <f>AB80=[2]员工报账!AB80</f>
        <v>1</v>
      </c>
      <c r="BR80" s="48" t="b">
        <f>AC80=[2]员工报账!AC80</f>
        <v>1</v>
      </c>
      <c r="BS80" s="48" t="b">
        <f>AD80=[2]员工报账!AD80</f>
        <v>1</v>
      </c>
      <c r="BT80" s="48" t="b">
        <f>AE80=[2]员工报账!AE80</f>
        <v>1</v>
      </c>
      <c r="BU80" s="48" t="b">
        <f>AF80=[2]员工报账!AF80</f>
        <v>1</v>
      </c>
      <c r="BV80" s="48" t="b">
        <f>AG80=[2]员工报账!AG80</f>
        <v>1</v>
      </c>
      <c r="BW80" s="48" t="b">
        <f>AH80=[2]员工报账!AH80</f>
        <v>1</v>
      </c>
      <c r="BX80" s="48" t="b">
        <f>AI80=[2]员工报账!AI80</f>
        <v>1</v>
      </c>
      <c r="BY80" s="48" t="b">
        <f>AJ80=[2]员工报账!AJ80</f>
        <v>1</v>
      </c>
      <c r="BZ80" s="48" t="b">
        <f>AK80=[2]员工报账!AK80</f>
        <v>1</v>
      </c>
    </row>
    <row r="81" ht="79.2" spans="1:78">
      <c r="A81" s="79" t="s">
        <v>453</v>
      </c>
      <c r="B81" s="79" t="s">
        <v>644</v>
      </c>
      <c r="C81" s="45" t="s">
        <v>867</v>
      </c>
      <c r="D81" s="45" t="s">
        <v>868</v>
      </c>
      <c r="E81" s="45" t="s">
        <v>869</v>
      </c>
      <c r="F81" s="45" t="s">
        <v>870</v>
      </c>
      <c r="G81" s="45" t="s">
        <v>871</v>
      </c>
      <c r="H81" s="45" t="s">
        <v>872</v>
      </c>
      <c r="I81" s="45" t="s">
        <v>873</v>
      </c>
      <c r="J81" s="33" t="s">
        <v>874</v>
      </c>
      <c r="K81" s="45"/>
      <c r="L81" s="45"/>
      <c r="M81" s="45" t="s">
        <v>36</v>
      </c>
      <c r="N81" s="45"/>
      <c r="O81" s="45"/>
      <c r="P81" s="45"/>
      <c r="Q81" s="45"/>
      <c r="R81" s="45" t="s">
        <v>36</v>
      </c>
      <c r="S81" s="45"/>
      <c r="T81" s="45" t="s">
        <v>516</v>
      </c>
      <c r="U81" s="32"/>
      <c r="V81" s="32" t="s">
        <v>875</v>
      </c>
      <c r="W81" s="32" t="s">
        <v>876</v>
      </c>
      <c r="X81" s="45" t="s">
        <v>628</v>
      </c>
      <c r="Y81" s="45" t="s">
        <v>470</v>
      </c>
      <c r="Z81" s="45"/>
      <c r="AA81" s="45" t="s">
        <v>469</v>
      </c>
      <c r="AB81" s="45" t="s">
        <v>470</v>
      </c>
      <c r="AC81" s="45"/>
      <c r="AD81" s="32"/>
      <c r="AE81" s="45"/>
      <c r="AF81" s="45"/>
      <c r="AG81" s="45"/>
      <c r="AH81" s="45" t="s">
        <v>473</v>
      </c>
      <c r="AI81" s="45" t="s">
        <v>473</v>
      </c>
      <c r="AJ81" s="32"/>
      <c r="AK81" s="22"/>
      <c r="AL81" s="35" t="s">
        <v>877</v>
      </c>
      <c r="AM81" s="28"/>
      <c r="AN81" s="35" t="s">
        <v>878</v>
      </c>
      <c r="AO81" s="99"/>
      <c r="AP81" s="48" t="b">
        <f>A81=[2]员工报账!A81</f>
        <v>1</v>
      </c>
      <c r="AQ81" s="48" t="b">
        <f>B81=[2]员工报账!B81</f>
        <v>1</v>
      </c>
      <c r="AR81" s="48" t="b">
        <f>C81=[2]员工报账!C81</f>
        <v>1</v>
      </c>
      <c r="AS81" s="48" t="b">
        <f>D81=[2]员工报账!D81</f>
        <v>1</v>
      </c>
      <c r="AT81" s="48" t="b">
        <f>E81=[2]员工报账!E81</f>
        <v>1</v>
      </c>
      <c r="AU81" s="48" t="b">
        <f>F81=[2]员工报账!F81</f>
        <v>1</v>
      </c>
      <c r="AV81" s="48" t="b">
        <f>G81=[2]员工报账!G81</f>
        <v>1</v>
      </c>
      <c r="AW81" s="48" t="b">
        <f>H81=[2]员工报账!H81</f>
        <v>1</v>
      </c>
      <c r="AX81" s="48" t="b">
        <f>I81=[2]员工报账!I81</f>
        <v>1</v>
      </c>
      <c r="AY81" s="48" t="b">
        <f>J81=[2]员工报账!J81</f>
        <v>1</v>
      </c>
      <c r="AZ81" s="48" t="b">
        <f>K81=[2]员工报账!K81</f>
        <v>1</v>
      </c>
      <c r="BA81" s="48" t="b">
        <f>L81=[2]员工报账!L81</f>
        <v>1</v>
      </c>
      <c r="BB81" s="48" t="b">
        <f>M81=[2]员工报账!M81</f>
        <v>1</v>
      </c>
      <c r="BC81" s="48" t="b">
        <f>N81=[2]员工报账!N81</f>
        <v>1</v>
      </c>
      <c r="BD81" s="48" t="b">
        <f>O81=[2]员工报账!O81</f>
        <v>1</v>
      </c>
      <c r="BE81" s="48" t="b">
        <f>P81=[2]员工报账!P81</f>
        <v>1</v>
      </c>
      <c r="BF81" s="48" t="b">
        <f>Q81=[2]员工报账!Q81</f>
        <v>1</v>
      </c>
      <c r="BG81" s="48" t="b">
        <f>R81=[2]员工报账!R81</f>
        <v>1</v>
      </c>
      <c r="BH81" s="48" t="b">
        <f>S81=[2]员工报账!S81</f>
        <v>1</v>
      </c>
      <c r="BI81" s="48" t="b">
        <f>T81=[2]员工报账!T81</f>
        <v>1</v>
      </c>
      <c r="BJ81" s="48" t="b">
        <f>U81=[2]员工报账!U81</f>
        <v>1</v>
      </c>
      <c r="BK81" s="48" t="b">
        <f>V81=[2]员工报账!V81</f>
        <v>1</v>
      </c>
      <c r="BL81" s="48" t="b">
        <f>W81=[2]员工报账!W81</f>
        <v>1</v>
      </c>
      <c r="BM81" s="48" t="b">
        <f>X81=[2]员工报账!X81</f>
        <v>1</v>
      </c>
      <c r="BN81" s="48" t="b">
        <f>Y81=[2]员工报账!Y81</f>
        <v>1</v>
      </c>
      <c r="BO81" s="48" t="b">
        <f>Z81=[2]员工报账!Z81</f>
        <v>1</v>
      </c>
      <c r="BP81" s="48" t="b">
        <f>AA81=[2]员工报账!AA81</f>
        <v>1</v>
      </c>
      <c r="BQ81" s="48" t="b">
        <f>AB81=[2]员工报账!AB81</f>
        <v>1</v>
      </c>
      <c r="BR81" s="48" t="b">
        <f>AC81=[2]员工报账!AC81</f>
        <v>1</v>
      </c>
      <c r="BS81" s="48" t="b">
        <f>AD81=[2]员工报账!AD81</f>
        <v>1</v>
      </c>
      <c r="BT81" s="48" t="b">
        <f>AE81=[2]员工报账!AE81</f>
        <v>1</v>
      </c>
      <c r="BU81" s="48" t="b">
        <f>AF81=[2]员工报账!AF81</f>
        <v>1</v>
      </c>
      <c r="BV81" s="48" t="b">
        <f>AG81=[2]员工报账!AG81</f>
        <v>1</v>
      </c>
      <c r="BW81" s="48" t="b">
        <f>AH81=[2]员工报账!AH81</f>
        <v>1</v>
      </c>
      <c r="BX81" s="48" t="b">
        <f>AI81=[2]员工报账!AI81</f>
        <v>1</v>
      </c>
      <c r="BY81" s="48" t="b">
        <f>AJ81=[2]员工报账!AJ81</f>
        <v>1</v>
      </c>
      <c r="BZ81" s="48" t="b">
        <f>AK81=[2]员工报账!AK81</f>
        <v>1</v>
      </c>
    </row>
    <row r="82" ht="158.4" spans="1:78">
      <c r="A82" s="79"/>
      <c r="B82" s="79"/>
      <c r="C82" s="45"/>
      <c r="D82" s="45"/>
      <c r="E82" s="45"/>
      <c r="F82" s="45"/>
      <c r="G82" s="45"/>
      <c r="H82" s="45"/>
      <c r="I82" s="45" t="s">
        <v>879</v>
      </c>
      <c r="J82" s="33" t="s">
        <v>880</v>
      </c>
      <c r="K82" s="45" t="s">
        <v>36</v>
      </c>
      <c r="L82" s="45"/>
      <c r="M82" s="45" t="s">
        <v>36</v>
      </c>
      <c r="N82" s="45"/>
      <c r="O82" s="45"/>
      <c r="P82" s="45"/>
      <c r="Q82" s="45"/>
      <c r="R82" s="45"/>
      <c r="S82" s="45"/>
      <c r="T82" s="45" t="s">
        <v>516</v>
      </c>
      <c r="U82" s="32"/>
      <c r="V82" s="32" t="s">
        <v>881</v>
      </c>
      <c r="W82" s="32" t="s">
        <v>882</v>
      </c>
      <c r="X82" s="45" t="s">
        <v>628</v>
      </c>
      <c r="Y82" s="45" t="s">
        <v>470</v>
      </c>
      <c r="Z82" s="45"/>
      <c r="AA82" s="45" t="s">
        <v>469</v>
      </c>
      <c r="AB82" s="45" t="s">
        <v>470</v>
      </c>
      <c r="AC82" s="45"/>
      <c r="AD82" s="32"/>
      <c r="AE82" s="45"/>
      <c r="AF82" s="45"/>
      <c r="AG82" s="45"/>
      <c r="AH82" s="45" t="s">
        <v>473</v>
      </c>
      <c r="AI82" s="45" t="s">
        <v>473</v>
      </c>
      <c r="AJ82" s="32"/>
      <c r="AK82" s="22"/>
      <c r="AL82" s="35" t="s">
        <v>877</v>
      </c>
      <c r="AM82" s="28"/>
      <c r="AN82" s="35" t="s">
        <v>878</v>
      </c>
      <c r="AO82" s="99"/>
      <c r="AP82" s="48" t="b">
        <f>A82=[2]员工报账!A82</f>
        <v>1</v>
      </c>
      <c r="AQ82" s="48" t="b">
        <f>B82=[2]员工报账!B82</f>
        <v>1</v>
      </c>
      <c r="AR82" s="48" t="b">
        <f>C82=[2]员工报账!C82</f>
        <v>1</v>
      </c>
      <c r="AS82" s="48" t="b">
        <f>D82=[2]员工报账!D82</f>
        <v>1</v>
      </c>
      <c r="AT82" s="48" t="b">
        <f>E82=[2]员工报账!E82</f>
        <v>1</v>
      </c>
      <c r="AU82" s="48" t="b">
        <f>F82=[2]员工报账!F82</f>
        <v>1</v>
      </c>
      <c r="AV82" s="48" t="b">
        <f>G82=[2]员工报账!G82</f>
        <v>1</v>
      </c>
      <c r="AW82" s="48" t="b">
        <f>H82=[2]员工报账!H82</f>
        <v>1</v>
      </c>
      <c r="AX82" s="48" t="b">
        <f>I82=[2]员工报账!I82</f>
        <v>1</v>
      </c>
      <c r="AY82" s="48" t="b">
        <f>J82=[2]员工报账!J82</f>
        <v>1</v>
      </c>
      <c r="AZ82" s="48" t="b">
        <f>K82=[2]员工报账!K82</f>
        <v>1</v>
      </c>
      <c r="BA82" s="48" t="b">
        <f>L82=[2]员工报账!L82</f>
        <v>1</v>
      </c>
      <c r="BB82" s="48" t="b">
        <f>M82=[2]员工报账!M82</f>
        <v>1</v>
      </c>
      <c r="BC82" s="48" t="b">
        <f>N82=[2]员工报账!N82</f>
        <v>1</v>
      </c>
      <c r="BD82" s="48" t="b">
        <f>O82=[2]员工报账!O82</f>
        <v>1</v>
      </c>
      <c r="BE82" s="48" t="b">
        <f>P82=[2]员工报账!P82</f>
        <v>1</v>
      </c>
      <c r="BF82" s="48" t="b">
        <f>Q82=[2]员工报账!Q82</f>
        <v>1</v>
      </c>
      <c r="BG82" s="48" t="b">
        <f>R82=[2]员工报账!R82</f>
        <v>1</v>
      </c>
      <c r="BH82" s="48" t="b">
        <f>S82=[2]员工报账!S82</f>
        <v>1</v>
      </c>
      <c r="BI82" s="48" t="b">
        <f>T82=[2]员工报账!T82</f>
        <v>1</v>
      </c>
      <c r="BJ82" s="48" t="b">
        <f>U82=[2]员工报账!U82</f>
        <v>1</v>
      </c>
      <c r="BK82" s="48" t="b">
        <f>V82=[2]员工报账!V82</f>
        <v>1</v>
      </c>
      <c r="BL82" s="48" t="b">
        <f>W82=[2]员工报账!W82</f>
        <v>1</v>
      </c>
      <c r="BM82" s="48" t="b">
        <f>X82=[2]员工报账!X82</f>
        <v>1</v>
      </c>
      <c r="BN82" s="48" t="b">
        <f>Y82=[2]员工报账!Y82</f>
        <v>1</v>
      </c>
      <c r="BO82" s="48" t="b">
        <f>Z82=[2]员工报账!Z82</f>
        <v>1</v>
      </c>
      <c r="BP82" s="48" t="b">
        <f>AA82=[2]员工报账!AA82</f>
        <v>1</v>
      </c>
      <c r="BQ82" s="48" t="b">
        <f>AB82=[2]员工报账!AB82</f>
        <v>1</v>
      </c>
      <c r="BR82" s="48" t="b">
        <f>AC82=[2]员工报账!AC82</f>
        <v>1</v>
      </c>
      <c r="BS82" s="48" t="b">
        <f>AD82=[2]员工报账!AD82</f>
        <v>1</v>
      </c>
      <c r="BT82" s="48" t="b">
        <f>AE82=[2]员工报账!AE82</f>
        <v>1</v>
      </c>
      <c r="BU82" s="48" t="b">
        <f>AF82=[2]员工报账!AF82</f>
        <v>1</v>
      </c>
      <c r="BV82" s="48" t="b">
        <f>AG82=[2]员工报账!AG82</f>
        <v>1</v>
      </c>
      <c r="BW82" s="48" t="b">
        <f>AH82=[2]员工报账!AH82</f>
        <v>1</v>
      </c>
      <c r="BX82" s="48" t="b">
        <f>AI82=[2]员工报账!AI82</f>
        <v>1</v>
      </c>
      <c r="BY82" s="48" t="b">
        <f>AJ82=[2]员工报账!AJ82</f>
        <v>1</v>
      </c>
      <c r="BZ82" s="48" t="b">
        <f>AK82=[2]员工报账!AK82</f>
        <v>1</v>
      </c>
    </row>
    <row r="83" ht="158.4" spans="1:78">
      <c r="A83" s="79"/>
      <c r="B83" s="79"/>
      <c r="C83" s="45"/>
      <c r="D83" s="45"/>
      <c r="E83" s="45"/>
      <c r="F83" s="45"/>
      <c r="G83" s="45"/>
      <c r="H83" s="45"/>
      <c r="I83" s="45" t="s">
        <v>883</v>
      </c>
      <c r="J83" s="33" t="s">
        <v>884</v>
      </c>
      <c r="K83" s="45"/>
      <c r="L83" s="45"/>
      <c r="M83" s="45" t="s">
        <v>36</v>
      </c>
      <c r="N83" s="45"/>
      <c r="O83" s="45"/>
      <c r="P83" s="45"/>
      <c r="Q83" s="45"/>
      <c r="R83" s="45"/>
      <c r="S83" s="45"/>
      <c r="T83" s="45" t="s">
        <v>516</v>
      </c>
      <c r="U83" s="32"/>
      <c r="V83" s="32" t="s">
        <v>885</v>
      </c>
      <c r="W83" s="32" t="s">
        <v>882</v>
      </c>
      <c r="X83" s="45" t="s">
        <v>628</v>
      </c>
      <c r="Y83" s="45" t="s">
        <v>470</v>
      </c>
      <c r="Z83" s="45"/>
      <c r="AA83" s="45" t="s">
        <v>469</v>
      </c>
      <c r="AB83" s="45" t="s">
        <v>470</v>
      </c>
      <c r="AC83" s="45"/>
      <c r="AD83" s="32"/>
      <c r="AE83" s="45"/>
      <c r="AF83" s="45"/>
      <c r="AG83" s="45"/>
      <c r="AH83" s="45" t="s">
        <v>473</v>
      </c>
      <c r="AI83" s="45" t="s">
        <v>473</v>
      </c>
      <c r="AJ83" s="32" t="s">
        <v>886</v>
      </c>
      <c r="AK83" s="22"/>
      <c r="AL83" s="35" t="s">
        <v>877</v>
      </c>
      <c r="AM83" s="28"/>
      <c r="AN83" s="35" t="s">
        <v>878</v>
      </c>
      <c r="AO83" s="99"/>
      <c r="AP83" s="48" t="b">
        <f>A83=[2]员工报账!A83</f>
        <v>1</v>
      </c>
      <c r="AQ83" s="48" t="b">
        <f>B83=[2]员工报账!B83</f>
        <v>1</v>
      </c>
      <c r="AR83" s="48" t="b">
        <f>C83=[2]员工报账!C83</f>
        <v>1</v>
      </c>
      <c r="AS83" s="48" t="b">
        <f>D83=[2]员工报账!D83</f>
        <v>1</v>
      </c>
      <c r="AT83" s="48" t="b">
        <f>E83=[2]员工报账!E83</f>
        <v>1</v>
      </c>
      <c r="AU83" s="48" t="b">
        <f>F83=[2]员工报账!F83</f>
        <v>1</v>
      </c>
      <c r="AV83" s="48" t="b">
        <f>G83=[2]员工报账!G83</f>
        <v>1</v>
      </c>
      <c r="AW83" s="48" t="b">
        <f>H83=[2]员工报账!H83</f>
        <v>1</v>
      </c>
      <c r="AX83" s="48" t="b">
        <f>I83=[2]员工报账!I83</f>
        <v>1</v>
      </c>
      <c r="AY83" s="48" t="b">
        <f>J83=[2]员工报账!J83</f>
        <v>1</v>
      </c>
      <c r="AZ83" s="48" t="b">
        <f>K83=[2]员工报账!K83</f>
        <v>1</v>
      </c>
      <c r="BA83" s="48" t="b">
        <f>L83=[2]员工报账!L83</f>
        <v>1</v>
      </c>
      <c r="BB83" s="48" t="b">
        <f>M83=[2]员工报账!M83</f>
        <v>1</v>
      </c>
      <c r="BC83" s="48" t="b">
        <f>N83=[2]员工报账!N83</f>
        <v>1</v>
      </c>
      <c r="BD83" s="48" t="b">
        <f>O83=[2]员工报账!O83</f>
        <v>1</v>
      </c>
      <c r="BE83" s="48" t="b">
        <f>P83=[2]员工报账!P83</f>
        <v>1</v>
      </c>
      <c r="BF83" s="48" t="b">
        <f>Q83=[2]员工报账!Q83</f>
        <v>1</v>
      </c>
      <c r="BG83" s="48" t="b">
        <f>R83=[2]员工报账!R83</f>
        <v>1</v>
      </c>
      <c r="BH83" s="48" t="b">
        <f>S83=[2]员工报账!S83</f>
        <v>1</v>
      </c>
      <c r="BI83" s="48" t="b">
        <f>T83=[2]员工报账!T83</f>
        <v>1</v>
      </c>
      <c r="BJ83" s="48" t="b">
        <f>U83=[2]员工报账!U83</f>
        <v>1</v>
      </c>
      <c r="BK83" s="48" t="b">
        <f>V83=[2]员工报账!V83</f>
        <v>1</v>
      </c>
      <c r="BL83" s="48" t="b">
        <f>W83=[2]员工报账!W83</f>
        <v>1</v>
      </c>
      <c r="BM83" s="48" t="b">
        <f>X83=[2]员工报账!X83</f>
        <v>1</v>
      </c>
      <c r="BN83" s="48" t="b">
        <f>Y83=[2]员工报账!Y83</f>
        <v>1</v>
      </c>
      <c r="BO83" s="48" t="b">
        <f>Z83=[2]员工报账!Z83</f>
        <v>1</v>
      </c>
      <c r="BP83" s="48" t="b">
        <f>AA83=[2]员工报账!AA83</f>
        <v>1</v>
      </c>
      <c r="BQ83" s="48" t="b">
        <f>AB83=[2]员工报账!AB83</f>
        <v>1</v>
      </c>
      <c r="BR83" s="48" t="b">
        <f>AC83=[2]员工报账!AC83</f>
        <v>1</v>
      </c>
      <c r="BS83" s="48" t="b">
        <f>AD83=[2]员工报账!AD83</f>
        <v>1</v>
      </c>
      <c r="BT83" s="48" t="b">
        <f>AE83=[2]员工报账!AE83</f>
        <v>1</v>
      </c>
      <c r="BU83" s="48" t="b">
        <f>AF83=[2]员工报账!AF83</f>
        <v>1</v>
      </c>
      <c r="BV83" s="48" t="b">
        <f>AG83=[2]员工报账!AG83</f>
        <v>1</v>
      </c>
      <c r="BW83" s="48" t="b">
        <f>AH83=[2]员工报账!AH83</f>
        <v>1</v>
      </c>
      <c r="BX83" s="48" t="b">
        <f>AI83=[2]员工报账!AI83</f>
        <v>1</v>
      </c>
      <c r="BY83" s="48" t="b">
        <f>AJ83=[2]员工报账!AJ83</f>
        <v>1</v>
      </c>
      <c r="BZ83" s="48" t="b">
        <f>AK83=[2]员工报账!AK83</f>
        <v>1</v>
      </c>
    </row>
    <row r="84" ht="184.8" spans="1:78">
      <c r="A84" s="79"/>
      <c r="B84" s="79"/>
      <c r="C84" s="45"/>
      <c r="D84" s="45"/>
      <c r="E84" s="45"/>
      <c r="F84" s="45"/>
      <c r="G84" s="45"/>
      <c r="H84" s="45"/>
      <c r="I84" s="45" t="s">
        <v>887</v>
      </c>
      <c r="J84" s="33" t="s">
        <v>888</v>
      </c>
      <c r="K84" s="45"/>
      <c r="L84" s="45"/>
      <c r="M84" s="45"/>
      <c r="N84" s="45" t="s">
        <v>36</v>
      </c>
      <c r="O84" s="45"/>
      <c r="P84" s="45"/>
      <c r="Q84" s="45" t="s">
        <v>36</v>
      </c>
      <c r="R84" s="45"/>
      <c r="S84" s="45"/>
      <c r="T84" s="45" t="s">
        <v>516</v>
      </c>
      <c r="U84" s="32"/>
      <c r="V84" s="32" t="s">
        <v>889</v>
      </c>
      <c r="W84" s="32" t="s">
        <v>890</v>
      </c>
      <c r="X84" s="45" t="s">
        <v>628</v>
      </c>
      <c r="Y84" s="45" t="s">
        <v>470</v>
      </c>
      <c r="Z84" s="45"/>
      <c r="AA84" s="45" t="s">
        <v>469</v>
      </c>
      <c r="AB84" s="45" t="s">
        <v>470</v>
      </c>
      <c r="AC84" s="45"/>
      <c r="AD84" s="32"/>
      <c r="AE84" s="45"/>
      <c r="AF84" s="45"/>
      <c r="AG84" s="45"/>
      <c r="AH84" s="45" t="s">
        <v>473</v>
      </c>
      <c r="AI84" s="45" t="s">
        <v>473</v>
      </c>
      <c r="AJ84" s="32" t="s">
        <v>891</v>
      </c>
      <c r="AK84" s="22"/>
      <c r="AL84" s="35" t="s">
        <v>877</v>
      </c>
      <c r="AM84" s="28"/>
      <c r="AN84" s="35" t="s">
        <v>878</v>
      </c>
      <c r="AO84" s="99"/>
      <c r="AP84" s="48" t="b">
        <f>A84=[2]员工报账!A84</f>
        <v>1</v>
      </c>
      <c r="AQ84" s="48" t="b">
        <f>B84=[2]员工报账!B84</f>
        <v>1</v>
      </c>
      <c r="AR84" s="48" t="b">
        <f>C84=[2]员工报账!C84</f>
        <v>1</v>
      </c>
      <c r="AS84" s="48" t="b">
        <f>D84=[2]员工报账!D84</f>
        <v>1</v>
      </c>
      <c r="AT84" s="48" t="b">
        <f>E84=[2]员工报账!E84</f>
        <v>1</v>
      </c>
      <c r="AU84" s="48" t="b">
        <f>F84=[2]员工报账!F84</f>
        <v>1</v>
      </c>
      <c r="AV84" s="48" t="b">
        <f>G84=[2]员工报账!G84</f>
        <v>1</v>
      </c>
      <c r="AW84" s="48" t="b">
        <f>H84=[2]员工报账!H84</f>
        <v>1</v>
      </c>
      <c r="AX84" s="48" t="b">
        <f>I84=[2]员工报账!I84</f>
        <v>1</v>
      </c>
      <c r="AY84" s="48" t="b">
        <f>J84=[2]员工报账!J84</f>
        <v>1</v>
      </c>
      <c r="AZ84" s="48" t="b">
        <f>K84=[2]员工报账!K84</f>
        <v>1</v>
      </c>
      <c r="BA84" s="48" t="b">
        <f>L84=[2]员工报账!L84</f>
        <v>1</v>
      </c>
      <c r="BB84" s="48" t="b">
        <f>M84=[2]员工报账!M84</f>
        <v>1</v>
      </c>
      <c r="BC84" s="48" t="b">
        <f>N84=[2]员工报账!N84</f>
        <v>1</v>
      </c>
      <c r="BD84" s="48" t="b">
        <f>O84=[2]员工报账!O84</f>
        <v>1</v>
      </c>
      <c r="BE84" s="48" t="b">
        <f>P84=[2]员工报账!P84</f>
        <v>1</v>
      </c>
      <c r="BF84" s="48" t="b">
        <f>Q84=[2]员工报账!Q84</f>
        <v>1</v>
      </c>
      <c r="BG84" s="48" t="b">
        <f>R84=[2]员工报账!R84</f>
        <v>1</v>
      </c>
      <c r="BH84" s="48" t="b">
        <f>S84=[2]员工报账!S84</f>
        <v>1</v>
      </c>
      <c r="BI84" s="48" t="b">
        <f>T84=[2]员工报账!T84</f>
        <v>1</v>
      </c>
      <c r="BJ84" s="48" t="b">
        <f>U84=[2]员工报账!U84</f>
        <v>1</v>
      </c>
      <c r="BK84" s="48" t="b">
        <f>V84=[2]员工报账!V84</f>
        <v>1</v>
      </c>
      <c r="BL84" s="48" t="b">
        <f>W84=[2]员工报账!W84</f>
        <v>1</v>
      </c>
      <c r="BM84" s="48" t="b">
        <f>X84=[2]员工报账!X84</f>
        <v>1</v>
      </c>
      <c r="BN84" s="48" t="b">
        <f>Y84=[2]员工报账!Y84</f>
        <v>1</v>
      </c>
      <c r="BO84" s="48" t="b">
        <f>Z84=[2]员工报账!Z84</f>
        <v>1</v>
      </c>
      <c r="BP84" s="48" t="b">
        <f>AA84=[2]员工报账!AA84</f>
        <v>1</v>
      </c>
      <c r="BQ84" s="48" t="b">
        <f>AB84=[2]员工报账!AB84</f>
        <v>1</v>
      </c>
      <c r="BR84" s="48" t="b">
        <f>AC84=[2]员工报账!AC84</f>
        <v>1</v>
      </c>
      <c r="BS84" s="48" t="b">
        <f>AD84=[2]员工报账!AD84</f>
        <v>1</v>
      </c>
      <c r="BT84" s="48" t="b">
        <f>AE84=[2]员工报账!AE84</f>
        <v>1</v>
      </c>
      <c r="BU84" s="48" t="b">
        <f>AF84=[2]员工报账!AF84</f>
        <v>1</v>
      </c>
      <c r="BV84" s="48" t="b">
        <f>AG84=[2]员工报账!AG84</f>
        <v>1</v>
      </c>
      <c r="BW84" s="48" t="b">
        <f>AH84=[2]员工报账!AH84</f>
        <v>1</v>
      </c>
      <c r="BX84" s="48" t="b">
        <f>AI84=[2]员工报账!AI84</f>
        <v>1</v>
      </c>
      <c r="BY84" s="48" t="b">
        <f>AJ84=[2]员工报账!AJ84</f>
        <v>1</v>
      </c>
      <c r="BZ84" s="48" t="b">
        <f>AK84=[2]员工报账!AK84</f>
        <v>1</v>
      </c>
    </row>
    <row r="85" ht="92.4" spans="1:78">
      <c r="A85" s="80" t="s">
        <v>453</v>
      </c>
      <c r="B85" s="80" t="s">
        <v>644</v>
      </c>
      <c r="C85" s="81" t="s">
        <v>892</v>
      </c>
      <c r="D85" s="81" t="s">
        <v>893</v>
      </c>
      <c r="E85" s="82" t="s">
        <v>894</v>
      </c>
      <c r="F85" s="82" t="s">
        <v>895</v>
      </c>
      <c r="G85" s="81" t="s">
        <v>896</v>
      </c>
      <c r="H85" s="82" t="s">
        <v>897</v>
      </c>
      <c r="I85" s="83" t="s">
        <v>898</v>
      </c>
      <c r="J85" s="33" t="s">
        <v>899</v>
      </c>
      <c r="K85" s="45"/>
      <c r="L85" s="45"/>
      <c r="M85" s="45"/>
      <c r="N85" s="45"/>
      <c r="O85" s="45" t="s">
        <v>36</v>
      </c>
      <c r="P85" s="45"/>
      <c r="Q85" s="45"/>
      <c r="R85" s="45"/>
      <c r="S85" s="45"/>
      <c r="T85" s="45" t="s">
        <v>516</v>
      </c>
      <c r="U85" s="22"/>
      <c r="V85" s="32" t="s">
        <v>900</v>
      </c>
      <c r="W85" s="32" t="s">
        <v>901</v>
      </c>
      <c r="X85" s="45" t="s">
        <v>628</v>
      </c>
      <c r="Y85" s="45" t="s">
        <v>470</v>
      </c>
      <c r="Z85" s="45"/>
      <c r="AA85" s="45" t="s">
        <v>469</v>
      </c>
      <c r="AB85" s="45" t="s">
        <v>470</v>
      </c>
      <c r="AC85" s="45"/>
      <c r="AD85" s="32"/>
      <c r="AE85" s="45"/>
      <c r="AF85" s="45"/>
      <c r="AG85" s="45"/>
      <c r="AH85" s="45" t="s">
        <v>473</v>
      </c>
      <c r="AI85" s="45" t="s">
        <v>473</v>
      </c>
      <c r="AJ85" s="32" t="s">
        <v>902</v>
      </c>
      <c r="AK85" s="22"/>
      <c r="AL85" s="35" t="s">
        <v>699</v>
      </c>
      <c r="AM85" s="28"/>
      <c r="AN85" s="35" t="s">
        <v>903</v>
      </c>
      <c r="AO85" s="99"/>
      <c r="AP85" s="48" t="b">
        <f>A85=[2]员工报账!A85</f>
        <v>1</v>
      </c>
      <c r="AQ85" s="48" t="b">
        <f>B85=[2]员工报账!B85</f>
        <v>1</v>
      </c>
      <c r="AR85" s="48" t="b">
        <f>C85=[2]员工报账!C85</f>
        <v>1</v>
      </c>
      <c r="AS85" s="48" t="b">
        <f>D85=[2]员工报账!D85</f>
        <v>1</v>
      </c>
      <c r="AT85" s="48" t="b">
        <f>E85=[2]员工报账!E85</f>
        <v>1</v>
      </c>
      <c r="AU85" s="48" t="b">
        <f>F85=[2]员工报账!F85</f>
        <v>1</v>
      </c>
      <c r="AV85" s="48" t="b">
        <f>G85=[2]员工报账!G85</f>
        <v>1</v>
      </c>
      <c r="AW85" s="48" t="b">
        <f>H85=[2]员工报账!H85</f>
        <v>1</v>
      </c>
      <c r="AX85" s="48" t="b">
        <f>I85=[2]员工报账!I85</f>
        <v>1</v>
      </c>
      <c r="AY85" s="48" t="b">
        <f>J85=[2]员工报账!J85</f>
        <v>1</v>
      </c>
      <c r="AZ85" s="48" t="b">
        <f>K85=[2]员工报账!K85</f>
        <v>1</v>
      </c>
      <c r="BA85" s="48" t="b">
        <f>L85=[2]员工报账!L85</f>
        <v>1</v>
      </c>
      <c r="BB85" s="48" t="b">
        <f>M85=[2]员工报账!M85</f>
        <v>1</v>
      </c>
      <c r="BC85" s="48" t="b">
        <f>N85=[2]员工报账!N85</f>
        <v>1</v>
      </c>
      <c r="BD85" s="48" t="b">
        <f>O85=[2]员工报账!O85</f>
        <v>1</v>
      </c>
      <c r="BE85" s="48" t="b">
        <f>P85=[2]员工报账!P85</f>
        <v>1</v>
      </c>
      <c r="BF85" s="48" t="b">
        <f>Q85=[2]员工报账!Q85</f>
        <v>1</v>
      </c>
      <c r="BG85" s="48" t="b">
        <f>R85=[2]员工报账!R85</f>
        <v>1</v>
      </c>
      <c r="BH85" s="48" t="b">
        <f>S85=[2]员工报账!S85</f>
        <v>1</v>
      </c>
      <c r="BI85" s="48" t="b">
        <f>T85=[2]员工报账!T85</f>
        <v>1</v>
      </c>
      <c r="BJ85" s="48" t="b">
        <f>U85=[2]员工报账!U85</f>
        <v>1</v>
      </c>
      <c r="BK85" s="48" t="b">
        <f>V85=[2]员工报账!V85</f>
        <v>1</v>
      </c>
      <c r="BL85" s="48" t="b">
        <f>W85=[2]员工报账!W85</f>
        <v>1</v>
      </c>
      <c r="BM85" s="48" t="b">
        <f>X85=[2]员工报账!X85</f>
        <v>1</v>
      </c>
      <c r="BN85" s="48" t="b">
        <f>Y85=[2]员工报账!Y85</f>
        <v>1</v>
      </c>
      <c r="BO85" s="48" t="b">
        <f>Z85=[2]员工报账!Z85</f>
        <v>1</v>
      </c>
      <c r="BP85" s="48" t="b">
        <f>AA85=[2]员工报账!AA85</f>
        <v>1</v>
      </c>
      <c r="BQ85" s="48" t="b">
        <f>AB85=[2]员工报账!AB85</f>
        <v>1</v>
      </c>
      <c r="BR85" s="48" t="b">
        <f>AC85=[2]员工报账!AC85</f>
        <v>1</v>
      </c>
      <c r="BS85" s="48" t="b">
        <f>AD85=[2]员工报账!AD85</f>
        <v>1</v>
      </c>
      <c r="BT85" s="48" t="b">
        <f>AE85=[2]员工报账!AE85</f>
        <v>1</v>
      </c>
      <c r="BU85" s="48" t="b">
        <f>AF85=[2]员工报账!AF85</f>
        <v>1</v>
      </c>
      <c r="BV85" s="48" t="b">
        <f>AG85=[2]员工报账!AG85</f>
        <v>1</v>
      </c>
      <c r="BW85" s="48" t="b">
        <f>AH85=[2]员工报账!AH85</f>
        <v>1</v>
      </c>
      <c r="BX85" s="48" t="b">
        <f>AI85=[2]员工报账!AI85</f>
        <v>1</v>
      </c>
      <c r="BY85" s="48" t="b">
        <f>AJ85=[2]员工报账!AJ85</f>
        <v>1</v>
      </c>
      <c r="BZ85" s="48" t="b">
        <f>AK85=[2]员工报账!AK85</f>
        <v>1</v>
      </c>
    </row>
    <row r="86" ht="118.8" spans="1:78">
      <c r="A86" s="84"/>
      <c r="B86" s="84"/>
      <c r="C86" s="85"/>
      <c r="D86" s="85"/>
      <c r="E86" s="86"/>
      <c r="F86" s="86"/>
      <c r="G86" s="85"/>
      <c r="H86" s="86"/>
      <c r="I86" s="83" t="s">
        <v>904</v>
      </c>
      <c r="J86" s="33" t="s">
        <v>905</v>
      </c>
      <c r="K86" s="45" t="s">
        <v>36</v>
      </c>
      <c r="L86" s="45"/>
      <c r="M86" s="45" t="s">
        <v>36</v>
      </c>
      <c r="N86" s="45"/>
      <c r="O86" s="45"/>
      <c r="P86" s="45"/>
      <c r="Q86" s="45"/>
      <c r="R86" s="45"/>
      <c r="S86" s="45"/>
      <c r="T86" s="45" t="s">
        <v>516</v>
      </c>
      <c r="U86" s="22"/>
      <c r="V86" s="32" t="s">
        <v>906</v>
      </c>
      <c r="W86" s="32" t="s">
        <v>907</v>
      </c>
      <c r="X86" s="45" t="s">
        <v>628</v>
      </c>
      <c r="Y86" s="45" t="s">
        <v>470</v>
      </c>
      <c r="Z86" s="45"/>
      <c r="AA86" s="45" t="s">
        <v>469</v>
      </c>
      <c r="AB86" s="45" t="s">
        <v>470</v>
      </c>
      <c r="AC86" s="45"/>
      <c r="AD86" s="32"/>
      <c r="AE86" s="45"/>
      <c r="AF86" s="45"/>
      <c r="AG86" s="45"/>
      <c r="AH86" s="45" t="s">
        <v>473</v>
      </c>
      <c r="AI86" s="45" t="s">
        <v>473</v>
      </c>
      <c r="AJ86" s="32" t="s">
        <v>908</v>
      </c>
      <c r="AK86" s="22"/>
      <c r="AL86" s="35" t="s">
        <v>699</v>
      </c>
      <c r="AM86" s="28"/>
      <c r="AN86" s="35" t="s">
        <v>903</v>
      </c>
      <c r="AO86" s="99"/>
      <c r="AP86" s="48" t="b">
        <f>A86=[2]员工报账!A86</f>
        <v>1</v>
      </c>
      <c r="AQ86" s="48" t="b">
        <f>B86=[2]员工报账!B86</f>
        <v>1</v>
      </c>
      <c r="AR86" s="48" t="b">
        <f>C86=[2]员工报账!C86</f>
        <v>1</v>
      </c>
      <c r="AS86" s="48" t="b">
        <f>D86=[2]员工报账!D86</f>
        <v>1</v>
      </c>
      <c r="AT86" s="48" t="b">
        <f>E86=[2]员工报账!E86</f>
        <v>1</v>
      </c>
      <c r="AU86" s="48" t="b">
        <f>F86=[2]员工报账!F86</f>
        <v>1</v>
      </c>
      <c r="AV86" s="48" t="b">
        <f>G86=[2]员工报账!G86</f>
        <v>1</v>
      </c>
      <c r="AW86" s="48" t="b">
        <f>H86=[2]员工报账!H86</f>
        <v>1</v>
      </c>
      <c r="AX86" s="48" t="b">
        <f>I86=[2]员工报账!I86</f>
        <v>1</v>
      </c>
      <c r="AY86" s="48" t="b">
        <f>J86=[2]员工报账!J86</f>
        <v>1</v>
      </c>
      <c r="AZ86" s="48" t="b">
        <f>K86=[2]员工报账!K86</f>
        <v>1</v>
      </c>
      <c r="BA86" s="48" t="b">
        <f>L86=[2]员工报账!L86</f>
        <v>1</v>
      </c>
      <c r="BB86" s="48" t="b">
        <f>M86=[2]员工报账!M86</f>
        <v>1</v>
      </c>
      <c r="BC86" s="48" t="b">
        <f>N86=[2]员工报账!N86</f>
        <v>1</v>
      </c>
      <c r="BD86" s="48" t="b">
        <f>O86=[2]员工报账!O86</f>
        <v>1</v>
      </c>
      <c r="BE86" s="48" t="b">
        <f>P86=[2]员工报账!P86</f>
        <v>1</v>
      </c>
      <c r="BF86" s="48" t="b">
        <f>Q86=[2]员工报账!Q86</f>
        <v>1</v>
      </c>
      <c r="BG86" s="48" t="b">
        <f>R86=[2]员工报账!R86</f>
        <v>1</v>
      </c>
      <c r="BH86" s="48" t="b">
        <f>S86=[2]员工报账!S86</f>
        <v>1</v>
      </c>
      <c r="BI86" s="48" t="b">
        <f>T86=[2]员工报账!T86</f>
        <v>1</v>
      </c>
      <c r="BJ86" s="48" t="b">
        <f>U86=[2]员工报账!U86</f>
        <v>1</v>
      </c>
      <c r="BK86" s="48" t="b">
        <f>V86=[2]员工报账!V86</f>
        <v>1</v>
      </c>
      <c r="BL86" s="48" t="b">
        <f>W86=[2]员工报账!W86</f>
        <v>1</v>
      </c>
      <c r="BM86" s="48" t="b">
        <f>X86=[2]员工报账!X86</f>
        <v>1</v>
      </c>
      <c r="BN86" s="48" t="b">
        <f>Y86=[2]员工报账!Y86</f>
        <v>1</v>
      </c>
      <c r="BO86" s="48" t="b">
        <f>Z86=[2]员工报账!Z86</f>
        <v>1</v>
      </c>
      <c r="BP86" s="48" t="b">
        <f>AA86=[2]员工报账!AA86</f>
        <v>1</v>
      </c>
      <c r="BQ86" s="48" t="b">
        <f>AB86=[2]员工报账!AB86</f>
        <v>1</v>
      </c>
      <c r="BR86" s="48" t="b">
        <f>AC86=[2]员工报账!AC86</f>
        <v>1</v>
      </c>
      <c r="BS86" s="48" t="b">
        <f>AD86=[2]员工报账!AD86</f>
        <v>1</v>
      </c>
      <c r="BT86" s="48" t="b">
        <f>AE86=[2]员工报账!AE86</f>
        <v>1</v>
      </c>
      <c r="BU86" s="48" t="b">
        <f>AF86=[2]员工报账!AF86</f>
        <v>1</v>
      </c>
      <c r="BV86" s="48" t="b">
        <f>AG86=[2]员工报账!AG86</f>
        <v>1</v>
      </c>
      <c r="BW86" s="48" t="b">
        <f>AH86=[2]员工报账!AH86</f>
        <v>1</v>
      </c>
      <c r="BX86" s="48" t="b">
        <f>AI86=[2]员工报账!AI86</f>
        <v>1</v>
      </c>
      <c r="BY86" s="48" t="b">
        <f>AJ86=[2]员工报账!AJ86</f>
        <v>1</v>
      </c>
      <c r="BZ86" s="48" t="b">
        <f>AK86=[2]员工报账!AK86</f>
        <v>1</v>
      </c>
    </row>
    <row r="87" ht="118.8" spans="1:78">
      <c r="A87" s="84"/>
      <c r="B87" s="84"/>
      <c r="C87" s="85"/>
      <c r="D87" s="85"/>
      <c r="E87" s="86"/>
      <c r="F87" s="86"/>
      <c r="G87" s="85"/>
      <c r="H87" s="86"/>
      <c r="I87" s="83" t="s">
        <v>909</v>
      </c>
      <c r="J87" s="33" t="s">
        <v>910</v>
      </c>
      <c r="K87" s="35"/>
      <c r="L87" s="45"/>
      <c r="M87" s="45" t="s">
        <v>36</v>
      </c>
      <c r="N87" s="45"/>
      <c r="O87" s="45"/>
      <c r="P87" s="45"/>
      <c r="Q87" s="45"/>
      <c r="R87" s="45"/>
      <c r="S87" s="45"/>
      <c r="T87" s="45" t="s">
        <v>516</v>
      </c>
      <c r="U87" s="22"/>
      <c r="V87" s="32" t="s">
        <v>911</v>
      </c>
      <c r="W87" s="32" t="s">
        <v>912</v>
      </c>
      <c r="X87" s="45" t="s">
        <v>628</v>
      </c>
      <c r="Y87" s="45" t="s">
        <v>470</v>
      </c>
      <c r="Z87" s="45"/>
      <c r="AA87" s="45" t="s">
        <v>469</v>
      </c>
      <c r="AB87" s="45" t="s">
        <v>470</v>
      </c>
      <c r="AC87" s="45"/>
      <c r="AD87" s="32"/>
      <c r="AE87" s="45"/>
      <c r="AF87" s="45"/>
      <c r="AG87" s="45"/>
      <c r="AH87" s="45" t="s">
        <v>473</v>
      </c>
      <c r="AI87" s="45" t="s">
        <v>473</v>
      </c>
      <c r="AJ87" s="32" t="s">
        <v>913</v>
      </c>
      <c r="AK87" s="22"/>
      <c r="AL87" s="35" t="s">
        <v>699</v>
      </c>
      <c r="AM87" s="28"/>
      <c r="AN87" s="35" t="s">
        <v>903</v>
      </c>
      <c r="AO87" s="99"/>
      <c r="AP87" s="48" t="b">
        <f>A87=[2]员工报账!A87</f>
        <v>1</v>
      </c>
      <c r="AQ87" s="48" t="b">
        <f>B87=[2]员工报账!B87</f>
        <v>1</v>
      </c>
      <c r="AR87" s="48" t="b">
        <f>C87=[2]员工报账!C87</f>
        <v>1</v>
      </c>
      <c r="AS87" s="48" t="b">
        <f>D87=[2]员工报账!D87</f>
        <v>1</v>
      </c>
      <c r="AT87" s="48" t="b">
        <f>E87=[2]员工报账!E87</f>
        <v>1</v>
      </c>
      <c r="AU87" s="48" t="b">
        <f>F87=[2]员工报账!F87</f>
        <v>1</v>
      </c>
      <c r="AV87" s="48" t="b">
        <f>G87=[2]员工报账!G87</f>
        <v>1</v>
      </c>
      <c r="AW87" s="48" t="b">
        <f>H87=[2]员工报账!H87</f>
        <v>1</v>
      </c>
      <c r="AX87" s="48" t="b">
        <f>I87=[2]员工报账!I87</f>
        <v>1</v>
      </c>
      <c r="AY87" s="48" t="b">
        <f>J87=[2]员工报账!J87</f>
        <v>1</v>
      </c>
      <c r="AZ87" s="48" t="b">
        <f>K87=[2]员工报账!K87</f>
        <v>1</v>
      </c>
      <c r="BA87" s="48" t="b">
        <f>L87=[2]员工报账!L87</f>
        <v>1</v>
      </c>
      <c r="BB87" s="48" t="b">
        <f>M87=[2]员工报账!M87</f>
        <v>1</v>
      </c>
      <c r="BC87" s="48" t="b">
        <f>N87=[2]员工报账!N87</f>
        <v>1</v>
      </c>
      <c r="BD87" s="48" t="b">
        <f>O87=[2]员工报账!O87</f>
        <v>1</v>
      </c>
      <c r="BE87" s="48" t="b">
        <f>P87=[2]员工报账!P87</f>
        <v>1</v>
      </c>
      <c r="BF87" s="48" t="b">
        <f>Q87=[2]员工报账!Q87</f>
        <v>1</v>
      </c>
      <c r="BG87" s="48" t="b">
        <f>R87=[2]员工报账!R87</f>
        <v>1</v>
      </c>
      <c r="BH87" s="48" t="b">
        <f>S87=[2]员工报账!S87</f>
        <v>1</v>
      </c>
      <c r="BI87" s="48" t="b">
        <f>T87=[2]员工报账!T87</f>
        <v>1</v>
      </c>
      <c r="BJ87" s="48" t="b">
        <f>U87=[2]员工报账!U87</f>
        <v>1</v>
      </c>
      <c r="BK87" s="48" t="b">
        <f>V87=[2]员工报账!V87</f>
        <v>1</v>
      </c>
      <c r="BL87" s="48" t="b">
        <f>W87=[2]员工报账!W87</f>
        <v>1</v>
      </c>
      <c r="BM87" s="48" t="b">
        <f>X87=[2]员工报账!X87</f>
        <v>1</v>
      </c>
      <c r="BN87" s="48" t="b">
        <f>Y87=[2]员工报账!Y87</f>
        <v>1</v>
      </c>
      <c r="BO87" s="48" t="b">
        <f>Z87=[2]员工报账!Z87</f>
        <v>1</v>
      </c>
      <c r="BP87" s="48" t="b">
        <f>AA87=[2]员工报账!AA87</f>
        <v>1</v>
      </c>
      <c r="BQ87" s="48" t="b">
        <f>AB87=[2]员工报账!AB87</f>
        <v>1</v>
      </c>
      <c r="BR87" s="48" t="b">
        <f>AC87=[2]员工报账!AC87</f>
        <v>1</v>
      </c>
      <c r="BS87" s="48" t="b">
        <f>AD87=[2]员工报账!AD87</f>
        <v>1</v>
      </c>
      <c r="BT87" s="48" t="b">
        <f>AE87=[2]员工报账!AE87</f>
        <v>1</v>
      </c>
      <c r="BU87" s="48" t="b">
        <f>AF87=[2]员工报账!AF87</f>
        <v>1</v>
      </c>
      <c r="BV87" s="48" t="b">
        <f>AG87=[2]员工报账!AG87</f>
        <v>1</v>
      </c>
      <c r="BW87" s="48" t="b">
        <f>AH87=[2]员工报账!AH87</f>
        <v>1</v>
      </c>
      <c r="BX87" s="48" t="b">
        <f>AI87=[2]员工报账!AI87</f>
        <v>1</v>
      </c>
      <c r="BY87" s="48" t="b">
        <f>AJ87=[2]员工报账!AJ87</f>
        <v>1</v>
      </c>
      <c r="BZ87" s="48" t="b">
        <f>AK87=[2]员工报账!AK87</f>
        <v>1</v>
      </c>
    </row>
    <row r="88" ht="118.8" spans="1:78">
      <c r="A88" s="88"/>
      <c r="B88" s="88"/>
      <c r="C88" s="83"/>
      <c r="D88" s="83"/>
      <c r="E88" s="33"/>
      <c r="F88" s="33"/>
      <c r="G88" s="83"/>
      <c r="H88" s="33"/>
      <c r="I88" s="83" t="s">
        <v>914</v>
      </c>
      <c r="J88" s="33" t="s">
        <v>915</v>
      </c>
      <c r="K88" s="45"/>
      <c r="L88" s="45"/>
      <c r="M88" s="45"/>
      <c r="N88" s="45"/>
      <c r="O88" s="45"/>
      <c r="P88" s="45"/>
      <c r="Q88" s="45" t="s">
        <v>36</v>
      </c>
      <c r="R88" s="45"/>
      <c r="S88" s="45"/>
      <c r="T88" s="45" t="s">
        <v>516</v>
      </c>
      <c r="U88" s="22"/>
      <c r="V88" s="32" t="s">
        <v>911</v>
      </c>
      <c r="W88" s="32" t="s">
        <v>916</v>
      </c>
      <c r="X88" s="45" t="s">
        <v>628</v>
      </c>
      <c r="Y88" s="45" t="s">
        <v>470</v>
      </c>
      <c r="Z88" s="45"/>
      <c r="AA88" s="45" t="s">
        <v>469</v>
      </c>
      <c r="AB88" s="45" t="s">
        <v>470</v>
      </c>
      <c r="AC88" s="45"/>
      <c r="AD88" s="32"/>
      <c r="AE88" s="45"/>
      <c r="AF88" s="45"/>
      <c r="AG88" s="45"/>
      <c r="AH88" s="45" t="s">
        <v>473</v>
      </c>
      <c r="AI88" s="45" t="s">
        <v>473</v>
      </c>
      <c r="AJ88" s="32" t="s">
        <v>891</v>
      </c>
      <c r="AK88" s="22"/>
      <c r="AL88" s="35" t="s">
        <v>476</v>
      </c>
      <c r="AM88" s="28"/>
      <c r="AN88" s="35" t="s">
        <v>903</v>
      </c>
      <c r="AO88" s="99"/>
      <c r="AP88" s="48" t="b">
        <f>A88=[2]员工报账!A88</f>
        <v>1</v>
      </c>
      <c r="AQ88" s="48" t="b">
        <f>B88=[2]员工报账!B88</f>
        <v>1</v>
      </c>
      <c r="AR88" s="48" t="b">
        <f>C88=[2]员工报账!C88</f>
        <v>1</v>
      </c>
      <c r="AS88" s="48" t="b">
        <f>D88=[2]员工报账!D88</f>
        <v>1</v>
      </c>
      <c r="AT88" s="48" t="b">
        <f>E88=[2]员工报账!E88</f>
        <v>1</v>
      </c>
      <c r="AU88" s="48" t="b">
        <f>F88=[2]员工报账!F88</f>
        <v>1</v>
      </c>
      <c r="AV88" s="48" t="b">
        <f>G88=[2]员工报账!G88</f>
        <v>1</v>
      </c>
      <c r="AW88" s="48" t="b">
        <f>H88=[2]员工报账!H88</f>
        <v>1</v>
      </c>
      <c r="AX88" s="48" t="b">
        <f>I88=[2]员工报账!I88</f>
        <v>1</v>
      </c>
      <c r="AY88" s="48" t="b">
        <f>J88=[2]员工报账!J88</f>
        <v>1</v>
      </c>
      <c r="AZ88" s="48" t="b">
        <f>K88=[2]员工报账!K88</f>
        <v>1</v>
      </c>
      <c r="BA88" s="48" t="b">
        <f>L88=[2]员工报账!L88</f>
        <v>1</v>
      </c>
      <c r="BB88" s="48" t="b">
        <f>M88=[2]员工报账!M88</f>
        <v>1</v>
      </c>
      <c r="BC88" s="48" t="b">
        <f>N88=[2]员工报账!N88</f>
        <v>1</v>
      </c>
      <c r="BD88" s="48" t="b">
        <f>O88=[2]员工报账!O88</f>
        <v>1</v>
      </c>
      <c r="BE88" s="48" t="b">
        <f>P88=[2]员工报账!P88</f>
        <v>1</v>
      </c>
      <c r="BF88" s="48" t="b">
        <f>Q88=[2]员工报账!Q88</f>
        <v>1</v>
      </c>
      <c r="BG88" s="48" t="b">
        <f>R88=[2]员工报账!R88</f>
        <v>1</v>
      </c>
      <c r="BH88" s="48" t="b">
        <f>S88=[2]员工报账!S88</f>
        <v>1</v>
      </c>
      <c r="BI88" s="48" t="b">
        <f>T88=[2]员工报账!T88</f>
        <v>1</v>
      </c>
      <c r="BJ88" s="48" t="b">
        <f>U88=[2]员工报账!U88</f>
        <v>1</v>
      </c>
      <c r="BK88" s="48" t="b">
        <f>V88=[2]员工报账!V88</f>
        <v>1</v>
      </c>
      <c r="BL88" s="48" t="b">
        <f>W88=[2]员工报账!W88</f>
        <v>1</v>
      </c>
      <c r="BM88" s="48" t="b">
        <f>X88=[2]员工报账!X88</f>
        <v>1</v>
      </c>
      <c r="BN88" s="48" t="b">
        <f>Y88=[2]员工报账!Y88</f>
        <v>1</v>
      </c>
      <c r="BO88" s="48" t="b">
        <f>Z88=[2]员工报账!Z88</f>
        <v>1</v>
      </c>
      <c r="BP88" s="48" t="b">
        <f>AA88=[2]员工报账!AA88</f>
        <v>1</v>
      </c>
      <c r="BQ88" s="48" t="b">
        <f>AB88=[2]员工报账!AB88</f>
        <v>1</v>
      </c>
      <c r="BR88" s="48" t="b">
        <f>AC88=[2]员工报账!AC88</f>
        <v>1</v>
      </c>
      <c r="BS88" s="48" t="b">
        <f>AD88=[2]员工报账!AD88</f>
        <v>1</v>
      </c>
      <c r="BT88" s="48" t="b">
        <f>AE88=[2]员工报账!AE88</f>
        <v>1</v>
      </c>
      <c r="BU88" s="48" t="b">
        <f>AF88=[2]员工报账!AF88</f>
        <v>1</v>
      </c>
      <c r="BV88" s="48" t="b">
        <f>AG88=[2]员工报账!AG88</f>
        <v>1</v>
      </c>
      <c r="BW88" s="48" t="b">
        <f>AH88=[2]员工报账!AH88</f>
        <v>1</v>
      </c>
      <c r="BX88" s="48" t="b">
        <f>AI88=[2]员工报账!AI88</f>
        <v>1</v>
      </c>
      <c r="BY88" s="48" t="b">
        <f>AJ88=[2]员工报账!AJ88</f>
        <v>1</v>
      </c>
      <c r="BZ88" s="48" t="b">
        <f>AK88=[2]员工报账!AK88</f>
        <v>1</v>
      </c>
    </row>
    <row r="89" ht="105.6" spans="1:78">
      <c r="A89" s="80" t="s">
        <v>453</v>
      </c>
      <c r="B89" s="80" t="s">
        <v>644</v>
      </c>
      <c r="C89" s="81" t="s">
        <v>892</v>
      </c>
      <c r="D89" s="81" t="s">
        <v>917</v>
      </c>
      <c r="E89" s="82" t="s">
        <v>918</v>
      </c>
      <c r="F89" s="82" t="s">
        <v>919</v>
      </c>
      <c r="G89" s="81" t="s">
        <v>920</v>
      </c>
      <c r="H89" s="82" t="s">
        <v>921</v>
      </c>
      <c r="I89" s="83" t="s">
        <v>922</v>
      </c>
      <c r="J89" s="33" t="s">
        <v>923</v>
      </c>
      <c r="K89" s="45"/>
      <c r="L89" s="45"/>
      <c r="M89" s="45"/>
      <c r="N89" s="45"/>
      <c r="O89" s="45" t="s">
        <v>36</v>
      </c>
      <c r="P89" s="45"/>
      <c r="Q89" s="45"/>
      <c r="R89" s="45"/>
      <c r="S89" s="45"/>
      <c r="T89" s="45" t="s">
        <v>516</v>
      </c>
      <c r="U89" s="22"/>
      <c r="V89" s="32" t="s">
        <v>924</v>
      </c>
      <c r="W89" s="32" t="s">
        <v>925</v>
      </c>
      <c r="X89" s="45" t="s">
        <v>628</v>
      </c>
      <c r="Y89" s="45" t="s">
        <v>470</v>
      </c>
      <c r="Z89" s="45"/>
      <c r="AA89" s="45" t="s">
        <v>469</v>
      </c>
      <c r="AB89" s="45" t="s">
        <v>470</v>
      </c>
      <c r="AC89" s="45"/>
      <c r="AD89" s="32"/>
      <c r="AE89" s="45"/>
      <c r="AF89" s="45"/>
      <c r="AG89" s="45"/>
      <c r="AH89" s="45" t="s">
        <v>473</v>
      </c>
      <c r="AI89" s="45" t="s">
        <v>473</v>
      </c>
      <c r="AJ89" s="32" t="s">
        <v>926</v>
      </c>
      <c r="AK89" s="22"/>
      <c r="AL89" s="35" t="s">
        <v>927</v>
      </c>
      <c r="AM89" s="28"/>
      <c r="AN89" s="35" t="s">
        <v>928</v>
      </c>
      <c r="AO89" s="99"/>
      <c r="AP89" s="48" t="b">
        <f>A89=[2]员工报账!A89</f>
        <v>1</v>
      </c>
      <c r="AQ89" s="48" t="b">
        <f>B89=[2]员工报账!B89</f>
        <v>1</v>
      </c>
      <c r="AR89" s="48" t="b">
        <f>C89=[2]员工报账!C89</f>
        <v>1</v>
      </c>
      <c r="AS89" s="48" t="b">
        <f>D89=[2]员工报账!D89</f>
        <v>1</v>
      </c>
      <c r="AT89" s="48" t="b">
        <f>E89=[2]员工报账!E89</f>
        <v>1</v>
      </c>
      <c r="AU89" s="48" t="b">
        <f>F89=[2]员工报账!F89</f>
        <v>1</v>
      </c>
      <c r="AV89" s="48" t="b">
        <f>G89=[2]员工报账!G89</f>
        <v>1</v>
      </c>
      <c r="AW89" s="48" t="b">
        <f>H89=[2]员工报账!H89</f>
        <v>1</v>
      </c>
      <c r="AX89" s="48" t="b">
        <f>I89=[2]员工报账!I89</f>
        <v>1</v>
      </c>
      <c r="AY89" s="48" t="b">
        <f>J89=[2]员工报账!J89</f>
        <v>1</v>
      </c>
      <c r="AZ89" s="48" t="b">
        <f>K89=[2]员工报账!K89</f>
        <v>1</v>
      </c>
      <c r="BA89" s="48" t="b">
        <f>L89=[2]员工报账!L89</f>
        <v>1</v>
      </c>
      <c r="BB89" s="48" t="b">
        <f>M89=[2]员工报账!M89</f>
        <v>1</v>
      </c>
      <c r="BC89" s="48" t="b">
        <f>N89=[2]员工报账!N89</f>
        <v>1</v>
      </c>
      <c r="BD89" s="48" t="b">
        <f>O89=[2]员工报账!O89</f>
        <v>1</v>
      </c>
      <c r="BE89" s="48" t="b">
        <f>P89=[2]员工报账!P89</f>
        <v>1</v>
      </c>
      <c r="BF89" s="48" t="b">
        <f>Q89=[2]员工报账!Q89</f>
        <v>1</v>
      </c>
      <c r="BG89" s="48" t="b">
        <f>R89=[2]员工报账!R89</f>
        <v>1</v>
      </c>
      <c r="BH89" s="48" t="b">
        <f>S89=[2]员工报账!S89</f>
        <v>1</v>
      </c>
      <c r="BI89" s="48" t="b">
        <f>T89=[2]员工报账!T89</f>
        <v>1</v>
      </c>
      <c r="BJ89" s="48" t="b">
        <f>U89=[2]员工报账!U89</f>
        <v>1</v>
      </c>
      <c r="BK89" s="48" t="b">
        <f>V89=[2]员工报账!V89</f>
        <v>1</v>
      </c>
      <c r="BL89" s="48" t="b">
        <f>W89=[2]员工报账!W89</f>
        <v>1</v>
      </c>
      <c r="BM89" s="48" t="b">
        <f>X89=[2]员工报账!X89</f>
        <v>1</v>
      </c>
      <c r="BN89" s="48" t="b">
        <f>Y89=[2]员工报账!Y89</f>
        <v>1</v>
      </c>
      <c r="BO89" s="48" t="b">
        <f>Z89=[2]员工报账!Z89</f>
        <v>1</v>
      </c>
      <c r="BP89" s="48" t="b">
        <f>AA89=[2]员工报账!AA89</f>
        <v>1</v>
      </c>
      <c r="BQ89" s="48" t="b">
        <f>AB89=[2]员工报账!AB89</f>
        <v>1</v>
      </c>
      <c r="BR89" s="48" t="b">
        <f>AC89=[2]员工报账!AC89</f>
        <v>1</v>
      </c>
      <c r="BS89" s="48" t="b">
        <f>AD89=[2]员工报账!AD89</f>
        <v>1</v>
      </c>
      <c r="BT89" s="48" t="b">
        <f>AE89=[2]员工报账!AE89</f>
        <v>1</v>
      </c>
      <c r="BU89" s="48" t="b">
        <f>AF89=[2]员工报账!AF89</f>
        <v>1</v>
      </c>
      <c r="BV89" s="48" t="b">
        <f>AG89=[2]员工报账!AG89</f>
        <v>1</v>
      </c>
      <c r="BW89" s="48" t="b">
        <f>AH89=[2]员工报账!AH89</f>
        <v>1</v>
      </c>
      <c r="BX89" s="48" t="b">
        <f>AI89=[2]员工报账!AI89</f>
        <v>1</v>
      </c>
      <c r="BY89" s="48" t="b">
        <f>AJ89=[2]员工报账!AJ89</f>
        <v>1</v>
      </c>
      <c r="BZ89" s="48" t="b">
        <f>AK89=[2]员工报账!AK89</f>
        <v>1</v>
      </c>
    </row>
    <row r="90" ht="92.4" spans="1:78">
      <c r="A90" s="84"/>
      <c r="B90" s="84"/>
      <c r="C90" s="85"/>
      <c r="D90" s="85"/>
      <c r="E90" s="86"/>
      <c r="F90" s="86"/>
      <c r="G90" s="85"/>
      <c r="H90" s="86"/>
      <c r="I90" s="83" t="s">
        <v>929</v>
      </c>
      <c r="J90" s="33" t="s">
        <v>930</v>
      </c>
      <c r="K90" s="35"/>
      <c r="L90" s="45"/>
      <c r="M90" s="45"/>
      <c r="N90" s="45"/>
      <c r="O90" s="45" t="s">
        <v>36</v>
      </c>
      <c r="P90" s="45"/>
      <c r="Q90" s="45"/>
      <c r="R90" s="45"/>
      <c r="S90" s="45"/>
      <c r="T90" s="45" t="s">
        <v>516</v>
      </c>
      <c r="U90" s="22"/>
      <c r="V90" s="32" t="s">
        <v>924</v>
      </c>
      <c r="W90" s="32" t="s">
        <v>925</v>
      </c>
      <c r="X90" s="45" t="s">
        <v>628</v>
      </c>
      <c r="Y90" s="45" t="s">
        <v>470</v>
      </c>
      <c r="Z90" s="45"/>
      <c r="AA90" s="45" t="s">
        <v>469</v>
      </c>
      <c r="AB90" s="45" t="s">
        <v>470</v>
      </c>
      <c r="AC90" s="45"/>
      <c r="AD90" s="32"/>
      <c r="AE90" s="45" t="s">
        <v>469</v>
      </c>
      <c r="AF90" s="45" t="s">
        <v>470</v>
      </c>
      <c r="AG90" s="45"/>
      <c r="AH90" s="45" t="s">
        <v>473</v>
      </c>
      <c r="AI90" s="45" t="s">
        <v>473</v>
      </c>
      <c r="AJ90" s="32" t="s">
        <v>926</v>
      </c>
      <c r="AK90" s="22"/>
      <c r="AL90" s="35" t="s">
        <v>927</v>
      </c>
      <c r="AM90" s="28"/>
      <c r="AN90" s="35" t="s">
        <v>928</v>
      </c>
      <c r="AO90" s="99"/>
      <c r="AP90" s="48" t="b">
        <f>A90=[2]员工报账!A90</f>
        <v>1</v>
      </c>
      <c r="AQ90" s="48" t="b">
        <f>B90=[2]员工报账!B90</f>
        <v>1</v>
      </c>
      <c r="AR90" s="48" t="b">
        <f>C90=[2]员工报账!C90</f>
        <v>1</v>
      </c>
      <c r="AS90" s="48" t="b">
        <f>D90=[2]员工报账!D90</f>
        <v>1</v>
      </c>
      <c r="AT90" s="48" t="b">
        <f>E90=[2]员工报账!E90</f>
        <v>1</v>
      </c>
      <c r="AU90" s="48" t="b">
        <f>F90=[2]员工报账!F90</f>
        <v>1</v>
      </c>
      <c r="AV90" s="48" t="b">
        <f>G90=[2]员工报账!G90</f>
        <v>1</v>
      </c>
      <c r="AW90" s="48" t="b">
        <f>H90=[2]员工报账!H90</f>
        <v>1</v>
      </c>
      <c r="AX90" s="48" t="b">
        <f>I90=[2]员工报账!I90</f>
        <v>1</v>
      </c>
      <c r="AY90" s="48" t="b">
        <f>J90=[2]员工报账!J90</f>
        <v>1</v>
      </c>
      <c r="AZ90" s="48" t="b">
        <f>K90=[2]员工报账!K90</f>
        <v>1</v>
      </c>
      <c r="BA90" s="48" t="b">
        <f>L90=[2]员工报账!L90</f>
        <v>1</v>
      </c>
      <c r="BB90" s="48" t="b">
        <f>M90=[2]员工报账!M90</f>
        <v>1</v>
      </c>
      <c r="BC90" s="48" t="b">
        <f>N90=[2]员工报账!N90</f>
        <v>1</v>
      </c>
      <c r="BD90" s="48" t="b">
        <f>O90=[2]员工报账!O90</f>
        <v>1</v>
      </c>
      <c r="BE90" s="48" t="b">
        <f>P90=[2]员工报账!P90</f>
        <v>1</v>
      </c>
      <c r="BF90" s="48" t="b">
        <f>Q90=[2]员工报账!Q90</f>
        <v>1</v>
      </c>
      <c r="BG90" s="48" t="b">
        <f>R90=[2]员工报账!R90</f>
        <v>1</v>
      </c>
      <c r="BH90" s="48" t="b">
        <f>S90=[2]员工报账!S90</f>
        <v>1</v>
      </c>
      <c r="BI90" s="48" t="b">
        <f>T90=[2]员工报账!T90</f>
        <v>1</v>
      </c>
      <c r="BJ90" s="48" t="b">
        <f>U90=[2]员工报账!U90</f>
        <v>1</v>
      </c>
      <c r="BK90" s="48" t="b">
        <f>V90=[2]员工报账!V90</f>
        <v>1</v>
      </c>
      <c r="BL90" s="48" t="b">
        <f>W90=[2]员工报账!W90</f>
        <v>1</v>
      </c>
      <c r="BM90" s="48" t="b">
        <f>X90=[2]员工报账!X90</f>
        <v>1</v>
      </c>
      <c r="BN90" s="48" t="b">
        <f>Y90=[2]员工报账!Y90</f>
        <v>1</v>
      </c>
      <c r="BO90" s="48" t="b">
        <f>Z90=[2]员工报账!Z90</f>
        <v>1</v>
      </c>
      <c r="BP90" s="48" t="b">
        <f>AA90=[2]员工报账!AA90</f>
        <v>1</v>
      </c>
      <c r="BQ90" s="48" t="b">
        <f>AB90=[2]员工报账!AB90</f>
        <v>1</v>
      </c>
      <c r="BR90" s="48" t="b">
        <f>AC90=[2]员工报账!AC90</f>
        <v>1</v>
      </c>
      <c r="BS90" s="48" t="b">
        <f>AD90=[2]员工报账!AD90</f>
        <v>0</v>
      </c>
      <c r="BT90" s="48" t="b">
        <f>AE90=[2]员工报账!AE90</f>
        <v>1</v>
      </c>
      <c r="BU90" s="48" t="b">
        <f>AF90=[2]员工报账!AF90</f>
        <v>1</v>
      </c>
      <c r="BV90" s="48" t="b">
        <f>AG90=[2]员工报账!AG90</f>
        <v>1</v>
      </c>
      <c r="BW90" s="48" t="b">
        <f>AH90=[2]员工报账!AH90</f>
        <v>1</v>
      </c>
      <c r="BX90" s="48" t="b">
        <f>AI90=[2]员工报账!AI90</f>
        <v>1</v>
      </c>
      <c r="BY90" s="48" t="b">
        <f>AJ90=[2]员工报账!AJ90</f>
        <v>1</v>
      </c>
      <c r="BZ90" s="48" t="b">
        <f>AK90=[2]员工报账!AK90</f>
        <v>1</v>
      </c>
    </row>
    <row r="91" ht="132" spans="1:78">
      <c r="A91" s="88"/>
      <c r="B91" s="88"/>
      <c r="C91" s="83"/>
      <c r="D91" s="83"/>
      <c r="E91" s="33"/>
      <c r="F91" s="33"/>
      <c r="G91" s="83"/>
      <c r="H91" s="33"/>
      <c r="I91" s="83" t="s">
        <v>931</v>
      </c>
      <c r="J91" s="33" t="s">
        <v>932</v>
      </c>
      <c r="K91" s="45" t="s">
        <v>36</v>
      </c>
      <c r="L91" s="45"/>
      <c r="M91" s="45" t="s">
        <v>36</v>
      </c>
      <c r="N91" s="45"/>
      <c r="O91" s="45"/>
      <c r="P91" s="45"/>
      <c r="Q91" s="45"/>
      <c r="R91" s="45"/>
      <c r="S91" s="45"/>
      <c r="T91" s="45" t="s">
        <v>516</v>
      </c>
      <c r="U91" s="22"/>
      <c r="V91" s="32" t="s">
        <v>933</v>
      </c>
      <c r="W91" s="32" t="s">
        <v>934</v>
      </c>
      <c r="X91" s="45" t="s">
        <v>628</v>
      </c>
      <c r="Y91" s="45" t="s">
        <v>470</v>
      </c>
      <c r="Z91" s="45"/>
      <c r="AA91" s="45" t="s">
        <v>469</v>
      </c>
      <c r="AB91" s="45" t="s">
        <v>470</v>
      </c>
      <c r="AC91" s="45"/>
      <c r="AD91" s="32"/>
      <c r="AE91" s="45" t="s">
        <v>469</v>
      </c>
      <c r="AF91" s="45" t="s">
        <v>470</v>
      </c>
      <c r="AG91" s="45"/>
      <c r="AH91" s="45" t="s">
        <v>473</v>
      </c>
      <c r="AI91" s="45" t="s">
        <v>473</v>
      </c>
      <c r="AJ91" s="32" t="s">
        <v>926</v>
      </c>
      <c r="AK91" s="22"/>
      <c r="AL91" s="42" t="s">
        <v>476</v>
      </c>
      <c r="AM91" s="28"/>
      <c r="AN91" s="35" t="s">
        <v>928</v>
      </c>
      <c r="AO91" s="99"/>
      <c r="AP91" s="48" t="b">
        <f>A91=[2]员工报账!A91</f>
        <v>1</v>
      </c>
      <c r="AQ91" s="48" t="b">
        <f>B91=[2]员工报账!B91</f>
        <v>1</v>
      </c>
      <c r="AR91" s="48" t="b">
        <f>C91=[2]员工报账!C91</f>
        <v>1</v>
      </c>
      <c r="AS91" s="48" t="b">
        <f>D91=[2]员工报账!D91</f>
        <v>1</v>
      </c>
      <c r="AT91" s="48" t="b">
        <f>E91=[2]员工报账!E91</f>
        <v>1</v>
      </c>
      <c r="AU91" s="48" t="b">
        <f>F91=[2]员工报账!F91</f>
        <v>1</v>
      </c>
      <c r="AV91" s="48" t="b">
        <f>G91=[2]员工报账!G91</f>
        <v>1</v>
      </c>
      <c r="AW91" s="48" t="b">
        <f>H91=[2]员工报账!H91</f>
        <v>1</v>
      </c>
      <c r="AX91" s="48" t="b">
        <f>I91=[2]员工报账!I91</f>
        <v>1</v>
      </c>
      <c r="AY91" s="48" t="b">
        <f>J91=[2]员工报账!J91</f>
        <v>1</v>
      </c>
      <c r="AZ91" s="48" t="b">
        <f>K91=[2]员工报账!K91</f>
        <v>1</v>
      </c>
      <c r="BA91" s="48" t="b">
        <f>L91=[2]员工报账!L91</f>
        <v>1</v>
      </c>
      <c r="BB91" s="48" t="b">
        <f>M91=[2]员工报账!M91</f>
        <v>1</v>
      </c>
      <c r="BC91" s="48" t="b">
        <f>N91=[2]员工报账!N91</f>
        <v>1</v>
      </c>
      <c r="BD91" s="48" t="b">
        <f>O91=[2]员工报账!O91</f>
        <v>1</v>
      </c>
      <c r="BE91" s="48" t="b">
        <f>P91=[2]员工报账!P91</f>
        <v>1</v>
      </c>
      <c r="BF91" s="48" t="b">
        <f>Q91=[2]员工报账!Q91</f>
        <v>1</v>
      </c>
      <c r="BG91" s="48" t="b">
        <f>R91=[2]员工报账!R91</f>
        <v>1</v>
      </c>
      <c r="BH91" s="48" t="b">
        <f>S91=[2]员工报账!S91</f>
        <v>1</v>
      </c>
      <c r="BI91" s="48" t="b">
        <f>T91=[2]员工报账!T91</f>
        <v>1</v>
      </c>
      <c r="BJ91" s="48" t="b">
        <f>U91=[2]员工报账!U91</f>
        <v>1</v>
      </c>
      <c r="BK91" s="48" t="b">
        <f>V91=[2]员工报账!V91</f>
        <v>1</v>
      </c>
      <c r="BL91" s="48" t="b">
        <f>W91=[2]员工报账!W91</f>
        <v>1</v>
      </c>
      <c r="BM91" s="48" t="b">
        <f>X91=[2]员工报账!X91</f>
        <v>1</v>
      </c>
      <c r="BN91" s="48" t="b">
        <f>Y91=[2]员工报账!Y91</f>
        <v>1</v>
      </c>
      <c r="BO91" s="48" t="b">
        <f>Z91=[2]员工报账!Z91</f>
        <v>1</v>
      </c>
      <c r="BP91" s="48" t="b">
        <f>AA91=[2]员工报账!AA91</f>
        <v>1</v>
      </c>
      <c r="BQ91" s="48" t="b">
        <f>AB91=[2]员工报账!AB91</f>
        <v>1</v>
      </c>
      <c r="BR91" s="48" t="b">
        <f>AC91=[2]员工报账!AC91</f>
        <v>1</v>
      </c>
      <c r="BS91" s="48" t="b">
        <f>AD91=[2]员工报账!AD91</f>
        <v>0</v>
      </c>
      <c r="BT91" s="48" t="b">
        <f>AE91=[2]员工报账!AE91</f>
        <v>1</v>
      </c>
      <c r="BU91" s="48" t="b">
        <f>AF91=[2]员工报账!AF91</f>
        <v>1</v>
      </c>
      <c r="BV91" s="48" t="b">
        <f>AG91=[2]员工报账!AG91</f>
        <v>1</v>
      </c>
      <c r="BW91" s="48" t="b">
        <f>AH91=[2]员工报账!AH91</f>
        <v>1</v>
      </c>
      <c r="BX91" s="48" t="b">
        <f>AI91=[2]员工报账!AI91</f>
        <v>1</v>
      </c>
      <c r="BY91" s="48" t="b">
        <f>AJ91=[2]员工报账!AJ91</f>
        <v>1</v>
      </c>
      <c r="BZ91" s="48" t="b">
        <f>AK91=[2]员工报账!AK91</f>
        <v>1</v>
      </c>
    </row>
    <row r="92" s="49" customFormat="1" ht="118.8" spans="1:78">
      <c r="A92" s="79" t="s">
        <v>453</v>
      </c>
      <c r="B92" s="79" t="s">
        <v>644</v>
      </c>
      <c r="C92" s="45" t="s">
        <v>935</v>
      </c>
      <c r="D92" s="45" t="s">
        <v>936</v>
      </c>
      <c r="E92" s="32" t="s">
        <v>937</v>
      </c>
      <c r="F92" s="89" t="s">
        <v>1001</v>
      </c>
      <c r="G92" s="45" t="s">
        <v>939</v>
      </c>
      <c r="H92" s="45" t="s">
        <v>940</v>
      </c>
      <c r="I92" s="83" t="s">
        <v>941</v>
      </c>
      <c r="J92" s="45" t="s">
        <v>1002</v>
      </c>
      <c r="K92" s="45" t="s">
        <v>36</v>
      </c>
      <c r="L92" s="45"/>
      <c r="M92" s="45" t="s">
        <v>36</v>
      </c>
      <c r="N92" s="45"/>
      <c r="O92" s="45" t="s">
        <v>36</v>
      </c>
      <c r="P92" s="91"/>
      <c r="Q92" s="45"/>
      <c r="R92" s="91"/>
      <c r="S92" s="91"/>
      <c r="T92" s="45" t="s">
        <v>516</v>
      </c>
      <c r="U92" s="45"/>
      <c r="V92" s="32" t="s">
        <v>943</v>
      </c>
      <c r="W92" s="32" t="s">
        <v>944</v>
      </c>
      <c r="X92" s="45" t="s">
        <v>628</v>
      </c>
      <c r="Y92" s="45" t="s">
        <v>470</v>
      </c>
      <c r="Z92" s="45"/>
      <c r="AA92" s="45" t="s">
        <v>469</v>
      </c>
      <c r="AB92" s="45" t="s">
        <v>470</v>
      </c>
      <c r="AC92" s="45"/>
      <c r="AD92" s="32"/>
      <c r="AE92" s="45" t="s">
        <v>469</v>
      </c>
      <c r="AF92" s="45" t="s">
        <v>470</v>
      </c>
      <c r="AG92" s="45"/>
      <c r="AH92" s="45" t="s">
        <v>473</v>
      </c>
      <c r="AI92" s="45" t="s">
        <v>473</v>
      </c>
      <c r="AJ92" s="32" t="s">
        <v>1003</v>
      </c>
      <c r="AK92" s="92"/>
      <c r="AL92" s="42" t="s">
        <v>947</v>
      </c>
      <c r="AM92" s="42"/>
      <c r="AN92" s="35" t="s">
        <v>949</v>
      </c>
      <c r="AO92" s="99"/>
      <c r="AP92" s="48" t="b">
        <f>A92=[2]员工报账!A92</f>
        <v>1</v>
      </c>
      <c r="AQ92" s="48" t="b">
        <f>B92=[2]员工报账!B92</f>
        <v>1</v>
      </c>
      <c r="AR92" s="48" t="b">
        <f>C92=[2]员工报账!C92</f>
        <v>1</v>
      </c>
      <c r="AS92" s="48" t="b">
        <f>D92=[2]员工报账!D92</f>
        <v>1</v>
      </c>
      <c r="AT92" s="48" t="b">
        <f>E92=[2]员工报账!E92</f>
        <v>1</v>
      </c>
      <c r="AU92" s="48" t="b">
        <f>F92=[2]员工报账!F92</f>
        <v>1</v>
      </c>
      <c r="AV92" s="48" t="b">
        <f>G92=[2]员工报账!G92</f>
        <v>1</v>
      </c>
      <c r="AW92" s="48" t="b">
        <f>H92=[2]员工报账!H92</f>
        <v>1</v>
      </c>
      <c r="AX92" s="48" t="b">
        <f>I92=[2]员工报账!I92</f>
        <v>1</v>
      </c>
      <c r="AY92" s="48" t="b">
        <f>J92=[2]员工报账!J92</f>
        <v>1</v>
      </c>
      <c r="AZ92" s="48" t="b">
        <f>K92=[2]员工报账!K92</f>
        <v>1</v>
      </c>
      <c r="BA92" s="48" t="b">
        <f>L92=[2]员工报账!L92</f>
        <v>1</v>
      </c>
      <c r="BB92" s="48" t="b">
        <f>M92=[2]员工报账!M92</f>
        <v>1</v>
      </c>
      <c r="BC92" s="48" t="b">
        <f>N92=[2]员工报账!N92</f>
        <v>1</v>
      </c>
      <c r="BD92" s="48" t="b">
        <f>O92=[2]员工报账!O92</f>
        <v>1</v>
      </c>
      <c r="BE92" s="48" t="b">
        <f>P92=[2]员工报账!P92</f>
        <v>1</v>
      </c>
      <c r="BF92" s="48" t="b">
        <f>Q92=[2]员工报账!Q92</f>
        <v>1</v>
      </c>
      <c r="BG92" s="48" t="b">
        <f>R92=[2]员工报账!R92</f>
        <v>1</v>
      </c>
      <c r="BH92" s="48" t="b">
        <f>S92=[2]员工报账!S92</f>
        <v>1</v>
      </c>
      <c r="BI92" s="48" t="b">
        <f>T92=[2]员工报账!T92</f>
        <v>1</v>
      </c>
      <c r="BJ92" s="48" t="b">
        <f>U92=[2]员工报账!U92</f>
        <v>1</v>
      </c>
      <c r="BK92" s="48" t="b">
        <f>V92=[2]员工报账!V92</f>
        <v>1</v>
      </c>
      <c r="BL92" s="48" t="b">
        <f>W92=[2]员工报账!W92</f>
        <v>1</v>
      </c>
      <c r="BM92" s="48" t="b">
        <f>X92=[2]员工报账!X92</f>
        <v>1</v>
      </c>
      <c r="BN92" s="48" t="b">
        <f>Y92=[2]员工报账!Y92</f>
        <v>1</v>
      </c>
      <c r="BO92" s="48" t="b">
        <f>Z92=[2]员工报账!Z92</f>
        <v>1</v>
      </c>
      <c r="BP92" s="48" t="b">
        <f>AA92=[2]员工报账!AA92</f>
        <v>1</v>
      </c>
      <c r="BQ92" s="48" t="b">
        <f>AB92=[2]员工报账!AB92</f>
        <v>1</v>
      </c>
      <c r="BR92" s="48" t="b">
        <f>AC92=[2]员工报账!AC92</f>
        <v>1</v>
      </c>
      <c r="BS92" s="100" t="b">
        <f>AD92=[2]员工报账!AD92</f>
        <v>0</v>
      </c>
      <c r="BT92" s="48" t="b">
        <f>AE92=[2]员工报账!AE92</f>
        <v>1</v>
      </c>
      <c r="BU92" s="48" t="b">
        <f>AF92=[2]员工报账!AF92</f>
        <v>1</v>
      </c>
      <c r="BV92" s="48" t="b">
        <f>AG92=[2]员工报账!AG92</f>
        <v>1</v>
      </c>
      <c r="BW92" s="48" t="b">
        <f>AH92=[2]员工报账!AH92</f>
        <v>1</v>
      </c>
      <c r="BX92" s="48" t="b">
        <f>AI92=[2]员工报账!AI92</f>
        <v>1</v>
      </c>
      <c r="BY92" s="48" t="b">
        <f>AJ92=[2]员工报账!AJ92</f>
        <v>1</v>
      </c>
      <c r="BZ92" s="48" t="b">
        <f>AK92=[2]员工报账!AK92</f>
        <v>1</v>
      </c>
    </row>
    <row r="93" s="49" customFormat="1" ht="118.8" spans="1:78">
      <c r="A93" s="79"/>
      <c r="B93" s="79"/>
      <c r="C93" s="45"/>
      <c r="D93" s="45"/>
      <c r="E93" s="32"/>
      <c r="F93" s="32"/>
      <c r="G93" s="45"/>
      <c r="H93" s="45"/>
      <c r="I93" s="83" t="s">
        <v>950</v>
      </c>
      <c r="J93" s="45" t="s">
        <v>942</v>
      </c>
      <c r="K93" s="45" t="s">
        <v>36</v>
      </c>
      <c r="L93" s="91"/>
      <c r="M93" s="45" t="s">
        <v>36</v>
      </c>
      <c r="N93" s="45" t="s">
        <v>36</v>
      </c>
      <c r="O93" s="45" t="s">
        <v>36</v>
      </c>
      <c r="P93" s="45"/>
      <c r="Q93" s="45"/>
      <c r="R93" s="91"/>
      <c r="S93" s="91"/>
      <c r="T93" s="45" t="s">
        <v>516</v>
      </c>
      <c r="U93" s="45"/>
      <c r="V93" s="32" t="s">
        <v>943</v>
      </c>
      <c r="W93" s="32" t="s">
        <v>944</v>
      </c>
      <c r="X93" s="45" t="s">
        <v>628</v>
      </c>
      <c r="Y93" s="45" t="s">
        <v>470</v>
      </c>
      <c r="Z93" s="45"/>
      <c r="AA93" s="45" t="s">
        <v>469</v>
      </c>
      <c r="AB93" s="45" t="s">
        <v>470</v>
      </c>
      <c r="AC93" s="45"/>
      <c r="AD93" s="32"/>
      <c r="AE93" s="45" t="s">
        <v>469</v>
      </c>
      <c r="AF93" s="45" t="s">
        <v>470</v>
      </c>
      <c r="AG93" s="45"/>
      <c r="AH93" s="45" t="s">
        <v>473</v>
      </c>
      <c r="AI93" s="45" t="s">
        <v>473</v>
      </c>
      <c r="AJ93" s="32" t="s">
        <v>1003</v>
      </c>
      <c r="AK93" s="92"/>
      <c r="AL93" s="42"/>
      <c r="AM93" s="42"/>
      <c r="AN93" s="35"/>
      <c r="AO93" s="99"/>
      <c r="AP93" s="48" t="b">
        <f>A93=[2]员工报账!A93</f>
        <v>1</v>
      </c>
      <c r="AQ93" s="48" t="b">
        <f>B93=[2]员工报账!B93</f>
        <v>1</v>
      </c>
      <c r="AR93" s="48" t="b">
        <f>C93=[2]员工报账!C93</f>
        <v>1</v>
      </c>
      <c r="AS93" s="48" t="b">
        <f>D93=[2]员工报账!D93</f>
        <v>1</v>
      </c>
      <c r="AT93" s="48" t="b">
        <f>E93=[2]员工报账!E93</f>
        <v>1</v>
      </c>
      <c r="AU93" s="48" t="b">
        <f>F93=[2]员工报账!F93</f>
        <v>1</v>
      </c>
      <c r="AV93" s="48" t="b">
        <f>G93=[2]员工报账!G93</f>
        <v>1</v>
      </c>
      <c r="AW93" s="48" t="b">
        <f>H93=[2]员工报账!H93</f>
        <v>1</v>
      </c>
      <c r="AX93" s="48" t="b">
        <f>I93=[2]员工报账!I93</f>
        <v>1</v>
      </c>
      <c r="AY93" s="48" t="b">
        <f>J93=[2]员工报账!J93</f>
        <v>1</v>
      </c>
      <c r="AZ93" s="48" t="b">
        <f>K93=[2]员工报账!K93</f>
        <v>1</v>
      </c>
      <c r="BA93" s="48" t="b">
        <f>L93=[2]员工报账!L93</f>
        <v>1</v>
      </c>
      <c r="BB93" s="48" t="b">
        <f>M93=[2]员工报账!M93</f>
        <v>1</v>
      </c>
      <c r="BC93" s="48" t="b">
        <f>N93=[2]员工报账!N93</f>
        <v>1</v>
      </c>
      <c r="BD93" s="48" t="b">
        <f>O93=[2]员工报账!O93</f>
        <v>1</v>
      </c>
      <c r="BE93" s="48" t="b">
        <f>P93=[2]员工报账!P93</f>
        <v>1</v>
      </c>
      <c r="BF93" s="48" t="b">
        <f>Q93=[2]员工报账!Q93</f>
        <v>1</v>
      </c>
      <c r="BG93" s="48" t="b">
        <f>R93=[2]员工报账!R93</f>
        <v>1</v>
      </c>
      <c r="BH93" s="48" t="b">
        <f>S93=[2]员工报账!S93</f>
        <v>1</v>
      </c>
      <c r="BI93" s="48" t="b">
        <f>T93=[2]员工报账!T93</f>
        <v>1</v>
      </c>
      <c r="BJ93" s="48" t="b">
        <f>U93=[2]员工报账!U93</f>
        <v>1</v>
      </c>
      <c r="BK93" s="48" t="b">
        <f>V93=[2]员工报账!V93</f>
        <v>1</v>
      </c>
      <c r="BL93" s="48" t="b">
        <f>W93=[2]员工报账!W93</f>
        <v>1</v>
      </c>
      <c r="BM93" s="48" t="b">
        <f>X93=[2]员工报账!X93</f>
        <v>1</v>
      </c>
      <c r="BN93" s="48" t="b">
        <f>Y93=[2]员工报账!Y93</f>
        <v>1</v>
      </c>
      <c r="BO93" s="48" t="b">
        <f>Z93=[2]员工报账!Z93</f>
        <v>1</v>
      </c>
      <c r="BP93" s="48" t="b">
        <f>AA93=[2]员工报账!AA93</f>
        <v>1</v>
      </c>
      <c r="BQ93" s="48" t="b">
        <f>AB93=[2]员工报账!AB93</f>
        <v>1</v>
      </c>
      <c r="BR93" s="48" t="b">
        <f>AC93=[2]员工报账!AC93</f>
        <v>1</v>
      </c>
      <c r="BS93" s="100" t="b">
        <f>AD93=[2]员工报账!AD93</f>
        <v>0</v>
      </c>
      <c r="BT93" s="48" t="b">
        <f>AE93=[2]员工报账!AE93</f>
        <v>1</v>
      </c>
      <c r="BU93" s="48" t="b">
        <f>AF93=[2]员工报账!AF93</f>
        <v>1</v>
      </c>
      <c r="BV93" s="48" t="b">
        <f>AG93=[2]员工报账!AG93</f>
        <v>1</v>
      </c>
      <c r="BW93" s="48" t="b">
        <f>AH93=[2]员工报账!AH93</f>
        <v>1</v>
      </c>
      <c r="BX93" s="48" t="b">
        <f>AI93=[2]员工报账!AI93</f>
        <v>1</v>
      </c>
      <c r="BY93" s="48" t="b">
        <f>AJ93=[2]员工报账!AJ93</f>
        <v>1</v>
      </c>
      <c r="BZ93" s="48" t="b">
        <f>AK93=[2]员工报账!AK93</f>
        <v>1</v>
      </c>
    </row>
    <row r="94" s="49" customFormat="1" ht="132" spans="1:78">
      <c r="A94" s="79"/>
      <c r="B94" s="79"/>
      <c r="C94" s="45"/>
      <c r="D94" s="45"/>
      <c r="E94" s="32"/>
      <c r="F94" s="32"/>
      <c r="G94" s="45"/>
      <c r="H94" s="45"/>
      <c r="I94" s="83" t="s">
        <v>1004</v>
      </c>
      <c r="J94" s="45" t="s">
        <v>951</v>
      </c>
      <c r="K94" s="45" t="s">
        <v>36</v>
      </c>
      <c r="L94" s="91"/>
      <c r="M94" s="45" t="s">
        <v>36</v>
      </c>
      <c r="N94" s="91"/>
      <c r="O94" s="91"/>
      <c r="P94" s="45" t="s">
        <v>36</v>
      </c>
      <c r="Q94" s="45" t="s">
        <v>36</v>
      </c>
      <c r="R94" s="91"/>
      <c r="S94" s="91"/>
      <c r="T94" s="45" t="s">
        <v>516</v>
      </c>
      <c r="U94" s="45"/>
      <c r="V94" s="32" t="s">
        <v>943</v>
      </c>
      <c r="W94" s="32" t="s">
        <v>952</v>
      </c>
      <c r="X94" s="45" t="s">
        <v>628</v>
      </c>
      <c r="Y94" s="45" t="s">
        <v>470</v>
      </c>
      <c r="Z94" s="45"/>
      <c r="AA94" s="45" t="s">
        <v>469</v>
      </c>
      <c r="AB94" s="45" t="s">
        <v>470</v>
      </c>
      <c r="AC94" s="45"/>
      <c r="AD94" s="32"/>
      <c r="AE94" s="45" t="s">
        <v>469</v>
      </c>
      <c r="AF94" s="45" t="s">
        <v>470</v>
      </c>
      <c r="AG94" s="45"/>
      <c r="AH94" s="45" t="s">
        <v>473</v>
      </c>
      <c r="AI94" s="45" t="s">
        <v>473</v>
      </c>
      <c r="AJ94" s="32" t="s">
        <v>946</v>
      </c>
      <c r="AK94" s="92"/>
      <c r="AL94" s="42" t="s">
        <v>953</v>
      </c>
      <c r="AM94" s="42"/>
      <c r="AN94" s="35" t="s">
        <v>949</v>
      </c>
      <c r="AO94" s="99"/>
      <c r="AP94" s="48" t="b">
        <f>A94=[2]员工报账!A94</f>
        <v>1</v>
      </c>
      <c r="AQ94" s="48" t="b">
        <f>B94=[2]员工报账!B94</f>
        <v>1</v>
      </c>
      <c r="AR94" s="48" t="b">
        <f>C94=[2]员工报账!C94</f>
        <v>1</v>
      </c>
      <c r="AS94" s="48" t="b">
        <f>D94=[2]员工报账!D94</f>
        <v>1</v>
      </c>
      <c r="AT94" s="48" t="b">
        <f>E94=[2]员工报账!E94</f>
        <v>1</v>
      </c>
      <c r="AU94" s="48" t="b">
        <f>F94=[2]员工报账!F94</f>
        <v>1</v>
      </c>
      <c r="AV94" s="48" t="b">
        <f>G94=[2]员工报账!G94</f>
        <v>1</v>
      </c>
      <c r="AW94" s="48" t="b">
        <f>H94=[2]员工报账!H94</f>
        <v>1</v>
      </c>
      <c r="AX94" s="48" t="b">
        <f>I94=[2]员工报账!I94</f>
        <v>1</v>
      </c>
      <c r="AY94" s="48" t="b">
        <f>J94=[2]员工报账!J94</f>
        <v>1</v>
      </c>
      <c r="AZ94" s="48" t="b">
        <f>K94=[2]员工报账!K94</f>
        <v>1</v>
      </c>
      <c r="BA94" s="48" t="b">
        <f>L94=[2]员工报账!L94</f>
        <v>1</v>
      </c>
      <c r="BB94" s="48" t="b">
        <f>M94=[2]员工报账!M94</f>
        <v>1</v>
      </c>
      <c r="BC94" s="48" t="b">
        <f>N94=[2]员工报账!N94</f>
        <v>1</v>
      </c>
      <c r="BD94" s="48" t="b">
        <f>O94=[2]员工报账!O94</f>
        <v>1</v>
      </c>
      <c r="BE94" s="48" t="b">
        <f>P94=[2]员工报账!P94</f>
        <v>1</v>
      </c>
      <c r="BF94" s="48" t="b">
        <f>Q94=[2]员工报账!Q94</f>
        <v>1</v>
      </c>
      <c r="BG94" s="48" t="b">
        <f>R94=[2]员工报账!R94</f>
        <v>1</v>
      </c>
      <c r="BH94" s="48" t="b">
        <f>S94=[2]员工报账!S94</f>
        <v>1</v>
      </c>
      <c r="BI94" s="100" t="b">
        <f>T94=[2]员工报账!T94</f>
        <v>0</v>
      </c>
      <c r="BJ94" s="100" t="b">
        <f>U94=[2]员工报账!U94</f>
        <v>0</v>
      </c>
      <c r="BK94" s="48" t="b">
        <f>V94=[2]员工报账!V94</f>
        <v>1</v>
      </c>
      <c r="BL94" s="48" t="b">
        <f>W94=[2]员工报账!W94</f>
        <v>1</v>
      </c>
      <c r="BM94" s="48" t="b">
        <f>X94=[2]员工报账!X94</f>
        <v>1</v>
      </c>
      <c r="BN94" s="48" t="b">
        <f>Y94=[2]员工报账!Y94</f>
        <v>1</v>
      </c>
      <c r="BO94" s="48" t="b">
        <f>Z94=[2]员工报账!Z94</f>
        <v>1</v>
      </c>
      <c r="BP94" s="48" t="b">
        <f>AA94=[2]员工报账!AA94</f>
        <v>1</v>
      </c>
      <c r="BQ94" s="48" t="b">
        <f>AB94=[2]员工报账!AB94</f>
        <v>1</v>
      </c>
      <c r="BR94" s="48" t="b">
        <f>AC94=[2]员工报账!AC94</f>
        <v>1</v>
      </c>
      <c r="BS94" s="101" t="b">
        <f>AD94=[2]员工报账!AD94</f>
        <v>0</v>
      </c>
      <c r="BT94" s="48" t="b">
        <f>AE94=[2]员工报账!AE94</f>
        <v>1</v>
      </c>
      <c r="BU94" s="48" t="b">
        <f>AF94=[2]员工报账!AF94</f>
        <v>1</v>
      </c>
      <c r="BV94" s="48" t="b">
        <f>AG94=[2]员工报账!AG94</f>
        <v>1</v>
      </c>
      <c r="BW94" s="48" t="b">
        <f>AH94=[2]员工报账!AH94</f>
        <v>1</v>
      </c>
      <c r="BX94" s="48" t="b">
        <f>AI94=[2]员工报账!AI94</f>
        <v>1</v>
      </c>
      <c r="BY94" s="48" t="b">
        <f>AJ94=[2]员工报账!AJ94</f>
        <v>1</v>
      </c>
      <c r="BZ94" s="48" t="b">
        <f>AK94=[2]员工报账!AK94</f>
        <v>1</v>
      </c>
    </row>
    <row r="95" ht="171.6" spans="1:78">
      <c r="A95" s="79" t="s">
        <v>453</v>
      </c>
      <c r="B95" s="79" t="s">
        <v>644</v>
      </c>
      <c r="C95" s="45" t="s">
        <v>935</v>
      </c>
      <c r="D95" s="45" t="s">
        <v>936</v>
      </c>
      <c r="E95" s="32" t="s">
        <v>954</v>
      </c>
      <c r="F95" s="89" t="s">
        <v>955</v>
      </c>
      <c r="G95" s="45" t="s">
        <v>956</v>
      </c>
      <c r="H95" s="45" t="s">
        <v>957</v>
      </c>
      <c r="I95" s="83" t="s">
        <v>958</v>
      </c>
      <c r="J95" s="45" t="s">
        <v>1005</v>
      </c>
      <c r="K95" s="45" t="s">
        <v>36</v>
      </c>
      <c r="L95" s="45"/>
      <c r="M95" s="45" t="s">
        <v>36</v>
      </c>
      <c r="N95" s="45" t="s">
        <v>36</v>
      </c>
      <c r="O95" s="45" t="s">
        <v>36</v>
      </c>
      <c r="P95" s="91"/>
      <c r="Q95" s="45"/>
      <c r="R95" s="91"/>
      <c r="S95" s="91"/>
      <c r="T95" s="45" t="s">
        <v>516</v>
      </c>
      <c r="U95" s="46"/>
      <c r="V95" s="32" t="s">
        <v>960</v>
      </c>
      <c r="W95" s="32" t="s">
        <v>961</v>
      </c>
      <c r="X95" s="45" t="s">
        <v>628</v>
      </c>
      <c r="Y95" s="45" t="s">
        <v>470</v>
      </c>
      <c r="Z95" s="45"/>
      <c r="AA95" s="45" t="s">
        <v>469</v>
      </c>
      <c r="AB95" s="45" t="s">
        <v>470</v>
      </c>
      <c r="AC95" s="45"/>
      <c r="AD95" s="32"/>
      <c r="AE95" s="45" t="s">
        <v>469</v>
      </c>
      <c r="AF95" s="45" t="s">
        <v>470</v>
      </c>
      <c r="AG95" s="45"/>
      <c r="AH95" s="45" t="s">
        <v>473</v>
      </c>
      <c r="AI95" s="45" t="s">
        <v>473</v>
      </c>
      <c r="AJ95" s="32" t="s">
        <v>946</v>
      </c>
      <c r="AK95" s="22"/>
      <c r="AL95" s="42" t="s">
        <v>963</v>
      </c>
      <c r="AM95" s="42"/>
      <c r="AN95" s="35" t="s">
        <v>964</v>
      </c>
      <c r="AO95" s="99"/>
      <c r="AP95" s="48" t="b">
        <f>A95=[2]员工报账!A95</f>
        <v>1</v>
      </c>
      <c r="AQ95" s="48" t="b">
        <f>B95=[2]员工报账!B95</f>
        <v>1</v>
      </c>
      <c r="AR95" s="48" t="b">
        <f>C95=[2]员工报账!C95</f>
        <v>1</v>
      </c>
      <c r="AS95" s="48" t="b">
        <f>D95=[2]员工报账!D95</f>
        <v>1</v>
      </c>
      <c r="AT95" s="48" t="b">
        <f>E95=[2]员工报账!E95</f>
        <v>1</v>
      </c>
      <c r="AU95" s="48" t="b">
        <f>F95=[2]员工报账!F95</f>
        <v>1</v>
      </c>
      <c r="AV95" s="48" t="b">
        <f>G95=[2]员工报账!G95</f>
        <v>1</v>
      </c>
      <c r="AW95" s="48" t="b">
        <f>H95=[2]员工报账!H95</f>
        <v>1</v>
      </c>
      <c r="AX95" s="48" t="b">
        <f>I95=[2]员工报账!I95</f>
        <v>1</v>
      </c>
      <c r="AY95" s="100" t="b">
        <f>J95=[2]员工报账!J95</f>
        <v>0</v>
      </c>
      <c r="AZ95" s="48" t="b">
        <f>K95=[2]员工报账!K95</f>
        <v>1</v>
      </c>
      <c r="BA95" s="48" t="b">
        <f>L95=[2]员工报账!L95</f>
        <v>1</v>
      </c>
      <c r="BB95" s="48" t="b">
        <f>M95=[2]员工报账!M95</f>
        <v>1</v>
      </c>
      <c r="BC95" s="48" t="b">
        <f>N95=[2]员工报账!N95</f>
        <v>1</v>
      </c>
      <c r="BD95" s="48" t="b">
        <f>O95=[2]员工报账!O95</f>
        <v>1</v>
      </c>
      <c r="BE95" s="48" t="b">
        <f>P95=[2]员工报账!P95</f>
        <v>1</v>
      </c>
      <c r="BF95" s="48" t="b">
        <f>Q95=[2]员工报账!Q95</f>
        <v>1</v>
      </c>
      <c r="BG95" s="48" t="b">
        <f>R95=[2]员工报账!R95</f>
        <v>1</v>
      </c>
      <c r="BH95" s="48" t="b">
        <f>S95=[2]员工报账!S95</f>
        <v>1</v>
      </c>
      <c r="BI95" s="48" t="b">
        <f>T95=[2]员工报账!T95</f>
        <v>1</v>
      </c>
      <c r="BJ95" s="48" t="b">
        <f>U95=[2]员工报账!U95</f>
        <v>1</v>
      </c>
      <c r="BK95" s="48" t="b">
        <f>V95=[2]员工报账!V95</f>
        <v>1</v>
      </c>
      <c r="BL95" s="48" t="b">
        <f>W95=[2]员工报账!W95</f>
        <v>1</v>
      </c>
      <c r="BM95" s="48" t="b">
        <f>X95=[2]员工报账!X95</f>
        <v>1</v>
      </c>
      <c r="BN95" s="48" t="b">
        <f>Y95=[2]员工报账!Y95</f>
        <v>1</v>
      </c>
      <c r="BO95" s="48" t="b">
        <f>Z95=[2]员工报账!Z95</f>
        <v>1</v>
      </c>
      <c r="BP95" s="48" t="b">
        <f>AA95=[2]员工报账!AA95</f>
        <v>1</v>
      </c>
      <c r="BQ95" s="48" t="b">
        <f>AB95=[2]员工报账!AB95</f>
        <v>1</v>
      </c>
      <c r="BR95" s="48" t="b">
        <f>AC95=[2]员工报账!AC95</f>
        <v>1</v>
      </c>
      <c r="BS95" s="101" t="b">
        <f>AD95=[2]员工报账!AD95</f>
        <v>0</v>
      </c>
      <c r="BT95" s="48" t="b">
        <f>AE95=[2]员工报账!AE95</f>
        <v>1</v>
      </c>
      <c r="BU95" s="48" t="b">
        <f>AF95=[2]员工报账!AF95</f>
        <v>1</v>
      </c>
      <c r="BV95" s="48" t="b">
        <f>AG95=[2]员工报账!AG95</f>
        <v>1</v>
      </c>
      <c r="BW95" s="48" t="b">
        <f>AH95=[2]员工报账!AH95</f>
        <v>1</v>
      </c>
      <c r="BX95" s="48" t="b">
        <f>AI95=[2]员工报账!AI95</f>
        <v>1</v>
      </c>
      <c r="BY95" s="48" t="b">
        <f>AJ95=[2]员工报账!AJ95</f>
        <v>1</v>
      </c>
      <c r="BZ95" s="48" t="b">
        <f>AK95=[2]员工报账!AK95</f>
        <v>1</v>
      </c>
    </row>
    <row r="96" ht="198" spans="1:78">
      <c r="A96" s="79"/>
      <c r="B96" s="79"/>
      <c r="C96" s="45"/>
      <c r="D96" s="45"/>
      <c r="E96" s="32"/>
      <c r="F96" s="32"/>
      <c r="G96" s="45"/>
      <c r="H96" s="45"/>
      <c r="I96" s="83" t="s">
        <v>965</v>
      </c>
      <c r="J96" s="45" t="s">
        <v>966</v>
      </c>
      <c r="K96" s="45" t="s">
        <v>36</v>
      </c>
      <c r="L96" s="91"/>
      <c r="M96" s="45"/>
      <c r="N96" s="45"/>
      <c r="O96" s="45"/>
      <c r="P96" s="45" t="s">
        <v>36</v>
      </c>
      <c r="Q96" s="45" t="s">
        <v>36</v>
      </c>
      <c r="R96" s="91"/>
      <c r="S96" s="91"/>
      <c r="T96" s="45" t="s">
        <v>516</v>
      </c>
      <c r="U96" s="46"/>
      <c r="V96" s="32" t="s">
        <v>960</v>
      </c>
      <c r="W96" s="32" t="s">
        <v>967</v>
      </c>
      <c r="X96" s="45" t="s">
        <v>628</v>
      </c>
      <c r="Y96" s="45" t="s">
        <v>470</v>
      </c>
      <c r="Z96" s="45"/>
      <c r="AA96" s="45" t="s">
        <v>469</v>
      </c>
      <c r="AB96" s="45" t="s">
        <v>470</v>
      </c>
      <c r="AC96" s="45"/>
      <c r="AD96" s="32"/>
      <c r="AE96" s="45" t="s">
        <v>469</v>
      </c>
      <c r="AF96" s="45" t="s">
        <v>470</v>
      </c>
      <c r="AG96" s="45"/>
      <c r="AH96" s="45" t="s">
        <v>473</v>
      </c>
      <c r="AI96" s="45" t="s">
        <v>473</v>
      </c>
      <c r="AJ96" s="32" t="s">
        <v>946</v>
      </c>
      <c r="AK96" s="22"/>
      <c r="AL96" s="42" t="s">
        <v>968</v>
      </c>
      <c r="AM96" s="42"/>
      <c r="AN96" s="35" t="s">
        <v>964</v>
      </c>
      <c r="AO96" s="99"/>
      <c r="AP96" s="48" t="b">
        <f>A96=[2]员工报账!A96</f>
        <v>1</v>
      </c>
      <c r="AQ96" s="48" t="b">
        <f>B96=[2]员工报账!B96</f>
        <v>1</v>
      </c>
      <c r="AR96" s="48" t="b">
        <f>C96=[2]员工报账!C96</f>
        <v>1</v>
      </c>
      <c r="AS96" s="48" t="b">
        <f>D96=[2]员工报账!D96</f>
        <v>1</v>
      </c>
      <c r="AT96" s="48" t="b">
        <f>E96=[2]员工报账!E96</f>
        <v>1</v>
      </c>
      <c r="AU96" s="48" t="b">
        <f>F96=[2]员工报账!F96</f>
        <v>1</v>
      </c>
      <c r="AV96" s="48" t="b">
        <f>G96=[2]员工报账!G96</f>
        <v>1</v>
      </c>
      <c r="AW96" s="48" t="b">
        <f>H96=[2]员工报账!H96</f>
        <v>1</v>
      </c>
      <c r="AX96" s="48" t="b">
        <f>I96=[2]员工报账!I96</f>
        <v>1</v>
      </c>
      <c r="AY96" s="48" t="b">
        <f>J96=[2]员工报账!J96</f>
        <v>1</v>
      </c>
      <c r="AZ96" s="48" t="b">
        <f>K96=[2]员工报账!K96</f>
        <v>1</v>
      </c>
      <c r="BA96" s="48" t="b">
        <f>L96=[2]员工报账!L96</f>
        <v>1</v>
      </c>
      <c r="BB96" s="48" t="b">
        <f>M96=[2]员工报账!M96</f>
        <v>1</v>
      </c>
      <c r="BC96" s="48" t="b">
        <f>N96=[2]员工报账!N96</f>
        <v>1</v>
      </c>
      <c r="BD96" s="48" t="b">
        <f>O96=[2]员工报账!O96</f>
        <v>1</v>
      </c>
      <c r="BE96" s="48" t="b">
        <f>P96=[2]员工报账!P96</f>
        <v>1</v>
      </c>
      <c r="BF96" s="48" t="b">
        <f>Q96=[2]员工报账!Q96</f>
        <v>1</v>
      </c>
      <c r="BG96" s="48" t="b">
        <f>R96=[2]员工报账!R96</f>
        <v>1</v>
      </c>
      <c r="BH96" s="48" t="b">
        <f>S96=[2]员工报账!S96</f>
        <v>1</v>
      </c>
      <c r="BI96" s="100" t="b">
        <f>T96=[2]员工报账!T96</f>
        <v>0</v>
      </c>
      <c r="BJ96" s="100" t="b">
        <f>U96=[2]员工报账!U96</f>
        <v>0</v>
      </c>
      <c r="BK96" s="48" t="b">
        <f>V96=[2]员工报账!V96</f>
        <v>1</v>
      </c>
      <c r="BL96" s="48" t="b">
        <f>W96=[2]员工报账!W96</f>
        <v>1</v>
      </c>
      <c r="BM96" s="48" t="b">
        <f>X96=[2]员工报账!X96</f>
        <v>1</v>
      </c>
      <c r="BN96" s="48" t="b">
        <f>Y96=[2]员工报账!Y96</f>
        <v>1</v>
      </c>
      <c r="BO96" s="48" t="b">
        <f>Z96=[2]员工报账!Z96</f>
        <v>1</v>
      </c>
      <c r="BP96" s="48" t="b">
        <f>AA96=[2]员工报账!AA96</f>
        <v>1</v>
      </c>
      <c r="BQ96" s="48" t="b">
        <f>AB96=[2]员工报账!AB96</f>
        <v>1</v>
      </c>
      <c r="BR96" s="48" t="b">
        <f>AC96=[2]员工报账!AC96</f>
        <v>1</v>
      </c>
      <c r="BS96" s="100" t="b">
        <f>AD96=[2]员工报账!AD96</f>
        <v>0</v>
      </c>
      <c r="BT96" s="48" t="b">
        <f>AE96=[2]员工报账!AE96</f>
        <v>1</v>
      </c>
      <c r="BU96" s="48" t="b">
        <f>AF96=[2]员工报账!AF96</f>
        <v>1</v>
      </c>
      <c r="BV96" s="48" t="b">
        <f>AG96=[2]员工报账!AG96</f>
        <v>1</v>
      </c>
      <c r="BW96" s="48" t="b">
        <f>AH96=[2]员工报账!AH96</f>
        <v>1</v>
      </c>
      <c r="BX96" s="48" t="b">
        <f>AI96=[2]员工报账!AI96</f>
        <v>1</v>
      </c>
      <c r="BY96" s="48" t="b">
        <f>AJ96=[2]员工报账!AJ96</f>
        <v>1</v>
      </c>
      <c r="BZ96" s="48" t="b">
        <f>AK96=[2]员工报账!AK96</f>
        <v>1</v>
      </c>
    </row>
    <row r="97" s="49" customFormat="1" ht="171.6" spans="1:78">
      <c r="A97" s="79" t="s">
        <v>453</v>
      </c>
      <c r="B97" s="79" t="s">
        <v>644</v>
      </c>
      <c r="C97" s="45" t="s">
        <v>935</v>
      </c>
      <c r="D97" s="45" t="s">
        <v>969</v>
      </c>
      <c r="E97" s="32" t="s">
        <v>970</v>
      </c>
      <c r="F97" s="89" t="s">
        <v>971</v>
      </c>
      <c r="G97" s="45" t="s">
        <v>972</v>
      </c>
      <c r="H97" s="45" t="s">
        <v>973</v>
      </c>
      <c r="I97" s="45" t="s">
        <v>974</v>
      </c>
      <c r="J97" s="45" t="s">
        <v>1006</v>
      </c>
      <c r="K97" s="45" t="s">
        <v>36</v>
      </c>
      <c r="L97" s="45" t="s">
        <v>36</v>
      </c>
      <c r="M97" s="45" t="s">
        <v>36</v>
      </c>
      <c r="N97" s="45" t="s">
        <v>36</v>
      </c>
      <c r="O97" s="45" t="s">
        <v>36</v>
      </c>
      <c r="P97" s="91"/>
      <c r="Q97" s="45"/>
      <c r="R97" s="91"/>
      <c r="S97" s="8"/>
      <c r="T97" s="45" t="s">
        <v>516</v>
      </c>
      <c r="U97" s="46"/>
      <c r="V97" s="32" t="s">
        <v>976</v>
      </c>
      <c r="W97" s="32" t="s">
        <v>961</v>
      </c>
      <c r="X97" s="45" t="s">
        <v>628</v>
      </c>
      <c r="Y97" s="45" t="s">
        <v>470</v>
      </c>
      <c r="Z97" s="45"/>
      <c r="AA97" s="45" t="s">
        <v>469</v>
      </c>
      <c r="AB97" s="45" t="s">
        <v>470</v>
      </c>
      <c r="AC97" s="45"/>
      <c r="AD97" s="32"/>
      <c r="AE97" s="45" t="s">
        <v>469</v>
      </c>
      <c r="AF97" s="45" t="s">
        <v>470</v>
      </c>
      <c r="AG97" s="45"/>
      <c r="AH97" s="45" t="s">
        <v>473</v>
      </c>
      <c r="AI97" s="45" t="s">
        <v>473</v>
      </c>
      <c r="AJ97" s="32" t="s">
        <v>978</v>
      </c>
      <c r="AK97" s="92"/>
      <c r="AL97" s="42" t="s">
        <v>963</v>
      </c>
      <c r="AM97" s="42"/>
      <c r="AN97" s="35" t="s">
        <v>979</v>
      </c>
      <c r="AO97" s="99"/>
      <c r="AP97" s="48" t="b">
        <f>A97=[2]员工报账!A97</f>
        <v>1</v>
      </c>
      <c r="AQ97" s="48" t="b">
        <f>B97=[2]员工报账!B97</f>
        <v>1</v>
      </c>
      <c r="AR97" s="48" t="b">
        <f>C97=[2]员工报账!C97</f>
        <v>1</v>
      </c>
      <c r="AS97" s="48" t="b">
        <f>D97=[2]员工报账!D97</f>
        <v>1</v>
      </c>
      <c r="AT97" s="48" t="b">
        <f>E97=[2]员工报账!E97</f>
        <v>1</v>
      </c>
      <c r="AU97" s="48" t="b">
        <f>F97=[2]员工报账!F97</f>
        <v>1</v>
      </c>
      <c r="AV97" s="48" t="b">
        <f>G97=[2]员工报账!G97</f>
        <v>1</v>
      </c>
      <c r="AW97" s="48" t="b">
        <f>H97=[2]员工报账!H97</f>
        <v>1</v>
      </c>
      <c r="AX97" s="48" t="b">
        <f>I97=[2]员工报账!I97</f>
        <v>1</v>
      </c>
      <c r="AY97" s="48" t="b">
        <f>J97=[2]员工报账!J97</f>
        <v>1</v>
      </c>
      <c r="AZ97" s="48" t="b">
        <f>K97=[2]员工报账!K97</f>
        <v>1</v>
      </c>
      <c r="BA97" s="48" t="b">
        <f>L97=[2]员工报账!L97</f>
        <v>1</v>
      </c>
      <c r="BB97" s="48" t="b">
        <f>M97=[2]员工报账!M97</f>
        <v>1</v>
      </c>
      <c r="BC97" s="48" t="b">
        <f>N97=[2]员工报账!N97</f>
        <v>1</v>
      </c>
      <c r="BD97" s="48" t="b">
        <f>O97=[2]员工报账!O97</f>
        <v>1</v>
      </c>
      <c r="BE97" s="48" t="b">
        <f>P97=[2]员工报账!P97</f>
        <v>1</v>
      </c>
      <c r="BF97" s="48" t="b">
        <f>Q97=[2]员工报账!Q97</f>
        <v>1</v>
      </c>
      <c r="BG97" s="48" t="b">
        <f>R97=[2]员工报账!R97</f>
        <v>1</v>
      </c>
      <c r="BH97" s="48" t="b">
        <f>S97=[2]员工报账!S97</f>
        <v>1</v>
      </c>
      <c r="BI97" s="48" t="b">
        <f>T97=[2]员工报账!T97</f>
        <v>1</v>
      </c>
      <c r="BJ97" s="48" t="b">
        <f>U97=[2]员工报账!U97</f>
        <v>1</v>
      </c>
      <c r="BK97" s="48" t="b">
        <f>V97=[2]员工报账!V97</f>
        <v>1</v>
      </c>
      <c r="BL97" s="48" t="b">
        <f>W97=[2]员工报账!W97</f>
        <v>1</v>
      </c>
      <c r="BM97" s="48" t="b">
        <f>X97=[2]员工报账!X97</f>
        <v>1</v>
      </c>
      <c r="BN97" s="48" t="b">
        <f>Y97=[2]员工报账!Y97</f>
        <v>1</v>
      </c>
      <c r="BO97" s="48" t="b">
        <f>Z97=[2]员工报账!Z97</f>
        <v>1</v>
      </c>
      <c r="BP97" s="48" t="b">
        <f>AA97=[2]员工报账!AA97</f>
        <v>1</v>
      </c>
      <c r="BQ97" s="48" t="b">
        <f>AB97=[2]员工报账!AB97</f>
        <v>1</v>
      </c>
      <c r="BR97" s="48" t="b">
        <f>AC97=[2]员工报账!AC97</f>
        <v>1</v>
      </c>
      <c r="BS97" s="100" t="b">
        <f>AD97=[2]员工报账!AD97</f>
        <v>0</v>
      </c>
      <c r="BT97" s="48" t="b">
        <f>AE97=[2]员工报账!AE97</f>
        <v>1</v>
      </c>
      <c r="BU97" s="48" t="b">
        <f>AF97=[2]员工报账!AF97</f>
        <v>1</v>
      </c>
      <c r="BV97" s="48" t="b">
        <f>AG97=[2]员工报账!AG97</f>
        <v>1</v>
      </c>
      <c r="BW97" s="48" t="b">
        <f>AH97=[2]员工报账!AH97</f>
        <v>1</v>
      </c>
      <c r="BX97" s="48" t="b">
        <f>AI97=[2]员工报账!AI97</f>
        <v>1</v>
      </c>
      <c r="BY97" s="48" t="b">
        <f>AJ97=[2]员工报账!AJ97</f>
        <v>1</v>
      </c>
      <c r="BZ97" s="48" t="b">
        <f>AK97=[2]员工报账!AK97</f>
        <v>1</v>
      </c>
    </row>
    <row r="98" s="49" customFormat="1" ht="171.6" spans="1:78">
      <c r="A98" s="79"/>
      <c r="B98" s="79"/>
      <c r="C98" s="45"/>
      <c r="D98" s="45"/>
      <c r="E98" s="32"/>
      <c r="F98" s="32"/>
      <c r="G98" s="45"/>
      <c r="H98" s="45"/>
      <c r="I98" s="45" t="s">
        <v>980</v>
      </c>
      <c r="J98" s="32" t="s">
        <v>1007</v>
      </c>
      <c r="K98" s="45" t="s">
        <v>36</v>
      </c>
      <c r="L98" s="45" t="s">
        <v>36</v>
      </c>
      <c r="M98" s="45" t="s">
        <v>36</v>
      </c>
      <c r="N98" s="45" t="s">
        <v>36</v>
      </c>
      <c r="O98" s="45" t="s">
        <v>36</v>
      </c>
      <c r="P98" s="91"/>
      <c r="Q98" s="45"/>
      <c r="R98" s="91"/>
      <c r="S98" s="8"/>
      <c r="T98" s="45" t="s">
        <v>516</v>
      </c>
      <c r="U98" s="46"/>
      <c r="V98" s="32" t="s">
        <v>976</v>
      </c>
      <c r="W98" s="32" t="s">
        <v>961</v>
      </c>
      <c r="X98" s="45" t="s">
        <v>628</v>
      </c>
      <c r="Y98" s="45" t="s">
        <v>470</v>
      </c>
      <c r="Z98" s="45"/>
      <c r="AA98" s="45" t="s">
        <v>469</v>
      </c>
      <c r="AB98" s="45" t="s">
        <v>470</v>
      </c>
      <c r="AC98" s="45"/>
      <c r="AD98" s="32"/>
      <c r="AE98" s="45" t="s">
        <v>469</v>
      </c>
      <c r="AF98" s="45" t="s">
        <v>470</v>
      </c>
      <c r="AG98" s="45"/>
      <c r="AH98" s="45" t="s">
        <v>473</v>
      </c>
      <c r="AI98" s="45" t="s">
        <v>473</v>
      </c>
      <c r="AJ98" s="32" t="s">
        <v>978</v>
      </c>
      <c r="AK98" s="92"/>
      <c r="AL98" s="42" t="s">
        <v>963</v>
      </c>
      <c r="AM98" s="42"/>
      <c r="AN98" s="35" t="s">
        <v>979</v>
      </c>
      <c r="AO98" s="99"/>
      <c r="AP98" s="48" t="b">
        <f>A98=[2]员工报账!A98</f>
        <v>1</v>
      </c>
      <c r="AQ98" s="48" t="b">
        <f>B98=[2]员工报账!B98</f>
        <v>1</v>
      </c>
      <c r="AR98" s="48" t="b">
        <f>C98=[2]员工报账!C98</f>
        <v>1</v>
      </c>
      <c r="AS98" s="48" t="b">
        <f>D98=[2]员工报账!D98</f>
        <v>1</v>
      </c>
      <c r="AT98" s="48" t="b">
        <f>E98=[2]员工报账!E98</f>
        <v>1</v>
      </c>
      <c r="AU98" s="48" t="b">
        <f>F98=[2]员工报账!F98</f>
        <v>1</v>
      </c>
      <c r="AV98" s="48" t="b">
        <f>G98=[2]员工报账!G98</f>
        <v>1</v>
      </c>
      <c r="AW98" s="48" t="b">
        <f>H98=[2]员工报账!H98</f>
        <v>1</v>
      </c>
      <c r="AX98" s="48" t="b">
        <f>I98=[2]员工报账!I98</f>
        <v>1</v>
      </c>
      <c r="AY98" s="48" t="b">
        <f>J98=[2]员工报账!J98</f>
        <v>1</v>
      </c>
      <c r="AZ98" s="48" t="b">
        <f>K98=[2]员工报账!K98</f>
        <v>1</v>
      </c>
      <c r="BA98" s="48" t="b">
        <f>L98=[2]员工报账!L98</f>
        <v>1</v>
      </c>
      <c r="BB98" s="48" t="b">
        <f>M98=[2]员工报账!M98</f>
        <v>1</v>
      </c>
      <c r="BC98" s="48" t="b">
        <f>N98=[2]员工报账!N98</f>
        <v>1</v>
      </c>
      <c r="BD98" s="48" t="b">
        <f>O98=[2]员工报账!O98</f>
        <v>1</v>
      </c>
      <c r="BE98" s="48" t="b">
        <f>P98=[2]员工报账!P98</f>
        <v>1</v>
      </c>
      <c r="BF98" s="48" t="b">
        <f>Q98=[2]员工报账!Q98</f>
        <v>1</v>
      </c>
      <c r="BG98" s="48" t="b">
        <f>R98=[2]员工报账!R98</f>
        <v>1</v>
      </c>
      <c r="BH98" s="48" t="b">
        <f>S98=[2]员工报账!S98</f>
        <v>1</v>
      </c>
      <c r="BI98" s="48" t="b">
        <f>T98=[2]员工报账!T98</f>
        <v>1</v>
      </c>
      <c r="BJ98" s="48" t="b">
        <f>U98=[2]员工报账!U98</f>
        <v>1</v>
      </c>
      <c r="BK98" s="48" t="b">
        <f>V98=[2]员工报账!V98</f>
        <v>1</v>
      </c>
      <c r="BL98" s="48" t="b">
        <f>W98=[2]员工报账!W98</f>
        <v>1</v>
      </c>
      <c r="BM98" s="48" t="b">
        <f>X98=[2]员工报账!X98</f>
        <v>1</v>
      </c>
      <c r="BN98" s="48" t="b">
        <f>Y98=[2]员工报账!Y98</f>
        <v>1</v>
      </c>
      <c r="BO98" s="48" t="b">
        <f>Z98=[2]员工报账!Z98</f>
        <v>1</v>
      </c>
      <c r="BP98" s="48" t="b">
        <f>AA98=[2]员工报账!AA98</f>
        <v>1</v>
      </c>
      <c r="BQ98" s="48" t="b">
        <f>AB98=[2]员工报账!AB98</f>
        <v>1</v>
      </c>
      <c r="BR98" s="48" t="b">
        <f>AC98=[2]员工报账!AC98</f>
        <v>1</v>
      </c>
      <c r="BS98" s="100" t="b">
        <f>AD98=[2]员工报账!AD98</f>
        <v>0</v>
      </c>
      <c r="BT98" s="48" t="b">
        <f>AE98=[2]员工报账!AE98</f>
        <v>1</v>
      </c>
      <c r="BU98" s="48" t="b">
        <f>AF98=[2]员工报账!AF98</f>
        <v>1</v>
      </c>
      <c r="BV98" s="48" t="b">
        <f>AG98=[2]员工报账!AG98</f>
        <v>1</v>
      </c>
      <c r="BW98" s="48" t="b">
        <f>AH98=[2]员工报账!AH98</f>
        <v>1</v>
      </c>
      <c r="BX98" s="48" t="b">
        <f>AI98=[2]员工报账!AI98</f>
        <v>1</v>
      </c>
      <c r="BY98" s="48" t="b">
        <f>AJ98=[2]员工报账!AJ98</f>
        <v>1</v>
      </c>
      <c r="BZ98" s="48" t="b">
        <f>AK98=[2]员工报账!AK98</f>
        <v>1</v>
      </c>
    </row>
    <row r="99" s="49" customFormat="1" ht="198" spans="1:78">
      <c r="A99" s="79"/>
      <c r="B99" s="79"/>
      <c r="C99" s="45"/>
      <c r="D99" s="45"/>
      <c r="E99" s="32"/>
      <c r="F99" s="32"/>
      <c r="G99" s="45"/>
      <c r="H99" s="45"/>
      <c r="I99" s="45" t="s">
        <v>1008</v>
      </c>
      <c r="J99" s="32" t="s">
        <v>981</v>
      </c>
      <c r="K99" s="45" t="s">
        <v>36</v>
      </c>
      <c r="L99" s="91"/>
      <c r="M99" s="91"/>
      <c r="N99" s="45" t="s">
        <v>36</v>
      </c>
      <c r="O99" s="91"/>
      <c r="P99" s="91"/>
      <c r="Q99" s="45" t="s">
        <v>36</v>
      </c>
      <c r="R99" s="91"/>
      <c r="S99" s="8"/>
      <c r="T99" s="45" t="s">
        <v>516</v>
      </c>
      <c r="U99" s="46"/>
      <c r="V99" s="32" t="s">
        <v>976</v>
      </c>
      <c r="W99" s="32" t="s">
        <v>967</v>
      </c>
      <c r="X99" s="45" t="s">
        <v>628</v>
      </c>
      <c r="Y99" s="45" t="s">
        <v>470</v>
      </c>
      <c r="Z99" s="45"/>
      <c r="AA99" s="45" t="s">
        <v>469</v>
      </c>
      <c r="AB99" s="45" t="s">
        <v>470</v>
      </c>
      <c r="AC99" s="45"/>
      <c r="AD99" s="32"/>
      <c r="AE99" s="45" t="s">
        <v>469</v>
      </c>
      <c r="AF99" s="45" t="s">
        <v>470</v>
      </c>
      <c r="AG99" s="45"/>
      <c r="AH99" s="45" t="s">
        <v>473</v>
      </c>
      <c r="AI99" s="45" t="s">
        <v>473</v>
      </c>
      <c r="AJ99" s="32" t="s">
        <v>978</v>
      </c>
      <c r="AK99" s="92"/>
      <c r="AL99" s="42" t="s">
        <v>968</v>
      </c>
      <c r="AM99" s="42"/>
      <c r="AN99" s="35" t="s">
        <v>979</v>
      </c>
      <c r="AO99" s="99"/>
      <c r="AP99" s="48" t="b">
        <f>A99=[2]员工报账!A99</f>
        <v>1</v>
      </c>
      <c r="AQ99" s="48" t="b">
        <f>B99=[2]员工报账!B99</f>
        <v>1</v>
      </c>
      <c r="AR99" s="48" t="b">
        <f>C99=[2]员工报账!C99</f>
        <v>1</v>
      </c>
      <c r="AS99" s="48" t="b">
        <f>D99=[2]员工报账!D99</f>
        <v>1</v>
      </c>
      <c r="AT99" s="48" t="b">
        <f>E99=[2]员工报账!E99</f>
        <v>1</v>
      </c>
      <c r="AU99" s="48" t="b">
        <f>F99=[2]员工报账!F99</f>
        <v>1</v>
      </c>
      <c r="AV99" s="48" t="b">
        <f>G99=[2]员工报账!G99</f>
        <v>1</v>
      </c>
      <c r="AW99" s="48" t="b">
        <f>H99=[2]员工报账!H99</f>
        <v>1</v>
      </c>
      <c r="AX99" s="48" t="b">
        <f>I99=[2]员工报账!I99</f>
        <v>1</v>
      </c>
      <c r="AY99" s="48" t="b">
        <f>J99=[2]员工报账!J99</f>
        <v>1</v>
      </c>
      <c r="AZ99" s="48" t="b">
        <f>K99=[2]员工报账!K99</f>
        <v>1</v>
      </c>
      <c r="BA99" s="48" t="b">
        <f>L99=[2]员工报账!L99</f>
        <v>1</v>
      </c>
      <c r="BB99" s="48" t="b">
        <f>M99=[2]员工报账!M99</f>
        <v>1</v>
      </c>
      <c r="BC99" s="48" t="b">
        <f>N99=[2]员工报账!N99</f>
        <v>1</v>
      </c>
      <c r="BD99" s="48" t="b">
        <f>O99=[2]员工报账!O99</f>
        <v>1</v>
      </c>
      <c r="BE99" s="48" t="b">
        <f>P99=[2]员工报账!P99</f>
        <v>1</v>
      </c>
      <c r="BF99" s="48" t="b">
        <f>Q99=[2]员工报账!Q99</f>
        <v>1</v>
      </c>
      <c r="BG99" s="48" t="b">
        <f>R99=[2]员工报账!R99</f>
        <v>1</v>
      </c>
      <c r="BH99" s="48" t="b">
        <f>S99=[2]员工报账!S99</f>
        <v>1</v>
      </c>
      <c r="BI99" s="100" t="b">
        <f>T99=[2]员工报账!T99</f>
        <v>0</v>
      </c>
      <c r="BJ99" s="100" t="b">
        <f>U99=[2]员工报账!U99</f>
        <v>0</v>
      </c>
      <c r="BK99" s="48" t="b">
        <f>V99=[2]员工报账!V99</f>
        <v>1</v>
      </c>
      <c r="BL99" s="48" t="b">
        <f>W99=[2]员工报账!W99</f>
        <v>1</v>
      </c>
      <c r="BM99" s="48" t="b">
        <f>X99=[2]员工报账!X99</f>
        <v>1</v>
      </c>
      <c r="BN99" s="48" t="b">
        <f>Y99=[2]员工报账!Y99</f>
        <v>1</v>
      </c>
      <c r="BO99" s="48" t="b">
        <f>Z99=[2]员工报账!Z99</f>
        <v>1</v>
      </c>
      <c r="BP99" s="48" t="b">
        <f>AA99=[2]员工报账!AA99</f>
        <v>1</v>
      </c>
      <c r="BQ99" s="48" t="b">
        <f>AB99=[2]员工报账!AB99</f>
        <v>1</v>
      </c>
      <c r="BR99" s="48" t="b">
        <f>AC99=[2]员工报账!AC99</f>
        <v>1</v>
      </c>
      <c r="BS99" s="100" t="b">
        <f>AD99=[2]员工报账!AD99</f>
        <v>0</v>
      </c>
      <c r="BT99" s="48" t="b">
        <f>AE99=[2]员工报账!AE99</f>
        <v>1</v>
      </c>
      <c r="BU99" s="48" t="b">
        <f>AF99=[2]员工报账!AF99</f>
        <v>1</v>
      </c>
      <c r="BV99" s="48" t="b">
        <f>AG99=[2]员工报账!AG99</f>
        <v>1</v>
      </c>
      <c r="BW99" s="48" t="b">
        <f>AH99=[2]员工报账!AH99</f>
        <v>1</v>
      </c>
      <c r="BX99" s="48" t="b">
        <f>AI99=[2]员工报账!AI99</f>
        <v>1</v>
      </c>
      <c r="BY99" s="48" t="b">
        <f>AJ99=[2]员工报账!AJ99</f>
        <v>1</v>
      </c>
      <c r="BZ99" s="48" t="b">
        <f>AK99=[2]员工报账!AK99</f>
        <v>1</v>
      </c>
    </row>
    <row r="100" ht="145.2" spans="1:78">
      <c r="A100" s="79" t="s">
        <v>453</v>
      </c>
      <c r="B100" s="79" t="s">
        <v>644</v>
      </c>
      <c r="C100" s="45" t="s">
        <v>935</v>
      </c>
      <c r="D100" s="45" t="s">
        <v>982</v>
      </c>
      <c r="E100" s="32" t="s">
        <v>983</v>
      </c>
      <c r="F100" s="89" t="s">
        <v>1009</v>
      </c>
      <c r="G100" s="45" t="s">
        <v>985</v>
      </c>
      <c r="H100" s="45" t="s">
        <v>986</v>
      </c>
      <c r="I100" s="45" t="s">
        <v>987</v>
      </c>
      <c r="J100" s="45" t="s">
        <v>1010</v>
      </c>
      <c r="K100" s="45" t="s">
        <v>36</v>
      </c>
      <c r="L100" s="91"/>
      <c r="M100" s="91"/>
      <c r="N100" s="45" t="s">
        <v>36</v>
      </c>
      <c r="O100" s="91"/>
      <c r="P100" s="91"/>
      <c r="Q100" s="45" t="s">
        <v>36</v>
      </c>
      <c r="R100" s="91"/>
      <c r="S100" s="91"/>
      <c r="T100" s="45" t="s">
        <v>516</v>
      </c>
      <c r="U100" s="46"/>
      <c r="V100" s="32" t="s">
        <v>1011</v>
      </c>
      <c r="W100" s="32" t="s">
        <v>990</v>
      </c>
      <c r="X100" s="45" t="s">
        <v>628</v>
      </c>
      <c r="Y100" s="45" t="s">
        <v>470</v>
      </c>
      <c r="Z100" s="45"/>
      <c r="AA100" s="45" t="s">
        <v>469</v>
      </c>
      <c r="AB100" s="45" t="s">
        <v>470</v>
      </c>
      <c r="AC100" s="45"/>
      <c r="AD100" s="32"/>
      <c r="AE100" s="45" t="s">
        <v>469</v>
      </c>
      <c r="AF100" s="45" t="s">
        <v>470</v>
      </c>
      <c r="AG100" s="45"/>
      <c r="AH100" s="45" t="s">
        <v>473</v>
      </c>
      <c r="AI100" s="45" t="s">
        <v>473</v>
      </c>
      <c r="AJ100" s="32" t="s">
        <v>1012</v>
      </c>
      <c r="AK100" s="22"/>
      <c r="AL100" s="42" t="s">
        <v>1013</v>
      </c>
      <c r="AM100" s="42"/>
      <c r="AN100" s="35" t="s">
        <v>994</v>
      </c>
      <c r="AO100" s="99"/>
      <c r="AP100" s="48" t="b">
        <f>A100=[2]员工报账!A100</f>
        <v>1</v>
      </c>
      <c r="AQ100" s="48" t="b">
        <f>B100=[2]员工报账!B100</f>
        <v>1</v>
      </c>
      <c r="AR100" s="48" t="b">
        <f>C100=[2]员工报账!C100</f>
        <v>1</v>
      </c>
      <c r="AS100" s="48" t="b">
        <f>D100=[2]员工报账!D100</f>
        <v>1</v>
      </c>
      <c r="AT100" s="48" t="b">
        <f>E100=[2]员工报账!E100</f>
        <v>1</v>
      </c>
      <c r="AU100" s="48" t="b">
        <f>F100=[2]员工报账!F100</f>
        <v>1</v>
      </c>
      <c r="AV100" s="48" t="b">
        <f>G100=[2]员工报账!G100</f>
        <v>1</v>
      </c>
      <c r="AW100" s="48" t="b">
        <f>H100=[2]员工报账!H100</f>
        <v>1</v>
      </c>
      <c r="AX100" s="48" t="b">
        <f>I100=[2]员工报账!I100</f>
        <v>1</v>
      </c>
      <c r="AY100" s="48" t="b">
        <f>J100=[2]员工报账!J100</f>
        <v>1</v>
      </c>
      <c r="AZ100" s="48" t="b">
        <f>K100=[2]员工报账!K100</f>
        <v>1</v>
      </c>
      <c r="BA100" s="48" t="b">
        <f>L100=[2]员工报账!L100</f>
        <v>1</v>
      </c>
      <c r="BB100" s="48" t="b">
        <f>M100=[2]员工报账!M100</f>
        <v>1</v>
      </c>
      <c r="BC100" s="48" t="b">
        <f>N100=[2]员工报账!N100</f>
        <v>1</v>
      </c>
      <c r="BD100" s="48" t="b">
        <f>O100=[2]员工报账!O100</f>
        <v>1</v>
      </c>
      <c r="BE100" s="48" t="b">
        <f>P100=[2]员工报账!P100</f>
        <v>1</v>
      </c>
      <c r="BF100" s="48" t="b">
        <f>Q100=[2]员工报账!Q100</f>
        <v>1</v>
      </c>
      <c r="BG100" s="48" t="b">
        <f>R100=[2]员工报账!R100</f>
        <v>1</v>
      </c>
      <c r="BH100" s="48" t="b">
        <f>S100=[2]员工报账!S100</f>
        <v>1</v>
      </c>
      <c r="BI100" s="48" t="b">
        <f>T100=[2]员工报账!T100</f>
        <v>1</v>
      </c>
      <c r="BJ100" s="48" t="b">
        <f>U100=[2]员工报账!U100</f>
        <v>1</v>
      </c>
      <c r="BK100" s="48" t="b">
        <f>V100=[2]员工报账!V100</f>
        <v>1</v>
      </c>
      <c r="BL100" s="48" t="b">
        <f>W100=[2]员工报账!W100</f>
        <v>1</v>
      </c>
      <c r="BM100" s="48" t="b">
        <f>X100=[2]员工报账!X100</f>
        <v>1</v>
      </c>
      <c r="BN100" s="48" t="b">
        <f>Y100=[2]员工报账!Y100</f>
        <v>1</v>
      </c>
      <c r="BO100" s="48" t="b">
        <f>Z100=[2]员工报账!Z100</f>
        <v>1</v>
      </c>
      <c r="BP100" s="48" t="b">
        <f>AA100=[2]员工报账!AA100</f>
        <v>1</v>
      </c>
      <c r="BQ100" s="48" t="b">
        <f>AB100=[2]员工报账!AB100</f>
        <v>1</v>
      </c>
      <c r="BR100" s="48" t="b">
        <f>AC100=[2]员工报账!AC100</f>
        <v>1</v>
      </c>
      <c r="BS100" s="100" t="b">
        <f>AD100=[2]员工报账!AD100</f>
        <v>0</v>
      </c>
      <c r="BT100" s="48" t="b">
        <f>AE100=[2]员工报账!AE100</f>
        <v>1</v>
      </c>
      <c r="BU100" s="48" t="b">
        <f>AF100=[2]员工报账!AF100</f>
        <v>1</v>
      </c>
      <c r="BV100" s="48" t="b">
        <f>AG100=[2]员工报账!AG100</f>
        <v>1</v>
      </c>
      <c r="BW100" s="48" t="b">
        <f>AH100=[2]员工报账!AH100</f>
        <v>1</v>
      </c>
      <c r="BX100" s="48" t="b">
        <f>AI100=[2]员工报账!AI100</f>
        <v>1</v>
      </c>
      <c r="BY100" s="48" t="b">
        <f>AJ100=[2]员工报账!AJ100</f>
        <v>1</v>
      </c>
      <c r="BZ100" s="48" t="b">
        <f>AK100=[2]员工报账!AK100</f>
        <v>1</v>
      </c>
    </row>
    <row r="101" ht="132" spans="1:78">
      <c r="A101" s="79"/>
      <c r="B101" s="79"/>
      <c r="C101" s="45"/>
      <c r="D101" s="45"/>
      <c r="E101" s="32"/>
      <c r="F101" s="32"/>
      <c r="G101" s="45"/>
      <c r="H101" s="45"/>
      <c r="I101" s="45" t="s">
        <v>995</v>
      </c>
      <c r="J101" s="45" t="s">
        <v>1014</v>
      </c>
      <c r="K101" s="45" t="s">
        <v>36</v>
      </c>
      <c r="L101" s="91"/>
      <c r="M101" s="91"/>
      <c r="N101" s="45" t="s">
        <v>36</v>
      </c>
      <c r="O101" s="91"/>
      <c r="P101" s="91"/>
      <c r="Q101" s="45" t="s">
        <v>36</v>
      </c>
      <c r="R101" s="91"/>
      <c r="S101" s="91"/>
      <c r="T101" s="45" t="s">
        <v>463</v>
      </c>
      <c r="U101" s="46" t="s">
        <v>635</v>
      </c>
      <c r="V101" s="32" t="s">
        <v>1015</v>
      </c>
      <c r="W101" s="45" t="s">
        <v>1016</v>
      </c>
      <c r="X101" s="45" t="s">
        <v>628</v>
      </c>
      <c r="Y101" s="45" t="s">
        <v>470</v>
      </c>
      <c r="Z101" s="45"/>
      <c r="AA101" s="45" t="s">
        <v>469</v>
      </c>
      <c r="AB101" s="45" t="s">
        <v>470</v>
      </c>
      <c r="AC101" s="45"/>
      <c r="AD101" s="32" t="s">
        <v>1017</v>
      </c>
      <c r="AE101" s="45" t="s">
        <v>469</v>
      </c>
      <c r="AF101" s="45" t="s">
        <v>470</v>
      </c>
      <c r="AG101" s="45"/>
      <c r="AH101" s="45" t="s">
        <v>473</v>
      </c>
      <c r="AI101" s="45" t="s">
        <v>473</v>
      </c>
      <c r="AJ101" s="32" t="s">
        <v>1018</v>
      </c>
      <c r="AK101" s="22"/>
      <c r="AL101" s="42" t="s">
        <v>993</v>
      </c>
      <c r="AM101" s="42"/>
      <c r="AN101" s="35" t="s">
        <v>994</v>
      </c>
      <c r="AO101" s="99"/>
      <c r="AP101" s="48" t="b">
        <f>A101=[2]员工报账!A101</f>
        <v>1</v>
      </c>
      <c r="AQ101" s="48" t="b">
        <f>B101=[2]员工报账!B101</f>
        <v>1</v>
      </c>
      <c r="AR101" s="48" t="b">
        <f>C101=[2]员工报账!C101</f>
        <v>1</v>
      </c>
      <c r="AS101" s="48" t="b">
        <f>D101=[2]员工报账!D101</f>
        <v>1</v>
      </c>
      <c r="AT101" s="48" t="b">
        <f>E101=[2]员工报账!E101</f>
        <v>1</v>
      </c>
      <c r="AU101" s="48" t="b">
        <f>F101=[2]员工报账!F101</f>
        <v>1</v>
      </c>
      <c r="AV101" s="48" t="b">
        <f>G101=[2]员工报账!G101</f>
        <v>1</v>
      </c>
      <c r="AW101" s="48" t="b">
        <f>H101=[2]员工报账!H101</f>
        <v>1</v>
      </c>
      <c r="AX101" s="48" t="b">
        <f>I101=[2]员工报账!I101</f>
        <v>1</v>
      </c>
      <c r="AY101" s="48" t="b">
        <f>J101=[2]员工报账!J101</f>
        <v>1</v>
      </c>
      <c r="AZ101" s="48" t="b">
        <f>K101=[2]员工报账!K101</f>
        <v>1</v>
      </c>
      <c r="BA101" s="48" t="b">
        <f>L101=[2]员工报账!L101</f>
        <v>1</v>
      </c>
      <c r="BB101" s="48" t="b">
        <f>M101=[2]员工报账!M101</f>
        <v>1</v>
      </c>
      <c r="BC101" s="48" t="b">
        <f>N101=[2]员工报账!N101</f>
        <v>1</v>
      </c>
      <c r="BD101" s="48" t="b">
        <f>O101=[2]员工报账!O101</f>
        <v>1</v>
      </c>
      <c r="BE101" s="48" t="b">
        <f>P101=[2]员工报账!P101</f>
        <v>1</v>
      </c>
      <c r="BF101" s="48" t="b">
        <f>Q101=[2]员工报账!Q101</f>
        <v>1</v>
      </c>
      <c r="BG101" s="48" t="b">
        <f>R101=[2]员工报账!R101</f>
        <v>1</v>
      </c>
      <c r="BH101" s="48" t="b">
        <f>S101=[2]员工报账!S101</f>
        <v>1</v>
      </c>
      <c r="BI101" s="48" t="b">
        <f>T101=[2]员工报账!T101</f>
        <v>1</v>
      </c>
      <c r="BJ101" s="48" t="b">
        <f>U101=[2]员工报账!U101</f>
        <v>1</v>
      </c>
      <c r="BK101" s="48" t="b">
        <f>V101=[2]员工报账!V101</f>
        <v>1</v>
      </c>
      <c r="BL101" s="48" t="b">
        <f>W101=[2]员工报账!W101</f>
        <v>1</v>
      </c>
      <c r="BM101" s="48" t="b">
        <f>X101=[2]员工报账!X101</f>
        <v>1</v>
      </c>
      <c r="BN101" s="48" t="b">
        <f>Y101=[2]员工报账!Y101</f>
        <v>1</v>
      </c>
      <c r="BO101" s="48" t="b">
        <f>Z101=[2]员工报账!Z101</f>
        <v>1</v>
      </c>
      <c r="BP101" s="48" t="b">
        <f>AA101=[2]员工报账!AA101</f>
        <v>1</v>
      </c>
      <c r="BQ101" s="48" t="b">
        <f>AB101=[2]员工报账!AB101</f>
        <v>1</v>
      </c>
      <c r="BR101" s="48" t="b">
        <f>AC101=[2]员工报账!AC101</f>
        <v>1</v>
      </c>
      <c r="BS101" s="100" t="b">
        <f>AD101=[2]员工报账!AD101</f>
        <v>0</v>
      </c>
      <c r="BT101" s="48" t="b">
        <f>AE101=[2]员工报账!AE101</f>
        <v>1</v>
      </c>
      <c r="BU101" s="48" t="b">
        <f>AF101=[2]员工报账!AF101</f>
        <v>1</v>
      </c>
      <c r="BV101" s="48" t="b">
        <f>AG101=[2]员工报账!AG101</f>
        <v>1</v>
      </c>
      <c r="BW101" s="48" t="b">
        <f>AH101=[2]员工报账!AH101</f>
        <v>1</v>
      </c>
      <c r="BX101" s="48" t="b">
        <f>AI101=[2]员工报账!AI101</f>
        <v>1</v>
      </c>
      <c r="BY101" s="48" t="b">
        <f>AJ101=[2]员工报账!AJ101</f>
        <v>1</v>
      </c>
      <c r="BZ101" s="48" t="b">
        <f>AK101=[2]员工报账!AK101</f>
        <v>1</v>
      </c>
    </row>
    <row r="102" ht="132" spans="1:78">
      <c r="A102" s="79"/>
      <c r="B102" s="79"/>
      <c r="C102" s="45"/>
      <c r="D102" s="45"/>
      <c r="E102" s="32"/>
      <c r="F102" s="32"/>
      <c r="G102" s="45"/>
      <c r="H102" s="45"/>
      <c r="I102" s="45" t="s">
        <v>1019</v>
      </c>
      <c r="J102" s="45" t="s">
        <v>996</v>
      </c>
      <c r="K102" s="45" t="s">
        <v>36</v>
      </c>
      <c r="L102" s="91"/>
      <c r="M102" s="91"/>
      <c r="N102" s="45" t="s">
        <v>36</v>
      </c>
      <c r="O102" s="91"/>
      <c r="P102" s="91"/>
      <c r="Q102" s="45" t="s">
        <v>36</v>
      </c>
      <c r="R102" s="91"/>
      <c r="S102" s="91"/>
      <c r="T102" s="45" t="s">
        <v>516</v>
      </c>
      <c r="U102" s="46"/>
      <c r="V102" s="32" t="s">
        <v>989</v>
      </c>
      <c r="W102" s="45" t="s">
        <v>627</v>
      </c>
      <c r="X102" s="45" t="s">
        <v>628</v>
      </c>
      <c r="Y102" s="45" t="s">
        <v>470</v>
      </c>
      <c r="Z102" s="45"/>
      <c r="AA102" s="45" t="s">
        <v>469</v>
      </c>
      <c r="AB102" s="45" t="s">
        <v>470</v>
      </c>
      <c r="AC102" s="45"/>
      <c r="AD102" s="32"/>
      <c r="AE102" s="45" t="s">
        <v>469</v>
      </c>
      <c r="AF102" s="45" t="s">
        <v>470</v>
      </c>
      <c r="AG102" s="45"/>
      <c r="AH102" s="45" t="s">
        <v>473</v>
      </c>
      <c r="AI102" s="45" t="s">
        <v>473</v>
      </c>
      <c r="AJ102" s="32" t="s">
        <v>992</v>
      </c>
      <c r="AK102" s="22"/>
      <c r="AL102" s="42" t="s">
        <v>993</v>
      </c>
      <c r="AM102" s="42"/>
      <c r="AN102" s="35" t="s">
        <v>994</v>
      </c>
      <c r="AO102" s="99"/>
      <c r="AP102" s="48" t="b">
        <f>A102=[2]员工报账!A102</f>
        <v>1</v>
      </c>
      <c r="AQ102" s="48" t="b">
        <f>B102=[2]员工报账!B102</f>
        <v>1</v>
      </c>
      <c r="AR102" s="48" t="b">
        <f>C102=[2]员工报账!C102</f>
        <v>1</v>
      </c>
      <c r="AS102" s="48" t="b">
        <f>D102=[2]员工报账!D102</f>
        <v>1</v>
      </c>
      <c r="AT102" s="48" t="b">
        <f>E102=[2]员工报账!E102</f>
        <v>1</v>
      </c>
      <c r="AU102" s="48" t="b">
        <f>F102=[2]员工报账!F102</f>
        <v>1</v>
      </c>
      <c r="AV102" s="48" t="b">
        <f>G102=[2]员工报账!G102</f>
        <v>1</v>
      </c>
      <c r="AW102" s="48" t="b">
        <f>H102=[2]员工报账!H102</f>
        <v>1</v>
      </c>
      <c r="AX102" s="48" t="b">
        <f>I102=[2]员工报账!I102</f>
        <v>1</v>
      </c>
      <c r="AY102" s="48" t="b">
        <f>J102=[2]员工报账!J102</f>
        <v>1</v>
      </c>
      <c r="AZ102" s="48" t="b">
        <f>K102=[2]员工报账!K102</f>
        <v>1</v>
      </c>
      <c r="BA102" s="48" t="b">
        <f>L102=[2]员工报账!L102</f>
        <v>1</v>
      </c>
      <c r="BB102" s="48" t="b">
        <f>M102=[2]员工报账!M102</f>
        <v>1</v>
      </c>
      <c r="BC102" s="48" t="b">
        <f>N102=[2]员工报账!N102</f>
        <v>1</v>
      </c>
      <c r="BD102" s="48" t="b">
        <f>O102=[2]员工报账!O102</f>
        <v>1</v>
      </c>
      <c r="BE102" s="48" t="b">
        <f>P102=[2]员工报账!P102</f>
        <v>1</v>
      </c>
      <c r="BF102" s="48" t="b">
        <f>Q102=[2]员工报账!Q102</f>
        <v>1</v>
      </c>
      <c r="BG102" s="48" t="b">
        <f>R102=[2]员工报账!R102</f>
        <v>1</v>
      </c>
      <c r="BH102" s="48" t="b">
        <f>S102=[2]员工报账!S102</f>
        <v>1</v>
      </c>
      <c r="BI102" s="100" t="b">
        <f>T102=[2]员工报账!T102</f>
        <v>0</v>
      </c>
      <c r="BJ102" s="100" t="b">
        <f>U102=[2]员工报账!U102</f>
        <v>0</v>
      </c>
      <c r="BK102" s="48" t="b">
        <f>V102=[2]员工报账!V102</f>
        <v>1</v>
      </c>
      <c r="BL102" s="48" t="b">
        <f>W102=[2]员工报账!W102</f>
        <v>1</v>
      </c>
      <c r="BM102" s="48" t="b">
        <f>X102=[2]员工报账!X102</f>
        <v>1</v>
      </c>
      <c r="BN102" s="48" t="b">
        <f>Y102=[2]员工报账!Y102</f>
        <v>1</v>
      </c>
      <c r="BO102" s="48" t="b">
        <f>Z102=[2]员工报账!Z102</f>
        <v>1</v>
      </c>
      <c r="BP102" s="48" t="b">
        <f>AA102=[2]员工报账!AA102</f>
        <v>1</v>
      </c>
      <c r="BQ102" s="48" t="b">
        <f>AB102=[2]员工报账!AB102</f>
        <v>1</v>
      </c>
      <c r="BR102" s="48" t="b">
        <f>AC102=[2]员工报账!AC102</f>
        <v>1</v>
      </c>
      <c r="BS102" s="100" t="b">
        <f>AD102=[2]员工报账!AD102</f>
        <v>0</v>
      </c>
      <c r="BT102" s="48" t="b">
        <f>AE102=[2]员工报账!AE102</f>
        <v>1</v>
      </c>
      <c r="BU102" s="48" t="b">
        <f>AF102=[2]员工报账!AF102</f>
        <v>1</v>
      </c>
      <c r="BV102" s="48" t="b">
        <f>AG102=[2]员工报账!AG102</f>
        <v>1</v>
      </c>
      <c r="BW102" s="48" t="b">
        <f>AH102=[2]员工报账!AH102</f>
        <v>1</v>
      </c>
      <c r="BX102" s="48" t="b">
        <f>AI102=[2]员工报账!AI102</f>
        <v>1</v>
      </c>
      <c r="BY102" s="48" t="b">
        <f>AJ102=[2]员工报账!AJ102</f>
        <v>1</v>
      </c>
      <c r="BZ102" s="48" t="b">
        <f>AK102=[2]员工报账!AK102</f>
        <v>1</v>
      </c>
    </row>
    <row r="103" ht="87" customHeight="1" spans="1:78">
      <c r="A103" s="80" t="s">
        <v>453</v>
      </c>
      <c r="B103" s="80" t="s">
        <v>644</v>
      </c>
      <c r="C103" s="81" t="s">
        <v>935</v>
      </c>
      <c r="D103" s="81" t="s">
        <v>1020</v>
      </c>
      <c r="E103" s="81" t="s">
        <v>1021</v>
      </c>
      <c r="F103" s="81" t="s">
        <v>1022</v>
      </c>
      <c r="G103" s="81" t="s">
        <v>1023</v>
      </c>
      <c r="H103" s="81" t="s">
        <v>1024</v>
      </c>
      <c r="I103" s="32" t="s">
        <v>1025</v>
      </c>
      <c r="J103" s="32" t="s">
        <v>1026</v>
      </c>
      <c r="K103" s="45" t="s">
        <v>36</v>
      </c>
      <c r="L103" s="91"/>
      <c r="M103" s="91"/>
      <c r="N103" s="45" t="s">
        <v>36</v>
      </c>
      <c r="O103" s="45" t="s">
        <v>36</v>
      </c>
      <c r="P103" s="91"/>
      <c r="Q103" s="45"/>
      <c r="R103" s="45"/>
      <c r="S103" s="91"/>
      <c r="T103" s="45" t="s">
        <v>516</v>
      </c>
      <c r="U103" s="92"/>
      <c r="V103" s="32" t="s">
        <v>1027</v>
      </c>
      <c r="W103" s="32" t="s">
        <v>1028</v>
      </c>
      <c r="X103" s="45" t="s">
        <v>628</v>
      </c>
      <c r="Y103" s="45" t="s">
        <v>470</v>
      </c>
      <c r="Z103" s="45"/>
      <c r="AA103" s="45" t="s">
        <v>469</v>
      </c>
      <c r="AB103" s="45" t="s">
        <v>470</v>
      </c>
      <c r="AC103" s="45"/>
      <c r="AD103" s="32"/>
      <c r="AE103" s="45" t="s">
        <v>469</v>
      </c>
      <c r="AF103" s="45" t="s">
        <v>470</v>
      </c>
      <c r="AG103" s="45"/>
      <c r="AH103" s="45" t="s">
        <v>473</v>
      </c>
      <c r="AI103" s="45" t="s">
        <v>473</v>
      </c>
      <c r="AJ103" s="32" t="s">
        <v>1029</v>
      </c>
      <c r="AK103" s="22"/>
      <c r="AL103" s="42" t="s">
        <v>1030</v>
      </c>
      <c r="AM103" s="28"/>
      <c r="AN103" s="35" t="s">
        <v>1031</v>
      </c>
      <c r="AO103" s="99"/>
      <c r="AP103" s="48" t="b">
        <f>A103=[2]员工报账!A103</f>
        <v>1</v>
      </c>
      <c r="AQ103" s="48" t="b">
        <f>B103=[2]员工报账!B103</f>
        <v>1</v>
      </c>
      <c r="AR103" s="48" t="b">
        <f>C103=[2]员工报账!C103</f>
        <v>1</v>
      </c>
      <c r="AS103" s="48" t="b">
        <f>D103=[2]员工报账!D103</f>
        <v>1</v>
      </c>
      <c r="AT103" s="48" t="b">
        <f>E103=[2]员工报账!E103</f>
        <v>1</v>
      </c>
      <c r="AU103" s="48" t="b">
        <f>F103=[2]员工报账!F103</f>
        <v>1</v>
      </c>
      <c r="AV103" s="48" t="b">
        <f>G103=[2]员工报账!G103</f>
        <v>1</v>
      </c>
      <c r="AW103" s="48" t="b">
        <f>H103=[2]员工报账!H103</f>
        <v>1</v>
      </c>
      <c r="AX103" s="48" t="b">
        <f>I103=[2]员工报账!I103</f>
        <v>1</v>
      </c>
      <c r="AY103" s="100" t="b">
        <f>J103=[2]员工报账!J103</f>
        <v>0</v>
      </c>
      <c r="AZ103" s="48" t="b">
        <f>K103=[2]员工报账!K103</f>
        <v>1</v>
      </c>
      <c r="BA103" s="48" t="b">
        <f>L103=[2]员工报账!L103</f>
        <v>1</v>
      </c>
      <c r="BB103" s="48" t="b">
        <f>M103=[2]员工报账!M103</f>
        <v>1</v>
      </c>
      <c r="BC103" s="48" t="b">
        <f>N103=[2]员工报账!N103</f>
        <v>1</v>
      </c>
      <c r="BD103" s="48" t="b">
        <f>O103=[2]员工报账!O103</f>
        <v>1</v>
      </c>
      <c r="BE103" s="48" t="b">
        <f>P103=[2]员工报账!P103</f>
        <v>1</v>
      </c>
      <c r="BF103" s="48" t="b">
        <f>Q103=[2]员工报账!Q103</f>
        <v>1</v>
      </c>
      <c r="BG103" s="48" t="b">
        <f>R103=[2]员工报账!R103</f>
        <v>1</v>
      </c>
      <c r="BH103" s="48" t="b">
        <f>S103=[2]员工报账!S103</f>
        <v>1</v>
      </c>
      <c r="BI103" s="48" t="b">
        <f>T103=[2]员工报账!T103</f>
        <v>1</v>
      </c>
      <c r="BJ103" s="48" t="b">
        <f>U103=[2]员工报账!U103</f>
        <v>1</v>
      </c>
      <c r="BK103" s="48" t="b">
        <f>V103=[2]员工报账!V103</f>
        <v>1</v>
      </c>
      <c r="BL103" s="48" t="b">
        <f>W103=[2]员工报账!W103</f>
        <v>1</v>
      </c>
      <c r="BM103" s="48" t="b">
        <f>X103=[2]员工报账!X103</f>
        <v>1</v>
      </c>
      <c r="BN103" s="48" t="b">
        <f>Y103=[2]员工报账!Y103</f>
        <v>1</v>
      </c>
      <c r="BO103" s="48" t="b">
        <f>Z103=[2]员工报账!Z103</f>
        <v>1</v>
      </c>
      <c r="BP103" s="48" t="b">
        <f>AA103=[2]员工报账!AA103</f>
        <v>1</v>
      </c>
      <c r="BQ103" s="48" t="b">
        <f>AB103=[2]员工报账!AB103</f>
        <v>1</v>
      </c>
      <c r="BR103" s="48" t="b">
        <f>AC103=[2]员工报账!AC103</f>
        <v>1</v>
      </c>
      <c r="BS103" s="100" t="b">
        <f>AD103=[2]员工报账!AD103</f>
        <v>0</v>
      </c>
      <c r="BT103" s="48" t="b">
        <f>AE103=[2]员工报账!AE103</f>
        <v>1</v>
      </c>
      <c r="BU103" s="48" t="b">
        <f>AF103=[2]员工报账!AF103</f>
        <v>1</v>
      </c>
      <c r="BV103" s="48" t="b">
        <f>AG103=[2]员工报账!AG103</f>
        <v>1</v>
      </c>
      <c r="BW103" s="48" t="b">
        <f>AH103=[2]员工报账!AH103</f>
        <v>1</v>
      </c>
      <c r="BX103" s="48" t="b">
        <f>AI103=[2]员工报账!AI103</f>
        <v>1</v>
      </c>
      <c r="BY103" s="48" t="b">
        <f>AJ103=[2]员工报账!AJ103</f>
        <v>1</v>
      </c>
      <c r="BZ103" s="48" t="b">
        <f>AK103=[2]员工报账!AK103</f>
        <v>1</v>
      </c>
    </row>
    <row r="104" ht="171.6" spans="1:78">
      <c r="A104" s="84"/>
      <c r="B104" s="84"/>
      <c r="C104" s="85"/>
      <c r="D104" s="85"/>
      <c r="E104" s="85"/>
      <c r="F104" s="85"/>
      <c r="G104" s="85"/>
      <c r="H104" s="85"/>
      <c r="I104" s="32" t="s">
        <v>1032</v>
      </c>
      <c r="J104" s="32" t="s">
        <v>1033</v>
      </c>
      <c r="K104" s="45"/>
      <c r="L104" s="91"/>
      <c r="M104" s="91"/>
      <c r="N104" s="45" t="s">
        <v>36</v>
      </c>
      <c r="O104" s="45" t="s">
        <v>36</v>
      </c>
      <c r="P104" s="91"/>
      <c r="Q104" s="45"/>
      <c r="R104" s="45"/>
      <c r="S104" s="91"/>
      <c r="T104" s="45" t="s">
        <v>516</v>
      </c>
      <c r="U104" s="92"/>
      <c r="V104" s="32" t="s">
        <v>1034</v>
      </c>
      <c r="W104" s="32" t="s">
        <v>1028</v>
      </c>
      <c r="X104" s="45" t="s">
        <v>628</v>
      </c>
      <c r="Y104" s="45" t="s">
        <v>470</v>
      </c>
      <c r="Z104" s="45"/>
      <c r="AA104" s="45" t="s">
        <v>469</v>
      </c>
      <c r="AB104" s="45" t="s">
        <v>470</v>
      </c>
      <c r="AC104" s="45"/>
      <c r="AD104" s="32"/>
      <c r="AE104" s="45" t="s">
        <v>469</v>
      </c>
      <c r="AF104" s="45" t="s">
        <v>470</v>
      </c>
      <c r="AG104" s="45"/>
      <c r="AH104" s="45" t="s">
        <v>473</v>
      </c>
      <c r="AI104" s="45" t="s">
        <v>473</v>
      </c>
      <c r="AJ104" s="32" t="s">
        <v>1029</v>
      </c>
      <c r="AK104" s="22"/>
      <c r="AL104" s="42" t="s">
        <v>1030</v>
      </c>
      <c r="AM104" s="28"/>
      <c r="AN104" s="35" t="s">
        <v>1031</v>
      </c>
      <c r="AO104" s="99"/>
      <c r="AP104" s="48" t="b">
        <f>A104=[2]员工报账!A104</f>
        <v>1</v>
      </c>
      <c r="AQ104" s="48" t="b">
        <f>B104=[2]员工报账!B104</f>
        <v>1</v>
      </c>
      <c r="AR104" s="48" t="b">
        <f>C104=[2]员工报账!C104</f>
        <v>1</v>
      </c>
      <c r="AS104" s="48" t="b">
        <f>D104=[2]员工报账!D104</f>
        <v>1</v>
      </c>
      <c r="AT104" s="48" t="b">
        <f>E104=[2]员工报账!E104</f>
        <v>1</v>
      </c>
      <c r="AU104" s="48" t="b">
        <f>F104=[2]员工报账!F104</f>
        <v>1</v>
      </c>
      <c r="AV104" s="48" t="b">
        <f>G104=[2]员工报账!G104</f>
        <v>1</v>
      </c>
      <c r="AW104" s="48" t="b">
        <f>H104=[2]员工报账!H104</f>
        <v>1</v>
      </c>
      <c r="AX104" s="48" t="b">
        <f>I104=[2]员工报账!I104</f>
        <v>1</v>
      </c>
      <c r="AY104" s="48" t="b">
        <f>J104=[2]员工报账!J104</f>
        <v>1</v>
      </c>
      <c r="AZ104" s="48" t="b">
        <f>K104=[2]员工报账!K104</f>
        <v>1</v>
      </c>
      <c r="BA104" s="48" t="b">
        <f>L104=[2]员工报账!L104</f>
        <v>1</v>
      </c>
      <c r="BB104" s="48" t="b">
        <f>M104=[2]员工报账!M104</f>
        <v>1</v>
      </c>
      <c r="BC104" s="48" t="b">
        <f>N104=[2]员工报账!N104</f>
        <v>1</v>
      </c>
      <c r="BD104" s="48" t="b">
        <f>O104=[2]员工报账!O104</f>
        <v>1</v>
      </c>
      <c r="BE104" s="48" t="b">
        <f>P104=[2]员工报账!P104</f>
        <v>1</v>
      </c>
      <c r="BF104" s="48" t="b">
        <f>Q104=[2]员工报账!Q104</f>
        <v>1</v>
      </c>
      <c r="BG104" s="48" t="b">
        <f>R104=[2]员工报账!R104</f>
        <v>1</v>
      </c>
      <c r="BH104" s="48" t="b">
        <f>S104=[2]员工报账!S104</f>
        <v>1</v>
      </c>
      <c r="BI104" s="48" t="b">
        <f>T104=[2]员工报账!T104</f>
        <v>1</v>
      </c>
      <c r="BJ104" s="48" t="b">
        <f>U104=[2]员工报账!U104</f>
        <v>1</v>
      </c>
      <c r="BK104" s="48" t="b">
        <f>V104=[2]员工报账!V104</f>
        <v>1</v>
      </c>
      <c r="BL104" s="48" t="b">
        <f>W104=[2]员工报账!W104</f>
        <v>1</v>
      </c>
      <c r="BM104" s="48" t="b">
        <f>X104=[2]员工报账!X104</f>
        <v>1</v>
      </c>
      <c r="BN104" s="48" t="b">
        <f>Y104=[2]员工报账!Y104</f>
        <v>1</v>
      </c>
      <c r="BO104" s="48" t="b">
        <f>Z104=[2]员工报账!Z104</f>
        <v>1</v>
      </c>
      <c r="BP104" s="48" t="b">
        <f>AA104=[2]员工报账!AA104</f>
        <v>1</v>
      </c>
      <c r="BQ104" s="48" t="b">
        <f>AB104=[2]员工报账!AB104</f>
        <v>1</v>
      </c>
      <c r="BR104" s="48" t="b">
        <f>AC104=[2]员工报账!AC104</f>
        <v>1</v>
      </c>
      <c r="BS104" s="100" t="b">
        <f>AD104=[2]员工报账!AD104</f>
        <v>0</v>
      </c>
      <c r="BT104" s="48" t="b">
        <f>AE104=[2]员工报账!AE104</f>
        <v>1</v>
      </c>
      <c r="BU104" s="48" t="b">
        <f>AF104=[2]员工报账!AF104</f>
        <v>1</v>
      </c>
      <c r="BV104" s="48" t="b">
        <f>AG104=[2]员工报账!AG104</f>
        <v>1</v>
      </c>
      <c r="BW104" s="48" t="b">
        <f>AH104=[2]员工报账!AH104</f>
        <v>1</v>
      </c>
      <c r="BX104" s="48" t="b">
        <f>AI104=[2]员工报账!AI104</f>
        <v>1</v>
      </c>
      <c r="BY104" s="48" t="b">
        <f>AJ104=[2]员工报账!AJ104</f>
        <v>1</v>
      </c>
      <c r="BZ104" s="48" t="b">
        <f>AK104=[2]员工报账!AK104</f>
        <v>1</v>
      </c>
    </row>
    <row r="105" ht="87" customHeight="1" spans="1:78">
      <c r="A105" s="88"/>
      <c r="B105" s="88"/>
      <c r="C105" s="83"/>
      <c r="D105" s="83"/>
      <c r="E105" s="83"/>
      <c r="F105" s="83"/>
      <c r="G105" s="83"/>
      <c r="H105" s="83"/>
      <c r="I105" s="32" t="s">
        <v>1035</v>
      </c>
      <c r="J105" s="32" t="s">
        <v>1036</v>
      </c>
      <c r="K105" s="45" t="s">
        <v>36</v>
      </c>
      <c r="L105" s="91"/>
      <c r="M105" s="91"/>
      <c r="N105" s="45" t="s">
        <v>36</v>
      </c>
      <c r="O105" s="45" t="s">
        <v>36</v>
      </c>
      <c r="P105" s="91"/>
      <c r="Q105" s="45" t="s">
        <v>36</v>
      </c>
      <c r="R105" s="45"/>
      <c r="S105" s="91"/>
      <c r="T105" s="45" t="s">
        <v>516</v>
      </c>
      <c r="U105" s="92"/>
      <c r="V105" s="32" t="s">
        <v>1027</v>
      </c>
      <c r="W105" s="32" t="s">
        <v>1037</v>
      </c>
      <c r="X105" s="45" t="s">
        <v>628</v>
      </c>
      <c r="Y105" s="45" t="s">
        <v>470</v>
      </c>
      <c r="Z105" s="45"/>
      <c r="AA105" s="45" t="s">
        <v>469</v>
      </c>
      <c r="AB105" s="45" t="s">
        <v>470</v>
      </c>
      <c r="AC105" s="45"/>
      <c r="AD105" s="32"/>
      <c r="AE105" s="45" t="s">
        <v>469</v>
      </c>
      <c r="AF105" s="45" t="s">
        <v>470</v>
      </c>
      <c r="AG105" s="45"/>
      <c r="AH105" s="45" t="s">
        <v>473</v>
      </c>
      <c r="AI105" s="45" t="s">
        <v>473</v>
      </c>
      <c r="AJ105" s="32" t="s">
        <v>1029</v>
      </c>
      <c r="AK105" s="22"/>
      <c r="AL105" s="42" t="s">
        <v>1038</v>
      </c>
      <c r="AM105" s="28"/>
      <c r="AN105" s="35" t="s">
        <v>1031</v>
      </c>
      <c r="AO105" s="99"/>
      <c r="AP105" s="48" t="b">
        <f>A105=[2]员工报账!A105</f>
        <v>1</v>
      </c>
      <c r="AQ105" s="48" t="b">
        <f>B105=[2]员工报账!B105</f>
        <v>1</v>
      </c>
      <c r="AR105" s="48" t="b">
        <f>C105=[2]员工报账!C105</f>
        <v>1</v>
      </c>
      <c r="AS105" s="48" t="b">
        <f>D105=[2]员工报账!D105</f>
        <v>1</v>
      </c>
      <c r="AT105" s="48" t="b">
        <f>E105=[2]员工报账!E105</f>
        <v>1</v>
      </c>
      <c r="AU105" s="48" t="b">
        <f>F105=[2]员工报账!F105</f>
        <v>1</v>
      </c>
      <c r="AV105" s="48" t="b">
        <f>G105=[2]员工报账!G105</f>
        <v>1</v>
      </c>
      <c r="AW105" s="48" t="b">
        <f>H105=[2]员工报账!H105</f>
        <v>1</v>
      </c>
      <c r="AX105" s="48" t="b">
        <f>I105=[2]员工报账!I105</f>
        <v>1</v>
      </c>
      <c r="AY105" s="48" t="b">
        <f>J105=[2]员工报账!J105</f>
        <v>1</v>
      </c>
      <c r="AZ105" s="48" t="b">
        <f>K105=[2]员工报账!K105</f>
        <v>1</v>
      </c>
      <c r="BA105" s="48" t="b">
        <f>L105=[2]员工报账!L105</f>
        <v>1</v>
      </c>
      <c r="BB105" s="48" t="b">
        <f>M105=[2]员工报账!M105</f>
        <v>1</v>
      </c>
      <c r="BC105" s="48" t="b">
        <f>N105=[2]员工报账!N105</f>
        <v>1</v>
      </c>
      <c r="BD105" s="48" t="b">
        <f>O105=[2]员工报账!O105</f>
        <v>1</v>
      </c>
      <c r="BE105" s="48" t="b">
        <f>P105=[2]员工报账!P105</f>
        <v>1</v>
      </c>
      <c r="BF105" s="48" t="b">
        <f>Q105=[2]员工报账!Q105</f>
        <v>1</v>
      </c>
      <c r="BG105" s="48" t="b">
        <f>R105=[2]员工报账!R105</f>
        <v>1</v>
      </c>
      <c r="BH105" s="48" t="b">
        <f>S105=[2]员工报账!S105</f>
        <v>1</v>
      </c>
      <c r="BI105" s="48" t="b">
        <f>T105=[2]员工报账!T105</f>
        <v>1</v>
      </c>
      <c r="BJ105" s="48" t="b">
        <f>U105=[2]员工报账!U105</f>
        <v>1</v>
      </c>
      <c r="BK105" s="48" t="b">
        <f>V105=[2]员工报账!V105</f>
        <v>1</v>
      </c>
      <c r="BL105" s="48" t="b">
        <f>W105=[2]员工报账!W105</f>
        <v>1</v>
      </c>
      <c r="BM105" s="48" t="b">
        <f>X105=[2]员工报账!X105</f>
        <v>1</v>
      </c>
      <c r="BN105" s="48" t="b">
        <f>Y105=[2]员工报账!Y105</f>
        <v>1</v>
      </c>
      <c r="BO105" s="48" t="b">
        <f>Z105=[2]员工报账!Z105</f>
        <v>1</v>
      </c>
      <c r="BP105" s="48" t="b">
        <f>AA105=[2]员工报账!AA105</f>
        <v>1</v>
      </c>
      <c r="BQ105" s="48" t="b">
        <f>AB105=[2]员工报账!AB105</f>
        <v>1</v>
      </c>
      <c r="BR105" s="48" t="b">
        <f>AC105=[2]员工报账!AC105</f>
        <v>1</v>
      </c>
      <c r="BS105" s="100" t="b">
        <f>AD105=[2]员工报账!AD105</f>
        <v>0</v>
      </c>
      <c r="BT105" s="48" t="b">
        <f>AE105=[2]员工报账!AE105</f>
        <v>1</v>
      </c>
      <c r="BU105" s="48" t="b">
        <f>AF105=[2]员工报账!AF105</f>
        <v>1</v>
      </c>
      <c r="BV105" s="48" t="b">
        <f>AG105=[2]员工报账!AG105</f>
        <v>1</v>
      </c>
      <c r="BW105" s="48" t="b">
        <f>AH105=[2]员工报账!AH105</f>
        <v>1</v>
      </c>
      <c r="BX105" s="48" t="b">
        <f>AI105=[2]员工报账!AI105</f>
        <v>1</v>
      </c>
      <c r="BY105" s="48" t="b">
        <f>AJ105=[2]员工报账!AJ105</f>
        <v>1</v>
      </c>
      <c r="BZ105" s="48" t="b">
        <f>AK105=[2]员工报账!AK105</f>
        <v>1</v>
      </c>
    </row>
  </sheetData>
  <sheetProtection formatCells="0" formatColumns="0" formatRows="0" insertRows="0" insertColumns="0" insertHyperlinks="0" deleteColumns="0" deleteRows="0" sort="0" autoFilter="0" pivotTables="0"/>
  <mergeCells count="268">
    <mergeCell ref="A1:AK1"/>
    <mergeCell ref="K2:S2"/>
    <mergeCell ref="X2:Z2"/>
    <mergeCell ref="AA2:AC2"/>
    <mergeCell ref="AD2:AG2"/>
    <mergeCell ref="AH2:AJ2"/>
    <mergeCell ref="A2:A3"/>
    <mergeCell ref="A4:A9"/>
    <mergeCell ref="A10:A18"/>
    <mergeCell ref="A19:A25"/>
    <mergeCell ref="A26:A29"/>
    <mergeCell ref="A30:A34"/>
    <mergeCell ref="A35:A40"/>
    <mergeCell ref="A41:A44"/>
    <mergeCell ref="A45:A48"/>
    <mergeCell ref="A49:A52"/>
    <mergeCell ref="A53:A55"/>
    <mergeCell ref="A56:A60"/>
    <mergeCell ref="A61:A66"/>
    <mergeCell ref="A67:A68"/>
    <mergeCell ref="A69:A73"/>
    <mergeCell ref="A74:A78"/>
    <mergeCell ref="A79:A80"/>
    <mergeCell ref="A81:A84"/>
    <mergeCell ref="A85:A88"/>
    <mergeCell ref="A89:A91"/>
    <mergeCell ref="A92:A94"/>
    <mergeCell ref="A95:A96"/>
    <mergeCell ref="A97:A99"/>
    <mergeCell ref="A100:A102"/>
    <mergeCell ref="A103:A105"/>
    <mergeCell ref="B2:B3"/>
    <mergeCell ref="B4:B9"/>
    <mergeCell ref="B10:B18"/>
    <mergeCell ref="B19:B25"/>
    <mergeCell ref="B26:B29"/>
    <mergeCell ref="B30:B34"/>
    <mergeCell ref="B35:B38"/>
    <mergeCell ref="B39:B40"/>
    <mergeCell ref="B41:B44"/>
    <mergeCell ref="B45:B48"/>
    <mergeCell ref="B49:B52"/>
    <mergeCell ref="B53:B55"/>
    <mergeCell ref="B56:B60"/>
    <mergeCell ref="B61:B66"/>
    <mergeCell ref="B67:B68"/>
    <mergeCell ref="B69:B73"/>
    <mergeCell ref="B74:B78"/>
    <mergeCell ref="B79:B80"/>
    <mergeCell ref="B81:B84"/>
    <mergeCell ref="B85:B88"/>
    <mergeCell ref="B89:B91"/>
    <mergeCell ref="B92:B94"/>
    <mergeCell ref="B95:B96"/>
    <mergeCell ref="B97:B99"/>
    <mergeCell ref="B100:B102"/>
    <mergeCell ref="B103:B105"/>
    <mergeCell ref="C2:C3"/>
    <mergeCell ref="C4:C9"/>
    <mergeCell ref="C10:C12"/>
    <mergeCell ref="C13:C15"/>
    <mergeCell ref="C16:C18"/>
    <mergeCell ref="C19:C22"/>
    <mergeCell ref="C23:C25"/>
    <mergeCell ref="C26:C29"/>
    <mergeCell ref="C30:C34"/>
    <mergeCell ref="C35:C38"/>
    <mergeCell ref="C39:C40"/>
    <mergeCell ref="C41:C44"/>
    <mergeCell ref="C45:C46"/>
    <mergeCell ref="C47:C48"/>
    <mergeCell ref="C50:C52"/>
    <mergeCell ref="C53:C55"/>
    <mergeCell ref="C56:C57"/>
    <mergeCell ref="C58:C60"/>
    <mergeCell ref="C62:C63"/>
    <mergeCell ref="C64:C66"/>
    <mergeCell ref="C67:C68"/>
    <mergeCell ref="C69:C71"/>
    <mergeCell ref="C72:C73"/>
    <mergeCell ref="C74:C78"/>
    <mergeCell ref="C79:C80"/>
    <mergeCell ref="C81:C84"/>
    <mergeCell ref="C85:C88"/>
    <mergeCell ref="C89:C91"/>
    <mergeCell ref="C92:C94"/>
    <mergeCell ref="C95:C96"/>
    <mergeCell ref="C97:C99"/>
    <mergeCell ref="C100:C102"/>
    <mergeCell ref="C103:C105"/>
    <mergeCell ref="D2:D3"/>
    <mergeCell ref="D4:D9"/>
    <mergeCell ref="D10:D12"/>
    <mergeCell ref="D13:D15"/>
    <mergeCell ref="D16:D18"/>
    <mergeCell ref="D20:D22"/>
    <mergeCell ref="D23:D25"/>
    <mergeCell ref="D26:D29"/>
    <mergeCell ref="D30:D34"/>
    <mergeCell ref="D35:D38"/>
    <mergeCell ref="D39:D40"/>
    <mergeCell ref="D41:D43"/>
    <mergeCell ref="D45:D46"/>
    <mergeCell ref="D47:D48"/>
    <mergeCell ref="D50:D52"/>
    <mergeCell ref="D53:D55"/>
    <mergeCell ref="D56:D57"/>
    <mergeCell ref="D58:D60"/>
    <mergeCell ref="D62:D63"/>
    <mergeCell ref="D64:D66"/>
    <mergeCell ref="D67:D68"/>
    <mergeCell ref="D69:D71"/>
    <mergeCell ref="D72:D73"/>
    <mergeCell ref="D74:D78"/>
    <mergeCell ref="D79:D80"/>
    <mergeCell ref="D81:D84"/>
    <mergeCell ref="D85:D88"/>
    <mergeCell ref="D89:D91"/>
    <mergeCell ref="D92:D94"/>
    <mergeCell ref="D95:D96"/>
    <mergeCell ref="D97:D99"/>
    <mergeCell ref="D100:D102"/>
    <mergeCell ref="D103:D105"/>
    <mergeCell ref="E2:E3"/>
    <mergeCell ref="E4:E9"/>
    <mergeCell ref="E10:E12"/>
    <mergeCell ref="E13:E15"/>
    <mergeCell ref="E16:E18"/>
    <mergeCell ref="E20:E22"/>
    <mergeCell ref="E23:E25"/>
    <mergeCell ref="E26:E29"/>
    <mergeCell ref="E31:E34"/>
    <mergeCell ref="E35:E38"/>
    <mergeCell ref="E39:E40"/>
    <mergeCell ref="E41:E43"/>
    <mergeCell ref="E45:E46"/>
    <mergeCell ref="E47:E48"/>
    <mergeCell ref="E50:E52"/>
    <mergeCell ref="E53:E55"/>
    <mergeCell ref="E56:E57"/>
    <mergeCell ref="E58:E60"/>
    <mergeCell ref="E62:E63"/>
    <mergeCell ref="E64:E66"/>
    <mergeCell ref="E67:E68"/>
    <mergeCell ref="E69:E71"/>
    <mergeCell ref="E72:E73"/>
    <mergeCell ref="E74:E78"/>
    <mergeCell ref="E79:E80"/>
    <mergeCell ref="E81:E84"/>
    <mergeCell ref="E85:E88"/>
    <mergeCell ref="E89:E91"/>
    <mergeCell ref="E92:E94"/>
    <mergeCell ref="E95:E96"/>
    <mergeCell ref="E97:E99"/>
    <mergeCell ref="E100:E102"/>
    <mergeCell ref="E103:E105"/>
    <mergeCell ref="F2:F3"/>
    <mergeCell ref="F4:F9"/>
    <mergeCell ref="F10:F12"/>
    <mergeCell ref="F13:F15"/>
    <mergeCell ref="F16:F18"/>
    <mergeCell ref="F20:F22"/>
    <mergeCell ref="F23:F25"/>
    <mergeCell ref="F26:F29"/>
    <mergeCell ref="F30:F34"/>
    <mergeCell ref="F35:F38"/>
    <mergeCell ref="F39:F40"/>
    <mergeCell ref="F41:F43"/>
    <mergeCell ref="F45:F46"/>
    <mergeCell ref="F47:F48"/>
    <mergeCell ref="F50:F52"/>
    <mergeCell ref="F53:F55"/>
    <mergeCell ref="F56:F57"/>
    <mergeCell ref="F58:F60"/>
    <mergeCell ref="F62:F63"/>
    <mergeCell ref="F64:F66"/>
    <mergeCell ref="F67:F68"/>
    <mergeCell ref="F69:F71"/>
    <mergeCell ref="F72:F73"/>
    <mergeCell ref="F74:F78"/>
    <mergeCell ref="F79:F80"/>
    <mergeCell ref="F81:F84"/>
    <mergeCell ref="F85:F88"/>
    <mergeCell ref="F89:F91"/>
    <mergeCell ref="F92:F94"/>
    <mergeCell ref="F95:F96"/>
    <mergeCell ref="F97:F99"/>
    <mergeCell ref="F100:F102"/>
    <mergeCell ref="F103:F105"/>
    <mergeCell ref="G2:G3"/>
    <mergeCell ref="G4:G6"/>
    <mergeCell ref="G7:G9"/>
    <mergeCell ref="G10:G12"/>
    <mergeCell ref="G13:G15"/>
    <mergeCell ref="G16:G18"/>
    <mergeCell ref="G20:G22"/>
    <mergeCell ref="G23:G25"/>
    <mergeCell ref="G26:G29"/>
    <mergeCell ref="G31:G34"/>
    <mergeCell ref="G35:G38"/>
    <mergeCell ref="G39:G40"/>
    <mergeCell ref="G41:G43"/>
    <mergeCell ref="G45:G46"/>
    <mergeCell ref="G47:G48"/>
    <mergeCell ref="G50:G52"/>
    <mergeCell ref="G53:G55"/>
    <mergeCell ref="G56:G57"/>
    <mergeCell ref="G58:G60"/>
    <mergeCell ref="G62:G63"/>
    <mergeCell ref="G64:G66"/>
    <mergeCell ref="G67:G68"/>
    <mergeCell ref="G69:G71"/>
    <mergeCell ref="G72:G73"/>
    <mergeCell ref="G74:G78"/>
    <mergeCell ref="G79:G80"/>
    <mergeCell ref="G81:G84"/>
    <mergeCell ref="G85:G88"/>
    <mergeCell ref="G89:G91"/>
    <mergeCell ref="G92:G94"/>
    <mergeCell ref="G95:G96"/>
    <mergeCell ref="G97:G99"/>
    <mergeCell ref="G100:G102"/>
    <mergeCell ref="G103:G105"/>
    <mergeCell ref="H2:H3"/>
    <mergeCell ref="H4:H6"/>
    <mergeCell ref="H7:H9"/>
    <mergeCell ref="H10:H12"/>
    <mergeCell ref="H13:H15"/>
    <mergeCell ref="H16:H18"/>
    <mergeCell ref="H20:H22"/>
    <mergeCell ref="H23:H25"/>
    <mergeCell ref="H26:H29"/>
    <mergeCell ref="H31:H34"/>
    <mergeCell ref="H35:H38"/>
    <mergeCell ref="H39:H40"/>
    <mergeCell ref="H41:H43"/>
    <mergeCell ref="H45:H46"/>
    <mergeCell ref="H47:H48"/>
    <mergeCell ref="H50:H52"/>
    <mergeCell ref="H53:H55"/>
    <mergeCell ref="H56:H57"/>
    <mergeCell ref="H58:H60"/>
    <mergeCell ref="H62:H63"/>
    <mergeCell ref="H64:H66"/>
    <mergeCell ref="H67:H68"/>
    <mergeCell ref="H69:H71"/>
    <mergeCell ref="H72:H73"/>
    <mergeCell ref="H74:H78"/>
    <mergeCell ref="H79:H80"/>
    <mergeCell ref="H81:H84"/>
    <mergeCell ref="H85:H88"/>
    <mergeCell ref="H89:H91"/>
    <mergeCell ref="H92:H94"/>
    <mergeCell ref="H95:H96"/>
    <mergeCell ref="H97:H99"/>
    <mergeCell ref="H100:H102"/>
    <mergeCell ref="H103:H105"/>
    <mergeCell ref="I2:I3"/>
    <mergeCell ref="J2:J3"/>
    <mergeCell ref="T2:T3"/>
    <mergeCell ref="U2:U3"/>
    <mergeCell ref="V2:V3"/>
    <mergeCell ref="W2:W3"/>
    <mergeCell ref="AK2:AK3"/>
    <mergeCell ref="AL2:AL3"/>
    <mergeCell ref="AM2:AM3"/>
    <mergeCell ref="AN2:AN3"/>
    <mergeCell ref="AO2:AO3"/>
  </mergeCells>
  <dataValidations count="3">
    <dataValidation type="list" allowBlank="1" showInputMessage="1" sqref="T76 T92:T102">
      <formula1>#REF!</formula1>
    </dataValidation>
    <dataValidation allowBlank="1" showInputMessage="1" showErrorMessage="1" sqref="J4:J78 V3:V78"/>
    <dataValidation type="list" allowBlank="1" showInputMessage="1" showErrorMessage="1" sqref="T2:T40 T68:T75 T77:T91 T103:T1048576">
      <formula1>#REF!</formula1>
    </dataValidation>
  </dataValidations>
  <pageMargins left="0.444444444444444" right="0.236111111111111" top="0.354166666666667" bottom="0.393055555555556" header="0.298611111111111" footer="0.298611111111111"/>
  <pageSetup paperSize="8" scale="90" fitToHeight="0" orientation="landscape" horizontalDpi="600"/>
  <headerFooter/>
  <rowBreaks count="14" manualBreakCount="14">
    <brk id="9" max="38" man="1"/>
    <brk id="18" max="38" man="1"/>
    <brk id="25" max="38" man="1"/>
    <brk id="29" max="38" man="1"/>
    <brk id="34" max="38" man="1"/>
    <brk id="40" max="36" man="1"/>
    <brk id="44" max="38" man="1"/>
    <brk id="48" max="36" man="1"/>
    <brk id="52" max="36" man="1"/>
    <brk id="55" max="36" man="1"/>
    <brk id="60" max="36" man="1"/>
    <brk id="66" max="38" man="1"/>
    <brk id="73" max="38" man="1"/>
    <brk id="80"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105"/>
  <sheetViews>
    <sheetView tabSelected="1" zoomScale="70" zoomScaleNormal="70" workbookViewId="0">
      <pane xSplit="9" ySplit="3" topLeftCell="J4" activePane="bottomRight" state="frozen"/>
      <selection/>
      <selection pane="topRight"/>
      <selection pane="bottomLeft"/>
      <selection pane="bottomRight" activeCell="K3" sqref="$A3:$XFD3"/>
    </sheetView>
  </sheetViews>
  <sheetFormatPr defaultColWidth="8.58333333333333" defaultRowHeight="21"/>
  <cols>
    <col min="1" max="2" width="2.75" style="2" hidden="1" customWidth="1"/>
    <col min="3" max="3" width="2.75" style="3" hidden="1" customWidth="1"/>
    <col min="4" max="4" width="2.75" style="1" hidden="1" customWidth="1"/>
    <col min="5" max="5" width="12.4259259259259" style="4" hidden="1" customWidth="1"/>
    <col min="6" max="6" width="14.3888888888889" style="4" hidden="1" customWidth="1"/>
    <col min="7" max="7" width="7.62962962962963" style="2" hidden="1" customWidth="1"/>
    <col min="8" max="8" width="9.37962962962963" style="50" hidden="1" customWidth="1"/>
    <col min="9" max="9" width="10.6296296296296" style="2" customWidth="1"/>
    <col min="10" max="10" width="27.5" style="50" customWidth="1"/>
    <col min="11" max="19" width="2.37962962962963" style="2" customWidth="1"/>
    <col min="20" max="20" width="5.62962962962963" style="1" customWidth="1"/>
    <col min="21" max="21" width="6.25" style="1" customWidth="1"/>
    <col min="22" max="22" width="15" style="5" customWidth="1"/>
    <col min="23" max="23" width="18.0833333333333" style="4" customWidth="1"/>
    <col min="24" max="29" width="2.62962962962963" style="3" customWidth="1"/>
    <col min="30" max="30" width="6.62962962962963" style="4" customWidth="1"/>
    <col min="31" max="35" width="2.12962962962963" style="3" customWidth="1"/>
    <col min="36" max="36" width="18.9722222222222" style="5" customWidth="1"/>
    <col min="37" max="37" width="10.3796296296296" style="1" customWidth="1"/>
    <col min="38" max="38" width="13.3796296296296" style="1" customWidth="1"/>
    <col min="39" max="39" width="15.6296296296296" style="3" customWidth="1"/>
    <col min="40" max="16384" width="8.58333333333333" style="3"/>
  </cols>
  <sheetData>
    <row r="1" ht="24" customHeight="1" spans="1:39">
      <c r="A1" s="51" t="s">
        <v>415</v>
      </c>
      <c r="B1" s="51"/>
      <c r="C1" s="51"/>
      <c r="D1" s="51"/>
      <c r="E1" s="52"/>
      <c r="F1" s="52"/>
      <c r="G1" s="51"/>
      <c r="H1" s="52"/>
      <c r="I1" s="51"/>
      <c r="J1" s="51"/>
      <c r="K1" s="51"/>
      <c r="L1" s="51"/>
      <c r="M1" s="51"/>
      <c r="N1" s="51"/>
      <c r="O1" s="51"/>
      <c r="P1" s="51"/>
      <c r="Q1" s="51"/>
      <c r="R1" s="51"/>
      <c r="S1" s="51"/>
      <c r="T1" s="51"/>
      <c r="U1" s="51"/>
      <c r="V1" s="51"/>
      <c r="W1" s="52"/>
      <c r="X1" s="51"/>
      <c r="Y1" s="51"/>
      <c r="Z1" s="51"/>
      <c r="AA1" s="51"/>
      <c r="AB1" s="51"/>
      <c r="AC1" s="51"/>
      <c r="AD1" s="52"/>
      <c r="AE1" s="51"/>
      <c r="AF1" s="51"/>
      <c r="AG1" s="51"/>
      <c r="AH1" s="51"/>
      <c r="AI1" s="51"/>
      <c r="AJ1" s="51"/>
      <c r="AK1" s="51"/>
      <c r="AL1" s="53"/>
      <c r="AM1" s="54"/>
    </row>
    <row r="2" s="47" customFormat="1" ht="13.2" spans="1:39">
      <c r="A2" s="55" t="s">
        <v>416</v>
      </c>
      <c r="B2" s="55" t="s">
        <v>417</v>
      </c>
      <c r="C2" s="55" t="s">
        <v>418</v>
      </c>
      <c r="D2" s="55" t="s">
        <v>419</v>
      </c>
      <c r="E2" s="55" t="s">
        <v>420</v>
      </c>
      <c r="F2" s="55" t="s">
        <v>421</v>
      </c>
      <c r="G2" s="55" t="s">
        <v>422</v>
      </c>
      <c r="H2" s="55" t="s">
        <v>423</v>
      </c>
      <c r="I2" s="55" t="s">
        <v>424</v>
      </c>
      <c r="J2" s="55" t="s">
        <v>425</v>
      </c>
      <c r="K2" s="55" t="s">
        <v>426</v>
      </c>
      <c r="L2" s="55"/>
      <c r="M2" s="55"/>
      <c r="N2" s="55"/>
      <c r="O2" s="55"/>
      <c r="P2" s="55"/>
      <c r="Q2" s="55"/>
      <c r="R2" s="55"/>
      <c r="S2" s="55"/>
      <c r="T2" s="55" t="s">
        <v>427</v>
      </c>
      <c r="U2" s="55" t="s">
        <v>428</v>
      </c>
      <c r="V2" s="55" t="s">
        <v>429</v>
      </c>
      <c r="W2" s="55" t="s">
        <v>430</v>
      </c>
      <c r="X2" s="55" t="s">
        <v>431</v>
      </c>
      <c r="Y2" s="55"/>
      <c r="Z2" s="55"/>
      <c r="AA2" s="55" t="s">
        <v>432</v>
      </c>
      <c r="AB2" s="55"/>
      <c r="AC2" s="55"/>
      <c r="AD2" s="55" t="s">
        <v>433</v>
      </c>
      <c r="AE2" s="55"/>
      <c r="AF2" s="55"/>
      <c r="AG2" s="55"/>
      <c r="AH2" s="55" t="s">
        <v>434</v>
      </c>
      <c r="AI2" s="55"/>
      <c r="AJ2" s="55"/>
      <c r="AK2" s="55" t="s">
        <v>435</v>
      </c>
      <c r="AL2" s="55" t="s">
        <v>436</v>
      </c>
      <c r="AM2" s="55" t="s">
        <v>1039</v>
      </c>
    </row>
    <row r="3" s="47" customFormat="1" ht="35" customHeight="1" spans="1:39">
      <c r="A3" s="55"/>
      <c r="B3" s="55"/>
      <c r="C3" s="55"/>
      <c r="D3" s="55"/>
      <c r="E3" s="55"/>
      <c r="F3" s="55"/>
      <c r="G3" s="55"/>
      <c r="H3" s="55"/>
      <c r="I3" s="55"/>
      <c r="J3" s="55"/>
      <c r="K3" s="55" t="s">
        <v>438</v>
      </c>
      <c r="L3" s="55" t="s">
        <v>439</v>
      </c>
      <c r="M3" s="55" t="s">
        <v>440</v>
      </c>
      <c r="N3" s="55" t="s">
        <v>441</v>
      </c>
      <c r="O3" s="55" t="s">
        <v>442</v>
      </c>
      <c r="P3" s="55" t="s">
        <v>443</v>
      </c>
      <c r="Q3" s="55" t="s">
        <v>444</v>
      </c>
      <c r="R3" s="55" t="s">
        <v>445</v>
      </c>
      <c r="S3" s="55" t="s">
        <v>446</v>
      </c>
      <c r="T3" s="55"/>
      <c r="U3" s="55"/>
      <c r="V3" s="55"/>
      <c r="W3" s="55"/>
      <c r="X3" s="55" t="s">
        <v>447</v>
      </c>
      <c r="Y3" s="55" t="s">
        <v>448</v>
      </c>
      <c r="Z3" s="55" t="s">
        <v>449</v>
      </c>
      <c r="AA3" s="55" t="s">
        <v>447</v>
      </c>
      <c r="AB3" s="55" t="s">
        <v>448</v>
      </c>
      <c r="AC3" s="55" t="s">
        <v>449</v>
      </c>
      <c r="AD3" s="55" t="s">
        <v>433</v>
      </c>
      <c r="AE3" s="55" t="s">
        <v>447</v>
      </c>
      <c r="AF3" s="55" t="s">
        <v>448</v>
      </c>
      <c r="AG3" s="55" t="s">
        <v>449</v>
      </c>
      <c r="AH3" s="55" t="s">
        <v>450</v>
      </c>
      <c r="AI3" s="55" t="s">
        <v>451</v>
      </c>
      <c r="AJ3" s="55" t="s">
        <v>452</v>
      </c>
      <c r="AK3" s="55"/>
      <c r="AL3" s="55"/>
      <c r="AM3" s="55"/>
    </row>
    <row r="4" s="48" customFormat="1" ht="132" spans="1:39">
      <c r="A4" s="56" t="s">
        <v>453</v>
      </c>
      <c r="B4" s="56" t="s">
        <v>454</v>
      </c>
      <c r="C4" s="57" t="s">
        <v>455</v>
      </c>
      <c r="D4" s="57" t="s">
        <v>456</v>
      </c>
      <c r="E4" s="58" t="s">
        <v>457</v>
      </c>
      <c r="F4" s="59" t="s">
        <v>458</v>
      </c>
      <c r="G4" s="57" t="s">
        <v>459</v>
      </c>
      <c r="H4" s="58" t="s">
        <v>460</v>
      </c>
      <c r="I4" s="35" t="s">
        <v>461</v>
      </c>
      <c r="J4" s="42" t="s">
        <v>462</v>
      </c>
      <c r="K4" s="35"/>
      <c r="L4" s="35"/>
      <c r="M4" s="35" t="s">
        <v>36</v>
      </c>
      <c r="N4" s="35"/>
      <c r="O4" s="35"/>
      <c r="P4" s="35"/>
      <c r="Q4" s="35"/>
      <c r="R4" s="35"/>
      <c r="S4" s="35"/>
      <c r="T4" s="43" t="s">
        <v>463</v>
      </c>
      <c r="U4" s="35" t="s">
        <v>464</v>
      </c>
      <c r="V4" s="42" t="s">
        <v>465</v>
      </c>
      <c r="W4" s="60" t="s">
        <v>1040</v>
      </c>
      <c r="X4" s="43" t="s">
        <v>467</v>
      </c>
      <c r="Y4" s="43" t="s">
        <v>468</v>
      </c>
      <c r="Z4" s="43"/>
      <c r="AA4" s="43" t="s">
        <v>469</v>
      </c>
      <c r="AB4" s="43" t="s">
        <v>470</v>
      </c>
      <c r="AC4" s="43"/>
      <c r="AD4" s="41" t="s">
        <v>471</v>
      </c>
      <c r="AE4" s="43" t="s">
        <v>472</v>
      </c>
      <c r="AF4" s="43" t="s">
        <v>470</v>
      </c>
      <c r="AG4" s="43"/>
      <c r="AH4" s="43" t="s">
        <v>473</v>
      </c>
      <c r="AI4" s="43" t="s">
        <v>473</v>
      </c>
      <c r="AJ4" s="41" t="s">
        <v>474</v>
      </c>
      <c r="AK4" s="35" t="s">
        <v>475</v>
      </c>
      <c r="AL4" s="42" t="s">
        <v>476</v>
      </c>
      <c r="AM4" s="61" t="s">
        <v>473</v>
      </c>
    </row>
    <row r="5" s="48" customFormat="1" ht="132" spans="1:39">
      <c r="A5" s="62"/>
      <c r="B5" s="62"/>
      <c r="C5" s="63"/>
      <c r="D5" s="63"/>
      <c r="E5" s="64"/>
      <c r="F5" s="64"/>
      <c r="G5" s="63"/>
      <c r="H5" s="64"/>
      <c r="I5" s="35" t="s">
        <v>478</v>
      </c>
      <c r="J5" s="42" t="s">
        <v>479</v>
      </c>
      <c r="K5" s="35"/>
      <c r="L5" s="35"/>
      <c r="M5" s="35" t="s">
        <v>36</v>
      </c>
      <c r="N5" s="35" t="s">
        <v>36</v>
      </c>
      <c r="O5" s="35"/>
      <c r="P5" s="35"/>
      <c r="Q5" s="35"/>
      <c r="R5" s="35"/>
      <c r="S5" s="35"/>
      <c r="T5" s="43" t="s">
        <v>463</v>
      </c>
      <c r="U5" s="35" t="s">
        <v>464</v>
      </c>
      <c r="V5" s="42" t="s">
        <v>480</v>
      </c>
      <c r="W5" s="65" t="s">
        <v>1041</v>
      </c>
      <c r="X5" s="43" t="s">
        <v>467</v>
      </c>
      <c r="Y5" s="43" t="s">
        <v>468</v>
      </c>
      <c r="Z5" s="43"/>
      <c r="AA5" s="43" t="s">
        <v>469</v>
      </c>
      <c r="AB5" s="43" t="s">
        <v>470</v>
      </c>
      <c r="AC5" s="43"/>
      <c r="AD5" s="41" t="s">
        <v>471</v>
      </c>
      <c r="AE5" s="43" t="s">
        <v>472</v>
      </c>
      <c r="AF5" s="43" t="s">
        <v>470</v>
      </c>
      <c r="AG5" s="43"/>
      <c r="AH5" s="43" t="s">
        <v>473</v>
      </c>
      <c r="AI5" s="43" t="s">
        <v>473</v>
      </c>
      <c r="AJ5" s="41" t="s">
        <v>474</v>
      </c>
      <c r="AK5" s="35" t="s">
        <v>475</v>
      </c>
      <c r="AL5" s="42" t="s">
        <v>476</v>
      </c>
      <c r="AM5" s="61" t="s">
        <v>1042</v>
      </c>
    </row>
    <row r="6" s="48" customFormat="1" ht="132" spans="1:39">
      <c r="A6" s="62"/>
      <c r="B6" s="62"/>
      <c r="C6" s="63"/>
      <c r="D6" s="63"/>
      <c r="E6" s="64"/>
      <c r="F6" s="64"/>
      <c r="G6" s="38"/>
      <c r="H6" s="66"/>
      <c r="I6" s="35" t="s">
        <v>482</v>
      </c>
      <c r="J6" s="42" t="s">
        <v>483</v>
      </c>
      <c r="K6" s="35"/>
      <c r="L6" s="35"/>
      <c r="M6" s="35"/>
      <c r="N6" s="35" t="s">
        <v>36</v>
      </c>
      <c r="O6" s="35"/>
      <c r="P6" s="35"/>
      <c r="Q6" s="35" t="s">
        <v>36</v>
      </c>
      <c r="R6" s="35"/>
      <c r="S6" s="35"/>
      <c r="T6" s="43" t="s">
        <v>463</v>
      </c>
      <c r="U6" s="35" t="s">
        <v>464</v>
      </c>
      <c r="V6" s="42" t="s">
        <v>484</v>
      </c>
      <c r="W6" s="41" t="s">
        <v>481</v>
      </c>
      <c r="X6" s="43" t="s">
        <v>467</v>
      </c>
      <c r="Y6" s="43" t="s">
        <v>468</v>
      </c>
      <c r="Z6" s="43"/>
      <c r="AA6" s="43" t="s">
        <v>469</v>
      </c>
      <c r="AB6" s="43" t="s">
        <v>470</v>
      </c>
      <c r="AC6" s="43"/>
      <c r="AD6" s="41" t="s">
        <v>471</v>
      </c>
      <c r="AE6" s="43" t="s">
        <v>472</v>
      </c>
      <c r="AF6" s="43" t="s">
        <v>470</v>
      </c>
      <c r="AG6" s="43"/>
      <c r="AH6" s="43" t="s">
        <v>473</v>
      </c>
      <c r="AI6" s="43" t="s">
        <v>473</v>
      </c>
      <c r="AJ6" s="41" t="s">
        <v>474</v>
      </c>
      <c r="AK6" s="35" t="s">
        <v>475</v>
      </c>
      <c r="AL6" s="42" t="s">
        <v>476</v>
      </c>
      <c r="AM6" s="61" t="s">
        <v>473</v>
      </c>
    </row>
    <row r="7" s="48" customFormat="1" ht="79.2" spans="1:39">
      <c r="A7" s="62"/>
      <c r="B7" s="62"/>
      <c r="C7" s="63"/>
      <c r="D7" s="63"/>
      <c r="E7" s="64"/>
      <c r="F7" s="64"/>
      <c r="G7" s="57" t="s">
        <v>485</v>
      </c>
      <c r="H7" s="58" t="s">
        <v>486</v>
      </c>
      <c r="I7" s="35" t="s">
        <v>487</v>
      </c>
      <c r="J7" s="42" t="s">
        <v>488</v>
      </c>
      <c r="K7" s="35"/>
      <c r="L7" s="35" t="s">
        <v>36</v>
      </c>
      <c r="M7" s="35"/>
      <c r="N7" s="35"/>
      <c r="O7" s="35"/>
      <c r="P7" s="35"/>
      <c r="Q7" s="35" t="s">
        <v>36</v>
      </c>
      <c r="R7" s="35"/>
      <c r="S7" s="35"/>
      <c r="T7" s="43" t="s">
        <v>463</v>
      </c>
      <c r="U7" s="35" t="s">
        <v>464</v>
      </c>
      <c r="V7" s="42" t="s">
        <v>489</v>
      </c>
      <c r="W7" s="65" t="s">
        <v>1041</v>
      </c>
      <c r="X7" s="43" t="s">
        <v>467</v>
      </c>
      <c r="Y7" s="43" t="s">
        <v>468</v>
      </c>
      <c r="Z7" s="43"/>
      <c r="AA7" s="43" t="s">
        <v>469</v>
      </c>
      <c r="AB7" s="43" t="s">
        <v>470</v>
      </c>
      <c r="AC7" s="43"/>
      <c r="AD7" s="41" t="s">
        <v>471</v>
      </c>
      <c r="AE7" s="43" t="s">
        <v>472</v>
      </c>
      <c r="AF7" s="43" t="s">
        <v>470</v>
      </c>
      <c r="AG7" s="43"/>
      <c r="AH7" s="43" t="s">
        <v>473</v>
      </c>
      <c r="AI7" s="43" t="s">
        <v>473</v>
      </c>
      <c r="AJ7" s="41" t="s">
        <v>490</v>
      </c>
      <c r="AK7" s="35" t="s">
        <v>475</v>
      </c>
      <c r="AL7" s="42" t="s">
        <v>476</v>
      </c>
      <c r="AM7" s="61" t="s">
        <v>1042</v>
      </c>
    </row>
    <row r="8" s="48" customFormat="1" ht="79.2" spans="1:39">
      <c r="A8" s="62"/>
      <c r="B8" s="62"/>
      <c r="C8" s="63"/>
      <c r="D8" s="63"/>
      <c r="E8" s="64"/>
      <c r="F8" s="64"/>
      <c r="G8" s="63"/>
      <c r="H8" s="64"/>
      <c r="I8" s="35" t="s">
        <v>491</v>
      </c>
      <c r="J8" s="42" t="s">
        <v>492</v>
      </c>
      <c r="K8" s="35"/>
      <c r="L8" s="35"/>
      <c r="M8" s="35"/>
      <c r="N8" s="35"/>
      <c r="O8" s="35"/>
      <c r="P8" s="35"/>
      <c r="Q8" s="35" t="s">
        <v>36</v>
      </c>
      <c r="R8" s="35"/>
      <c r="S8" s="35"/>
      <c r="T8" s="43" t="s">
        <v>463</v>
      </c>
      <c r="U8" s="35" t="s">
        <v>464</v>
      </c>
      <c r="V8" s="42" t="s">
        <v>493</v>
      </c>
      <c r="W8" s="65" t="s">
        <v>1041</v>
      </c>
      <c r="X8" s="43" t="s">
        <v>467</v>
      </c>
      <c r="Y8" s="43" t="s">
        <v>468</v>
      </c>
      <c r="Z8" s="43"/>
      <c r="AA8" s="43" t="s">
        <v>469</v>
      </c>
      <c r="AB8" s="43" t="s">
        <v>470</v>
      </c>
      <c r="AC8" s="43"/>
      <c r="AD8" s="41" t="s">
        <v>471</v>
      </c>
      <c r="AE8" s="43" t="s">
        <v>472</v>
      </c>
      <c r="AF8" s="43" t="s">
        <v>470</v>
      </c>
      <c r="AG8" s="43"/>
      <c r="AH8" s="43" t="s">
        <v>473</v>
      </c>
      <c r="AI8" s="43" t="s">
        <v>473</v>
      </c>
      <c r="AJ8" s="41" t="s">
        <v>494</v>
      </c>
      <c r="AK8" s="35" t="s">
        <v>475</v>
      </c>
      <c r="AL8" s="42" t="s">
        <v>476</v>
      </c>
      <c r="AM8" s="61" t="s">
        <v>1042</v>
      </c>
    </row>
    <row r="9" s="48" customFormat="1" ht="79.2" spans="1:39">
      <c r="A9" s="67"/>
      <c r="B9" s="67"/>
      <c r="C9" s="38"/>
      <c r="D9" s="38"/>
      <c r="E9" s="66"/>
      <c r="F9" s="66"/>
      <c r="G9" s="38"/>
      <c r="H9" s="66"/>
      <c r="I9" s="35" t="s">
        <v>495</v>
      </c>
      <c r="J9" s="42" t="s">
        <v>496</v>
      </c>
      <c r="K9" s="35"/>
      <c r="L9" s="35"/>
      <c r="M9" s="35" t="s">
        <v>36</v>
      </c>
      <c r="N9" s="35"/>
      <c r="O9" s="35"/>
      <c r="P9" s="35"/>
      <c r="Q9" s="35"/>
      <c r="R9" s="35"/>
      <c r="S9" s="35"/>
      <c r="T9" s="35" t="s">
        <v>497</v>
      </c>
      <c r="U9" s="35" t="s">
        <v>464</v>
      </c>
      <c r="V9" s="42" t="s">
        <v>489</v>
      </c>
      <c r="W9" s="65" t="s">
        <v>1041</v>
      </c>
      <c r="X9" s="43" t="s">
        <v>467</v>
      </c>
      <c r="Y9" s="43" t="s">
        <v>468</v>
      </c>
      <c r="Z9" s="43"/>
      <c r="AA9" s="43" t="s">
        <v>469</v>
      </c>
      <c r="AB9" s="43" t="s">
        <v>470</v>
      </c>
      <c r="AC9" s="43"/>
      <c r="AD9" s="41" t="s">
        <v>471</v>
      </c>
      <c r="AE9" s="43" t="s">
        <v>472</v>
      </c>
      <c r="AF9" s="43" t="s">
        <v>470</v>
      </c>
      <c r="AG9" s="43"/>
      <c r="AH9" s="43" t="s">
        <v>473</v>
      </c>
      <c r="AI9" s="43" t="s">
        <v>473</v>
      </c>
      <c r="AJ9" s="41" t="s">
        <v>494</v>
      </c>
      <c r="AK9" s="35" t="s">
        <v>475</v>
      </c>
      <c r="AL9" s="42" t="s">
        <v>476</v>
      </c>
      <c r="AM9" s="61" t="s">
        <v>1042</v>
      </c>
    </row>
    <row r="10" s="48" customFormat="1" ht="79.2" spans="1:39">
      <c r="A10" s="56" t="s">
        <v>453</v>
      </c>
      <c r="B10" s="56" t="s">
        <v>454</v>
      </c>
      <c r="C10" s="57" t="s">
        <v>498</v>
      </c>
      <c r="D10" s="57" t="s">
        <v>456</v>
      </c>
      <c r="E10" s="58" t="s">
        <v>499</v>
      </c>
      <c r="F10" s="59" t="s">
        <v>500</v>
      </c>
      <c r="G10" s="57" t="s">
        <v>501</v>
      </c>
      <c r="H10" s="58" t="s">
        <v>502</v>
      </c>
      <c r="I10" s="35" t="s">
        <v>503</v>
      </c>
      <c r="J10" s="42" t="s">
        <v>504</v>
      </c>
      <c r="K10" s="35"/>
      <c r="L10" s="35"/>
      <c r="M10" s="35" t="s">
        <v>36</v>
      </c>
      <c r="N10" s="35"/>
      <c r="O10" s="35"/>
      <c r="P10" s="35"/>
      <c r="Q10" s="35"/>
      <c r="R10" s="35"/>
      <c r="S10" s="35"/>
      <c r="T10" s="43" t="s">
        <v>463</v>
      </c>
      <c r="U10" s="35" t="s">
        <v>464</v>
      </c>
      <c r="V10" s="42" t="s">
        <v>505</v>
      </c>
      <c r="W10" s="41" t="s">
        <v>525</v>
      </c>
      <c r="X10" s="43" t="s">
        <v>467</v>
      </c>
      <c r="Y10" s="43" t="s">
        <v>468</v>
      </c>
      <c r="Z10" s="43"/>
      <c r="AA10" s="43" t="s">
        <v>469</v>
      </c>
      <c r="AB10" s="43" t="s">
        <v>470</v>
      </c>
      <c r="AC10" s="43"/>
      <c r="AD10" s="41" t="s">
        <v>507</v>
      </c>
      <c r="AE10" s="43" t="s">
        <v>472</v>
      </c>
      <c r="AF10" s="43" t="s">
        <v>470</v>
      </c>
      <c r="AG10" s="43"/>
      <c r="AH10" s="43" t="s">
        <v>473</v>
      </c>
      <c r="AI10" s="43" t="s">
        <v>473</v>
      </c>
      <c r="AJ10" s="41" t="s">
        <v>508</v>
      </c>
      <c r="AK10" s="35" t="s">
        <v>475</v>
      </c>
      <c r="AL10" s="42" t="s">
        <v>476</v>
      </c>
      <c r="AM10" s="61" t="s">
        <v>1042</v>
      </c>
    </row>
    <row r="11" s="48" customFormat="1" ht="79.2" spans="1:39">
      <c r="A11" s="62"/>
      <c r="B11" s="62"/>
      <c r="C11" s="63"/>
      <c r="D11" s="63"/>
      <c r="E11" s="64"/>
      <c r="F11" s="64"/>
      <c r="G11" s="63"/>
      <c r="H11" s="64"/>
      <c r="I11" s="35" t="s">
        <v>510</v>
      </c>
      <c r="J11" s="42" t="s">
        <v>511</v>
      </c>
      <c r="K11" s="35"/>
      <c r="L11" s="35"/>
      <c r="M11" s="35"/>
      <c r="N11" s="35"/>
      <c r="O11" s="35"/>
      <c r="P11" s="35"/>
      <c r="Q11" s="35"/>
      <c r="R11" s="35" t="s">
        <v>36</v>
      </c>
      <c r="S11" s="35"/>
      <c r="T11" s="43" t="s">
        <v>463</v>
      </c>
      <c r="U11" s="35" t="s">
        <v>464</v>
      </c>
      <c r="V11" s="42" t="s">
        <v>512</v>
      </c>
      <c r="W11" s="68" t="s">
        <v>1043</v>
      </c>
      <c r="X11" s="43" t="s">
        <v>467</v>
      </c>
      <c r="Y11" s="43" t="s">
        <v>468</v>
      </c>
      <c r="Z11" s="43"/>
      <c r="AA11" s="43" t="s">
        <v>469</v>
      </c>
      <c r="AB11" s="43" t="s">
        <v>470</v>
      </c>
      <c r="AC11" s="43"/>
      <c r="AD11" s="41" t="s">
        <v>507</v>
      </c>
      <c r="AE11" s="43" t="s">
        <v>472</v>
      </c>
      <c r="AF11" s="43" t="s">
        <v>470</v>
      </c>
      <c r="AG11" s="43"/>
      <c r="AH11" s="43" t="s">
        <v>473</v>
      </c>
      <c r="AI11" s="43" t="s">
        <v>473</v>
      </c>
      <c r="AJ11" s="41" t="s">
        <v>508</v>
      </c>
      <c r="AK11" s="35" t="s">
        <v>475</v>
      </c>
      <c r="AL11" s="42" t="s">
        <v>476</v>
      </c>
      <c r="AM11" s="61" t="s">
        <v>1042</v>
      </c>
    </row>
    <row r="12" s="48" customFormat="1" ht="79.2" spans="1:39">
      <c r="A12" s="62"/>
      <c r="B12" s="62"/>
      <c r="C12" s="38"/>
      <c r="D12" s="38"/>
      <c r="E12" s="66"/>
      <c r="F12" s="66"/>
      <c r="G12" s="38"/>
      <c r="H12" s="66"/>
      <c r="I12" s="35" t="s">
        <v>514</v>
      </c>
      <c r="J12" s="42" t="s">
        <v>515</v>
      </c>
      <c r="K12" s="35"/>
      <c r="L12" s="35"/>
      <c r="M12" s="35" t="s">
        <v>36</v>
      </c>
      <c r="N12" s="35"/>
      <c r="O12" s="35"/>
      <c r="P12" s="35"/>
      <c r="Q12" s="35"/>
      <c r="R12" s="35" t="s">
        <v>36</v>
      </c>
      <c r="S12" s="35" t="s">
        <v>36</v>
      </c>
      <c r="T12" s="35" t="s">
        <v>516</v>
      </c>
      <c r="U12" s="42"/>
      <c r="V12" s="42" t="s">
        <v>512</v>
      </c>
      <c r="W12" s="41" t="s">
        <v>517</v>
      </c>
      <c r="X12" s="43" t="s">
        <v>467</v>
      </c>
      <c r="Y12" s="43" t="s">
        <v>468</v>
      </c>
      <c r="Z12" s="43"/>
      <c r="AA12" s="43" t="s">
        <v>469</v>
      </c>
      <c r="AB12" s="43" t="s">
        <v>470</v>
      </c>
      <c r="AC12" s="43"/>
      <c r="AD12" s="41" t="s">
        <v>507</v>
      </c>
      <c r="AE12" s="43" t="s">
        <v>472</v>
      </c>
      <c r="AF12" s="43" t="s">
        <v>470</v>
      </c>
      <c r="AG12" s="43"/>
      <c r="AH12" s="43" t="s">
        <v>473</v>
      </c>
      <c r="AI12" s="43" t="s">
        <v>473</v>
      </c>
      <c r="AJ12" s="41" t="s">
        <v>508</v>
      </c>
      <c r="AK12" s="35" t="s">
        <v>475</v>
      </c>
      <c r="AL12" s="42" t="s">
        <v>476</v>
      </c>
      <c r="AM12" s="61" t="s">
        <v>473</v>
      </c>
    </row>
    <row r="13" s="48" customFormat="1" ht="66" spans="1:39">
      <c r="A13" s="62"/>
      <c r="B13" s="62"/>
      <c r="C13" s="57" t="s">
        <v>498</v>
      </c>
      <c r="D13" s="57" t="s">
        <v>518</v>
      </c>
      <c r="E13" s="58" t="s">
        <v>519</v>
      </c>
      <c r="F13" s="58"/>
      <c r="G13" s="57" t="s">
        <v>520</v>
      </c>
      <c r="H13" s="58" t="s">
        <v>521</v>
      </c>
      <c r="I13" s="35" t="s">
        <v>522</v>
      </c>
      <c r="J13" s="42" t="s">
        <v>523</v>
      </c>
      <c r="K13" s="35"/>
      <c r="L13" s="35"/>
      <c r="M13" s="35"/>
      <c r="N13" s="35"/>
      <c r="O13" s="35" t="s">
        <v>36</v>
      </c>
      <c r="P13" s="35"/>
      <c r="Q13" s="35"/>
      <c r="R13" s="35"/>
      <c r="S13" s="35"/>
      <c r="T13" s="35" t="s">
        <v>497</v>
      </c>
      <c r="U13" s="35" t="s">
        <v>464</v>
      </c>
      <c r="V13" s="42" t="s">
        <v>524</v>
      </c>
      <c r="W13" s="41" t="s">
        <v>525</v>
      </c>
      <c r="X13" s="43" t="s">
        <v>467</v>
      </c>
      <c r="Y13" s="43" t="s">
        <v>468</v>
      </c>
      <c r="Z13" s="43"/>
      <c r="AA13" s="43" t="s">
        <v>469</v>
      </c>
      <c r="AB13" s="43" t="s">
        <v>470</v>
      </c>
      <c r="AC13" s="43"/>
      <c r="AD13" s="41" t="s">
        <v>526</v>
      </c>
      <c r="AE13" s="43" t="s">
        <v>472</v>
      </c>
      <c r="AF13" s="43" t="s">
        <v>470</v>
      </c>
      <c r="AG13" s="43"/>
      <c r="AH13" s="43" t="s">
        <v>473</v>
      </c>
      <c r="AI13" s="43" t="s">
        <v>473</v>
      </c>
      <c r="AJ13" s="41" t="s">
        <v>508</v>
      </c>
      <c r="AK13" s="35" t="s">
        <v>475</v>
      </c>
      <c r="AL13" s="42" t="s">
        <v>476</v>
      </c>
      <c r="AM13" s="61" t="s">
        <v>1042</v>
      </c>
    </row>
    <row r="14" s="48" customFormat="1" ht="66" spans="1:39">
      <c r="A14" s="62"/>
      <c r="B14" s="62"/>
      <c r="C14" s="63"/>
      <c r="D14" s="63"/>
      <c r="E14" s="64"/>
      <c r="F14" s="64"/>
      <c r="G14" s="63"/>
      <c r="H14" s="64"/>
      <c r="I14" s="35" t="s">
        <v>527</v>
      </c>
      <c r="J14" s="42" t="s">
        <v>528</v>
      </c>
      <c r="K14" s="35"/>
      <c r="L14" s="35"/>
      <c r="M14" s="35"/>
      <c r="N14" s="35"/>
      <c r="O14" s="35" t="s">
        <v>36</v>
      </c>
      <c r="P14" s="35"/>
      <c r="Q14" s="35" t="s">
        <v>36</v>
      </c>
      <c r="R14" s="35"/>
      <c r="S14" s="35" t="s">
        <v>36</v>
      </c>
      <c r="T14" s="35" t="s">
        <v>497</v>
      </c>
      <c r="U14" s="35" t="s">
        <v>464</v>
      </c>
      <c r="V14" s="42" t="s">
        <v>529</v>
      </c>
      <c r="W14" s="41" t="s">
        <v>525</v>
      </c>
      <c r="X14" s="43" t="s">
        <v>467</v>
      </c>
      <c r="Y14" s="43" t="s">
        <v>468</v>
      </c>
      <c r="Z14" s="43"/>
      <c r="AA14" s="43" t="s">
        <v>469</v>
      </c>
      <c r="AB14" s="43" t="s">
        <v>470</v>
      </c>
      <c r="AC14" s="43"/>
      <c r="AD14" s="41" t="s">
        <v>526</v>
      </c>
      <c r="AE14" s="43" t="s">
        <v>472</v>
      </c>
      <c r="AF14" s="43" t="s">
        <v>470</v>
      </c>
      <c r="AG14" s="43"/>
      <c r="AH14" s="43" t="s">
        <v>473</v>
      </c>
      <c r="AI14" s="43" t="s">
        <v>473</v>
      </c>
      <c r="AJ14" s="41" t="s">
        <v>508</v>
      </c>
      <c r="AK14" s="35" t="s">
        <v>475</v>
      </c>
      <c r="AL14" s="42" t="s">
        <v>476</v>
      </c>
      <c r="AM14" s="61" t="s">
        <v>1042</v>
      </c>
    </row>
    <row r="15" s="48" customFormat="1" ht="66" spans="1:39">
      <c r="A15" s="62"/>
      <c r="B15" s="62"/>
      <c r="C15" s="38"/>
      <c r="D15" s="38"/>
      <c r="E15" s="66"/>
      <c r="F15" s="66"/>
      <c r="G15" s="38"/>
      <c r="H15" s="66"/>
      <c r="I15" s="35" t="s">
        <v>530</v>
      </c>
      <c r="J15" s="42" t="s">
        <v>531</v>
      </c>
      <c r="K15" s="35"/>
      <c r="L15" s="35"/>
      <c r="M15" s="35"/>
      <c r="N15" s="35"/>
      <c r="O15" s="35"/>
      <c r="P15" s="35"/>
      <c r="Q15" s="35"/>
      <c r="R15" s="35" t="s">
        <v>36</v>
      </c>
      <c r="S15" s="35" t="s">
        <v>36</v>
      </c>
      <c r="T15" s="35" t="s">
        <v>516</v>
      </c>
      <c r="U15" s="42"/>
      <c r="V15" s="42" t="s">
        <v>532</v>
      </c>
      <c r="W15" s="41" t="s">
        <v>525</v>
      </c>
      <c r="X15" s="43" t="s">
        <v>467</v>
      </c>
      <c r="Y15" s="43" t="s">
        <v>468</v>
      </c>
      <c r="Z15" s="43"/>
      <c r="AA15" s="43" t="s">
        <v>469</v>
      </c>
      <c r="AB15" s="43" t="s">
        <v>470</v>
      </c>
      <c r="AC15" s="43"/>
      <c r="AD15" s="41" t="s">
        <v>526</v>
      </c>
      <c r="AE15" s="43" t="s">
        <v>472</v>
      </c>
      <c r="AF15" s="43" t="s">
        <v>470</v>
      </c>
      <c r="AG15" s="43"/>
      <c r="AH15" s="43" t="s">
        <v>473</v>
      </c>
      <c r="AI15" s="43" t="s">
        <v>473</v>
      </c>
      <c r="AJ15" s="41" t="s">
        <v>508</v>
      </c>
      <c r="AK15" s="35" t="s">
        <v>475</v>
      </c>
      <c r="AL15" s="42" t="s">
        <v>476</v>
      </c>
      <c r="AM15" s="61" t="s">
        <v>1042</v>
      </c>
    </row>
    <row r="16" s="48" customFormat="1" ht="92.4" spans="1:39">
      <c r="A16" s="62"/>
      <c r="B16" s="62"/>
      <c r="C16" s="57" t="s">
        <v>455</v>
      </c>
      <c r="D16" s="57" t="s">
        <v>518</v>
      </c>
      <c r="E16" s="58" t="s">
        <v>533</v>
      </c>
      <c r="F16" s="59" t="s">
        <v>500</v>
      </c>
      <c r="G16" s="57" t="s">
        <v>534</v>
      </c>
      <c r="H16" s="58" t="s">
        <v>535</v>
      </c>
      <c r="I16" s="35" t="s">
        <v>536</v>
      </c>
      <c r="J16" s="42" t="s">
        <v>537</v>
      </c>
      <c r="K16" s="35"/>
      <c r="L16" s="35" t="s">
        <v>36</v>
      </c>
      <c r="M16" s="35"/>
      <c r="N16" s="35"/>
      <c r="O16" s="35" t="s">
        <v>36</v>
      </c>
      <c r="P16" s="35"/>
      <c r="Q16" s="35"/>
      <c r="R16" s="35"/>
      <c r="S16" s="35"/>
      <c r="T16" s="43" t="s">
        <v>463</v>
      </c>
      <c r="U16" s="35" t="s">
        <v>464</v>
      </c>
      <c r="V16" s="42" t="s">
        <v>538</v>
      </c>
      <c r="W16" s="41" t="s">
        <v>1044</v>
      </c>
      <c r="X16" s="43" t="s">
        <v>467</v>
      </c>
      <c r="Y16" s="43" t="s">
        <v>468</v>
      </c>
      <c r="Z16" s="43"/>
      <c r="AA16" s="43" t="s">
        <v>469</v>
      </c>
      <c r="AB16" s="43" t="s">
        <v>470</v>
      </c>
      <c r="AC16" s="43"/>
      <c r="AD16" s="41" t="s">
        <v>526</v>
      </c>
      <c r="AE16" s="43" t="s">
        <v>472</v>
      </c>
      <c r="AF16" s="43" t="s">
        <v>470</v>
      </c>
      <c r="AG16" s="43"/>
      <c r="AH16" s="43" t="s">
        <v>473</v>
      </c>
      <c r="AI16" s="43" t="s">
        <v>473</v>
      </c>
      <c r="AJ16" s="41" t="s">
        <v>508</v>
      </c>
      <c r="AK16" s="35" t="s">
        <v>475</v>
      </c>
      <c r="AL16" s="42" t="s">
        <v>476</v>
      </c>
      <c r="AM16" s="61" t="s">
        <v>473</v>
      </c>
    </row>
    <row r="17" s="48" customFormat="1" ht="79.2" spans="1:39">
      <c r="A17" s="62"/>
      <c r="B17" s="62"/>
      <c r="C17" s="63"/>
      <c r="D17" s="63"/>
      <c r="E17" s="64"/>
      <c r="F17" s="69"/>
      <c r="G17" s="63"/>
      <c r="H17" s="64"/>
      <c r="I17" s="35" t="s">
        <v>540</v>
      </c>
      <c r="J17" s="42" t="s">
        <v>541</v>
      </c>
      <c r="K17" s="35"/>
      <c r="L17" s="35"/>
      <c r="M17" s="35"/>
      <c r="N17" s="35"/>
      <c r="O17" s="35" t="s">
        <v>36</v>
      </c>
      <c r="P17" s="35"/>
      <c r="Q17" s="35"/>
      <c r="R17" s="35"/>
      <c r="S17" s="35"/>
      <c r="T17" s="43" t="s">
        <v>463</v>
      </c>
      <c r="U17" s="35" t="s">
        <v>464</v>
      </c>
      <c r="V17" s="42" t="s">
        <v>542</v>
      </c>
      <c r="W17" s="41" t="s">
        <v>525</v>
      </c>
      <c r="X17" s="43" t="s">
        <v>467</v>
      </c>
      <c r="Y17" s="43" t="s">
        <v>468</v>
      </c>
      <c r="Z17" s="43"/>
      <c r="AA17" s="43" t="s">
        <v>469</v>
      </c>
      <c r="AB17" s="43" t="s">
        <v>470</v>
      </c>
      <c r="AC17" s="43"/>
      <c r="AD17" s="41" t="s">
        <v>526</v>
      </c>
      <c r="AE17" s="43" t="s">
        <v>472</v>
      </c>
      <c r="AF17" s="43" t="s">
        <v>470</v>
      </c>
      <c r="AG17" s="43"/>
      <c r="AH17" s="43" t="s">
        <v>473</v>
      </c>
      <c r="AI17" s="43" t="s">
        <v>473</v>
      </c>
      <c r="AJ17" s="41" t="s">
        <v>508</v>
      </c>
      <c r="AK17" s="35" t="s">
        <v>475</v>
      </c>
      <c r="AL17" s="42" t="s">
        <v>476</v>
      </c>
      <c r="AM17" s="61" t="s">
        <v>1042</v>
      </c>
    </row>
    <row r="18" s="48" customFormat="1" ht="92.4" spans="1:39">
      <c r="A18" s="67"/>
      <c r="B18" s="67"/>
      <c r="C18" s="38"/>
      <c r="D18" s="38"/>
      <c r="E18" s="66"/>
      <c r="F18" s="70"/>
      <c r="G18" s="38"/>
      <c r="H18" s="66"/>
      <c r="I18" s="35" t="s">
        <v>543</v>
      </c>
      <c r="J18" s="42" t="s">
        <v>544</v>
      </c>
      <c r="K18" s="35"/>
      <c r="L18" s="35"/>
      <c r="M18" s="35" t="s">
        <v>36</v>
      </c>
      <c r="N18" s="35"/>
      <c r="O18" s="35"/>
      <c r="P18" s="35"/>
      <c r="Q18" s="35"/>
      <c r="R18" s="35" t="s">
        <v>36</v>
      </c>
      <c r="S18" s="35"/>
      <c r="T18" s="43" t="s">
        <v>463</v>
      </c>
      <c r="U18" s="35" t="s">
        <v>464</v>
      </c>
      <c r="V18" s="42" t="s">
        <v>545</v>
      </c>
      <c r="W18" s="41" t="s">
        <v>525</v>
      </c>
      <c r="X18" s="43" t="s">
        <v>467</v>
      </c>
      <c r="Y18" s="43" t="s">
        <v>468</v>
      </c>
      <c r="Z18" s="43"/>
      <c r="AA18" s="43" t="s">
        <v>469</v>
      </c>
      <c r="AB18" s="43" t="s">
        <v>470</v>
      </c>
      <c r="AC18" s="43"/>
      <c r="AD18" s="41" t="s">
        <v>526</v>
      </c>
      <c r="AE18" s="43" t="s">
        <v>472</v>
      </c>
      <c r="AF18" s="43" t="s">
        <v>470</v>
      </c>
      <c r="AG18" s="43"/>
      <c r="AH18" s="43" t="s">
        <v>473</v>
      </c>
      <c r="AI18" s="43" t="s">
        <v>473</v>
      </c>
      <c r="AJ18" s="41" t="s">
        <v>508</v>
      </c>
      <c r="AK18" s="35" t="s">
        <v>475</v>
      </c>
      <c r="AL18" s="42" t="s">
        <v>476</v>
      </c>
      <c r="AM18" s="61" t="s">
        <v>1042</v>
      </c>
    </row>
    <row r="19" s="48" customFormat="1" ht="92.4" spans="1:39">
      <c r="A19" s="56" t="s">
        <v>453</v>
      </c>
      <c r="B19" s="56" t="s">
        <v>454</v>
      </c>
      <c r="C19" s="63" t="s">
        <v>455</v>
      </c>
      <c r="D19" s="38" t="s">
        <v>518</v>
      </c>
      <c r="E19" s="66" t="s">
        <v>533</v>
      </c>
      <c r="F19" s="70" t="s">
        <v>500</v>
      </c>
      <c r="G19" s="38" t="s">
        <v>534</v>
      </c>
      <c r="H19" s="66" t="s">
        <v>535</v>
      </c>
      <c r="I19" s="35" t="s">
        <v>546</v>
      </c>
      <c r="J19" s="42" t="s">
        <v>547</v>
      </c>
      <c r="K19" s="35"/>
      <c r="L19" s="35"/>
      <c r="M19" s="35"/>
      <c r="N19" s="35"/>
      <c r="O19" s="35"/>
      <c r="P19" s="35"/>
      <c r="Q19" s="35"/>
      <c r="R19" s="35" t="s">
        <v>36</v>
      </c>
      <c r="S19" s="35" t="s">
        <v>36</v>
      </c>
      <c r="T19" s="35" t="s">
        <v>516</v>
      </c>
      <c r="U19" s="42"/>
      <c r="V19" s="42" t="s">
        <v>548</v>
      </c>
      <c r="W19" s="41" t="s">
        <v>525</v>
      </c>
      <c r="X19" s="43" t="s">
        <v>467</v>
      </c>
      <c r="Y19" s="43" t="s">
        <v>468</v>
      </c>
      <c r="Z19" s="43"/>
      <c r="AA19" s="43" t="s">
        <v>469</v>
      </c>
      <c r="AB19" s="43" t="s">
        <v>470</v>
      </c>
      <c r="AC19" s="43"/>
      <c r="AD19" s="41" t="s">
        <v>526</v>
      </c>
      <c r="AE19" s="43" t="s">
        <v>472</v>
      </c>
      <c r="AF19" s="43" t="s">
        <v>470</v>
      </c>
      <c r="AG19" s="43"/>
      <c r="AH19" s="43" t="s">
        <v>473</v>
      </c>
      <c r="AI19" s="43" t="s">
        <v>473</v>
      </c>
      <c r="AJ19" s="41" t="s">
        <v>508</v>
      </c>
      <c r="AK19" s="35" t="s">
        <v>475</v>
      </c>
      <c r="AL19" s="42" t="s">
        <v>476</v>
      </c>
      <c r="AM19" s="61" t="s">
        <v>1042</v>
      </c>
    </row>
    <row r="20" s="48" customFormat="1" ht="66" spans="1:39">
      <c r="A20" s="62"/>
      <c r="B20" s="62"/>
      <c r="C20" s="63"/>
      <c r="D20" s="57" t="s">
        <v>518</v>
      </c>
      <c r="E20" s="58" t="s">
        <v>549</v>
      </c>
      <c r="F20" s="59" t="s">
        <v>458</v>
      </c>
      <c r="G20" s="57" t="s">
        <v>550</v>
      </c>
      <c r="H20" s="58" t="s">
        <v>551</v>
      </c>
      <c r="I20" s="35" t="s">
        <v>552</v>
      </c>
      <c r="J20" s="42" t="s">
        <v>553</v>
      </c>
      <c r="K20" s="35"/>
      <c r="L20" s="35"/>
      <c r="M20" s="35" t="s">
        <v>36</v>
      </c>
      <c r="N20" s="35"/>
      <c r="O20" s="35"/>
      <c r="P20" s="35"/>
      <c r="Q20" s="35"/>
      <c r="R20" s="35"/>
      <c r="S20" s="35"/>
      <c r="T20" s="43" t="s">
        <v>463</v>
      </c>
      <c r="U20" s="35" t="s">
        <v>464</v>
      </c>
      <c r="V20" s="42" t="s">
        <v>554</v>
      </c>
      <c r="W20" s="65" t="s">
        <v>1041</v>
      </c>
      <c r="X20" s="43" t="s">
        <v>467</v>
      </c>
      <c r="Y20" s="43" t="s">
        <v>468</v>
      </c>
      <c r="Z20" s="43"/>
      <c r="AA20" s="43" t="s">
        <v>469</v>
      </c>
      <c r="AB20" s="43" t="s">
        <v>470</v>
      </c>
      <c r="AC20" s="43"/>
      <c r="AD20" s="41" t="s">
        <v>526</v>
      </c>
      <c r="AE20" s="43" t="s">
        <v>472</v>
      </c>
      <c r="AF20" s="43" t="s">
        <v>470</v>
      </c>
      <c r="AG20" s="43"/>
      <c r="AH20" s="43" t="s">
        <v>473</v>
      </c>
      <c r="AI20" s="43" t="s">
        <v>473</v>
      </c>
      <c r="AJ20" s="41" t="s">
        <v>555</v>
      </c>
      <c r="AK20" s="35" t="s">
        <v>475</v>
      </c>
      <c r="AL20" s="42" t="s">
        <v>476</v>
      </c>
      <c r="AM20" s="61" t="s">
        <v>1042</v>
      </c>
    </row>
    <row r="21" s="48" customFormat="1" ht="66" spans="1:39">
      <c r="A21" s="62"/>
      <c r="B21" s="62"/>
      <c r="C21" s="63"/>
      <c r="D21" s="63"/>
      <c r="E21" s="64"/>
      <c r="F21" s="64"/>
      <c r="G21" s="63"/>
      <c r="H21" s="64"/>
      <c r="I21" s="35" t="s">
        <v>556</v>
      </c>
      <c r="J21" s="42" t="s">
        <v>557</v>
      </c>
      <c r="K21" s="35"/>
      <c r="L21" s="35"/>
      <c r="M21" s="35" t="s">
        <v>36</v>
      </c>
      <c r="N21" s="35"/>
      <c r="O21" s="35"/>
      <c r="P21" s="35"/>
      <c r="Q21" s="35"/>
      <c r="R21" s="35"/>
      <c r="S21" s="35" t="s">
        <v>36</v>
      </c>
      <c r="T21" s="43" t="s">
        <v>463</v>
      </c>
      <c r="U21" s="35" t="s">
        <v>464</v>
      </c>
      <c r="V21" s="42" t="s">
        <v>558</v>
      </c>
      <c r="W21" s="65" t="s">
        <v>1041</v>
      </c>
      <c r="X21" s="43" t="s">
        <v>467</v>
      </c>
      <c r="Y21" s="43" t="s">
        <v>468</v>
      </c>
      <c r="Z21" s="43"/>
      <c r="AA21" s="43" t="s">
        <v>469</v>
      </c>
      <c r="AB21" s="43" t="s">
        <v>470</v>
      </c>
      <c r="AC21" s="43"/>
      <c r="AD21" s="41" t="s">
        <v>526</v>
      </c>
      <c r="AE21" s="43" t="s">
        <v>472</v>
      </c>
      <c r="AF21" s="43" t="s">
        <v>470</v>
      </c>
      <c r="AG21" s="43"/>
      <c r="AH21" s="43" t="s">
        <v>473</v>
      </c>
      <c r="AI21" s="43" t="s">
        <v>473</v>
      </c>
      <c r="AJ21" s="41" t="s">
        <v>555</v>
      </c>
      <c r="AK21" s="35" t="s">
        <v>475</v>
      </c>
      <c r="AL21" s="42" t="s">
        <v>476</v>
      </c>
      <c r="AM21" s="61" t="s">
        <v>1042</v>
      </c>
    </row>
    <row r="22" s="48" customFormat="1" ht="66" spans="1:39">
      <c r="A22" s="62"/>
      <c r="B22" s="62"/>
      <c r="C22" s="38"/>
      <c r="D22" s="38"/>
      <c r="E22" s="66"/>
      <c r="F22" s="66"/>
      <c r="G22" s="38"/>
      <c r="H22" s="66"/>
      <c r="I22" s="35" t="s">
        <v>559</v>
      </c>
      <c r="J22" s="42" t="s">
        <v>560</v>
      </c>
      <c r="K22" s="35"/>
      <c r="L22" s="35"/>
      <c r="M22" s="35" t="s">
        <v>36</v>
      </c>
      <c r="N22" s="35"/>
      <c r="O22" s="35"/>
      <c r="P22" s="35"/>
      <c r="Q22" s="35"/>
      <c r="R22" s="35"/>
      <c r="S22" s="35"/>
      <c r="T22" s="43" t="s">
        <v>463</v>
      </c>
      <c r="U22" s="35" t="s">
        <v>464</v>
      </c>
      <c r="V22" s="42" t="s">
        <v>561</v>
      </c>
      <c r="W22" s="60" t="s">
        <v>1045</v>
      </c>
      <c r="X22" s="43" t="s">
        <v>467</v>
      </c>
      <c r="Y22" s="43" t="s">
        <v>468</v>
      </c>
      <c r="Z22" s="43"/>
      <c r="AA22" s="43" t="s">
        <v>469</v>
      </c>
      <c r="AB22" s="43" t="s">
        <v>470</v>
      </c>
      <c r="AC22" s="43"/>
      <c r="AD22" s="41" t="s">
        <v>526</v>
      </c>
      <c r="AE22" s="43" t="s">
        <v>472</v>
      </c>
      <c r="AF22" s="43" t="s">
        <v>470</v>
      </c>
      <c r="AG22" s="43"/>
      <c r="AH22" s="43" t="s">
        <v>473</v>
      </c>
      <c r="AI22" s="43" t="s">
        <v>473</v>
      </c>
      <c r="AJ22" s="41" t="s">
        <v>555</v>
      </c>
      <c r="AK22" s="35" t="s">
        <v>475</v>
      </c>
      <c r="AL22" s="42" t="s">
        <v>476</v>
      </c>
      <c r="AM22" s="61" t="s">
        <v>473</v>
      </c>
    </row>
    <row r="23" s="48" customFormat="1" ht="105.6" spans="1:39">
      <c r="A23" s="62"/>
      <c r="B23" s="62"/>
      <c r="C23" s="57" t="s">
        <v>498</v>
      </c>
      <c r="D23" s="57" t="s">
        <v>563</v>
      </c>
      <c r="E23" s="58" t="s">
        <v>564</v>
      </c>
      <c r="F23" s="59" t="s">
        <v>500</v>
      </c>
      <c r="G23" s="57" t="s">
        <v>565</v>
      </c>
      <c r="H23" s="58" t="s">
        <v>566</v>
      </c>
      <c r="I23" s="35" t="s">
        <v>567</v>
      </c>
      <c r="J23" s="42" t="s">
        <v>568</v>
      </c>
      <c r="K23" s="35"/>
      <c r="L23" s="35"/>
      <c r="M23" s="35" t="s">
        <v>36</v>
      </c>
      <c r="N23" s="35"/>
      <c r="O23" s="35"/>
      <c r="P23" s="35"/>
      <c r="Q23" s="35"/>
      <c r="R23" s="35" t="s">
        <v>36</v>
      </c>
      <c r="S23" s="35"/>
      <c r="T23" s="43" t="s">
        <v>463</v>
      </c>
      <c r="U23" s="35" t="s">
        <v>464</v>
      </c>
      <c r="V23" s="42" t="s">
        <v>569</v>
      </c>
      <c r="W23" s="65" t="s">
        <v>1046</v>
      </c>
      <c r="X23" s="43" t="s">
        <v>467</v>
      </c>
      <c r="Y23" s="43" t="s">
        <v>468</v>
      </c>
      <c r="Z23" s="43"/>
      <c r="AA23" s="43" t="s">
        <v>469</v>
      </c>
      <c r="AB23" s="43" t="s">
        <v>470</v>
      </c>
      <c r="AC23" s="43"/>
      <c r="AD23" s="41" t="s">
        <v>571</v>
      </c>
      <c r="AE23" s="43" t="s">
        <v>472</v>
      </c>
      <c r="AF23" s="43" t="s">
        <v>470</v>
      </c>
      <c r="AG23" s="43"/>
      <c r="AH23" s="43" t="s">
        <v>473</v>
      </c>
      <c r="AI23" s="43" t="s">
        <v>473</v>
      </c>
      <c r="AJ23" s="41" t="s">
        <v>572</v>
      </c>
      <c r="AK23" s="35" t="s">
        <v>475</v>
      </c>
      <c r="AL23" s="42" t="s">
        <v>476</v>
      </c>
      <c r="AM23" s="61" t="s">
        <v>1042</v>
      </c>
    </row>
    <row r="24" s="48" customFormat="1" ht="92.4" spans="1:39">
      <c r="A24" s="62"/>
      <c r="B24" s="62"/>
      <c r="C24" s="63"/>
      <c r="D24" s="63"/>
      <c r="E24" s="64"/>
      <c r="F24" s="64"/>
      <c r="G24" s="63"/>
      <c r="H24" s="64"/>
      <c r="I24" s="35" t="s">
        <v>573</v>
      </c>
      <c r="J24" s="42" t="s">
        <v>574</v>
      </c>
      <c r="K24" s="35"/>
      <c r="L24" s="35"/>
      <c r="M24" s="35" t="s">
        <v>36</v>
      </c>
      <c r="N24" s="35"/>
      <c r="O24" s="35"/>
      <c r="P24" s="35"/>
      <c r="Q24" s="35" t="s">
        <v>36</v>
      </c>
      <c r="R24" s="35"/>
      <c r="S24" s="35"/>
      <c r="T24" s="43" t="s">
        <v>463</v>
      </c>
      <c r="U24" s="35" t="s">
        <v>464</v>
      </c>
      <c r="V24" s="42" t="s">
        <v>569</v>
      </c>
      <c r="W24" s="60" t="s">
        <v>1047</v>
      </c>
      <c r="X24" s="43" t="s">
        <v>467</v>
      </c>
      <c r="Y24" s="43" t="s">
        <v>468</v>
      </c>
      <c r="Z24" s="43"/>
      <c r="AA24" s="43" t="s">
        <v>469</v>
      </c>
      <c r="AB24" s="43" t="s">
        <v>470</v>
      </c>
      <c r="AC24" s="43"/>
      <c r="AD24" s="41" t="s">
        <v>571</v>
      </c>
      <c r="AE24" s="43" t="s">
        <v>472</v>
      </c>
      <c r="AF24" s="43" t="s">
        <v>470</v>
      </c>
      <c r="AG24" s="43"/>
      <c r="AH24" s="43" t="s">
        <v>473</v>
      </c>
      <c r="AI24" s="43" t="s">
        <v>473</v>
      </c>
      <c r="AJ24" s="41" t="s">
        <v>572</v>
      </c>
      <c r="AK24" s="35" t="s">
        <v>475</v>
      </c>
      <c r="AL24" s="42" t="s">
        <v>476</v>
      </c>
      <c r="AM24" s="61" t="s">
        <v>473</v>
      </c>
    </row>
    <row r="25" s="48" customFormat="1" ht="132" spans="1:39">
      <c r="A25" s="67"/>
      <c r="B25" s="67"/>
      <c r="C25" s="38"/>
      <c r="D25" s="38"/>
      <c r="E25" s="66"/>
      <c r="F25" s="66"/>
      <c r="G25" s="38"/>
      <c r="H25" s="66"/>
      <c r="I25" s="35" t="s">
        <v>576</v>
      </c>
      <c r="J25" s="42" t="s">
        <v>577</v>
      </c>
      <c r="K25" s="35"/>
      <c r="L25" s="35"/>
      <c r="M25" s="35"/>
      <c r="N25" s="35"/>
      <c r="O25" s="35"/>
      <c r="P25" s="35"/>
      <c r="Q25" s="35"/>
      <c r="R25" s="35" t="s">
        <v>36</v>
      </c>
      <c r="S25" s="35" t="s">
        <v>36</v>
      </c>
      <c r="T25" s="35" t="s">
        <v>516</v>
      </c>
      <c r="U25" s="42"/>
      <c r="V25" s="42" t="s">
        <v>532</v>
      </c>
      <c r="W25" s="60" t="s">
        <v>1048</v>
      </c>
      <c r="X25" s="43" t="s">
        <v>467</v>
      </c>
      <c r="Y25" s="43" t="s">
        <v>468</v>
      </c>
      <c r="Z25" s="43"/>
      <c r="AA25" s="43" t="s">
        <v>469</v>
      </c>
      <c r="AB25" s="43" t="s">
        <v>470</v>
      </c>
      <c r="AC25" s="43"/>
      <c r="AD25" s="41" t="s">
        <v>571</v>
      </c>
      <c r="AE25" s="43" t="s">
        <v>472</v>
      </c>
      <c r="AF25" s="43" t="s">
        <v>470</v>
      </c>
      <c r="AG25" s="43"/>
      <c r="AH25" s="43" t="s">
        <v>473</v>
      </c>
      <c r="AI25" s="43" t="s">
        <v>473</v>
      </c>
      <c r="AJ25" s="41" t="s">
        <v>579</v>
      </c>
      <c r="AK25" s="35" t="s">
        <v>475</v>
      </c>
      <c r="AL25" s="42" t="s">
        <v>476</v>
      </c>
      <c r="AM25" s="61" t="s">
        <v>473</v>
      </c>
    </row>
    <row r="26" s="48" customFormat="1" ht="145.2" spans="1:39">
      <c r="A26" s="56" t="s">
        <v>453</v>
      </c>
      <c r="B26" s="56" t="s">
        <v>454</v>
      </c>
      <c r="C26" s="57" t="s">
        <v>455</v>
      </c>
      <c r="D26" s="57" t="s">
        <v>563</v>
      </c>
      <c r="E26" s="58" t="s">
        <v>580</v>
      </c>
      <c r="F26" s="59" t="s">
        <v>500</v>
      </c>
      <c r="G26" s="57" t="s">
        <v>581</v>
      </c>
      <c r="H26" s="58" t="s">
        <v>582</v>
      </c>
      <c r="I26" s="35" t="s">
        <v>583</v>
      </c>
      <c r="J26" s="42" t="s">
        <v>584</v>
      </c>
      <c r="K26" s="35"/>
      <c r="L26" s="35"/>
      <c r="M26" s="35" t="s">
        <v>36</v>
      </c>
      <c r="N26" s="35"/>
      <c r="O26" s="35"/>
      <c r="P26" s="35"/>
      <c r="Q26" s="35" t="s">
        <v>36</v>
      </c>
      <c r="R26" s="35" t="s">
        <v>36</v>
      </c>
      <c r="S26" s="35"/>
      <c r="T26" s="43" t="s">
        <v>463</v>
      </c>
      <c r="U26" s="35" t="s">
        <v>464</v>
      </c>
      <c r="V26" s="42" t="s">
        <v>585</v>
      </c>
      <c r="W26" s="71" t="s">
        <v>1049</v>
      </c>
      <c r="X26" s="35" t="s">
        <v>467</v>
      </c>
      <c r="Y26" s="35" t="s">
        <v>468</v>
      </c>
      <c r="Z26" s="35"/>
      <c r="AA26" s="35" t="s">
        <v>469</v>
      </c>
      <c r="AB26" s="35" t="s">
        <v>470</v>
      </c>
      <c r="AC26" s="35"/>
      <c r="AD26" s="42" t="s">
        <v>587</v>
      </c>
      <c r="AE26" s="35" t="s">
        <v>472</v>
      </c>
      <c r="AF26" s="35" t="s">
        <v>470</v>
      </c>
      <c r="AG26" s="35"/>
      <c r="AH26" s="35" t="s">
        <v>473</v>
      </c>
      <c r="AI26" s="35" t="s">
        <v>473</v>
      </c>
      <c r="AJ26" s="42" t="s">
        <v>588</v>
      </c>
      <c r="AK26" s="35" t="s">
        <v>475</v>
      </c>
      <c r="AL26" s="42" t="s">
        <v>476</v>
      </c>
      <c r="AM26" s="61" t="s">
        <v>473</v>
      </c>
    </row>
    <row r="27" s="48" customFormat="1" ht="145.2" spans="1:39">
      <c r="A27" s="62"/>
      <c r="B27" s="62"/>
      <c r="C27" s="63"/>
      <c r="D27" s="63"/>
      <c r="E27" s="64"/>
      <c r="F27" s="69"/>
      <c r="G27" s="63"/>
      <c r="H27" s="64"/>
      <c r="I27" s="35" t="s">
        <v>589</v>
      </c>
      <c r="J27" s="42" t="s">
        <v>590</v>
      </c>
      <c r="K27" s="35"/>
      <c r="L27" s="35"/>
      <c r="M27" s="35" t="s">
        <v>36</v>
      </c>
      <c r="N27" s="35"/>
      <c r="O27" s="35"/>
      <c r="P27" s="35"/>
      <c r="Q27" s="35" t="s">
        <v>36</v>
      </c>
      <c r="R27" s="35"/>
      <c r="S27" s="35"/>
      <c r="T27" s="43" t="s">
        <v>463</v>
      </c>
      <c r="U27" s="35" t="s">
        <v>464</v>
      </c>
      <c r="V27" s="42" t="s">
        <v>585</v>
      </c>
      <c r="W27" s="42" t="s">
        <v>525</v>
      </c>
      <c r="X27" s="35" t="s">
        <v>467</v>
      </c>
      <c r="Y27" s="35" t="s">
        <v>468</v>
      </c>
      <c r="Z27" s="35"/>
      <c r="AA27" s="35" t="s">
        <v>469</v>
      </c>
      <c r="AB27" s="35" t="s">
        <v>470</v>
      </c>
      <c r="AC27" s="35"/>
      <c r="AD27" s="42" t="s">
        <v>587</v>
      </c>
      <c r="AE27" s="35" t="s">
        <v>472</v>
      </c>
      <c r="AF27" s="35" t="s">
        <v>470</v>
      </c>
      <c r="AG27" s="35"/>
      <c r="AH27" s="35" t="s">
        <v>473</v>
      </c>
      <c r="AI27" s="35" t="s">
        <v>473</v>
      </c>
      <c r="AJ27" s="42" t="s">
        <v>591</v>
      </c>
      <c r="AK27" s="35" t="s">
        <v>475</v>
      </c>
      <c r="AL27" s="42" t="s">
        <v>476</v>
      </c>
      <c r="AM27" s="61" t="s">
        <v>1042</v>
      </c>
    </row>
    <row r="28" s="48" customFormat="1" ht="132" spans="1:39">
      <c r="A28" s="62"/>
      <c r="B28" s="62"/>
      <c r="C28" s="63"/>
      <c r="D28" s="63"/>
      <c r="E28" s="64"/>
      <c r="F28" s="69"/>
      <c r="G28" s="63"/>
      <c r="H28" s="64"/>
      <c r="I28" s="35" t="s">
        <v>592</v>
      </c>
      <c r="J28" s="42" t="s">
        <v>593</v>
      </c>
      <c r="K28" s="35"/>
      <c r="L28" s="35"/>
      <c r="M28" s="35" t="s">
        <v>36</v>
      </c>
      <c r="N28" s="35"/>
      <c r="O28" s="35"/>
      <c r="P28" s="35"/>
      <c r="Q28" s="35"/>
      <c r="R28" s="35" t="s">
        <v>36</v>
      </c>
      <c r="S28" s="35"/>
      <c r="T28" s="43" t="s">
        <v>463</v>
      </c>
      <c r="U28" s="35" t="s">
        <v>464</v>
      </c>
      <c r="V28" s="42" t="s">
        <v>585</v>
      </c>
      <c r="W28" s="71" t="s">
        <v>1050</v>
      </c>
      <c r="X28" s="35" t="s">
        <v>467</v>
      </c>
      <c r="Y28" s="35" t="s">
        <v>468</v>
      </c>
      <c r="Z28" s="35"/>
      <c r="AA28" s="35" t="s">
        <v>469</v>
      </c>
      <c r="AB28" s="35" t="s">
        <v>470</v>
      </c>
      <c r="AC28" s="35"/>
      <c r="AD28" s="42" t="s">
        <v>587</v>
      </c>
      <c r="AE28" s="35" t="s">
        <v>472</v>
      </c>
      <c r="AF28" s="35" t="s">
        <v>470</v>
      </c>
      <c r="AG28" s="35"/>
      <c r="AH28" s="35" t="s">
        <v>473</v>
      </c>
      <c r="AI28" s="35" t="s">
        <v>473</v>
      </c>
      <c r="AJ28" s="42" t="s">
        <v>594</v>
      </c>
      <c r="AK28" s="35" t="s">
        <v>475</v>
      </c>
      <c r="AL28" s="42" t="s">
        <v>476</v>
      </c>
      <c r="AM28" s="61" t="s">
        <v>1042</v>
      </c>
    </row>
    <row r="29" s="48" customFormat="1" ht="145.2" spans="1:39">
      <c r="A29" s="67"/>
      <c r="B29" s="67"/>
      <c r="C29" s="38"/>
      <c r="D29" s="38"/>
      <c r="E29" s="66"/>
      <c r="F29" s="70"/>
      <c r="G29" s="38"/>
      <c r="H29" s="66"/>
      <c r="I29" s="35" t="s">
        <v>595</v>
      </c>
      <c r="J29" s="42" t="s">
        <v>596</v>
      </c>
      <c r="K29" s="35"/>
      <c r="L29" s="35"/>
      <c r="M29" s="35" t="s">
        <v>36</v>
      </c>
      <c r="N29" s="35"/>
      <c r="O29" s="35"/>
      <c r="P29" s="35"/>
      <c r="Q29" s="35" t="s">
        <v>36</v>
      </c>
      <c r="R29" s="35"/>
      <c r="S29" s="35"/>
      <c r="T29" s="43" t="s">
        <v>463</v>
      </c>
      <c r="U29" s="35" t="s">
        <v>464</v>
      </c>
      <c r="V29" s="42" t="s">
        <v>585</v>
      </c>
      <c r="W29" s="72" t="s">
        <v>1051</v>
      </c>
      <c r="X29" s="35" t="s">
        <v>467</v>
      </c>
      <c r="Y29" s="35" t="s">
        <v>468</v>
      </c>
      <c r="Z29" s="35"/>
      <c r="AA29" s="35" t="s">
        <v>469</v>
      </c>
      <c r="AB29" s="35" t="s">
        <v>470</v>
      </c>
      <c r="AC29" s="35"/>
      <c r="AD29" s="42" t="s">
        <v>587</v>
      </c>
      <c r="AE29" s="35" t="s">
        <v>472</v>
      </c>
      <c r="AF29" s="35" t="s">
        <v>470</v>
      </c>
      <c r="AG29" s="35"/>
      <c r="AH29" s="35" t="s">
        <v>473</v>
      </c>
      <c r="AI29" s="35" t="s">
        <v>473</v>
      </c>
      <c r="AJ29" s="42" t="s">
        <v>591</v>
      </c>
      <c r="AK29" s="35" t="s">
        <v>475</v>
      </c>
      <c r="AL29" s="42" t="s">
        <v>476</v>
      </c>
      <c r="AM29" s="61" t="s">
        <v>473</v>
      </c>
    </row>
    <row r="30" s="48" customFormat="1" ht="184.8" spans="1:39">
      <c r="A30" s="56" t="s">
        <v>453</v>
      </c>
      <c r="B30" s="56" t="s">
        <v>454</v>
      </c>
      <c r="C30" s="63" t="s">
        <v>455</v>
      </c>
      <c r="D30" s="63" t="s">
        <v>563</v>
      </c>
      <c r="E30" s="66" t="s">
        <v>580</v>
      </c>
      <c r="F30" s="73" t="s">
        <v>500</v>
      </c>
      <c r="G30" s="38" t="s">
        <v>581</v>
      </c>
      <c r="H30" s="66" t="s">
        <v>582</v>
      </c>
      <c r="I30" s="35" t="s">
        <v>597</v>
      </c>
      <c r="J30" s="42" t="s">
        <v>598</v>
      </c>
      <c r="K30" s="35"/>
      <c r="L30" s="35"/>
      <c r="M30" s="35" t="s">
        <v>36</v>
      </c>
      <c r="N30" s="35"/>
      <c r="O30" s="35"/>
      <c r="P30" s="35"/>
      <c r="Q30" s="35"/>
      <c r="R30" s="35" t="s">
        <v>36</v>
      </c>
      <c r="S30" s="35" t="s">
        <v>36</v>
      </c>
      <c r="T30" s="35" t="s">
        <v>516</v>
      </c>
      <c r="U30" s="42"/>
      <c r="V30" s="42" t="s">
        <v>532</v>
      </c>
      <c r="W30" s="72" t="s">
        <v>1052</v>
      </c>
      <c r="X30" s="35" t="s">
        <v>467</v>
      </c>
      <c r="Y30" s="35" t="s">
        <v>468</v>
      </c>
      <c r="Z30" s="35"/>
      <c r="AA30" s="35" t="s">
        <v>469</v>
      </c>
      <c r="AB30" s="35" t="s">
        <v>470</v>
      </c>
      <c r="AC30" s="35"/>
      <c r="AD30" s="42" t="s">
        <v>587</v>
      </c>
      <c r="AE30" s="35" t="s">
        <v>472</v>
      </c>
      <c r="AF30" s="35" t="s">
        <v>470</v>
      </c>
      <c r="AG30" s="35"/>
      <c r="AH30" s="35" t="s">
        <v>473</v>
      </c>
      <c r="AI30" s="35" t="s">
        <v>473</v>
      </c>
      <c r="AJ30" s="42" t="s">
        <v>600</v>
      </c>
      <c r="AK30" s="35" t="s">
        <v>475</v>
      </c>
      <c r="AL30" s="42" t="s">
        <v>476</v>
      </c>
      <c r="AM30" s="61" t="s">
        <v>473</v>
      </c>
    </row>
    <row r="31" s="48" customFormat="1" ht="92.4" spans="1:39">
      <c r="A31" s="62"/>
      <c r="B31" s="62"/>
      <c r="C31" s="63"/>
      <c r="D31" s="63"/>
      <c r="E31" s="58" t="s">
        <v>601</v>
      </c>
      <c r="F31" s="73"/>
      <c r="G31" s="57" t="s">
        <v>602</v>
      </c>
      <c r="H31" s="58" t="s">
        <v>603</v>
      </c>
      <c r="I31" s="35" t="s">
        <v>604</v>
      </c>
      <c r="J31" s="42" t="s">
        <v>605</v>
      </c>
      <c r="K31" s="35"/>
      <c r="L31" s="35"/>
      <c r="M31" s="35"/>
      <c r="N31" s="35"/>
      <c r="O31" s="35"/>
      <c r="P31" s="35"/>
      <c r="Q31" s="35"/>
      <c r="R31" s="35"/>
      <c r="S31" s="35" t="s">
        <v>36</v>
      </c>
      <c r="T31" s="35" t="s">
        <v>497</v>
      </c>
      <c r="U31" s="35" t="s">
        <v>464</v>
      </c>
      <c r="V31" s="42" t="s">
        <v>606</v>
      </c>
      <c r="W31" s="71" t="s">
        <v>1041</v>
      </c>
      <c r="X31" s="35" t="s">
        <v>467</v>
      </c>
      <c r="Y31" s="35" t="s">
        <v>468</v>
      </c>
      <c r="Z31" s="35"/>
      <c r="AA31" s="35" t="s">
        <v>469</v>
      </c>
      <c r="AB31" s="35" t="s">
        <v>470</v>
      </c>
      <c r="AC31" s="35"/>
      <c r="AD31" s="42" t="s">
        <v>587</v>
      </c>
      <c r="AE31" s="35" t="s">
        <v>472</v>
      </c>
      <c r="AF31" s="35" t="s">
        <v>470</v>
      </c>
      <c r="AG31" s="35"/>
      <c r="AH31" s="35" t="s">
        <v>473</v>
      </c>
      <c r="AI31" s="35" t="s">
        <v>473</v>
      </c>
      <c r="AJ31" s="42" t="s">
        <v>607</v>
      </c>
      <c r="AK31" s="35" t="s">
        <v>475</v>
      </c>
      <c r="AL31" s="42" t="s">
        <v>476</v>
      </c>
      <c r="AM31" s="61" t="s">
        <v>1042</v>
      </c>
    </row>
    <row r="32" s="48" customFormat="1" ht="92.4" spans="1:39">
      <c r="A32" s="62"/>
      <c r="B32" s="62"/>
      <c r="C32" s="63"/>
      <c r="D32" s="63"/>
      <c r="E32" s="64"/>
      <c r="F32" s="73"/>
      <c r="G32" s="63"/>
      <c r="H32" s="64"/>
      <c r="I32" s="35" t="s">
        <v>608</v>
      </c>
      <c r="J32" s="42" t="s">
        <v>609</v>
      </c>
      <c r="K32" s="35"/>
      <c r="L32" s="35"/>
      <c r="M32" s="35" t="s">
        <v>36</v>
      </c>
      <c r="N32" s="35"/>
      <c r="O32" s="35"/>
      <c r="P32" s="35"/>
      <c r="Q32" s="35" t="s">
        <v>36</v>
      </c>
      <c r="R32" s="35" t="s">
        <v>36</v>
      </c>
      <c r="S32" s="35"/>
      <c r="T32" s="35" t="s">
        <v>516</v>
      </c>
      <c r="U32" s="42"/>
      <c r="V32" s="42" t="s">
        <v>606</v>
      </c>
      <c r="W32" s="72" t="s">
        <v>1053</v>
      </c>
      <c r="X32" s="35" t="s">
        <v>467</v>
      </c>
      <c r="Y32" s="35" t="s">
        <v>468</v>
      </c>
      <c r="Z32" s="35"/>
      <c r="AA32" s="35" t="s">
        <v>469</v>
      </c>
      <c r="AB32" s="35" t="s">
        <v>470</v>
      </c>
      <c r="AC32" s="35"/>
      <c r="AD32" s="42" t="s">
        <v>587</v>
      </c>
      <c r="AE32" s="35" t="s">
        <v>472</v>
      </c>
      <c r="AF32" s="35" t="s">
        <v>470</v>
      </c>
      <c r="AG32" s="35"/>
      <c r="AH32" s="35" t="s">
        <v>473</v>
      </c>
      <c r="AI32" s="35" t="s">
        <v>473</v>
      </c>
      <c r="AJ32" s="42" t="s">
        <v>607</v>
      </c>
      <c r="AK32" s="35" t="s">
        <v>475</v>
      </c>
      <c r="AL32" s="42" t="s">
        <v>476</v>
      </c>
      <c r="AM32" s="61" t="s">
        <v>1042</v>
      </c>
    </row>
    <row r="33" s="48" customFormat="1" ht="92.4" spans="1:39">
      <c r="A33" s="62"/>
      <c r="B33" s="62"/>
      <c r="C33" s="63"/>
      <c r="D33" s="63"/>
      <c r="E33" s="64"/>
      <c r="F33" s="73"/>
      <c r="G33" s="63"/>
      <c r="H33" s="64"/>
      <c r="I33" s="35" t="s">
        <v>611</v>
      </c>
      <c r="J33" s="42" t="s">
        <v>612</v>
      </c>
      <c r="K33" s="35"/>
      <c r="L33" s="35"/>
      <c r="M33" s="35" t="s">
        <v>36</v>
      </c>
      <c r="N33" s="35"/>
      <c r="O33" s="35"/>
      <c r="P33" s="35"/>
      <c r="Q33" s="35" t="s">
        <v>36</v>
      </c>
      <c r="R33" s="35" t="s">
        <v>36</v>
      </c>
      <c r="S33" s="35"/>
      <c r="T33" s="43" t="s">
        <v>463</v>
      </c>
      <c r="U33" s="35" t="s">
        <v>464</v>
      </c>
      <c r="V33" s="42" t="s">
        <v>606</v>
      </c>
      <c r="W33" s="72" t="s">
        <v>1054</v>
      </c>
      <c r="X33" s="35" t="s">
        <v>467</v>
      </c>
      <c r="Y33" s="35" t="s">
        <v>468</v>
      </c>
      <c r="Z33" s="35"/>
      <c r="AA33" s="35" t="s">
        <v>469</v>
      </c>
      <c r="AB33" s="35" t="s">
        <v>470</v>
      </c>
      <c r="AC33" s="35"/>
      <c r="AD33" s="42" t="s">
        <v>587</v>
      </c>
      <c r="AE33" s="35" t="s">
        <v>472</v>
      </c>
      <c r="AF33" s="35" t="s">
        <v>470</v>
      </c>
      <c r="AG33" s="35"/>
      <c r="AH33" s="35" t="s">
        <v>473</v>
      </c>
      <c r="AI33" s="35" t="s">
        <v>473</v>
      </c>
      <c r="AJ33" s="42" t="s">
        <v>607</v>
      </c>
      <c r="AK33" s="35" t="s">
        <v>475</v>
      </c>
      <c r="AL33" s="42" t="s">
        <v>476</v>
      </c>
      <c r="AM33" s="61" t="s">
        <v>473</v>
      </c>
    </row>
    <row r="34" s="48" customFormat="1" ht="132" spans="1:39">
      <c r="A34" s="67"/>
      <c r="B34" s="67"/>
      <c r="C34" s="38"/>
      <c r="D34" s="38"/>
      <c r="E34" s="66"/>
      <c r="F34" s="73"/>
      <c r="G34" s="38"/>
      <c r="H34" s="66"/>
      <c r="I34" s="35" t="s">
        <v>614</v>
      </c>
      <c r="J34" s="42" t="s">
        <v>615</v>
      </c>
      <c r="K34" s="35"/>
      <c r="L34" s="35"/>
      <c r="M34" s="35" t="s">
        <v>36</v>
      </c>
      <c r="N34" s="35"/>
      <c r="O34" s="35"/>
      <c r="P34" s="35"/>
      <c r="Q34" s="35"/>
      <c r="R34" s="35" t="s">
        <v>36</v>
      </c>
      <c r="S34" s="35"/>
      <c r="T34" s="35" t="s">
        <v>516</v>
      </c>
      <c r="U34" s="42"/>
      <c r="V34" s="42" t="s">
        <v>616</v>
      </c>
      <c r="W34" s="72" t="s">
        <v>1055</v>
      </c>
      <c r="X34" s="35" t="s">
        <v>467</v>
      </c>
      <c r="Y34" s="35" t="s">
        <v>468</v>
      </c>
      <c r="Z34" s="35"/>
      <c r="AA34" s="35" t="s">
        <v>469</v>
      </c>
      <c r="AB34" s="35" t="s">
        <v>470</v>
      </c>
      <c r="AC34" s="35"/>
      <c r="AD34" s="42" t="s">
        <v>587</v>
      </c>
      <c r="AE34" s="35" t="s">
        <v>472</v>
      </c>
      <c r="AF34" s="35" t="s">
        <v>470</v>
      </c>
      <c r="AG34" s="35"/>
      <c r="AH34" s="35" t="s">
        <v>473</v>
      </c>
      <c r="AI34" s="35" t="s">
        <v>473</v>
      </c>
      <c r="AJ34" s="42" t="s">
        <v>618</v>
      </c>
      <c r="AK34" s="35" t="s">
        <v>475</v>
      </c>
      <c r="AL34" s="42" t="s">
        <v>476</v>
      </c>
      <c r="AM34" s="61" t="s">
        <v>473</v>
      </c>
    </row>
    <row r="35" s="48" customFormat="1" ht="184.8" spans="1:39">
      <c r="A35" s="56" t="s">
        <v>453</v>
      </c>
      <c r="B35" s="56" t="s">
        <v>454</v>
      </c>
      <c r="C35" s="57" t="s">
        <v>619</v>
      </c>
      <c r="D35" s="57" t="s">
        <v>620</v>
      </c>
      <c r="E35" s="58" t="s">
        <v>621</v>
      </c>
      <c r="F35" s="57"/>
      <c r="G35" s="57" t="s">
        <v>622</v>
      </c>
      <c r="H35" s="58" t="s">
        <v>623</v>
      </c>
      <c r="I35" s="35" t="s">
        <v>624</v>
      </c>
      <c r="J35" s="42" t="s">
        <v>625</v>
      </c>
      <c r="K35" s="35"/>
      <c r="L35" s="35" t="s">
        <v>36</v>
      </c>
      <c r="M35" s="35"/>
      <c r="N35" s="35"/>
      <c r="O35" s="35"/>
      <c r="P35" s="35"/>
      <c r="Q35" s="35"/>
      <c r="R35" s="35" t="s">
        <v>36</v>
      </c>
      <c r="S35" s="35"/>
      <c r="T35" s="35" t="s">
        <v>516</v>
      </c>
      <c r="U35" s="42"/>
      <c r="V35" s="42" t="s">
        <v>626</v>
      </c>
      <c r="W35" s="72" t="s">
        <v>1056</v>
      </c>
      <c r="X35" s="35" t="s">
        <v>628</v>
      </c>
      <c r="Y35" s="35" t="s">
        <v>470</v>
      </c>
      <c r="Z35" s="35"/>
      <c r="AA35" s="35" t="s">
        <v>469</v>
      </c>
      <c r="AB35" s="35" t="s">
        <v>470</v>
      </c>
      <c r="AC35" s="35"/>
      <c r="AD35" s="42" t="s">
        <v>629</v>
      </c>
      <c r="AE35" s="35" t="s">
        <v>469</v>
      </c>
      <c r="AF35" s="35" t="s">
        <v>470</v>
      </c>
      <c r="AG35" s="35"/>
      <c r="AH35" s="35" t="s">
        <v>473</v>
      </c>
      <c r="AI35" s="35" t="s">
        <v>473</v>
      </c>
      <c r="AJ35" s="42" t="s">
        <v>630</v>
      </c>
      <c r="AK35" s="35" t="s">
        <v>631</v>
      </c>
      <c r="AL35" s="42" t="s">
        <v>632</v>
      </c>
      <c r="AM35" s="61" t="s">
        <v>473</v>
      </c>
    </row>
    <row r="36" s="48" customFormat="1" ht="184.8" spans="1:39">
      <c r="A36" s="62"/>
      <c r="B36" s="62"/>
      <c r="C36" s="63"/>
      <c r="D36" s="63"/>
      <c r="E36" s="64"/>
      <c r="F36" s="63"/>
      <c r="G36" s="63"/>
      <c r="H36" s="64"/>
      <c r="I36" s="35" t="s">
        <v>633</v>
      </c>
      <c r="J36" s="42" t="s">
        <v>634</v>
      </c>
      <c r="K36" s="35"/>
      <c r="L36" s="35"/>
      <c r="M36" s="35"/>
      <c r="N36" s="35"/>
      <c r="O36" s="35"/>
      <c r="P36" s="35"/>
      <c r="Q36" s="35" t="s">
        <v>36</v>
      </c>
      <c r="R36" s="35"/>
      <c r="S36" s="35"/>
      <c r="T36" s="43" t="s">
        <v>463</v>
      </c>
      <c r="U36" s="35" t="s">
        <v>635</v>
      </c>
      <c r="V36" s="42" t="s">
        <v>626</v>
      </c>
      <c r="W36" s="72" t="s">
        <v>1057</v>
      </c>
      <c r="X36" s="35" t="s">
        <v>628</v>
      </c>
      <c r="Y36" s="35" t="s">
        <v>470</v>
      </c>
      <c r="Z36" s="35"/>
      <c r="AA36" s="35" t="s">
        <v>469</v>
      </c>
      <c r="AB36" s="35" t="s">
        <v>470</v>
      </c>
      <c r="AC36" s="35"/>
      <c r="AD36" s="42" t="s">
        <v>629</v>
      </c>
      <c r="AE36" s="35" t="s">
        <v>469</v>
      </c>
      <c r="AF36" s="35" t="s">
        <v>470</v>
      </c>
      <c r="AG36" s="35"/>
      <c r="AH36" s="35" t="s">
        <v>473</v>
      </c>
      <c r="AI36" s="35" t="s">
        <v>473</v>
      </c>
      <c r="AJ36" s="42" t="s">
        <v>636</v>
      </c>
      <c r="AK36" s="35" t="s">
        <v>631</v>
      </c>
      <c r="AL36" s="42" t="s">
        <v>632</v>
      </c>
      <c r="AM36" s="61" t="s">
        <v>473</v>
      </c>
    </row>
    <row r="37" s="48" customFormat="1" ht="132" spans="1:39">
      <c r="A37" s="62"/>
      <c r="B37" s="62"/>
      <c r="C37" s="63"/>
      <c r="D37" s="63"/>
      <c r="E37" s="64"/>
      <c r="F37" s="63"/>
      <c r="G37" s="63"/>
      <c r="H37" s="64"/>
      <c r="I37" s="35" t="s">
        <v>637</v>
      </c>
      <c r="J37" s="42" t="s">
        <v>638</v>
      </c>
      <c r="K37" s="35"/>
      <c r="L37" s="35"/>
      <c r="M37" s="35" t="s">
        <v>36</v>
      </c>
      <c r="N37" s="35"/>
      <c r="O37" s="35"/>
      <c r="P37" s="35"/>
      <c r="Q37" s="35" t="s">
        <v>36</v>
      </c>
      <c r="R37" s="35"/>
      <c r="S37" s="35"/>
      <c r="T37" s="43" t="s">
        <v>463</v>
      </c>
      <c r="U37" s="35" t="s">
        <v>635</v>
      </c>
      <c r="V37" s="42" t="s">
        <v>626</v>
      </c>
      <c r="W37" s="72" t="s">
        <v>1057</v>
      </c>
      <c r="X37" s="35" t="s">
        <v>628</v>
      </c>
      <c r="Y37" s="35" t="s">
        <v>470</v>
      </c>
      <c r="Z37" s="35"/>
      <c r="AA37" s="35" t="s">
        <v>469</v>
      </c>
      <c r="AB37" s="35" t="s">
        <v>470</v>
      </c>
      <c r="AC37" s="35"/>
      <c r="AD37" s="42" t="s">
        <v>629</v>
      </c>
      <c r="AE37" s="35" t="s">
        <v>469</v>
      </c>
      <c r="AF37" s="35" t="s">
        <v>470</v>
      </c>
      <c r="AG37" s="35"/>
      <c r="AH37" s="35" t="s">
        <v>473</v>
      </c>
      <c r="AI37" s="35" t="s">
        <v>473</v>
      </c>
      <c r="AJ37" s="42" t="s">
        <v>639</v>
      </c>
      <c r="AK37" s="35" t="s">
        <v>631</v>
      </c>
      <c r="AL37" s="42" t="s">
        <v>632</v>
      </c>
      <c r="AM37" s="61" t="s">
        <v>473</v>
      </c>
    </row>
    <row r="38" s="48" customFormat="1" ht="132" spans="1:39">
      <c r="A38" s="62"/>
      <c r="B38" s="67"/>
      <c r="C38" s="38"/>
      <c r="D38" s="38"/>
      <c r="E38" s="66"/>
      <c r="F38" s="38"/>
      <c r="G38" s="38"/>
      <c r="H38" s="66"/>
      <c r="I38" s="35" t="s">
        <v>640</v>
      </c>
      <c r="J38" s="42" t="s">
        <v>641</v>
      </c>
      <c r="K38" s="35"/>
      <c r="L38" s="35"/>
      <c r="M38" s="35"/>
      <c r="N38" s="35"/>
      <c r="O38" s="35"/>
      <c r="P38" s="35"/>
      <c r="Q38" s="35"/>
      <c r="R38" s="35" t="s">
        <v>36</v>
      </c>
      <c r="S38" s="35"/>
      <c r="T38" s="35" t="s">
        <v>516</v>
      </c>
      <c r="U38" s="42"/>
      <c r="V38" s="42" t="s">
        <v>642</v>
      </c>
      <c r="W38" s="72" t="s">
        <v>1058</v>
      </c>
      <c r="X38" s="35" t="s">
        <v>628</v>
      </c>
      <c r="Y38" s="35" t="s">
        <v>470</v>
      </c>
      <c r="Z38" s="35"/>
      <c r="AA38" s="35" t="s">
        <v>469</v>
      </c>
      <c r="AB38" s="35" t="s">
        <v>470</v>
      </c>
      <c r="AC38" s="35"/>
      <c r="AD38" s="42" t="s">
        <v>629</v>
      </c>
      <c r="AE38" s="35" t="s">
        <v>469</v>
      </c>
      <c r="AF38" s="35" t="s">
        <v>470</v>
      </c>
      <c r="AG38" s="35"/>
      <c r="AH38" s="35" t="s">
        <v>473</v>
      </c>
      <c r="AI38" s="35" t="s">
        <v>473</v>
      </c>
      <c r="AJ38" s="42" t="s">
        <v>639</v>
      </c>
      <c r="AK38" s="35" t="s">
        <v>631</v>
      </c>
      <c r="AL38" s="42" t="s">
        <v>632</v>
      </c>
      <c r="AM38" s="61" t="s">
        <v>473</v>
      </c>
    </row>
    <row r="39" s="48" customFormat="1" ht="92.4" spans="1:39">
      <c r="A39" s="62"/>
      <c r="B39" s="62" t="s">
        <v>644</v>
      </c>
      <c r="C39" s="63" t="s">
        <v>498</v>
      </c>
      <c r="D39" s="63" t="s">
        <v>645</v>
      </c>
      <c r="E39" s="64" t="s">
        <v>646</v>
      </c>
      <c r="F39" s="57"/>
      <c r="G39" s="63" t="s">
        <v>647</v>
      </c>
      <c r="H39" s="64" t="s">
        <v>648</v>
      </c>
      <c r="I39" s="38" t="s">
        <v>649</v>
      </c>
      <c r="J39" s="42" t="s">
        <v>650</v>
      </c>
      <c r="K39" s="35"/>
      <c r="L39" s="35" t="s">
        <v>36</v>
      </c>
      <c r="M39" s="35" t="s">
        <v>36</v>
      </c>
      <c r="N39" s="35"/>
      <c r="O39" s="35"/>
      <c r="P39" s="35"/>
      <c r="Q39" s="35"/>
      <c r="R39" s="35"/>
      <c r="S39" s="35"/>
      <c r="T39" s="43" t="s">
        <v>463</v>
      </c>
      <c r="U39" s="35" t="s">
        <v>635</v>
      </c>
      <c r="V39" s="42" t="s">
        <v>651</v>
      </c>
      <c r="W39" s="42" t="s">
        <v>1059</v>
      </c>
      <c r="X39" s="35" t="s">
        <v>628</v>
      </c>
      <c r="Y39" s="35" t="s">
        <v>470</v>
      </c>
      <c r="Z39" s="35"/>
      <c r="AA39" s="35" t="s">
        <v>469</v>
      </c>
      <c r="AB39" s="35" t="s">
        <v>470</v>
      </c>
      <c r="AC39" s="35"/>
      <c r="AD39" s="42" t="s">
        <v>652</v>
      </c>
      <c r="AE39" s="35" t="s">
        <v>469</v>
      </c>
      <c r="AF39" s="35" t="s">
        <v>470</v>
      </c>
      <c r="AG39" s="35"/>
      <c r="AH39" s="35" t="s">
        <v>473</v>
      </c>
      <c r="AI39" s="35" t="s">
        <v>473</v>
      </c>
      <c r="AJ39" s="42" t="s">
        <v>653</v>
      </c>
      <c r="AK39" s="35" t="s">
        <v>631</v>
      </c>
      <c r="AL39" s="42" t="s">
        <v>632</v>
      </c>
      <c r="AM39" s="61" t="s">
        <v>473</v>
      </c>
    </row>
    <row r="40" s="48" customFormat="1" ht="92.4" spans="1:39">
      <c r="A40" s="67"/>
      <c r="B40" s="67"/>
      <c r="C40" s="38"/>
      <c r="D40" s="38"/>
      <c r="E40" s="66"/>
      <c r="F40" s="38"/>
      <c r="G40" s="38"/>
      <c r="H40" s="66"/>
      <c r="I40" s="35" t="s">
        <v>654</v>
      </c>
      <c r="J40" s="42" t="s">
        <v>655</v>
      </c>
      <c r="K40" s="35"/>
      <c r="L40" s="35"/>
      <c r="M40" s="35" t="s">
        <v>36</v>
      </c>
      <c r="N40" s="35"/>
      <c r="O40" s="35"/>
      <c r="P40" s="35"/>
      <c r="Q40" s="35"/>
      <c r="R40" s="35" t="s">
        <v>36</v>
      </c>
      <c r="S40" s="35"/>
      <c r="T40" s="43" t="s">
        <v>463</v>
      </c>
      <c r="U40" s="35" t="s">
        <v>635</v>
      </c>
      <c r="V40" s="42" t="s">
        <v>651</v>
      </c>
      <c r="W40" s="42" t="s">
        <v>1060</v>
      </c>
      <c r="X40" s="35" t="s">
        <v>628</v>
      </c>
      <c r="Y40" s="35" t="s">
        <v>470</v>
      </c>
      <c r="Z40" s="35"/>
      <c r="AA40" s="35" t="s">
        <v>469</v>
      </c>
      <c r="AB40" s="35" t="s">
        <v>470</v>
      </c>
      <c r="AC40" s="35"/>
      <c r="AD40" s="42" t="s">
        <v>652</v>
      </c>
      <c r="AE40" s="35" t="s">
        <v>469</v>
      </c>
      <c r="AF40" s="35" t="s">
        <v>470</v>
      </c>
      <c r="AG40" s="35"/>
      <c r="AH40" s="35" t="s">
        <v>473</v>
      </c>
      <c r="AI40" s="35" t="s">
        <v>473</v>
      </c>
      <c r="AJ40" s="42" t="s">
        <v>653</v>
      </c>
      <c r="AK40" s="35" t="s">
        <v>657</v>
      </c>
      <c r="AL40" s="42" t="s">
        <v>658</v>
      </c>
      <c r="AM40" s="61" t="s">
        <v>473</v>
      </c>
    </row>
    <row r="41" s="48" customFormat="1" ht="145.2" spans="1:39">
      <c r="A41" s="56" t="s">
        <v>453</v>
      </c>
      <c r="B41" s="56" t="s">
        <v>644</v>
      </c>
      <c r="C41" s="57" t="s">
        <v>498</v>
      </c>
      <c r="D41" s="57" t="s">
        <v>645</v>
      </c>
      <c r="E41" s="58" t="s">
        <v>646</v>
      </c>
      <c r="F41" s="35"/>
      <c r="G41" s="57" t="s">
        <v>647</v>
      </c>
      <c r="H41" s="58" t="s">
        <v>648</v>
      </c>
      <c r="I41" s="35" t="s">
        <v>659</v>
      </c>
      <c r="J41" s="74" t="s">
        <v>997</v>
      </c>
      <c r="K41" s="35"/>
      <c r="L41" s="35"/>
      <c r="M41" s="35"/>
      <c r="N41" s="35"/>
      <c r="O41" s="35" t="s">
        <v>36</v>
      </c>
      <c r="P41" s="35"/>
      <c r="Q41" s="35"/>
      <c r="R41" s="35"/>
      <c r="S41" s="35"/>
      <c r="T41" s="43" t="s">
        <v>463</v>
      </c>
      <c r="U41" s="35" t="s">
        <v>635</v>
      </c>
      <c r="V41" s="42" t="s">
        <v>651</v>
      </c>
      <c r="W41" s="42" t="s">
        <v>1061</v>
      </c>
      <c r="X41" s="35" t="s">
        <v>628</v>
      </c>
      <c r="Y41" s="35" t="s">
        <v>470</v>
      </c>
      <c r="Z41" s="35"/>
      <c r="AA41" s="35" t="s">
        <v>469</v>
      </c>
      <c r="AB41" s="35" t="s">
        <v>470</v>
      </c>
      <c r="AC41" s="35"/>
      <c r="AD41" s="42" t="s">
        <v>652</v>
      </c>
      <c r="AE41" s="35" t="s">
        <v>469</v>
      </c>
      <c r="AF41" s="35" t="s">
        <v>470</v>
      </c>
      <c r="AG41" s="35"/>
      <c r="AH41" s="35" t="s">
        <v>473</v>
      </c>
      <c r="AI41" s="35" t="s">
        <v>473</v>
      </c>
      <c r="AJ41" s="42" t="s">
        <v>653</v>
      </c>
      <c r="AK41" s="35" t="s">
        <v>631</v>
      </c>
      <c r="AL41" s="35" t="s">
        <v>658</v>
      </c>
      <c r="AM41" s="61" t="s">
        <v>473</v>
      </c>
    </row>
    <row r="42" s="48" customFormat="1" ht="92.4" spans="1:39">
      <c r="A42" s="62"/>
      <c r="B42" s="62"/>
      <c r="C42" s="63"/>
      <c r="D42" s="63"/>
      <c r="E42" s="64"/>
      <c r="F42" s="35"/>
      <c r="G42" s="63"/>
      <c r="H42" s="64"/>
      <c r="I42" s="35" t="s">
        <v>663</v>
      </c>
      <c r="J42" s="42" t="s">
        <v>664</v>
      </c>
      <c r="K42" s="35"/>
      <c r="L42" s="35"/>
      <c r="M42" s="35"/>
      <c r="N42" s="35"/>
      <c r="O42" s="35"/>
      <c r="P42" s="35"/>
      <c r="Q42" s="35" t="s">
        <v>36</v>
      </c>
      <c r="R42" s="35" t="s">
        <v>36</v>
      </c>
      <c r="S42" s="35"/>
      <c r="T42" s="35" t="s">
        <v>516</v>
      </c>
      <c r="U42" s="42"/>
      <c r="V42" s="42" t="s">
        <v>651</v>
      </c>
      <c r="W42" s="72" t="s">
        <v>1057</v>
      </c>
      <c r="X42" s="35" t="s">
        <v>628</v>
      </c>
      <c r="Y42" s="35" t="s">
        <v>470</v>
      </c>
      <c r="Z42" s="35"/>
      <c r="AA42" s="35" t="s">
        <v>469</v>
      </c>
      <c r="AB42" s="35" t="s">
        <v>470</v>
      </c>
      <c r="AC42" s="35"/>
      <c r="AD42" s="42" t="s">
        <v>652</v>
      </c>
      <c r="AE42" s="35" t="s">
        <v>469</v>
      </c>
      <c r="AF42" s="35" t="s">
        <v>470</v>
      </c>
      <c r="AG42" s="35"/>
      <c r="AH42" s="35" t="s">
        <v>473</v>
      </c>
      <c r="AI42" s="35" t="s">
        <v>473</v>
      </c>
      <c r="AJ42" s="42" t="s">
        <v>653</v>
      </c>
      <c r="AK42" s="35" t="s">
        <v>631</v>
      </c>
      <c r="AL42" s="35" t="s">
        <v>658</v>
      </c>
      <c r="AM42" s="61" t="s">
        <v>473</v>
      </c>
    </row>
    <row r="43" s="48" customFormat="1" ht="92.4" spans="1:39">
      <c r="A43" s="62"/>
      <c r="B43" s="62"/>
      <c r="C43" s="63"/>
      <c r="D43" s="38"/>
      <c r="E43" s="66"/>
      <c r="F43" s="35"/>
      <c r="G43" s="38"/>
      <c r="H43" s="66"/>
      <c r="I43" s="35" t="s">
        <v>665</v>
      </c>
      <c r="J43" s="42" t="s">
        <v>666</v>
      </c>
      <c r="K43" s="35"/>
      <c r="L43" s="35"/>
      <c r="M43" s="35" t="s">
        <v>36</v>
      </c>
      <c r="N43" s="35"/>
      <c r="O43" s="35"/>
      <c r="P43" s="35"/>
      <c r="Q43" s="35" t="s">
        <v>36</v>
      </c>
      <c r="R43" s="35"/>
      <c r="S43" s="35"/>
      <c r="T43" s="35" t="s">
        <v>516</v>
      </c>
      <c r="U43" s="42"/>
      <c r="V43" s="42" t="s">
        <v>651</v>
      </c>
      <c r="W43" s="72" t="s">
        <v>1057</v>
      </c>
      <c r="X43" s="35" t="s">
        <v>628</v>
      </c>
      <c r="Y43" s="35" t="s">
        <v>470</v>
      </c>
      <c r="Z43" s="35"/>
      <c r="AA43" s="35" t="s">
        <v>469</v>
      </c>
      <c r="AB43" s="35" t="s">
        <v>470</v>
      </c>
      <c r="AC43" s="35"/>
      <c r="AD43" s="42" t="s">
        <v>652</v>
      </c>
      <c r="AE43" s="35" t="s">
        <v>469</v>
      </c>
      <c r="AF43" s="35" t="s">
        <v>470</v>
      </c>
      <c r="AG43" s="35"/>
      <c r="AH43" s="35" t="s">
        <v>473</v>
      </c>
      <c r="AI43" s="35" t="s">
        <v>473</v>
      </c>
      <c r="AJ43" s="42" t="s">
        <v>653</v>
      </c>
      <c r="AK43" s="35" t="s">
        <v>631</v>
      </c>
      <c r="AL43" s="35" t="s">
        <v>658</v>
      </c>
      <c r="AM43" s="61" t="s">
        <v>473</v>
      </c>
    </row>
    <row r="44" s="48" customFormat="1" ht="316.8" spans="1:39">
      <c r="A44" s="67"/>
      <c r="B44" s="67"/>
      <c r="C44" s="38"/>
      <c r="D44" s="38" t="s">
        <v>668</v>
      </c>
      <c r="E44" s="66" t="s">
        <v>669</v>
      </c>
      <c r="F44" s="75"/>
      <c r="G44" s="38" t="s">
        <v>670</v>
      </c>
      <c r="H44" s="66" t="s">
        <v>671</v>
      </c>
      <c r="I44" s="38" t="s">
        <v>672</v>
      </c>
      <c r="J44" s="42" t="s">
        <v>673</v>
      </c>
      <c r="K44" s="35"/>
      <c r="L44" s="35"/>
      <c r="M44" s="35" t="s">
        <v>36</v>
      </c>
      <c r="N44" s="35"/>
      <c r="O44" s="35"/>
      <c r="P44" s="35"/>
      <c r="Q44" s="35"/>
      <c r="R44" s="35"/>
      <c r="S44" s="35"/>
      <c r="T44" s="35" t="s">
        <v>516</v>
      </c>
      <c r="U44" s="42"/>
      <c r="V44" s="42" t="s">
        <v>674</v>
      </c>
      <c r="W44" s="72" t="s">
        <v>1062</v>
      </c>
      <c r="X44" s="35" t="s">
        <v>628</v>
      </c>
      <c r="Y44" s="35" t="s">
        <v>470</v>
      </c>
      <c r="Z44" s="35"/>
      <c r="AA44" s="35" t="s">
        <v>469</v>
      </c>
      <c r="AB44" s="35" t="s">
        <v>470</v>
      </c>
      <c r="AC44" s="35"/>
      <c r="AD44" s="42" t="s">
        <v>676</v>
      </c>
      <c r="AE44" s="35" t="s">
        <v>469</v>
      </c>
      <c r="AF44" s="35" t="s">
        <v>470</v>
      </c>
      <c r="AG44" s="35"/>
      <c r="AH44" s="35" t="s">
        <v>473</v>
      </c>
      <c r="AI44" s="35" t="s">
        <v>473</v>
      </c>
      <c r="AJ44" s="42" t="s">
        <v>677</v>
      </c>
      <c r="AK44" s="35" t="s">
        <v>678</v>
      </c>
      <c r="AL44" s="42" t="s">
        <v>679</v>
      </c>
      <c r="AM44" s="61" t="s">
        <v>473</v>
      </c>
    </row>
    <row r="45" s="48" customFormat="1" ht="198" spans="1:39">
      <c r="A45" s="56" t="s">
        <v>453</v>
      </c>
      <c r="B45" s="56" t="s">
        <v>644</v>
      </c>
      <c r="C45" s="57" t="s">
        <v>498</v>
      </c>
      <c r="D45" s="57" t="s">
        <v>668</v>
      </c>
      <c r="E45" s="58" t="s">
        <v>669</v>
      </c>
      <c r="F45" s="58"/>
      <c r="G45" s="57" t="s">
        <v>670</v>
      </c>
      <c r="H45" s="58" t="s">
        <v>671</v>
      </c>
      <c r="I45" s="35" t="s">
        <v>680</v>
      </c>
      <c r="J45" s="42" t="s">
        <v>681</v>
      </c>
      <c r="K45" s="35"/>
      <c r="L45" s="35" t="s">
        <v>36</v>
      </c>
      <c r="M45" s="35"/>
      <c r="N45" s="35"/>
      <c r="O45" s="35"/>
      <c r="P45" s="35"/>
      <c r="Q45" s="35"/>
      <c r="R45" s="35"/>
      <c r="S45" s="35"/>
      <c r="T45" s="35" t="s">
        <v>516</v>
      </c>
      <c r="U45" s="42"/>
      <c r="V45" s="42" t="s">
        <v>674</v>
      </c>
      <c r="W45" s="72" t="s">
        <v>1062</v>
      </c>
      <c r="X45" s="35" t="s">
        <v>628</v>
      </c>
      <c r="Y45" s="35" t="s">
        <v>470</v>
      </c>
      <c r="Z45" s="35"/>
      <c r="AA45" s="35" t="s">
        <v>469</v>
      </c>
      <c r="AB45" s="35" t="s">
        <v>470</v>
      </c>
      <c r="AC45" s="35"/>
      <c r="AD45" s="42" t="s">
        <v>676</v>
      </c>
      <c r="AE45" s="35" t="s">
        <v>469</v>
      </c>
      <c r="AF45" s="35" t="s">
        <v>470</v>
      </c>
      <c r="AG45" s="35"/>
      <c r="AH45" s="35" t="s">
        <v>473</v>
      </c>
      <c r="AI45" s="35" t="s">
        <v>473</v>
      </c>
      <c r="AJ45" s="42" t="s">
        <v>682</v>
      </c>
      <c r="AK45" s="35" t="s">
        <v>678</v>
      </c>
      <c r="AL45" s="42" t="s">
        <v>679</v>
      </c>
      <c r="AM45" s="61" t="s">
        <v>473</v>
      </c>
    </row>
    <row r="46" s="48" customFormat="1" ht="198" spans="1:39">
      <c r="A46" s="62"/>
      <c r="B46" s="62"/>
      <c r="C46" s="38"/>
      <c r="D46" s="38"/>
      <c r="E46" s="66"/>
      <c r="F46" s="66"/>
      <c r="G46" s="38"/>
      <c r="H46" s="66"/>
      <c r="I46" s="35" t="s">
        <v>683</v>
      </c>
      <c r="J46" s="42" t="s">
        <v>684</v>
      </c>
      <c r="K46" s="35"/>
      <c r="L46" s="35"/>
      <c r="M46" s="35"/>
      <c r="N46" s="35"/>
      <c r="O46" s="35"/>
      <c r="P46" s="35"/>
      <c r="Q46" s="35" t="s">
        <v>36</v>
      </c>
      <c r="R46" s="35" t="s">
        <v>36</v>
      </c>
      <c r="S46" s="35"/>
      <c r="T46" s="35" t="s">
        <v>516</v>
      </c>
      <c r="U46" s="42"/>
      <c r="V46" s="42" t="s">
        <v>674</v>
      </c>
      <c r="W46" s="72" t="s">
        <v>1063</v>
      </c>
      <c r="X46" s="35" t="s">
        <v>628</v>
      </c>
      <c r="Y46" s="35" t="s">
        <v>470</v>
      </c>
      <c r="Z46" s="35"/>
      <c r="AA46" s="35" t="s">
        <v>469</v>
      </c>
      <c r="AB46" s="35" t="s">
        <v>470</v>
      </c>
      <c r="AC46" s="35"/>
      <c r="AD46" s="42" t="s">
        <v>676</v>
      </c>
      <c r="AE46" s="35" t="s">
        <v>469</v>
      </c>
      <c r="AF46" s="35" t="s">
        <v>470</v>
      </c>
      <c r="AG46" s="35"/>
      <c r="AH46" s="35" t="s">
        <v>473</v>
      </c>
      <c r="AI46" s="35" t="s">
        <v>473</v>
      </c>
      <c r="AJ46" s="42" t="s">
        <v>682</v>
      </c>
      <c r="AK46" s="35" t="s">
        <v>678</v>
      </c>
      <c r="AL46" s="42" t="s">
        <v>679</v>
      </c>
      <c r="AM46" s="61" t="s">
        <v>473</v>
      </c>
    </row>
    <row r="47" s="48" customFormat="1" ht="132" spans="1:39">
      <c r="A47" s="62"/>
      <c r="B47" s="62"/>
      <c r="C47" s="57" t="s">
        <v>455</v>
      </c>
      <c r="D47" s="57" t="s">
        <v>686</v>
      </c>
      <c r="E47" s="58" t="s">
        <v>687</v>
      </c>
      <c r="F47" s="59" t="s">
        <v>688</v>
      </c>
      <c r="G47" s="57" t="s">
        <v>689</v>
      </c>
      <c r="H47" s="58" t="s">
        <v>690</v>
      </c>
      <c r="I47" s="35" t="s">
        <v>691</v>
      </c>
      <c r="J47" s="42" t="s">
        <v>692</v>
      </c>
      <c r="K47" s="35"/>
      <c r="L47" s="35"/>
      <c r="M47" s="35" t="s">
        <v>36</v>
      </c>
      <c r="N47" s="35"/>
      <c r="O47" s="35"/>
      <c r="P47" s="35"/>
      <c r="Q47" s="35"/>
      <c r="R47" s="35"/>
      <c r="S47" s="35"/>
      <c r="T47" s="35" t="s">
        <v>497</v>
      </c>
      <c r="U47" s="35" t="s">
        <v>693</v>
      </c>
      <c r="V47" s="42" t="s">
        <v>694</v>
      </c>
      <c r="W47" s="42" t="s">
        <v>695</v>
      </c>
      <c r="X47" s="35" t="s">
        <v>628</v>
      </c>
      <c r="Y47" s="35" t="s">
        <v>470</v>
      </c>
      <c r="Z47" s="35"/>
      <c r="AA47" s="35" t="s">
        <v>469</v>
      </c>
      <c r="AB47" s="35" t="s">
        <v>470</v>
      </c>
      <c r="AC47" s="35"/>
      <c r="AD47" s="42" t="s">
        <v>696</v>
      </c>
      <c r="AE47" s="35" t="s">
        <v>469</v>
      </c>
      <c r="AF47" s="35" t="s">
        <v>470</v>
      </c>
      <c r="AG47" s="35"/>
      <c r="AH47" s="35" t="s">
        <v>473</v>
      </c>
      <c r="AI47" s="35" t="s">
        <v>473</v>
      </c>
      <c r="AJ47" s="42" t="s">
        <v>697</v>
      </c>
      <c r="AK47" s="35" t="s">
        <v>698</v>
      </c>
      <c r="AL47" s="42" t="s">
        <v>699</v>
      </c>
      <c r="AM47" s="61" t="s">
        <v>473</v>
      </c>
    </row>
    <row r="48" s="48" customFormat="1" ht="132" spans="1:39">
      <c r="A48" s="67"/>
      <c r="B48" s="67"/>
      <c r="C48" s="38"/>
      <c r="D48" s="38"/>
      <c r="E48" s="66"/>
      <c r="F48" s="70"/>
      <c r="G48" s="38"/>
      <c r="H48" s="66"/>
      <c r="I48" s="35" t="s">
        <v>700</v>
      </c>
      <c r="J48" s="42" t="s">
        <v>701</v>
      </c>
      <c r="K48" s="35"/>
      <c r="L48" s="35"/>
      <c r="M48" s="35"/>
      <c r="N48" s="35" t="s">
        <v>36</v>
      </c>
      <c r="O48" s="35" t="s">
        <v>36</v>
      </c>
      <c r="P48" s="35"/>
      <c r="Q48" s="35"/>
      <c r="R48" s="35"/>
      <c r="S48" s="35"/>
      <c r="T48" s="35" t="s">
        <v>497</v>
      </c>
      <c r="U48" s="35" t="s">
        <v>635</v>
      </c>
      <c r="V48" s="42" t="s">
        <v>694</v>
      </c>
      <c r="W48" s="42" t="s">
        <v>695</v>
      </c>
      <c r="X48" s="35" t="s">
        <v>628</v>
      </c>
      <c r="Y48" s="35" t="s">
        <v>470</v>
      </c>
      <c r="Z48" s="35"/>
      <c r="AA48" s="35" t="s">
        <v>469</v>
      </c>
      <c r="AB48" s="35" t="s">
        <v>470</v>
      </c>
      <c r="AC48" s="35"/>
      <c r="AD48" s="42" t="s">
        <v>696</v>
      </c>
      <c r="AE48" s="35" t="s">
        <v>469</v>
      </c>
      <c r="AF48" s="35" t="s">
        <v>470</v>
      </c>
      <c r="AG48" s="35"/>
      <c r="AH48" s="35" t="s">
        <v>473</v>
      </c>
      <c r="AI48" s="35" t="s">
        <v>473</v>
      </c>
      <c r="AJ48" s="42" t="s">
        <v>697</v>
      </c>
      <c r="AK48" s="35" t="s">
        <v>698</v>
      </c>
      <c r="AL48" s="42" t="s">
        <v>699</v>
      </c>
      <c r="AM48" s="61" t="s">
        <v>473</v>
      </c>
    </row>
    <row r="49" s="48" customFormat="1" ht="211.2" spans="1:39">
      <c r="A49" s="56" t="s">
        <v>453</v>
      </c>
      <c r="B49" s="56" t="s">
        <v>644</v>
      </c>
      <c r="C49" s="35" t="s">
        <v>455</v>
      </c>
      <c r="D49" s="35" t="s">
        <v>686</v>
      </c>
      <c r="E49" s="42" t="s">
        <v>687</v>
      </c>
      <c r="F49" s="73" t="s">
        <v>688</v>
      </c>
      <c r="G49" s="35"/>
      <c r="H49" s="42"/>
      <c r="I49" s="35" t="s">
        <v>702</v>
      </c>
      <c r="J49" s="66" t="s">
        <v>703</v>
      </c>
      <c r="K49" s="35"/>
      <c r="L49" s="35"/>
      <c r="M49" s="35" t="s">
        <v>36</v>
      </c>
      <c r="N49" s="35"/>
      <c r="O49" s="35"/>
      <c r="P49" s="35"/>
      <c r="Q49" s="35"/>
      <c r="R49" s="35" t="s">
        <v>36</v>
      </c>
      <c r="S49" s="35"/>
      <c r="T49" s="35" t="s">
        <v>516</v>
      </c>
      <c r="U49" s="42"/>
      <c r="V49" s="42" t="s">
        <v>694</v>
      </c>
      <c r="W49" s="42" t="s">
        <v>1064</v>
      </c>
      <c r="X49" s="35" t="s">
        <v>628</v>
      </c>
      <c r="Y49" s="35" t="s">
        <v>470</v>
      </c>
      <c r="Z49" s="35"/>
      <c r="AA49" s="35" t="s">
        <v>469</v>
      </c>
      <c r="AB49" s="35" t="s">
        <v>470</v>
      </c>
      <c r="AC49" s="35"/>
      <c r="AD49" s="42" t="s">
        <v>696</v>
      </c>
      <c r="AE49" s="35" t="s">
        <v>469</v>
      </c>
      <c r="AF49" s="35" t="s">
        <v>470</v>
      </c>
      <c r="AG49" s="35"/>
      <c r="AH49" s="35" t="s">
        <v>473</v>
      </c>
      <c r="AI49" s="35" t="s">
        <v>473</v>
      </c>
      <c r="AJ49" s="42" t="s">
        <v>697</v>
      </c>
      <c r="AK49" s="35" t="s">
        <v>698</v>
      </c>
      <c r="AL49" s="42" t="s">
        <v>699</v>
      </c>
      <c r="AM49" s="61" t="s">
        <v>473</v>
      </c>
    </row>
    <row r="50" s="48" customFormat="1" ht="158.4" spans="1:39">
      <c r="A50" s="62"/>
      <c r="B50" s="62"/>
      <c r="C50" s="57" t="s">
        <v>498</v>
      </c>
      <c r="D50" s="57" t="s">
        <v>705</v>
      </c>
      <c r="E50" s="58" t="s">
        <v>706</v>
      </c>
      <c r="F50" s="58"/>
      <c r="G50" s="57" t="s">
        <v>707</v>
      </c>
      <c r="H50" s="58" t="s">
        <v>708</v>
      </c>
      <c r="I50" s="35" t="s">
        <v>709</v>
      </c>
      <c r="J50" s="42" t="s">
        <v>710</v>
      </c>
      <c r="K50" s="35"/>
      <c r="L50" s="35"/>
      <c r="M50" s="35"/>
      <c r="N50" s="35" t="s">
        <v>36</v>
      </c>
      <c r="O50" s="35"/>
      <c r="P50" s="35"/>
      <c r="Q50" s="35"/>
      <c r="R50" s="35" t="s">
        <v>36</v>
      </c>
      <c r="S50" s="35"/>
      <c r="T50" s="35" t="s">
        <v>516</v>
      </c>
      <c r="U50" s="42"/>
      <c r="V50" s="42" t="s">
        <v>711</v>
      </c>
      <c r="W50" s="72" t="s">
        <v>1065</v>
      </c>
      <c r="X50" s="35" t="s">
        <v>628</v>
      </c>
      <c r="Y50" s="35" t="s">
        <v>470</v>
      </c>
      <c r="Z50" s="35"/>
      <c r="AA50" s="35" t="s">
        <v>469</v>
      </c>
      <c r="AB50" s="35" t="s">
        <v>470</v>
      </c>
      <c r="AC50" s="35"/>
      <c r="AD50" s="42" t="s">
        <v>713</v>
      </c>
      <c r="AE50" s="35" t="s">
        <v>469</v>
      </c>
      <c r="AF50" s="35" t="s">
        <v>470</v>
      </c>
      <c r="AG50" s="35"/>
      <c r="AH50" s="35" t="s">
        <v>473</v>
      </c>
      <c r="AI50" s="35" t="s">
        <v>473</v>
      </c>
      <c r="AJ50" s="42" t="s">
        <v>714</v>
      </c>
      <c r="AK50" s="35" t="s">
        <v>715</v>
      </c>
      <c r="AL50" s="42"/>
      <c r="AM50" s="61" t="s">
        <v>473</v>
      </c>
    </row>
    <row r="51" s="48" customFormat="1" ht="158.4" spans="1:39">
      <c r="A51" s="62"/>
      <c r="B51" s="62"/>
      <c r="C51" s="63"/>
      <c r="D51" s="63"/>
      <c r="E51" s="64"/>
      <c r="F51" s="64"/>
      <c r="G51" s="63"/>
      <c r="H51" s="64"/>
      <c r="I51" s="35" t="s">
        <v>716</v>
      </c>
      <c r="J51" s="42" t="s">
        <v>717</v>
      </c>
      <c r="K51" s="35"/>
      <c r="L51" s="35" t="s">
        <v>36</v>
      </c>
      <c r="M51" s="35" t="s">
        <v>36</v>
      </c>
      <c r="N51" s="35"/>
      <c r="O51" s="35" t="s">
        <v>36</v>
      </c>
      <c r="P51" s="35"/>
      <c r="Q51" s="35"/>
      <c r="R51" s="35"/>
      <c r="S51" s="35"/>
      <c r="T51" s="35" t="s">
        <v>516</v>
      </c>
      <c r="U51" s="42"/>
      <c r="V51" s="42" t="s">
        <v>711</v>
      </c>
      <c r="W51" s="72" t="s">
        <v>1066</v>
      </c>
      <c r="X51" s="35" t="s">
        <v>628</v>
      </c>
      <c r="Y51" s="35" t="s">
        <v>470</v>
      </c>
      <c r="Z51" s="35"/>
      <c r="AA51" s="35" t="s">
        <v>469</v>
      </c>
      <c r="AB51" s="35" t="s">
        <v>470</v>
      </c>
      <c r="AC51" s="35"/>
      <c r="AD51" s="42" t="s">
        <v>713</v>
      </c>
      <c r="AE51" s="35" t="s">
        <v>469</v>
      </c>
      <c r="AF51" s="35" t="s">
        <v>470</v>
      </c>
      <c r="AG51" s="35"/>
      <c r="AH51" s="35" t="s">
        <v>473</v>
      </c>
      <c r="AI51" s="35" t="s">
        <v>473</v>
      </c>
      <c r="AJ51" s="42" t="s">
        <v>714</v>
      </c>
      <c r="AK51" s="35" t="s">
        <v>715</v>
      </c>
      <c r="AL51" s="42"/>
      <c r="AM51" s="61" t="s">
        <v>473</v>
      </c>
    </row>
    <row r="52" s="48" customFormat="1" ht="158.4" spans="1:39">
      <c r="A52" s="67"/>
      <c r="B52" s="67"/>
      <c r="C52" s="38"/>
      <c r="D52" s="38"/>
      <c r="E52" s="66"/>
      <c r="F52" s="66"/>
      <c r="G52" s="38"/>
      <c r="H52" s="66"/>
      <c r="I52" s="35" t="s">
        <v>719</v>
      </c>
      <c r="J52" s="42" t="s">
        <v>720</v>
      </c>
      <c r="K52" s="35"/>
      <c r="L52" s="35"/>
      <c r="M52" s="35"/>
      <c r="N52" s="35"/>
      <c r="O52" s="35"/>
      <c r="P52" s="35"/>
      <c r="Q52" s="35" t="s">
        <v>36</v>
      </c>
      <c r="R52" s="35" t="s">
        <v>36</v>
      </c>
      <c r="S52" s="35"/>
      <c r="T52" s="35" t="s">
        <v>516</v>
      </c>
      <c r="U52" s="42"/>
      <c r="V52" s="42" t="s">
        <v>711</v>
      </c>
      <c r="W52" s="72" t="s">
        <v>1067</v>
      </c>
      <c r="X52" s="35" t="s">
        <v>628</v>
      </c>
      <c r="Y52" s="35" t="s">
        <v>470</v>
      </c>
      <c r="Z52" s="35"/>
      <c r="AA52" s="35" t="s">
        <v>469</v>
      </c>
      <c r="AB52" s="35" t="s">
        <v>470</v>
      </c>
      <c r="AC52" s="35"/>
      <c r="AD52" s="42" t="s">
        <v>713</v>
      </c>
      <c r="AE52" s="35" t="s">
        <v>469</v>
      </c>
      <c r="AF52" s="35" t="s">
        <v>470</v>
      </c>
      <c r="AG52" s="35"/>
      <c r="AH52" s="35" t="s">
        <v>473</v>
      </c>
      <c r="AI52" s="35" t="s">
        <v>473</v>
      </c>
      <c r="AJ52" s="42" t="s">
        <v>714</v>
      </c>
      <c r="AK52" s="35" t="s">
        <v>715</v>
      </c>
      <c r="AL52" s="42"/>
      <c r="AM52" s="61" t="s">
        <v>473</v>
      </c>
    </row>
    <row r="53" s="48" customFormat="1" ht="290.4" spans="1:39">
      <c r="A53" s="56" t="s">
        <v>453</v>
      </c>
      <c r="B53" s="56" t="s">
        <v>644</v>
      </c>
      <c r="C53" s="57" t="s">
        <v>455</v>
      </c>
      <c r="D53" s="57" t="s">
        <v>721</v>
      </c>
      <c r="E53" s="58" t="s">
        <v>722</v>
      </c>
      <c r="F53" s="58"/>
      <c r="G53" s="57" t="s">
        <v>723</v>
      </c>
      <c r="H53" s="58" t="s">
        <v>724</v>
      </c>
      <c r="I53" s="35" t="s">
        <v>725</v>
      </c>
      <c r="J53" s="42" t="s">
        <v>726</v>
      </c>
      <c r="K53" s="35"/>
      <c r="L53" s="35" t="s">
        <v>36</v>
      </c>
      <c r="M53" s="35" t="s">
        <v>36</v>
      </c>
      <c r="N53" s="35"/>
      <c r="O53" s="35"/>
      <c r="P53" s="35"/>
      <c r="Q53" s="35"/>
      <c r="R53" s="35"/>
      <c r="S53" s="35"/>
      <c r="T53" s="35" t="s">
        <v>516</v>
      </c>
      <c r="U53" s="42"/>
      <c r="V53" s="42" t="s">
        <v>727</v>
      </c>
      <c r="W53" s="42" t="s">
        <v>1068</v>
      </c>
      <c r="X53" s="35" t="s">
        <v>628</v>
      </c>
      <c r="Y53" s="35" t="s">
        <v>470</v>
      </c>
      <c r="Z53" s="35"/>
      <c r="AA53" s="35" t="s">
        <v>469</v>
      </c>
      <c r="AB53" s="35" t="s">
        <v>470</v>
      </c>
      <c r="AC53" s="35"/>
      <c r="AD53" s="42" t="s">
        <v>729</v>
      </c>
      <c r="AE53" s="35" t="s">
        <v>469</v>
      </c>
      <c r="AF53" s="35" t="s">
        <v>470</v>
      </c>
      <c r="AG53" s="35"/>
      <c r="AH53" s="35" t="s">
        <v>473</v>
      </c>
      <c r="AI53" s="35" t="s">
        <v>473</v>
      </c>
      <c r="AJ53" s="42" t="s">
        <v>730</v>
      </c>
      <c r="AK53" s="35" t="s">
        <v>678</v>
      </c>
      <c r="AL53" s="42" t="s">
        <v>679</v>
      </c>
      <c r="AM53" s="61" t="s">
        <v>473</v>
      </c>
    </row>
    <row r="54" s="48" customFormat="1" ht="171.6" spans="1:39">
      <c r="A54" s="62"/>
      <c r="B54" s="62"/>
      <c r="C54" s="63"/>
      <c r="D54" s="63"/>
      <c r="E54" s="64"/>
      <c r="F54" s="64"/>
      <c r="G54" s="63"/>
      <c r="H54" s="64"/>
      <c r="I54" s="35" t="s">
        <v>731</v>
      </c>
      <c r="J54" s="42" t="s">
        <v>732</v>
      </c>
      <c r="K54" s="35"/>
      <c r="L54" s="35"/>
      <c r="M54" s="35"/>
      <c r="N54" s="35" t="s">
        <v>36</v>
      </c>
      <c r="O54" s="35" t="s">
        <v>36</v>
      </c>
      <c r="P54" s="35"/>
      <c r="Q54" s="35"/>
      <c r="R54" s="35"/>
      <c r="S54" s="35"/>
      <c r="T54" s="35" t="s">
        <v>516</v>
      </c>
      <c r="U54" s="42"/>
      <c r="V54" s="42" t="s">
        <v>727</v>
      </c>
      <c r="W54" s="72" t="s">
        <v>1069</v>
      </c>
      <c r="X54" s="35" t="s">
        <v>628</v>
      </c>
      <c r="Y54" s="35" t="s">
        <v>470</v>
      </c>
      <c r="Z54" s="35"/>
      <c r="AA54" s="35" t="s">
        <v>469</v>
      </c>
      <c r="AB54" s="35" t="s">
        <v>470</v>
      </c>
      <c r="AC54" s="35"/>
      <c r="AD54" s="42" t="s">
        <v>729</v>
      </c>
      <c r="AE54" s="35" t="s">
        <v>469</v>
      </c>
      <c r="AF54" s="35" t="s">
        <v>470</v>
      </c>
      <c r="AG54" s="35"/>
      <c r="AH54" s="35" t="s">
        <v>473</v>
      </c>
      <c r="AI54" s="35" t="s">
        <v>473</v>
      </c>
      <c r="AJ54" s="42" t="s">
        <v>730</v>
      </c>
      <c r="AK54" s="35" t="s">
        <v>678</v>
      </c>
      <c r="AL54" s="42" t="s">
        <v>679</v>
      </c>
      <c r="AM54" s="61" t="s">
        <v>473</v>
      </c>
    </row>
    <row r="55" s="48" customFormat="1" ht="171.6" spans="1:39">
      <c r="A55" s="67"/>
      <c r="B55" s="67"/>
      <c r="C55" s="38"/>
      <c r="D55" s="38"/>
      <c r="E55" s="66"/>
      <c r="F55" s="66"/>
      <c r="G55" s="38"/>
      <c r="H55" s="66"/>
      <c r="I55" s="35" t="s">
        <v>733</v>
      </c>
      <c r="J55" s="42" t="s">
        <v>684</v>
      </c>
      <c r="K55" s="35"/>
      <c r="L55" s="35"/>
      <c r="M55" s="35"/>
      <c r="N55" s="35"/>
      <c r="O55" s="35"/>
      <c r="P55" s="35"/>
      <c r="Q55" s="35" t="s">
        <v>36</v>
      </c>
      <c r="R55" s="35" t="s">
        <v>36</v>
      </c>
      <c r="S55" s="35"/>
      <c r="T55" s="35" t="s">
        <v>516</v>
      </c>
      <c r="U55" s="42"/>
      <c r="V55" s="42" t="s">
        <v>727</v>
      </c>
      <c r="W55" s="72" t="s">
        <v>1070</v>
      </c>
      <c r="X55" s="35" t="s">
        <v>628</v>
      </c>
      <c r="Y55" s="35" t="s">
        <v>470</v>
      </c>
      <c r="Z55" s="35"/>
      <c r="AA55" s="35" t="s">
        <v>469</v>
      </c>
      <c r="AB55" s="35" t="s">
        <v>470</v>
      </c>
      <c r="AC55" s="35"/>
      <c r="AD55" s="42" t="s">
        <v>729</v>
      </c>
      <c r="AE55" s="35" t="s">
        <v>469</v>
      </c>
      <c r="AF55" s="35" t="s">
        <v>470</v>
      </c>
      <c r="AG55" s="35"/>
      <c r="AH55" s="35" t="s">
        <v>473</v>
      </c>
      <c r="AI55" s="35" t="s">
        <v>473</v>
      </c>
      <c r="AJ55" s="42" t="s">
        <v>730</v>
      </c>
      <c r="AK55" s="35" t="s">
        <v>678</v>
      </c>
      <c r="AL55" s="42" t="s">
        <v>679</v>
      </c>
      <c r="AM55" s="61" t="s">
        <v>473</v>
      </c>
    </row>
    <row r="56" s="48" customFormat="1" ht="145.2" spans="1:39">
      <c r="A56" s="56" t="s">
        <v>453</v>
      </c>
      <c r="B56" s="56" t="s">
        <v>644</v>
      </c>
      <c r="C56" s="57" t="s">
        <v>455</v>
      </c>
      <c r="D56" s="57" t="s">
        <v>735</v>
      </c>
      <c r="E56" s="58" t="s">
        <v>736</v>
      </c>
      <c r="F56" s="35"/>
      <c r="G56" s="57" t="s">
        <v>737</v>
      </c>
      <c r="H56" s="58" t="s">
        <v>738</v>
      </c>
      <c r="I56" s="35" t="s">
        <v>739</v>
      </c>
      <c r="J56" s="42" t="s">
        <v>740</v>
      </c>
      <c r="K56" s="35"/>
      <c r="L56" s="35" t="s">
        <v>36</v>
      </c>
      <c r="M56" s="35" t="s">
        <v>36</v>
      </c>
      <c r="N56" s="35"/>
      <c r="O56" s="35" t="s">
        <v>36</v>
      </c>
      <c r="P56" s="35"/>
      <c r="Q56" s="35"/>
      <c r="R56" s="35"/>
      <c r="S56" s="35"/>
      <c r="T56" s="35" t="s">
        <v>516</v>
      </c>
      <c r="U56" s="42"/>
      <c r="V56" s="42" t="s">
        <v>741</v>
      </c>
      <c r="W56" s="72" t="s">
        <v>1071</v>
      </c>
      <c r="X56" s="35" t="s">
        <v>628</v>
      </c>
      <c r="Y56" s="35" t="s">
        <v>470</v>
      </c>
      <c r="Z56" s="35"/>
      <c r="AA56" s="35" t="s">
        <v>469</v>
      </c>
      <c r="AB56" s="35" t="s">
        <v>470</v>
      </c>
      <c r="AC56" s="35"/>
      <c r="AD56" s="42" t="s">
        <v>743</v>
      </c>
      <c r="AE56" s="35" t="s">
        <v>469</v>
      </c>
      <c r="AF56" s="35" t="s">
        <v>470</v>
      </c>
      <c r="AG56" s="35"/>
      <c r="AH56" s="35" t="s">
        <v>473</v>
      </c>
      <c r="AI56" s="35" t="s">
        <v>473</v>
      </c>
      <c r="AJ56" s="42" t="s">
        <v>744</v>
      </c>
      <c r="AK56" s="35" t="s">
        <v>698</v>
      </c>
      <c r="AL56" s="42" t="s">
        <v>679</v>
      </c>
      <c r="AM56" s="61" t="s">
        <v>473</v>
      </c>
    </row>
    <row r="57" s="48" customFormat="1" ht="145.2" spans="1:39">
      <c r="A57" s="62"/>
      <c r="B57" s="62"/>
      <c r="C57" s="38"/>
      <c r="D57" s="38"/>
      <c r="E57" s="66"/>
      <c r="F57" s="35"/>
      <c r="G57" s="38"/>
      <c r="H57" s="66"/>
      <c r="I57" s="35" t="s">
        <v>745</v>
      </c>
      <c r="J57" s="42" t="s">
        <v>746</v>
      </c>
      <c r="K57" s="35"/>
      <c r="L57" s="35"/>
      <c r="M57" s="35"/>
      <c r="N57" s="35"/>
      <c r="O57" s="35"/>
      <c r="P57" s="35"/>
      <c r="Q57" s="35" t="s">
        <v>36</v>
      </c>
      <c r="R57" s="35" t="s">
        <v>36</v>
      </c>
      <c r="S57" s="35"/>
      <c r="T57" s="35" t="s">
        <v>516</v>
      </c>
      <c r="U57" s="42"/>
      <c r="V57" s="42" t="s">
        <v>741</v>
      </c>
      <c r="W57" s="72" t="s">
        <v>1072</v>
      </c>
      <c r="X57" s="35" t="s">
        <v>628</v>
      </c>
      <c r="Y57" s="35" t="s">
        <v>470</v>
      </c>
      <c r="Z57" s="35"/>
      <c r="AA57" s="35" t="s">
        <v>469</v>
      </c>
      <c r="AB57" s="35" t="s">
        <v>470</v>
      </c>
      <c r="AC57" s="35"/>
      <c r="AD57" s="42" t="s">
        <v>743</v>
      </c>
      <c r="AE57" s="35" t="s">
        <v>469</v>
      </c>
      <c r="AF57" s="35" t="s">
        <v>470</v>
      </c>
      <c r="AG57" s="35"/>
      <c r="AH57" s="35" t="s">
        <v>473</v>
      </c>
      <c r="AI57" s="35" t="s">
        <v>473</v>
      </c>
      <c r="AJ57" s="42" t="s">
        <v>744</v>
      </c>
      <c r="AK57" s="35" t="s">
        <v>698</v>
      </c>
      <c r="AL57" s="42" t="s">
        <v>679</v>
      </c>
      <c r="AM57" s="61" t="s">
        <v>473</v>
      </c>
    </row>
    <row r="58" s="48" customFormat="1" ht="118.8" spans="1:39">
      <c r="A58" s="62"/>
      <c r="B58" s="62"/>
      <c r="C58" s="57" t="s">
        <v>498</v>
      </c>
      <c r="D58" s="57" t="s">
        <v>748</v>
      </c>
      <c r="E58" s="58" t="s">
        <v>749</v>
      </c>
      <c r="F58" s="63"/>
      <c r="G58" s="57" t="s">
        <v>750</v>
      </c>
      <c r="H58" s="58" t="s">
        <v>751</v>
      </c>
      <c r="I58" s="35" t="s">
        <v>752</v>
      </c>
      <c r="J58" s="42" t="s">
        <v>753</v>
      </c>
      <c r="K58" s="35"/>
      <c r="L58" s="35"/>
      <c r="M58" s="35"/>
      <c r="N58" s="35"/>
      <c r="O58" s="35" t="s">
        <v>36</v>
      </c>
      <c r="P58" s="35"/>
      <c r="Q58" s="35"/>
      <c r="R58" s="35"/>
      <c r="S58" s="35"/>
      <c r="T58" s="35" t="s">
        <v>516</v>
      </c>
      <c r="U58" s="42"/>
      <c r="V58" s="42" t="s">
        <v>754</v>
      </c>
      <c r="W58" s="72" t="s">
        <v>1073</v>
      </c>
      <c r="X58" s="35" t="s">
        <v>628</v>
      </c>
      <c r="Y58" s="35" t="s">
        <v>470</v>
      </c>
      <c r="Z58" s="35"/>
      <c r="AA58" s="35" t="s">
        <v>469</v>
      </c>
      <c r="AB58" s="35" t="s">
        <v>470</v>
      </c>
      <c r="AC58" s="35"/>
      <c r="AD58" s="42" t="s">
        <v>756</v>
      </c>
      <c r="AE58" s="35" t="s">
        <v>469</v>
      </c>
      <c r="AF58" s="35" t="s">
        <v>470</v>
      </c>
      <c r="AG58" s="35"/>
      <c r="AH58" s="35" t="s">
        <v>473</v>
      </c>
      <c r="AI58" s="35" t="s">
        <v>473</v>
      </c>
      <c r="AJ58" s="42" t="s">
        <v>757</v>
      </c>
      <c r="AK58" s="35" t="s">
        <v>758</v>
      </c>
      <c r="AL58" s="42" t="s">
        <v>759</v>
      </c>
      <c r="AM58" s="61" t="s">
        <v>473</v>
      </c>
    </row>
    <row r="59" s="48" customFormat="1" ht="118.8" spans="1:39">
      <c r="A59" s="62"/>
      <c r="B59" s="62"/>
      <c r="C59" s="63"/>
      <c r="D59" s="63"/>
      <c r="E59" s="64"/>
      <c r="F59" s="63"/>
      <c r="G59" s="63"/>
      <c r="H59" s="64"/>
      <c r="I59" s="35" t="s">
        <v>760</v>
      </c>
      <c r="J59" s="42" t="s">
        <v>761</v>
      </c>
      <c r="K59" s="35"/>
      <c r="L59" s="35" t="s">
        <v>36</v>
      </c>
      <c r="M59" s="35"/>
      <c r="N59" s="35"/>
      <c r="O59" s="35"/>
      <c r="P59" s="35"/>
      <c r="Q59" s="35"/>
      <c r="R59" s="35"/>
      <c r="S59" s="35"/>
      <c r="T59" s="35" t="s">
        <v>516</v>
      </c>
      <c r="U59" s="42"/>
      <c r="V59" s="42" t="s">
        <v>754</v>
      </c>
      <c r="W59" s="72" t="s">
        <v>1074</v>
      </c>
      <c r="X59" s="35" t="s">
        <v>628</v>
      </c>
      <c r="Y59" s="35" t="s">
        <v>470</v>
      </c>
      <c r="Z59" s="35"/>
      <c r="AA59" s="35" t="s">
        <v>469</v>
      </c>
      <c r="AB59" s="35" t="s">
        <v>470</v>
      </c>
      <c r="AC59" s="35"/>
      <c r="AD59" s="42" t="s">
        <v>756</v>
      </c>
      <c r="AE59" s="35" t="s">
        <v>469</v>
      </c>
      <c r="AF59" s="35" t="s">
        <v>470</v>
      </c>
      <c r="AG59" s="35"/>
      <c r="AH59" s="35" t="s">
        <v>473</v>
      </c>
      <c r="AI59" s="35" t="s">
        <v>473</v>
      </c>
      <c r="AJ59" s="42" t="s">
        <v>757</v>
      </c>
      <c r="AK59" s="35" t="s">
        <v>758</v>
      </c>
      <c r="AL59" s="42" t="s">
        <v>759</v>
      </c>
      <c r="AM59" s="61" t="s">
        <v>473</v>
      </c>
    </row>
    <row r="60" s="48" customFormat="1" ht="118.8" spans="1:39">
      <c r="A60" s="67"/>
      <c r="B60" s="67"/>
      <c r="C60" s="38"/>
      <c r="D60" s="38"/>
      <c r="E60" s="66"/>
      <c r="F60" s="38"/>
      <c r="G60" s="38"/>
      <c r="H60" s="66"/>
      <c r="I60" s="35" t="s">
        <v>762</v>
      </c>
      <c r="J60" s="42" t="s">
        <v>763</v>
      </c>
      <c r="K60" s="35"/>
      <c r="L60" s="35"/>
      <c r="M60" s="35"/>
      <c r="N60" s="35"/>
      <c r="O60" s="35" t="s">
        <v>36</v>
      </c>
      <c r="P60" s="35"/>
      <c r="Q60" s="35"/>
      <c r="R60" s="35" t="s">
        <v>36</v>
      </c>
      <c r="S60" s="35"/>
      <c r="T60" s="35" t="s">
        <v>516</v>
      </c>
      <c r="U60" s="42"/>
      <c r="V60" s="42" t="s">
        <v>754</v>
      </c>
      <c r="W60" s="72" t="s">
        <v>1075</v>
      </c>
      <c r="X60" s="35" t="s">
        <v>628</v>
      </c>
      <c r="Y60" s="35" t="s">
        <v>470</v>
      </c>
      <c r="Z60" s="35"/>
      <c r="AA60" s="35" t="s">
        <v>469</v>
      </c>
      <c r="AB60" s="35" t="s">
        <v>470</v>
      </c>
      <c r="AC60" s="35"/>
      <c r="AD60" s="42" t="s">
        <v>756</v>
      </c>
      <c r="AE60" s="35" t="s">
        <v>469</v>
      </c>
      <c r="AF60" s="35" t="s">
        <v>470</v>
      </c>
      <c r="AG60" s="35"/>
      <c r="AH60" s="35" t="s">
        <v>473</v>
      </c>
      <c r="AI60" s="35" t="s">
        <v>473</v>
      </c>
      <c r="AJ60" s="42" t="s">
        <v>757</v>
      </c>
      <c r="AK60" s="35" t="s">
        <v>758</v>
      </c>
      <c r="AL60" s="42" t="s">
        <v>759</v>
      </c>
      <c r="AM60" s="61" t="s">
        <v>473</v>
      </c>
    </row>
    <row r="61" s="48" customFormat="1" ht="92.4" spans="1:39">
      <c r="A61" s="56" t="s">
        <v>453</v>
      </c>
      <c r="B61" s="56" t="s">
        <v>644</v>
      </c>
      <c r="C61" s="35" t="s">
        <v>498</v>
      </c>
      <c r="D61" s="35" t="s">
        <v>748</v>
      </c>
      <c r="E61" s="42" t="s">
        <v>749</v>
      </c>
      <c r="F61" s="76"/>
      <c r="G61" s="35" t="s">
        <v>750</v>
      </c>
      <c r="H61" s="42" t="s">
        <v>751</v>
      </c>
      <c r="I61" s="35" t="s">
        <v>764</v>
      </c>
      <c r="J61" s="42" t="s">
        <v>765</v>
      </c>
      <c r="K61" s="35"/>
      <c r="L61" s="35"/>
      <c r="M61" s="35"/>
      <c r="N61" s="35"/>
      <c r="O61" s="35"/>
      <c r="P61" s="35"/>
      <c r="Q61" s="35"/>
      <c r="R61" s="35" t="s">
        <v>36</v>
      </c>
      <c r="S61" s="35"/>
      <c r="T61" s="35" t="s">
        <v>516</v>
      </c>
      <c r="U61" s="42"/>
      <c r="V61" s="42" t="s">
        <v>766</v>
      </c>
      <c r="W61" s="42" t="s">
        <v>1076</v>
      </c>
      <c r="X61" s="35" t="s">
        <v>628</v>
      </c>
      <c r="Y61" s="35" t="s">
        <v>470</v>
      </c>
      <c r="Z61" s="35"/>
      <c r="AA61" s="35" t="s">
        <v>469</v>
      </c>
      <c r="AB61" s="35" t="s">
        <v>470</v>
      </c>
      <c r="AC61" s="35"/>
      <c r="AD61" s="42" t="s">
        <v>756</v>
      </c>
      <c r="AE61" s="35" t="s">
        <v>469</v>
      </c>
      <c r="AF61" s="35" t="s">
        <v>470</v>
      </c>
      <c r="AG61" s="35"/>
      <c r="AH61" s="35" t="s">
        <v>473</v>
      </c>
      <c r="AI61" s="35" t="s">
        <v>473</v>
      </c>
      <c r="AJ61" s="42" t="s">
        <v>757</v>
      </c>
      <c r="AK61" s="35" t="s">
        <v>698</v>
      </c>
      <c r="AL61" s="42" t="s">
        <v>768</v>
      </c>
      <c r="AM61" s="61" t="s">
        <v>473</v>
      </c>
    </row>
    <row r="62" s="48" customFormat="1" ht="105.6" spans="1:39">
      <c r="A62" s="62"/>
      <c r="B62" s="62"/>
      <c r="C62" s="57" t="s">
        <v>498</v>
      </c>
      <c r="D62" s="57" t="s">
        <v>769</v>
      </c>
      <c r="E62" s="58" t="s">
        <v>770</v>
      </c>
      <c r="F62" s="35"/>
      <c r="G62" s="57" t="s">
        <v>771</v>
      </c>
      <c r="H62" s="58" t="s">
        <v>772</v>
      </c>
      <c r="I62" s="35" t="s">
        <v>773</v>
      </c>
      <c r="J62" s="42" t="s">
        <v>774</v>
      </c>
      <c r="K62" s="35"/>
      <c r="L62" s="35" t="s">
        <v>36</v>
      </c>
      <c r="M62" s="35"/>
      <c r="N62" s="35"/>
      <c r="O62" s="35"/>
      <c r="P62" s="35"/>
      <c r="Q62" s="35"/>
      <c r="R62" s="35"/>
      <c r="S62" s="35"/>
      <c r="T62" s="35" t="s">
        <v>516</v>
      </c>
      <c r="U62" s="42"/>
      <c r="V62" s="42" t="s">
        <v>775</v>
      </c>
      <c r="W62" s="72" t="s">
        <v>1077</v>
      </c>
      <c r="X62" s="35" t="s">
        <v>628</v>
      </c>
      <c r="Y62" s="35" t="s">
        <v>470</v>
      </c>
      <c r="Z62" s="35"/>
      <c r="AA62" s="35" t="s">
        <v>469</v>
      </c>
      <c r="AB62" s="35" t="s">
        <v>470</v>
      </c>
      <c r="AC62" s="35"/>
      <c r="AD62" s="42" t="s">
        <v>777</v>
      </c>
      <c r="AE62" s="35" t="s">
        <v>469</v>
      </c>
      <c r="AF62" s="35" t="s">
        <v>470</v>
      </c>
      <c r="AG62" s="35"/>
      <c r="AH62" s="35" t="s">
        <v>473</v>
      </c>
      <c r="AI62" s="35" t="s">
        <v>473</v>
      </c>
      <c r="AJ62" s="42" t="s">
        <v>778</v>
      </c>
      <c r="AK62" s="35" t="s">
        <v>779</v>
      </c>
      <c r="AL62" s="42" t="s">
        <v>780</v>
      </c>
      <c r="AM62" s="61" t="s">
        <v>473</v>
      </c>
    </row>
    <row r="63" s="48" customFormat="1" ht="92.4" spans="1:39">
      <c r="A63" s="62"/>
      <c r="B63" s="62"/>
      <c r="C63" s="38"/>
      <c r="D63" s="38"/>
      <c r="E63" s="66"/>
      <c r="F63" s="35"/>
      <c r="G63" s="38"/>
      <c r="H63" s="66"/>
      <c r="I63" s="35" t="s">
        <v>781</v>
      </c>
      <c r="J63" s="42" t="s">
        <v>782</v>
      </c>
      <c r="K63" s="35"/>
      <c r="L63" s="35"/>
      <c r="M63" s="35"/>
      <c r="N63" s="35"/>
      <c r="O63" s="35"/>
      <c r="P63" s="35"/>
      <c r="Q63" s="35" t="s">
        <v>36</v>
      </c>
      <c r="R63" s="35" t="s">
        <v>36</v>
      </c>
      <c r="S63" s="35"/>
      <c r="T63" s="35" t="s">
        <v>516</v>
      </c>
      <c r="U63" s="42"/>
      <c r="V63" s="42" t="s">
        <v>775</v>
      </c>
      <c r="W63" s="72" t="s">
        <v>1078</v>
      </c>
      <c r="X63" s="35" t="s">
        <v>628</v>
      </c>
      <c r="Y63" s="35" t="s">
        <v>470</v>
      </c>
      <c r="Z63" s="35"/>
      <c r="AA63" s="35" t="s">
        <v>469</v>
      </c>
      <c r="AB63" s="35" t="s">
        <v>470</v>
      </c>
      <c r="AC63" s="35"/>
      <c r="AD63" s="42" t="s">
        <v>777</v>
      </c>
      <c r="AE63" s="35" t="s">
        <v>469</v>
      </c>
      <c r="AF63" s="35" t="s">
        <v>470</v>
      </c>
      <c r="AG63" s="35"/>
      <c r="AH63" s="35" t="s">
        <v>473</v>
      </c>
      <c r="AI63" s="35" t="s">
        <v>473</v>
      </c>
      <c r="AJ63" s="42" t="s">
        <v>778</v>
      </c>
      <c r="AK63" s="35" t="s">
        <v>779</v>
      </c>
      <c r="AL63" s="42" t="s">
        <v>780</v>
      </c>
      <c r="AM63" s="61" t="s">
        <v>473</v>
      </c>
    </row>
    <row r="64" s="48" customFormat="1" ht="92.4" spans="1:39">
      <c r="A64" s="62"/>
      <c r="B64" s="62"/>
      <c r="C64" s="57" t="s">
        <v>619</v>
      </c>
      <c r="D64" s="57" t="s">
        <v>784</v>
      </c>
      <c r="E64" s="58" t="s">
        <v>785</v>
      </c>
      <c r="F64" s="35"/>
      <c r="G64" s="57" t="s">
        <v>786</v>
      </c>
      <c r="H64" s="58" t="s">
        <v>787</v>
      </c>
      <c r="I64" s="35" t="s">
        <v>788</v>
      </c>
      <c r="J64" s="42" t="s">
        <v>789</v>
      </c>
      <c r="K64" s="35"/>
      <c r="L64" s="35"/>
      <c r="M64" s="35" t="s">
        <v>36</v>
      </c>
      <c r="N64" s="35"/>
      <c r="O64" s="35"/>
      <c r="P64" s="35"/>
      <c r="Q64" s="35"/>
      <c r="R64" s="35"/>
      <c r="S64" s="35"/>
      <c r="T64" s="43" t="s">
        <v>463</v>
      </c>
      <c r="U64" s="35" t="s">
        <v>790</v>
      </c>
      <c r="V64" s="42" t="s">
        <v>791</v>
      </c>
      <c r="W64" s="42" t="s">
        <v>1079</v>
      </c>
      <c r="X64" s="35" t="s">
        <v>628</v>
      </c>
      <c r="Y64" s="35" t="s">
        <v>470</v>
      </c>
      <c r="Z64" s="35"/>
      <c r="AA64" s="35" t="s">
        <v>469</v>
      </c>
      <c r="AB64" s="35" t="s">
        <v>470</v>
      </c>
      <c r="AC64" s="35"/>
      <c r="AD64" s="42" t="s">
        <v>793</v>
      </c>
      <c r="AE64" s="35" t="s">
        <v>469</v>
      </c>
      <c r="AF64" s="35" t="s">
        <v>470</v>
      </c>
      <c r="AG64" s="35"/>
      <c r="AH64" s="35" t="s">
        <v>473</v>
      </c>
      <c r="AI64" s="35" t="s">
        <v>473</v>
      </c>
      <c r="AJ64" s="42" t="s">
        <v>794</v>
      </c>
      <c r="AK64" s="35" t="s">
        <v>795</v>
      </c>
      <c r="AL64" s="42" t="s">
        <v>796</v>
      </c>
      <c r="AM64" s="61" t="s">
        <v>473</v>
      </c>
    </row>
    <row r="65" s="48" customFormat="1" ht="118.8" spans="1:39">
      <c r="A65" s="62"/>
      <c r="B65" s="62"/>
      <c r="C65" s="63"/>
      <c r="D65" s="63"/>
      <c r="E65" s="64"/>
      <c r="F65" s="35"/>
      <c r="G65" s="63"/>
      <c r="H65" s="64"/>
      <c r="I65" s="35" t="s">
        <v>797</v>
      </c>
      <c r="J65" s="42" t="s">
        <v>798</v>
      </c>
      <c r="K65" s="35"/>
      <c r="L65" s="35"/>
      <c r="M65" s="35"/>
      <c r="N65" s="35"/>
      <c r="O65" s="35" t="s">
        <v>36</v>
      </c>
      <c r="P65" s="35" t="s">
        <v>36</v>
      </c>
      <c r="Q65" s="35"/>
      <c r="R65" s="35"/>
      <c r="S65" s="35"/>
      <c r="T65" s="35" t="s">
        <v>516</v>
      </c>
      <c r="U65" s="42"/>
      <c r="V65" s="42" t="s">
        <v>791</v>
      </c>
      <c r="W65" s="72" t="s">
        <v>1080</v>
      </c>
      <c r="X65" s="35" t="s">
        <v>628</v>
      </c>
      <c r="Y65" s="35" t="s">
        <v>470</v>
      </c>
      <c r="Z65" s="35"/>
      <c r="AA65" s="35" t="s">
        <v>469</v>
      </c>
      <c r="AB65" s="35" t="s">
        <v>470</v>
      </c>
      <c r="AC65" s="35"/>
      <c r="AD65" s="42" t="s">
        <v>793</v>
      </c>
      <c r="AE65" s="35" t="s">
        <v>469</v>
      </c>
      <c r="AF65" s="35" t="s">
        <v>470</v>
      </c>
      <c r="AG65" s="35"/>
      <c r="AH65" s="35" t="s">
        <v>473</v>
      </c>
      <c r="AI65" s="35" t="s">
        <v>473</v>
      </c>
      <c r="AJ65" s="42" t="s">
        <v>799</v>
      </c>
      <c r="AK65" s="35" t="s">
        <v>795</v>
      </c>
      <c r="AL65" s="42" t="s">
        <v>796</v>
      </c>
      <c r="AM65" s="61" t="s">
        <v>473</v>
      </c>
    </row>
    <row r="66" s="48" customFormat="1" ht="105.6" spans="1:39">
      <c r="A66" s="67"/>
      <c r="B66" s="67"/>
      <c r="C66" s="38"/>
      <c r="D66" s="38"/>
      <c r="E66" s="66"/>
      <c r="F66" s="35"/>
      <c r="G66" s="38"/>
      <c r="H66" s="66"/>
      <c r="I66" s="35" t="s">
        <v>800</v>
      </c>
      <c r="J66" s="42" t="s">
        <v>801</v>
      </c>
      <c r="K66" s="35"/>
      <c r="L66" s="35"/>
      <c r="M66" s="35"/>
      <c r="N66" s="35"/>
      <c r="O66" s="35" t="s">
        <v>36</v>
      </c>
      <c r="P66" s="35" t="s">
        <v>36</v>
      </c>
      <c r="Q66" s="35"/>
      <c r="R66" s="35"/>
      <c r="S66" s="35"/>
      <c r="T66" s="35" t="s">
        <v>516</v>
      </c>
      <c r="U66" s="42"/>
      <c r="V66" s="42" t="s">
        <v>791</v>
      </c>
      <c r="W66" s="72" t="s">
        <v>1081</v>
      </c>
      <c r="X66" s="35" t="s">
        <v>628</v>
      </c>
      <c r="Y66" s="35" t="s">
        <v>470</v>
      </c>
      <c r="Z66" s="35"/>
      <c r="AA66" s="35" t="s">
        <v>469</v>
      </c>
      <c r="AB66" s="35" t="s">
        <v>470</v>
      </c>
      <c r="AC66" s="35"/>
      <c r="AD66" s="42" t="s">
        <v>793</v>
      </c>
      <c r="AE66" s="35" t="s">
        <v>469</v>
      </c>
      <c r="AF66" s="35" t="s">
        <v>470</v>
      </c>
      <c r="AG66" s="35"/>
      <c r="AH66" s="35" t="s">
        <v>473</v>
      </c>
      <c r="AI66" s="35" t="s">
        <v>473</v>
      </c>
      <c r="AJ66" s="42" t="s">
        <v>799</v>
      </c>
      <c r="AK66" s="35" t="s">
        <v>795</v>
      </c>
      <c r="AL66" s="42" t="s">
        <v>796</v>
      </c>
      <c r="AM66" s="61" t="s">
        <v>473</v>
      </c>
    </row>
    <row r="67" s="48" customFormat="1" ht="92.4" spans="1:39">
      <c r="A67" s="62" t="s">
        <v>453</v>
      </c>
      <c r="B67" s="62" t="s">
        <v>644</v>
      </c>
      <c r="C67" s="63" t="s">
        <v>619</v>
      </c>
      <c r="D67" s="63" t="s">
        <v>784</v>
      </c>
      <c r="E67" s="64" t="s">
        <v>785</v>
      </c>
      <c r="F67" s="35"/>
      <c r="G67" s="63" t="s">
        <v>786</v>
      </c>
      <c r="H67" s="64" t="s">
        <v>787</v>
      </c>
      <c r="I67" s="38" t="s">
        <v>802</v>
      </c>
      <c r="J67" s="66" t="s">
        <v>803</v>
      </c>
      <c r="K67" s="35"/>
      <c r="L67" s="35"/>
      <c r="M67" s="35"/>
      <c r="N67" s="35"/>
      <c r="O67" s="35"/>
      <c r="P67" s="35"/>
      <c r="Q67" s="35"/>
      <c r="R67" s="35" t="s">
        <v>36</v>
      </c>
      <c r="S67" s="35"/>
      <c r="T67" s="39" t="s">
        <v>804</v>
      </c>
      <c r="U67" s="32" t="s">
        <v>805</v>
      </c>
      <c r="V67" s="42" t="s">
        <v>791</v>
      </c>
      <c r="W67" s="72" t="s">
        <v>1082</v>
      </c>
      <c r="X67" s="35" t="s">
        <v>628</v>
      </c>
      <c r="Y67" s="35" t="s">
        <v>470</v>
      </c>
      <c r="Z67" s="35"/>
      <c r="AA67" s="35" t="s">
        <v>469</v>
      </c>
      <c r="AB67" s="35" t="s">
        <v>470</v>
      </c>
      <c r="AC67" s="35"/>
      <c r="AD67" s="42" t="s">
        <v>793</v>
      </c>
      <c r="AE67" s="35" t="s">
        <v>469</v>
      </c>
      <c r="AF67" s="35" t="s">
        <v>470</v>
      </c>
      <c r="AG67" s="35"/>
      <c r="AH67" s="35" t="s">
        <v>473</v>
      </c>
      <c r="AI67" s="35" t="s">
        <v>473</v>
      </c>
      <c r="AJ67" s="42" t="s">
        <v>794</v>
      </c>
      <c r="AK67" s="35" t="s">
        <v>795</v>
      </c>
      <c r="AL67" s="42" t="s">
        <v>796</v>
      </c>
      <c r="AM67" s="61" t="s">
        <v>473</v>
      </c>
    </row>
    <row r="68" s="48" customFormat="1" ht="118.8" spans="1:39">
      <c r="A68" s="62"/>
      <c r="B68" s="62"/>
      <c r="C68" s="38"/>
      <c r="D68" s="38"/>
      <c r="E68" s="66"/>
      <c r="F68" s="35"/>
      <c r="G68" s="38"/>
      <c r="H68" s="66"/>
      <c r="I68" s="35" t="s">
        <v>807</v>
      </c>
      <c r="J68" s="42" t="s">
        <v>808</v>
      </c>
      <c r="K68" s="35"/>
      <c r="L68" s="35"/>
      <c r="M68" s="35" t="s">
        <v>36</v>
      </c>
      <c r="N68" s="35"/>
      <c r="O68" s="35"/>
      <c r="P68" s="35" t="s">
        <v>36</v>
      </c>
      <c r="Q68" s="35" t="s">
        <v>36</v>
      </c>
      <c r="R68" s="35"/>
      <c r="S68" s="35"/>
      <c r="T68" s="35" t="s">
        <v>516</v>
      </c>
      <c r="U68" s="42"/>
      <c r="V68" s="42" t="s">
        <v>791</v>
      </c>
      <c r="W68" s="72" t="s">
        <v>1083</v>
      </c>
      <c r="X68" s="35" t="s">
        <v>628</v>
      </c>
      <c r="Y68" s="35" t="s">
        <v>470</v>
      </c>
      <c r="Z68" s="35"/>
      <c r="AA68" s="35" t="s">
        <v>469</v>
      </c>
      <c r="AB68" s="35" t="s">
        <v>470</v>
      </c>
      <c r="AC68" s="35"/>
      <c r="AD68" s="42" t="s">
        <v>793</v>
      </c>
      <c r="AE68" s="35" t="s">
        <v>469</v>
      </c>
      <c r="AF68" s="35" t="s">
        <v>470</v>
      </c>
      <c r="AG68" s="35"/>
      <c r="AH68" s="35" t="s">
        <v>473</v>
      </c>
      <c r="AI68" s="35" t="s">
        <v>473</v>
      </c>
      <c r="AJ68" s="42" t="s">
        <v>794</v>
      </c>
      <c r="AK68" s="35" t="s">
        <v>795</v>
      </c>
      <c r="AL68" s="42" t="s">
        <v>796</v>
      </c>
      <c r="AM68" s="61" t="s">
        <v>473</v>
      </c>
    </row>
    <row r="69" s="48" customFormat="1" ht="211.2" spans="1:39">
      <c r="A69" s="56" t="s">
        <v>453</v>
      </c>
      <c r="B69" s="56" t="s">
        <v>644</v>
      </c>
      <c r="C69" s="57" t="s">
        <v>619</v>
      </c>
      <c r="D69" s="57" t="s">
        <v>810</v>
      </c>
      <c r="E69" s="58" t="s">
        <v>811</v>
      </c>
      <c r="F69" s="57"/>
      <c r="G69" s="57" t="s">
        <v>812</v>
      </c>
      <c r="H69" s="58" t="s">
        <v>813</v>
      </c>
      <c r="I69" s="35" t="s">
        <v>814</v>
      </c>
      <c r="J69" s="42" t="s">
        <v>815</v>
      </c>
      <c r="K69" s="35"/>
      <c r="L69" s="35" t="s">
        <v>36</v>
      </c>
      <c r="M69" s="35"/>
      <c r="N69" s="35"/>
      <c r="O69" s="35" t="s">
        <v>36</v>
      </c>
      <c r="P69" s="35"/>
      <c r="Q69" s="35"/>
      <c r="R69" s="35" t="s">
        <v>36</v>
      </c>
      <c r="S69" s="35"/>
      <c r="T69" s="35" t="s">
        <v>516</v>
      </c>
      <c r="U69" s="42"/>
      <c r="V69" s="42" t="s">
        <v>816</v>
      </c>
      <c r="W69" s="77" t="s">
        <v>1084</v>
      </c>
      <c r="X69" s="35" t="s">
        <v>628</v>
      </c>
      <c r="Y69" s="35" t="s">
        <v>470</v>
      </c>
      <c r="Z69" s="35"/>
      <c r="AA69" s="35" t="s">
        <v>469</v>
      </c>
      <c r="AB69" s="35" t="s">
        <v>470</v>
      </c>
      <c r="AC69" s="35"/>
      <c r="AD69" s="42" t="s">
        <v>818</v>
      </c>
      <c r="AE69" s="35" t="s">
        <v>469</v>
      </c>
      <c r="AF69" s="35" t="s">
        <v>470</v>
      </c>
      <c r="AG69" s="35"/>
      <c r="AH69" s="35" t="s">
        <v>473</v>
      </c>
      <c r="AI69" s="35" t="s">
        <v>473</v>
      </c>
      <c r="AJ69" s="42" t="s">
        <v>819</v>
      </c>
      <c r="AK69" s="35" t="s">
        <v>475</v>
      </c>
      <c r="AL69" s="42" t="s">
        <v>476</v>
      </c>
      <c r="AM69" s="61" t="s">
        <v>473</v>
      </c>
    </row>
    <row r="70" s="48" customFormat="1" ht="211.2" spans="1:39">
      <c r="A70" s="62"/>
      <c r="B70" s="62"/>
      <c r="C70" s="63"/>
      <c r="D70" s="63"/>
      <c r="E70" s="64"/>
      <c r="F70" s="63"/>
      <c r="G70" s="63"/>
      <c r="H70" s="64"/>
      <c r="I70" s="35" t="s">
        <v>820</v>
      </c>
      <c r="J70" s="42" t="s">
        <v>821</v>
      </c>
      <c r="K70" s="35"/>
      <c r="L70" s="35"/>
      <c r="M70" s="35" t="s">
        <v>36</v>
      </c>
      <c r="N70" s="35"/>
      <c r="O70" s="35" t="s">
        <v>36</v>
      </c>
      <c r="P70" s="35"/>
      <c r="Q70" s="35"/>
      <c r="R70" s="35"/>
      <c r="S70" s="35"/>
      <c r="T70" s="35" t="s">
        <v>516</v>
      </c>
      <c r="U70" s="42"/>
      <c r="V70" s="42" t="s">
        <v>816</v>
      </c>
      <c r="W70" s="77" t="s">
        <v>1085</v>
      </c>
      <c r="X70" s="35" t="s">
        <v>628</v>
      </c>
      <c r="Y70" s="35" t="s">
        <v>470</v>
      </c>
      <c r="Z70" s="35"/>
      <c r="AA70" s="35" t="s">
        <v>469</v>
      </c>
      <c r="AB70" s="35" t="s">
        <v>470</v>
      </c>
      <c r="AC70" s="35"/>
      <c r="AD70" s="42" t="s">
        <v>818</v>
      </c>
      <c r="AE70" s="35" t="s">
        <v>469</v>
      </c>
      <c r="AF70" s="35" t="s">
        <v>470</v>
      </c>
      <c r="AG70" s="35"/>
      <c r="AH70" s="35" t="s">
        <v>473</v>
      </c>
      <c r="AI70" s="35" t="s">
        <v>473</v>
      </c>
      <c r="AJ70" s="42" t="s">
        <v>819</v>
      </c>
      <c r="AK70" s="35" t="s">
        <v>475</v>
      </c>
      <c r="AL70" s="42" t="s">
        <v>476</v>
      </c>
      <c r="AM70" s="61" t="s">
        <v>473</v>
      </c>
    </row>
    <row r="71" s="48" customFormat="1" ht="211.2" spans="1:39">
      <c r="A71" s="62"/>
      <c r="B71" s="62"/>
      <c r="C71" s="38"/>
      <c r="D71" s="38"/>
      <c r="E71" s="66"/>
      <c r="F71" s="38"/>
      <c r="G71" s="38"/>
      <c r="H71" s="66"/>
      <c r="I71" s="35" t="s">
        <v>822</v>
      </c>
      <c r="J71" s="42" t="s">
        <v>823</v>
      </c>
      <c r="K71" s="35"/>
      <c r="L71" s="35"/>
      <c r="M71" s="35"/>
      <c r="N71" s="35"/>
      <c r="O71" s="35"/>
      <c r="P71" s="35"/>
      <c r="Q71" s="35" t="s">
        <v>36</v>
      </c>
      <c r="R71" s="35" t="s">
        <v>36</v>
      </c>
      <c r="S71" s="35"/>
      <c r="T71" s="35" t="s">
        <v>516</v>
      </c>
      <c r="U71" s="42"/>
      <c r="V71" s="42" t="s">
        <v>816</v>
      </c>
      <c r="W71" s="78" t="s">
        <v>1086</v>
      </c>
      <c r="X71" s="35" t="s">
        <v>628</v>
      </c>
      <c r="Y71" s="35" t="s">
        <v>470</v>
      </c>
      <c r="Z71" s="35"/>
      <c r="AA71" s="35" t="s">
        <v>469</v>
      </c>
      <c r="AB71" s="35" t="s">
        <v>470</v>
      </c>
      <c r="AC71" s="35"/>
      <c r="AD71" s="42" t="s">
        <v>818</v>
      </c>
      <c r="AE71" s="35" t="s">
        <v>469</v>
      </c>
      <c r="AF71" s="35" t="s">
        <v>470</v>
      </c>
      <c r="AG71" s="35"/>
      <c r="AH71" s="35" t="s">
        <v>473</v>
      </c>
      <c r="AI71" s="35" t="s">
        <v>473</v>
      </c>
      <c r="AJ71" s="42" t="s">
        <v>819</v>
      </c>
      <c r="AK71" s="35" t="s">
        <v>475</v>
      </c>
      <c r="AL71" s="42" t="s">
        <v>476</v>
      </c>
      <c r="AM71" s="61" t="s">
        <v>473</v>
      </c>
    </row>
    <row r="72" s="48" customFormat="1" ht="211.2" spans="1:39">
      <c r="A72" s="62"/>
      <c r="B72" s="62"/>
      <c r="C72" s="57" t="s">
        <v>498</v>
      </c>
      <c r="D72" s="57" t="s">
        <v>825</v>
      </c>
      <c r="E72" s="58" t="s">
        <v>826</v>
      </c>
      <c r="F72" s="57"/>
      <c r="G72" s="57" t="s">
        <v>827</v>
      </c>
      <c r="H72" s="58" t="s">
        <v>828</v>
      </c>
      <c r="I72" s="35" t="s">
        <v>829</v>
      </c>
      <c r="J72" s="42" t="s">
        <v>830</v>
      </c>
      <c r="K72" s="35"/>
      <c r="L72" s="35"/>
      <c r="M72" s="35"/>
      <c r="N72" s="35"/>
      <c r="O72" s="35" t="s">
        <v>36</v>
      </c>
      <c r="P72" s="35" t="s">
        <v>36</v>
      </c>
      <c r="Q72" s="35"/>
      <c r="R72" s="35"/>
      <c r="S72" s="35"/>
      <c r="T72" s="35" t="s">
        <v>516</v>
      </c>
      <c r="U72" s="42"/>
      <c r="V72" s="42" t="s">
        <v>816</v>
      </c>
      <c r="W72" s="77" t="s">
        <v>1087</v>
      </c>
      <c r="X72" s="35" t="s">
        <v>628</v>
      </c>
      <c r="Y72" s="35" t="s">
        <v>470</v>
      </c>
      <c r="Z72" s="35"/>
      <c r="AA72" s="35" t="s">
        <v>469</v>
      </c>
      <c r="AB72" s="35" t="s">
        <v>470</v>
      </c>
      <c r="AC72" s="35"/>
      <c r="AD72" s="42" t="s">
        <v>818</v>
      </c>
      <c r="AE72" s="35" t="s">
        <v>469</v>
      </c>
      <c r="AF72" s="35" t="s">
        <v>470</v>
      </c>
      <c r="AG72" s="35"/>
      <c r="AH72" s="35" t="s">
        <v>473</v>
      </c>
      <c r="AI72" s="35" t="s">
        <v>473</v>
      </c>
      <c r="AJ72" s="42" t="s">
        <v>819</v>
      </c>
      <c r="AK72" s="35" t="s">
        <v>475</v>
      </c>
      <c r="AL72" s="42" t="s">
        <v>476</v>
      </c>
      <c r="AM72" s="61" t="s">
        <v>473</v>
      </c>
    </row>
    <row r="73" s="48" customFormat="1" ht="211.2" spans="1:39">
      <c r="A73" s="67"/>
      <c r="B73" s="67"/>
      <c r="C73" s="38"/>
      <c r="D73" s="38"/>
      <c r="E73" s="66"/>
      <c r="F73" s="38"/>
      <c r="G73" s="38"/>
      <c r="H73" s="66"/>
      <c r="I73" s="35" t="s">
        <v>831</v>
      </c>
      <c r="J73" s="42" t="s">
        <v>832</v>
      </c>
      <c r="K73" s="35"/>
      <c r="L73" s="35"/>
      <c r="M73" s="35"/>
      <c r="N73" s="35"/>
      <c r="O73" s="35"/>
      <c r="P73" s="35" t="s">
        <v>36</v>
      </c>
      <c r="Q73" s="35"/>
      <c r="R73" s="35" t="s">
        <v>36</v>
      </c>
      <c r="S73" s="35"/>
      <c r="T73" s="35" t="s">
        <v>516</v>
      </c>
      <c r="U73" s="42"/>
      <c r="V73" s="42" t="s">
        <v>816</v>
      </c>
      <c r="W73" s="78" t="s">
        <v>1088</v>
      </c>
      <c r="X73" s="35" t="s">
        <v>628</v>
      </c>
      <c r="Y73" s="35" t="s">
        <v>470</v>
      </c>
      <c r="Z73" s="35"/>
      <c r="AA73" s="35" t="s">
        <v>469</v>
      </c>
      <c r="AB73" s="35" t="s">
        <v>470</v>
      </c>
      <c r="AC73" s="35"/>
      <c r="AD73" s="42" t="s">
        <v>818</v>
      </c>
      <c r="AE73" s="35" t="s">
        <v>469</v>
      </c>
      <c r="AF73" s="35" t="s">
        <v>470</v>
      </c>
      <c r="AG73" s="35"/>
      <c r="AH73" s="35" t="s">
        <v>473</v>
      </c>
      <c r="AI73" s="35" t="s">
        <v>473</v>
      </c>
      <c r="AJ73" s="42" t="s">
        <v>819</v>
      </c>
      <c r="AK73" s="35" t="s">
        <v>475</v>
      </c>
      <c r="AL73" s="42" t="s">
        <v>476</v>
      </c>
      <c r="AM73" s="61" t="s">
        <v>473</v>
      </c>
    </row>
    <row r="74" s="48" customFormat="1" ht="224.4" spans="1:39">
      <c r="A74" s="56" t="s">
        <v>453</v>
      </c>
      <c r="B74" s="56" t="s">
        <v>644</v>
      </c>
      <c r="C74" s="57" t="s">
        <v>619</v>
      </c>
      <c r="D74" s="57" t="s">
        <v>833</v>
      </c>
      <c r="E74" s="58" t="s">
        <v>834</v>
      </c>
      <c r="F74" s="59" t="s">
        <v>835</v>
      </c>
      <c r="G74" s="57" t="s">
        <v>836</v>
      </c>
      <c r="H74" s="58" t="s">
        <v>837</v>
      </c>
      <c r="I74" s="35" t="s">
        <v>838</v>
      </c>
      <c r="J74" s="42" t="s">
        <v>839</v>
      </c>
      <c r="K74" s="35"/>
      <c r="L74" s="35"/>
      <c r="M74" s="35" t="s">
        <v>36</v>
      </c>
      <c r="N74" s="35"/>
      <c r="O74" s="35" t="s">
        <v>36</v>
      </c>
      <c r="P74" s="35"/>
      <c r="Q74" s="35"/>
      <c r="R74" s="35"/>
      <c r="S74" s="35"/>
      <c r="T74" s="35" t="s">
        <v>516</v>
      </c>
      <c r="U74" s="42"/>
      <c r="V74" s="42" t="s">
        <v>840</v>
      </c>
      <c r="W74" s="77" t="s">
        <v>1089</v>
      </c>
      <c r="X74" s="35" t="s">
        <v>628</v>
      </c>
      <c r="Y74" s="35" t="s">
        <v>470</v>
      </c>
      <c r="Z74" s="35"/>
      <c r="AA74" s="35" t="s">
        <v>469</v>
      </c>
      <c r="AB74" s="35" t="s">
        <v>470</v>
      </c>
      <c r="AC74" s="35"/>
      <c r="AD74" s="42" t="s">
        <v>842</v>
      </c>
      <c r="AE74" s="35" t="s">
        <v>469</v>
      </c>
      <c r="AF74" s="35" t="s">
        <v>470</v>
      </c>
      <c r="AG74" s="35"/>
      <c r="AH74" s="35" t="s">
        <v>473</v>
      </c>
      <c r="AI74" s="35" t="s">
        <v>473</v>
      </c>
      <c r="AJ74" s="42" t="s">
        <v>843</v>
      </c>
      <c r="AK74" s="35" t="s">
        <v>475</v>
      </c>
      <c r="AL74" s="42" t="s">
        <v>476</v>
      </c>
      <c r="AM74" s="61" t="s">
        <v>473</v>
      </c>
    </row>
    <row r="75" s="48" customFormat="1" ht="224.4" spans="1:39">
      <c r="A75" s="62"/>
      <c r="B75" s="62"/>
      <c r="C75" s="63"/>
      <c r="D75" s="63"/>
      <c r="E75" s="64"/>
      <c r="F75" s="64"/>
      <c r="G75" s="63"/>
      <c r="H75" s="64"/>
      <c r="I75" s="35" t="s">
        <v>844</v>
      </c>
      <c r="J75" s="42" t="s">
        <v>845</v>
      </c>
      <c r="K75" s="35"/>
      <c r="L75" s="35"/>
      <c r="M75" s="35"/>
      <c r="N75" s="35"/>
      <c r="O75" s="35" t="s">
        <v>36</v>
      </c>
      <c r="P75" s="35" t="s">
        <v>36</v>
      </c>
      <c r="Q75" s="35"/>
      <c r="R75" s="35"/>
      <c r="S75" s="35"/>
      <c r="T75" s="35" t="s">
        <v>516</v>
      </c>
      <c r="U75" s="42"/>
      <c r="V75" s="42" t="s">
        <v>840</v>
      </c>
      <c r="W75" s="77" t="s">
        <v>1090</v>
      </c>
      <c r="X75" s="35" t="s">
        <v>628</v>
      </c>
      <c r="Y75" s="35" t="s">
        <v>470</v>
      </c>
      <c r="Z75" s="35"/>
      <c r="AA75" s="35" t="s">
        <v>469</v>
      </c>
      <c r="AB75" s="35" t="s">
        <v>470</v>
      </c>
      <c r="AC75" s="35"/>
      <c r="AD75" s="42" t="s">
        <v>842</v>
      </c>
      <c r="AE75" s="35" t="s">
        <v>469</v>
      </c>
      <c r="AF75" s="35" t="s">
        <v>470</v>
      </c>
      <c r="AG75" s="35"/>
      <c r="AH75" s="35" t="s">
        <v>473</v>
      </c>
      <c r="AI75" s="35" t="s">
        <v>473</v>
      </c>
      <c r="AJ75" s="42" t="s">
        <v>843</v>
      </c>
      <c r="AK75" s="35" t="s">
        <v>475</v>
      </c>
      <c r="AL75" s="42" t="s">
        <v>476</v>
      </c>
      <c r="AM75" s="61" t="s">
        <v>473</v>
      </c>
    </row>
    <row r="76" s="48" customFormat="1" ht="224.4" spans="1:39">
      <c r="A76" s="62"/>
      <c r="B76" s="62"/>
      <c r="C76" s="63"/>
      <c r="D76" s="63"/>
      <c r="E76" s="64"/>
      <c r="F76" s="64"/>
      <c r="G76" s="63"/>
      <c r="H76" s="64"/>
      <c r="I76" s="35" t="s">
        <v>846</v>
      </c>
      <c r="J76" s="42" t="s">
        <v>847</v>
      </c>
      <c r="K76" s="35" t="s">
        <v>36</v>
      </c>
      <c r="L76" s="35" t="s">
        <v>36</v>
      </c>
      <c r="M76" s="35"/>
      <c r="N76" s="35"/>
      <c r="O76" s="35"/>
      <c r="P76" s="35"/>
      <c r="Q76" s="35" t="s">
        <v>36</v>
      </c>
      <c r="R76" s="35"/>
      <c r="S76" s="35"/>
      <c r="T76" s="35" t="s">
        <v>463</v>
      </c>
      <c r="U76" s="35" t="s">
        <v>635</v>
      </c>
      <c r="V76" s="42" t="s">
        <v>840</v>
      </c>
      <c r="W76" s="78" t="s">
        <v>1091</v>
      </c>
      <c r="X76" s="35" t="s">
        <v>628</v>
      </c>
      <c r="Y76" s="35" t="s">
        <v>470</v>
      </c>
      <c r="Z76" s="35"/>
      <c r="AA76" s="35" t="s">
        <v>469</v>
      </c>
      <c r="AB76" s="35" t="s">
        <v>470</v>
      </c>
      <c r="AC76" s="35"/>
      <c r="AD76" s="42" t="s">
        <v>842</v>
      </c>
      <c r="AE76" s="35" t="s">
        <v>469</v>
      </c>
      <c r="AF76" s="35" t="s">
        <v>470</v>
      </c>
      <c r="AG76" s="35"/>
      <c r="AH76" s="35" t="s">
        <v>473</v>
      </c>
      <c r="AI76" s="35" t="s">
        <v>473</v>
      </c>
      <c r="AJ76" s="42" t="s">
        <v>843</v>
      </c>
      <c r="AK76" s="35" t="s">
        <v>475</v>
      </c>
      <c r="AL76" s="42" t="s">
        <v>476</v>
      </c>
      <c r="AM76" s="61" t="s">
        <v>473</v>
      </c>
    </row>
    <row r="77" s="48" customFormat="1" ht="224.4" spans="1:39">
      <c r="A77" s="62"/>
      <c r="B77" s="62"/>
      <c r="C77" s="63"/>
      <c r="D77" s="63"/>
      <c r="E77" s="64"/>
      <c r="F77" s="64"/>
      <c r="G77" s="63"/>
      <c r="H77" s="64"/>
      <c r="I77" s="35" t="s">
        <v>848</v>
      </c>
      <c r="J77" s="42" t="s">
        <v>849</v>
      </c>
      <c r="K77" s="35"/>
      <c r="L77" s="35" t="s">
        <v>36</v>
      </c>
      <c r="M77" s="35"/>
      <c r="N77" s="35"/>
      <c r="O77" s="35"/>
      <c r="P77" s="35" t="s">
        <v>36</v>
      </c>
      <c r="Q77" s="35" t="s">
        <v>36</v>
      </c>
      <c r="R77" s="35"/>
      <c r="S77" s="35"/>
      <c r="T77" s="35" t="s">
        <v>516</v>
      </c>
      <c r="U77" s="42"/>
      <c r="V77" s="42" t="s">
        <v>840</v>
      </c>
      <c r="W77" s="72" t="s">
        <v>1092</v>
      </c>
      <c r="X77" s="35" t="s">
        <v>628</v>
      </c>
      <c r="Y77" s="35" t="s">
        <v>470</v>
      </c>
      <c r="Z77" s="35"/>
      <c r="AA77" s="35" t="s">
        <v>469</v>
      </c>
      <c r="AB77" s="35" t="s">
        <v>470</v>
      </c>
      <c r="AC77" s="35"/>
      <c r="AD77" s="42" t="s">
        <v>842</v>
      </c>
      <c r="AE77" s="35" t="s">
        <v>469</v>
      </c>
      <c r="AF77" s="35" t="s">
        <v>470</v>
      </c>
      <c r="AG77" s="35"/>
      <c r="AH77" s="35" t="s">
        <v>473</v>
      </c>
      <c r="AI77" s="35" t="s">
        <v>473</v>
      </c>
      <c r="AJ77" s="42" t="s">
        <v>843</v>
      </c>
      <c r="AK77" s="35" t="s">
        <v>475</v>
      </c>
      <c r="AL77" s="42" t="s">
        <v>476</v>
      </c>
      <c r="AM77" s="61" t="s">
        <v>473</v>
      </c>
    </row>
    <row r="78" s="48" customFormat="1" ht="224.4" spans="1:39">
      <c r="A78" s="67"/>
      <c r="B78" s="67"/>
      <c r="C78" s="38"/>
      <c r="D78" s="38"/>
      <c r="E78" s="66"/>
      <c r="F78" s="66"/>
      <c r="G78" s="38"/>
      <c r="H78" s="66"/>
      <c r="I78" s="35" t="s">
        <v>850</v>
      </c>
      <c r="J78" s="42" t="s">
        <v>851</v>
      </c>
      <c r="K78" s="35"/>
      <c r="L78" s="35"/>
      <c r="M78" s="35" t="s">
        <v>36</v>
      </c>
      <c r="N78" s="35"/>
      <c r="O78" s="35"/>
      <c r="P78" s="35" t="s">
        <v>36</v>
      </c>
      <c r="Q78" s="35" t="s">
        <v>36</v>
      </c>
      <c r="R78" s="35"/>
      <c r="S78" s="35"/>
      <c r="T78" s="35" t="s">
        <v>516</v>
      </c>
      <c r="U78" s="42"/>
      <c r="V78" s="42" t="s">
        <v>840</v>
      </c>
      <c r="W78" s="72" t="s">
        <v>1091</v>
      </c>
      <c r="X78" s="35" t="s">
        <v>628</v>
      </c>
      <c r="Y78" s="35" t="s">
        <v>470</v>
      </c>
      <c r="Z78" s="35"/>
      <c r="AA78" s="35" t="s">
        <v>469</v>
      </c>
      <c r="AB78" s="35" t="s">
        <v>470</v>
      </c>
      <c r="AC78" s="35"/>
      <c r="AD78" s="42" t="s">
        <v>842</v>
      </c>
      <c r="AE78" s="35" t="s">
        <v>469</v>
      </c>
      <c r="AF78" s="35" t="s">
        <v>470</v>
      </c>
      <c r="AG78" s="35"/>
      <c r="AH78" s="35" t="s">
        <v>473</v>
      </c>
      <c r="AI78" s="35" t="s">
        <v>473</v>
      </c>
      <c r="AJ78" s="42" t="s">
        <v>843</v>
      </c>
      <c r="AK78" s="35" t="s">
        <v>475</v>
      </c>
      <c r="AL78" s="42" t="s">
        <v>476</v>
      </c>
      <c r="AM78" s="61" t="s">
        <v>473</v>
      </c>
    </row>
    <row r="79" s="48" customFormat="1" ht="92.4" spans="1:39">
      <c r="A79" s="56" t="s">
        <v>453</v>
      </c>
      <c r="B79" s="56"/>
      <c r="C79" s="57" t="s">
        <v>498</v>
      </c>
      <c r="D79" s="57" t="s">
        <v>852</v>
      </c>
      <c r="E79" s="58" t="s">
        <v>853</v>
      </c>
      <c r="F79" s="58"/>
      <c r="G79" s="57" t="s">
        <v>854</v>
      </c>
      <c r="H79" s="58" t="s">
        <v>855</v>
      </c>
      <c r="I79" s="38" t="s">
        <v>856</v>
      </c>
      <c r="J79" s="66" t="s">
        <v>857</v>
      </c>
      <c r="K79" s="35"/>
      <c r="L79" s="35" t="s">
        <v>36</v>
      </c>
      <c r="M79" s="35"/>
      <c r="N79" s="35"/>
      <c r="O79" s="35"/>
      <c r="P79" s="35"/>
      <c r="Q79" s="35"/>
      <c r="R79" s="35"/>
      <c r="S79" s="35"/>
      <c r="T79" s="35" t="s">
        <v>516</v>
      </c>
      <c r="U79" s="42"/>
      <c r="V79" s="42" t="s">
        <v>858</v>
      </c>
      <c r="W79" s="78" t="s">
        <v>1093</v>
      </c>
      <c r="X79" s="35" t="s">
        <v>628</v>
      </c>
      <c r="Y79" s="35" t="s">
        <v>470</v>
      </c>
      <c r="Z79" s="35"/>
      <c r="AA79" s="35" t="s">
        <v>469</v>
      </c>
      <c r="AB79" s="35" t="s">
        <v>470</v>
      </c>
      <c r="AC79" s="35"/>
      <c r="AD79" s="42" t="s">
        <v>860</v>
      </c>
      <c r="AE79" s="35" t="s">
        <v>469</v>
      </c>
      <c r="AF79" s="35" t="s">
        <v>470</v>
      </c>
      <c r="AG79" s="35"/>
      <c r="AH79" s="35" t="s">
        <v>473</v>
      </c>
      <c r="AI79" s="35" t="s">
        <v>473</v>
      </c>
      <c r="AJ79" s="42" t="s">
        <v>861</v>
      </c>
      <c r="AK79" s="35" t="s">
        <v>678</v>
      </c>
      <c r="AL79" s="42" t="s">
        <v>679</v>
      </c>
      <c r="AM79" s="61" t="s">
        <v>473</v>
      </c>
    </row>
    <row r="80" s="48" customFormat="1" ht="92.4" spans="1:39">
      <c r="A80" s="67"/>
      <c r="B80" s="67"/>
      <c r="C80" s="38"/>
      <c r="D80" s="38"/>
      <c r="E80" s="66"/>
      <c r="F80" s="66"/>
      <c r="G80" s="38"/>
      <c r="H80" s="66"/>
      <c r="I80" s="35" t="s">
        <v>862</v>
      </c>
      <c r="J80" s="42" t="s">
        <v>863</v>
      </c>
      <c r="K80" s="35"/>
      <c r="L80" s="35"/>
      <c r="M80" s="35"/>
      <c r="N80" s="35"/>
      <c r="O80" s="35"/>
      <c r="P80" s="35"/>
      <c r="Q80" s="35" t="s">
        <v>36</v>
      </c>
      <c r="R80" s="35" t="s">
        <v>36</v>
      </c>
      <c r="S80" s="35"/>
      <c r="T80" s="35" t="s">
        <v>516</v>
      </c>
      <c r="U80" s="42"/>
      <c r="V80" s="42" t="s">
        <v>864</v>
      </c>
      <c r="W80" s="77" t="s">
        <v>1094</v>
      </c>
      <c r="X80" s="35" t="s">
        <v>628</v>
      </c>
      <c r="Y80" s="35" t="s">
        <v>470</v>
      </c>
      <c r="Z80" s="35"/>
      <c r="AA80" s="35" t="s">
        <v>469</v>
      </c>
      <c r="AB80" s="35" t="s">
        <v>470</v>
      </c>
      <c r="AC80" s="35"/>
      <c r="AD80" s="42" t="s">
        <v>860</v>
      </c>
      <c r="AE80" s="35" t="s">
        <v>469</v>
      </c>
      <c r="AF80" s="35" t="s">
        <v>470</v>
      </c>
      <c r="AG80" s="35"/>
      <c r="AH80" s="35" t="s">
        <v>473</v>
      </c>
      <c r="AI80" s="35" t="s">
        <v>473</v>
      </c>
      <c r="AJ80" s="42" t="s">
        <v>866</v>
      </c>
      <c r="AK80" s="35" t="s">
        <v>678</v>
      </c>
      <c r="AL80" s="42" t="s">
        <v>679</v>
      </c>
      <c r="AM80" s="61" t="s">
        <v>473</v>
      </c>
    </row>
    <row r="81" ht="79.2" spans="1:39">
      <c r="A81" s="79" t="s">
        <v>453</v>
      </c>
      <c r="B81" s="79" t="s">
        <v>644</v>
      </c>
      <c r="C81" s="45" t="s">
        <v>867</v>
      </c>
      <c r="D81" s="45" t="s">
        <v>868</v>
      </c>
      <c r="E81" s="45" t="s">
        <v>869</v>
      </c>
      <c r="F81" s="45" t="s">
        <v>870</v>
      </c>
      <c r="G81" s="45" t="s">
        <v>871</v>
      </c>
      <c r="H81" s="45" t="s">
        <v>872</v>
      </c>
      <c r="I81" s="45" t="s">
        <v>873</v>
      </c>
      <c r="J81" s="33" t="s">
        <v>874</v>
      </c>
      <c r="K81" s="45"/>
      <c r="L81" s="45"/>
      <c r="M81" s="45" t="s">
        <v>36</v>
      </c>
      <c r="N81" s="45"/>
      <c r="O81" s="45"/>
      <c r="P81" s="45"/>
      <c r="Q81" s="45"/>
      <c r="R81" s="45" t="s">
        <v>36</v>
      </c>
      <c r="S81" s="45"/>
      <c r="T81" s="45" t="s">
        <v>516</v>
      </c>
      <c r="U81" s="32"/>
      <c r="V81" s="32" t="s">
        <v>875</v>
      </c>
      <c r="W81" s="32" t="s">
        <v>1095</v>
      </c>
      <c r="X81" s="45" t="s">
        <v>628</v>
      </c>
      <c r="Y81" s="45" t="s">
        <v>470</v>
      </c>
      <c r="Z81" s="45"/>
      <c r="AA81" s="45" t="s">
        <v>469</v>
      </c>
      <c r="AB81" s="45" t="s">
        <v>470</v>
      </c>
      <c r="AC81" s="45"/>
      <c r="AD81" s="32"/>
      <c r="AE81" s="45"/>
      <c r="AF81" s="45"/>
      <c r="AG81" s="45"/>
      <c r="AH81" s="45" t="s">
        <v>473</v>
      </c>
      <c r="AI81" s="45" t="s">
        <v>473</v>
      </c>
      <c r="AJ81" s="32" t="s">
        <v>1096</v>
      </c>
      <c r="AK81" s="22"/>
      <c r="AL81" s="35" t="s">
        <v>877</v>
      </c>
      <c r="AM81" s="61" t="s">
        <v>473</v>
      </c>
    </row>
    <row r="82" ht="79.2" spans="1:39">
      <c r="A82" s="79"/>
      <c r="B82" s="79"/>
      <c r="C82" s="45"/>
      <c r="D82" s="45"/>
      <c r="E82" s="45"/>
      <c r="F82" s="45"/>
      <c r="G82" s="45"/>
      <c r="H82" s="45"/>
      <c r="I82" s="45" t="s">
        <v>879</v>
      </c>
      <c r="J82" s="33" t="s">
        <v>880</v>
      </c>
      <c r="K82" s="45"/>
      <c r="L82" s="45"/>
      <c r="M82" s="45" t="s">
        <v>36</v>
      </c>
      <c r="N82" s="45"/>
      <c r="O82" s="45" t="s">
        <v>36</v>
      </c>
      <c r="P82" s="45"/>
      <c r="Q82" s="45"/>
      <c r="R82" s="45"/>
      <c r="S82" s="45"/>
      <c r="T82" s="45" t="s">
        <v>516</v>
      </c>
      <c r="U82" s="32"/>
      <c r="V82" s="32" t="s">
        <v>881</v>
      </c>
      <c r="W82" s="32" t="s">
        <v>1095</v>
      </c>
      <c r="X82" s="45" t="s">
        <v>628</v>
      </c>
      <c r="Y82" s="45" t="s">
        <v>470</v>
      </c>
      <c r="Z82" s="45"/>
      <c r="AA82" s="45" t="s">
        <v>469</v>
      </c>
      <c r="AB82" s="45" t="s">
        <v>470</v>
      </c>
      <c r="AC82" s="45"/>
      <c r="AD82" s="32"/>
      <c r="AE82" s="45"/>
      <c r="AF82" s="45"/>
      <c r="AG82" s="45"/>
      <c r="AH82" s="45" t="s">
        <v>473</v>
      </c>
      <c r="AI82" s="45" t="s">
        <v>473</v>
      </c>
      <c r="AJ82" s="32" t="s">
        <v>1097</v>
      </c>
      <c r="AK82" s="22"/>
      <c r="AL82" s="35" t="s">
        <v>877</v>
      </c>
      <c r="AM82" s="61" t="s">
        <v>473</v>
      </c>
    </row>
    <row r="83" ht="118.8" spans="1:39">
      <c r="A83" s="79"/>
      <c r="B83" s="79"/>
      <c r="C83" s="45"/>
      <c r="D83" s="45"/>
      <c r="E83" s="45"/>
      <c r="F83" s="45"/>
      <c r="G83" s="45"/>
      <c r="H83" s="45"/>
      <c r="I83" s="45" t="s">
        <v>883</v>
      </c>
      <c r="J83" s="33" t="s">
        <v>884</v>
      </c>
      <c r="K83" s="45"/>
      <c r="L83" s="45"/>
      <c r="M83" s="45" t="s">
        <v>36</v>
      </c>
      <c r="N83" s="45"/>
      <c r="O83" s="45"/>
      <c r="P83" s="45"/>
      <c r="Q83" s="45"/>
      <c r="R83" s="45"/>
      <c r="S83" s="45"/>
      <c r="T83" s="45" t="s">
        <v>516</v>
      </c>
      <c r="U83" s="32"/>
      <c r="V83" s="32" t="s">
        <v>885</v>
      </c>
      <c r="W83" s="32" t="s">
        <v>1098</v>
      </c>
      <c r="X83" s="45" t="s">
        <v>628</v>
      </c>
      <c r="Y83" s="45" t="s">
        <v>470</v>
      </c>
      <c r="Z83" s="45"/>
      <c r="AA83" s="45" t="s">
        <v>469</v>
      </c>
      <c r="AB83" s="45" t="s">
        <v>470</v>
      </c>
      <c r="AC83" s="45"/>
      <c r="AD83" s="32"/>
      <c r="AE83" s="45"/>
      <c r="AF83" s="45"/>
      <c r="AG83" s="45"/>
      <c r="AH83" s="45" t="s">
        <v>473</v>
      </c>
      <c r="AI83" s="45" t="s">
        <v>473</v>
      </c>
      <c r="AJ83" s="32" t="s">
        <v>886</v>
      </c>
      <c r="AK83" s="22"/>
      <c r="AL83" s="35" t="s">
        <v>877</v>
      </c>
      <c r="AM83" s="61" t="s">
        <v>473</v>
      </c>
    </row>
    <row r="84" ht="105.6" spans="1:39">
      <c r="A84" s="79"/>
      <c r="B84" s="79"/>
      <c r="C84" s="45"/>
      <c r="D84" s="45"/>
      <c r="E84" s="45"/>
      <c r="F84" s="45"/>
      <c r="G84" s="45"/>
      <c r="H84" s="45"/>
      <c r="I84" s="45" t="s">
        <v>887</v>
      </c>
      <c r="J84" s="33" t="s">
        <v>888</v>
      </c>
      <c r="K84" s="45"/>
      <c r="L84" s="45"/>
      <c r="M84" s="45"/>
      <c r="N84" s="45" t="s">
        <v>36</v>
      </c>
      <c r="O84" s="45"/>
      <c r="P84" s="45"/>
      <c r="Q84" s="45" t="s">
        <v>36</v>
      </c>
      <c r="R84" s="45"/>
      <c r="S84" s="45"/>
      <c r="T84" s="45" t="s">
        <v>516</v>
      </c>
      <c r="U84" s="32"/>
      <c r="V84" s="32" t="s">
        <v>889</v>
      </c>
      <c r="W84" s="72" t="s">
        <v>1099</v>
      </c>
      <c r="X84" s="45" t="s">
        <v>628</v>
      </c>
      <c r="Y84" s="45" t="s">
        <v>470</v>
      </c>
      <c r="Z84" s="45"/>
      <c r="AA84" s="45" t="s">
        <v>469</v>
      </c>
      <c r="AB84" s="45" t="s">
        <v>470</v>
      </c>
      <c r="AC84" s="45"/>
      <c r="AD84" s="32"/>
      <c r="AE84" s="45"/>
      <c r="AF84" s="45"/>
      <c r="AG84" s="45"/>
      <c r="AH84" s="45" t="s">
        <v>473</v>
      </c>
      <c r="AI84" s="45" t="s">
        <v>473</v>
      </c>
      <c r="AJ84" s="32" t="s">
        <v>891</v>
      </c>
      <c r="AK84" s="22"/>
      <c r="AL84" s="35" t="s">
        <v>877</v>
      </c>
      <c r="AM84" s="61" t="s">
        <v>473</v>
      </c>
    </row>
    <row r="85" ht="76" customHeight="1" spans="1:39">
      <c r="A85" s="80" t="s">
        <v>453</v>
      </c>
      <c r="B85" s="80" t="s">
        <v>644</v>
      </c>
      <c r="C85" s="81" t="s">
        <v>892</v>
      </c>
      <c r="D85" s="81" t="s">
        <v>893</v>
      </c>
      <c r="E85" s="82" t="s">
        <v>894</v>
      </c>
      <c r="F85" s="82" t="s">
        <v>895</v>
      </c>
      <c r="G85" s="81" t="s">
        <v>896</v>
      </c>
      <c r="H85" s="82" t="s">
        <v>897</v>
      </c>
      <c r="I85" s="83" t="s">
        <v>898</v>
      </c>
      <c r="J85" s="33" t="s">
        <v>899</v>
      </c>
      <c r="K85" s="45"/>
      <c r="L85" s="45"/>
      <c r="M85" s="45"/>
      <c r="N85" s="45"/>
      <c r="O85" s="45" t="s">
        <v>36</v>
      </c>
      <c r="P85" s="45"/>
      <c r="Q85" s="45"/>
      <c r="R85" s="45"/>
      <c r="S85" s="45"/>
      <c r="T85" s="45" t="s">
        <v>516</v>
      </c>
      <c r="U85" s="22"/>
      <c r="V85" s="32" t="s">
        <v>900</v>
      </c>
      <c r="W85" s="32" t="s">
        <v>901</v>
      </c>
      <c r="X85" s="45" t="s">
        <v>628</v>
      </c>
      <c r="Y85" s="45" t="s">
        <v>470</v>
      </c>
      <c r="Z85" s="45"/>
      <c r="AA85" s="45" t="s">
        <v>469</v>
      </c>
      <c r="AB85" s="45" t="s">
        <v>470</v>
      </c>
      <c r="AC85" s="45"/>
      <c r="AD85" s="32"/>
      <c r="AE85" s="45"/>
      <c r="AF85" s="45"/>
      <c r="AG85" s="45"/>
      <c r="AH85" s="45" t="s">
        <v>473</v>
      </c>
      <c r="AI85" s="45" t="s">
        <v>473</v>
      </c>
      <c r="AJ85" s="32" t="s">
        <v>902</v>
      </c>
      <c r="AK85" s="22"/>
      <c r="AL85" s="35" t="s">
        <v>699</v>
      </c>
      <c r="AM85" s="61" t="s">
        <v>473</v>
      </c>
    </row>
    <row r="86" ht="158.4" spans="1:39">
      <c r="A86" s="84"/>
      <c r="B86" s="84"/>
      <c r="C86" s="85"/>
      <c r="D86" s="85"/>
      <c r="E86" s="86"/>
      <c r="F86" s="86"/>
      <c r="G86" s="85"/>
      <c r="H86" s="86"/>
      <c r="I86" s="83" t="s">
        <v>904</v>
      </c>
      <c r="J86" s="33" t="s">
        <v>905</v>
      </c>
      <c r="K86" s="45"/>
      <c r="L86" s="45"/>
      <c r="M86" s="45" t="s">
        <v>36</v>
      </c>
      <c r="N86" s="45"/>
      <c r="O86" s="45" t="s">
        <v>36</v>
      </c>
      <c r="P86" s="45"/>
      <c r="Q86" s="45"/>
      <c r="R86" s="45"/>
      <c r="S86" s="45"/>
      <c r="T86" s="45" t="s">
        <v>516</v>
      </c>
      <c r="U86" s="22"/>
      <c r="V86" s="32" t="s">
        <v>906</v>
      </c>
      <c r="W86" s="87" t="s">
        <v>1100</v>
      </c>
      <c r="X86" s="45" t="s">
        <v>628</v>
      </c>
      <c r="Y86" s="45" t="s">
        <v>470</v>
      </c>
      <c r="Z86" s="45"/>
      <c r="AA86" s="45" t="s">
        <v>469</v>
      </c>
      <c r="AB86" s="45" t="s">
        <v>470</v>
      </c>
      <c r="AC86" s="45"/>
      <c r="AD86" s="32"/>
      <c r="AE86" s="45"/>
      <c r="AF86" s="45"/>
      <c r="AG86" s="45"/>
      <c r="AH86" s="45" t="s">
        <v>473</v>
      </c>
      <c r="AI86" s="45" t="s">
        <v>473</v>
      </c>
      <c r="AJ86" s="32" t="s">
        <v>908</v>
      </c>
      <c r="AK86" s="22"/>
      <c r="AL86" s="35" t="s">
        <v>699</v>
      </c>
      <c r="AM86" s="61" t="s">
        <v>473</v>
      </c>
    </row>
    <row r="87" ht="158.4" spans="1:39">
      <c r="A87" s="84"/>
      <c r="B87" s="84"/>
      <c r="C87" s="85"/>
      <c r="D87" s="85"/>
      <c r="E87" s="86"/>
      <c r="F87" s="86"/>
      <c r="G87" s="85"/>
      <c r="H87" s="86"/>
      <c r="I87" s="83" t="s">
        <v>1101</v>
      </c>
      <c r="J87" s="33" t="s">
        <v>910</v>
      </c>
      <c r="K87" s="35"/>
      <c r="L87" s="45"/>
      <c r="M87" s="45" t="s">
        <v>36</v>
      </c>
      <c r="N87" s="45"/>
      <c r="O87" s="45"/>
      <c r="P87" s="45"/>
      <c r="Q87" s="45"/>
      <c r="R87" s="45"/>
      <c r="S87" s="45"/>
      <c r="T87" s="45" t="s">
        <v>516</v>
      </c>
      <c r="U87" s="22"/>
      <c r="V87" s="32" t="s">
        <v>911</v>
      </c>
      <c r="W87" s="87" t="s">
        <v>1100</v>
      </c>
      <c r="X87" s="45" t="s">
        <v>628</v>
      </c>
      <c r="Y87" s="45" t="s">
        <v>470</v>
      </c>
      <c r="Z87" s="45"/>
      <c r="AA87" s="45" t="s">
        <v>469</v>
      </c>
      <c r="AB87" s="45" t="s">
        <v>470</v>
      </c>
      <c r="AC87" s="45"/>
      <c r="AD87" s="32"/>
      <c r="AE87" s="45"/>
      <c r="AF87" s="45"/>
      <c r="AG87" s="45"/>
      <c r="AH87" s="45" t="s">
        <v>473</v>
      </c>
      <c r="AI87" s="45" t="s">
        <v>473</v>
      </c>
      <c r="AJ87" s="32" t="s">
        <v>913</v>
      </c>
      <c r="AK87" s="22"/>
      <c r="AL87" s="35" t="s">
        <v>699</v>
      </c>
      <c r="AM87" s="61" t="s">
        <v>473</v>
      </c>
    </row>
    <row r="88" ht="145.2" spans="1:39">
      <c r="A88" s="88"/>
      <c r="B88" s="88"/>
      <c r="C88" s="83"/>
      <c r="D88" s="83"/>
      <c r="E88" s="33"/>
      <c r="F88" s="33"/>
      <c r="G88" s="83"/>
      <c r="H88" s="33"/>
      <c r="I88" s="83" t="s">
        <v>1102</v>
      </c>
      <c r="J88" s="33" t="s">
        <v>915</v>
      </c>
      <c r="K88" s="45"/>
      <c r="L88" s="45"/>
      <c r="M88" s="45"/>
      <c r="N88" s="45"/>
      <c r="O88" s="45"/>
      <c r="P88" s="45"/>
      <c r="Q88" s="45" t="s">
        <v>36</v>
      </c>
      <c r="R88" s="45"/>
      <c r="S88" s="45"/>
      <c r="T88" s="45" t="s">
        <v>516</v>
      </c>
      <c r="U88" s="22"/>
      <c r="V88" s="32" t="s">
        <v>911</v>
      </c>
      <c r="W88" s="87" t="s">
        <v>1103</v>
      </c>
      <c r="X88" s="45" t="s">
        <v>628</v>
      </c>
      <c r="Y88" s="45" t="s">
        <v>470</v>
      </c>
      <c r="Z88" s="45"/>
      <c r="AA88" s="45" t="s">
        <v>469</v>
      </c>
      <c r="AB88" s="45" t="s">
        <v>470</v>
      </c>
      <c r="AC88" s="45"/>
      <c r="AD88" s="32"/>
      <c r="AE88" s="45"/>
      <c r="AF88" s="45"/>
      <c r="AG88" s="45"/>
      <c r="AH88" s="45" t="s">
        <v>473</v>
      </c>
      <c r="AI88" s="45" t="s">
        <v>473</v>
      </c>
      <c r="AJ88" s="32" t="s">
        <v>891</v>
      </c>
      <c r="AK88" s="22"/>
      <c r="AL88" s="35" t="s">
        <v>476</v>
      </c>
      <c r="AM88" s="61" t="s">
        <v>473</v>
      </c>
    </row>
    <row r="89" ht="105.6" spans="1:39">
      <c r="A89" s="80" t="s">
        <v>453</v>
      </c>
      <c r="B89" s="80" t="s">
        <v>644</v>
      </c>
      <c r="C89" s="81" t="s">
        <v>892</v>
      </c>
      <c r="D89" s="81" t="s">
        <v>917</v>
      </c>
      <c r="E89" s="82" t="s">
        <v>918</v>
      </c>
      <c r="F89" s="82" t="s">
        <v>919</v>
      </c>
      <c r="G89" s="81" t="s">
        <v>920</v>
      </c>
      <c r="H89" s="82" t="s">
        <v>921</v>
      </c>
      <c r="I89" s="83" t="s">
        <v>922</v>
      </c>
      <c r="J89" s="33" t="s">
        <v>923</v>
      </c>
      <c r="K89" s="45"/>
      <c r="L89" s="45"/>
      <c r="M89" s="45"/>
      <c r="N89" s="45"/>
      <c r="O89" s="45" t="s">
        <v>36</v>
      </c>
      <c r="P89" s="45"/>
      <c r="Q89" s="45"/>
      <c r="R89" s="45"/>
      <c r="S89" s="45"/>
      <c r="T89" s="45" t="s">
        <v>516</v>
      </c>
      <c r="U89" s="22"/>
      <c r="V89" s="32" t="s">
        <v>924</v>
      </c>
      <c r="W89" s="87" t="s">
        <v>1104</v>
      </c>
      <c r="X89" s="45" t="s">
        <v>628</v>
      </c>
      <c r="Y89" s="45" t="s">
        <v>470</v>
      </c>
      <c r="Z89" s="45"/>
      <c r="AA89" s="45" t="s">
        <v>469</v>
      </c>
      <c r="AB89" s="45" t="s">
        <v>470</v>
      </c>
      <c r="AC89" s="45"/>
      <c r="AD89" s="32"/>
      <c r="AE89" s="45"/>
      <c r="AF89" s="45"/>
      <c r="AG89" s="45"/>
      <c r="AH89" s="45" t="s">
        <v>473</v>
      </c>
      <c r="AI89" s="45" t="s">
        <v>473</v>
      </c>
      <c r="AJ89" s="32" t="s">
        <v>926</v>
      </c>
      <c r="AK89" s="22"/>
      <c r="AL89" s="35" t="s">
        <v>927</v>
      </c>
      <c r="AM89" s="61" t="s">
        <v>473</v>
      </c>
    </row>
    <row r="90" ht="92.4" spans="1:39">
      <c r="A90" s="84"/>
      <c r="B90" s="84"/>
      <c r="C90" s="85"/>
      <c r="D90" s="85"/>
      <c r="E90" s="86"/>
      <c r="F90" s="86"/>
      <c r="G90" s="85"/>
      <c r="H90" s="86"/>
      <c r="I90" s="83" t="s">
        <v>929</v>
      </c>
      <c r="J90" s="33" t="s">
        <v>930</v>
      </c>
      <c r="K90" s="35"/>
      <c r="L90" s="45"/>
      <c r="M90" s="45"/>
      <c r="N90" s="45"/>
      <c r="O90" s="45" t="s">
        <v>36</v>
      </c>
      <c r="P90" s="45"/>
      <c r="Q90" s="45"/>
      <c r="R90" s="45"/>
      <c r="S90" s="45"/>
      <c r="T90" s="45" t="s">
        <v>516</v>
      </c>
      <c r="U90" s="22"/>
      <c r="V90" s="32" t="s">
        <v>924</v>
      </c>
      <c r="W90" s="87" t="s">
        <v>1104</v>
      </c>
      <c r="X90" s="45" t="s">
        <v>628</v>
      </c>
      <c r="Y90" s="45" t="s">
        <v>470</v>
      </c>
      <c r="Z90" s="45"/>
      <c r="AA90" s="45" t="s">
        <v>469</v>
      </c>
      <c r="AB90" s="45" t="s">
        <v>470</v>
      </c>
      <c r="AC90" s="45"/>
      <c r="AD90" s="32"/>
      <c r="AE90" s="45" t="s">
        <v>469</v>
      </c>
      <c r="AF90" s="45" t="s">
        <v>470</v>
      </c>
      <c r="AG90" s="45"/>
      <c r="AH90" s="45" t="s">
        <v>473</v>
      </c>
      <c r="AI90" s="45" t="s">
        <v>473</v>
      </c>
      <c r="AJ90" s="32" t="s">
        <v>926</v>
      </c>
      <c r="AK90" s="22"/>
      <c r="AL90" s="35" t="s">
        <v>927</v>
      </c>
      <c r="AM90" s="61" t="s">
        <v>473</v>
      </c>
    </row>
    <row r="91" ht="132" spans="1:39">
      <c r="A91" s="88"/>
      <c r="B91" s="88"/>
      <c r="C91" s="83"/>
      <c r="D91" s="83"/>
      <c r="E91" s="33"/>
      <c r="F91" s="33"/>
      <c r="G91" s="83"/>
      <c r="H91" s="33"/>
      <c r="I91" s="83" t="s">
        <v>931</v>
      </c>
      <c r="J91" s="33" t="s">
        <v>932</v>
      </c>
      <c r="K91" s="45"/>
      <c r="L91" s="45"/>
      <c r="M91" s="45" t="s">
        <v>36</v>
      </c>
      <c r="N91" s="45"/>
      <c r="O91" s="45"/>
      <c r="P91" s="45"/>
      <c r="Q91" s="45" t="s">
        <v>36</v>
      </c>
      <c r="R91" s="45"/>
      <c r="S91" s="45"/>
      <c r="T91" s="45" t="s">
        <v>516</v>
      </c>
      <c r="U91" s="22"/>
      <c r="V91" s="32" t="s">
        <v>933</v>
      </c>
      <c r="W91" s="87" t="s">
        <v>1105</v>
      </c>
      <c r="X91" s="45" t="s">
        <v>628</v>
      </c>
      <c r="Y91" s="45" t="s">
        <v>470</v>
      </c>
      <c r="Z91" s="45"/>
      <c r="AA91" s="45" t="s">
        <v>469</v>
      </c>
      <c r="AB91" s="45" t="s">
        <v>470</v>
      </c>
      <c r="AC91" s="45"/>
      <c r="AD91" s="32"/>
      <c r="AE91" s="45" t="s">
        <v>469</v>
      </c>
      <c r="AF91" s="45" t="s">
        <v>470</v>
      </c>
      <c r="AG91" s="45"/>
      <c r="AH91" s="45" t="s">
        <v>473</v>
      </c>
      <c r="AI91" s="45" t="s">
        <v>473</v>
      </c>
      <c r="AJ91" s="32" t="s">
        <v>926</v>
      </c>
      <c r="AK91" s="22"/>
      <c r="AL91" s="42" t="s">
        <v>476</v>
      </c>
      <c r="AM91" s="61" t="s">
        <v>473</v>
      </c>
    </row>
    <row r="92" s="49" customFormat="1" ht="198" spans="1:39">
      <c r="A92" s="79" t="s">
        <v>453</v>
      </c>
      <c r="B92" s="79" t="s">
        <v>644</v>
      </c>
      <c r="C92" s="45" t="s">
        <v>935</v>
      </c>
      <c r="D92" s="45" t="s">
        <v>936</v>
      </c>
      <c r="E92" s="32" t="s">
        <v>937</v>
      </c>
      <c r="F92" s="89" t="s">
        <v>1001</v>
      </c>
      <c r="G92" s="45" t="s">
        <v>939</v>
      </c>
      <c r="H92" s="45" t="s">
        <v>940</v>
      </c>
      <c r="I92" s="83" t="s">
        <v>941</v>
      </c>
      <c r="J92" s="90" t="s">
        <v>1106</v>
      </c>
      <c r="K92" s="45"/>
      <c r="L92" s="45"/>
      <c r="M92" s="45" t="s">
        <v>36</v>
      </c>
      <c r="N92" s="45"/>
      <c r="O92" s="45" t="s">
        <v>36</v>
      </c>
      <c r="P92" s="91"/>
      <c r="Q92" s="45"/>
      <c r="R92" s="91"/>
      <c r="S92" s="91"/>
      <c r="T92" s="45" t="s">
        <v>516</v>
      </c>
      <c r="U92" s="45"/>
      <c r="V92" s="32" t="s">
        <v>943</v>
      </c>
      <c r="W92" s="87" t="s">
        <v>944</v>
      </c>
      <c r="X92" s="45" t="s">
        <v>628</v>
      </c>
      <c r="Y92" s="45" t="s">
        <v>470</v>
      </c>
      <c r="Z92" s="45"/>
      <c r="AA92" s="45" t="s">
        <v>469</v>
      </c>
      <c r="AB92" s="45" t="s">
        <v>470</v>
      </c>
      <c r="AC92" s="45"/>
      <c r="AD92" s="32"/>
      <c r="AE92" s="45" t="s">
        <v>469</v>
      </c>
      <c r="AF92" s="45" t="s">
        <v>470</v>
      </c>
      <c r="AG92" s="45"/>
      <c r="AH92" s="45" t="s">
        <v>473</v>
      </c>
      <c r="AI92" s="45" t="s">
        <v>473</v>
      </c>
      <c r="AJ92" s="32" t="s">
        <v>1003</v>
      </c>
      <c r="AK92" s="92"/>
      <c r="AL92" s="42" t="s">
        <v>947</v>
      </c>
      <c r="AM92" s="61" t="s">
        <v>473</v>
      </c>
    </row>
    <row r="93" s="49" customFormat="1" ht="198" spans="1:39">
      <c r="A93" s="79"/>
      <c r="B93" s="79"/>
      <c r="C93" s="45"/>
      <c r="D93" s="45"/>
      <c r="E93" s="32"/>
      <c r="F93" s="32"/>
      <c r="G93" s="45"/>
      <c r="H93" s="45"/>
      <c r="I93" s="83" t="s">
        <v>950</v>
      </c>
      <c r="J93" s="90" t="s">
        <v>1107</v>
      </c>
      <c r="K93" s="45"/>
      <c r="L93" s="91"/>
      <c r="M93" s="45" t="s">
        <v>36</v>
      </c>
      <c r="N93" s="45" t="s">
        <v>36</v>
      </c>
      <c r="O93" s="45" t="s">
        <v>36</v>
      </c>
      <c r="P93" s="45"/>
      <c r="Q93" s="45"/>
      <c r="R93" s="91"/>
      <c r="S93" s="91"/>
      <c r="T93" s="45" t="s">
        <v>516</v>
      </c>
      <c r="U93" s="45"/>
      <c r="V93" s="32" t="s">
        <v>943</v>
      </c>
      <c r="W93" s="87" t="s">
        <v>944</v>
      </c>
      <c r="X93" s="45" t="s">
        <v>628</v>
      </c>
      <c r="Y93" s="45" t="s">
        <v>470</v>
      </c>
      <c r="Z93" s="45"/>
      <c r="AA93" s="45" t="s">
        <v>469</v>
      </c>
      <c r="AB93" s="45" t="s">
        <v>470</v>
      </c>
      <c r="AC93" s="45"/>
      <c r="AD93" s="32"/>
      <c r="AE93" s="45" t="s">
        <v>469</v>
      </c>
      <c r="AF93" s="45" t="s">
        <v>470</v>
      </c>
      <c r="AG93" s="45"/>
      <c r="AH93" s="45" t="s">
        <v>473</v>
      </c>
      <c r="AI93" s="45" t="s">
        <v>473</v>
      </c>
      <c r="AJ93" s="32" t="s">
        <v>1003</v>
      </c>
      <c r="AK93" s="92"/>
      <c r="AL93" s="42"/>
      <c r="AM93" s="61" t="s">
        <v>473</v>
      </c>
    </row>
    <row r="94" s="49" customFormat="1" ht="118.8" spans="1:39">
      <c r="A94" s="79"/>
      <c r="B94" s="79"/>
      <c r="C94" s="45"/>
      <c r="D94" s="45"/>
      <c r="E94" s="32"/>
      <c r="F94" s="32"/>
      <c r="G94" s="45"/>
      <c r="H94" s="45"/>
      <c r="I94" s="83" t="s">
        <v>1004</v>
      </c>
      <c r="J94" s="45" t="s">
        <v>951</v>
      </c>
      <c r="K94" s="45"/>
      <c r="L94" s="91"/>
      <c r="M94" s="45" t="s">
        <v>36</v>
      </c>
      <c r="N94" s="91"/>
      <c r="O94" s="91"/>
      <c r="P94" s="45" t="s">
        <v>36</v>
      </c>
      <c r="Q94" s="45" t="s">
        <v>36</v>
      </c>
      <c r="R94" s="91"/>
      <c r="S94" s="91"/>
      <c r="T94" s="45" t="s">
        <v>516</v>
      </c>
      <c r="U94" s="45"/>
      <c r="V94" s="32" t="s">
        <v>943</v>
      </c>
      <c r="W94" s="32" t="s">
        <v>952</v>
      </c>
      <c r="X94" s="45" t="s">
        <v>628</v>
      </c>
      <c r="Y94" s="45" t="s">
        <v>470</v>
      </c>
      <c r="Z94" s="45"/>
      <c r="AA94" s="45" t="s">
        <v>469</v>
      </c>
      <c r="AB94" s="45" t="s">
        <v>470</v>
      </c>
      <c r="AC94" s="45"/>
      <c r="AD94" s="32"/>
      <c r="AE94" s="45" t="s">
        <v>469</v>
      </c>
      <c r="AF94" s="45" t="s">
        <v>470</v>
      </c>
      <c r="AG94" s="45"/>
      <c r="AH94" s="45" t="s">
        <v>473</v>
      </c>
      <c r="AI94" s="45" t="s">
        <v>473</v>
      </c>
      <c r="AJ94" s="32" t="s">
        <v>1108</v>
      </c>
      <c r="AK94" s="92"/>
      <c r="AL94" s="42" t="s">
        <v>953</v>
      </c>
      <c r="AM94" s="61" t="s">
        <v>473</v>
      </c>
    </row>
    <row r="95" ht="118.8" spans="1:39">
      <c r="A95" s="79" t="s">
        <v>453</v>
      </c>
      <c r="B95" s="79" t="s">
        <v>644</v>
      </c>
      <c r="C95" s="45" t="s">
        <v>935</v>
      </c>
      <c r="D95" s="45" t="s">
        <v>936</v>
      </c>
      <c r="E95" s="32" t="s">
        <v>954</v>
      </c>
      <c r="F95" s="89" t="s">
        <v>955</v>
      </c>
      <c r="G95" s="45" t="s">
        <v>956</v>
      </c>
      <c r="H95" s="45" t="s">
        <v>957</v>
      </c>
      <c r="I95" s="83" t="s">
        <v>958</v>
      </c>
      <c r="J95" s="45" t="s">
        <v>1005</v>
      </c>
      <c r="K95" s="45"/>
      <c r="L95" s="45"/>
      <c r="M95" s="45" t="s">
        <v>36</v>
      </c>
      <c r="N95" s="45" t="s">
        <v>36</v>
      </c>
      <c r="O95" s="45" t="s">
        <v>36</v>
      </c>
      <c r="P95" s="91"/>
      <c r="Q95" s="45"/>
      <c r="R95" s="91"/>
      <c r="S95" s="91"/>
      <c r="T95" s="45" t="s">
        <v>516</v>
      </c>
      <c r="U95" s="46"/>
      <c r="V95" s="32" t="s">
        <v>960</v>
      </c>
      <c r="W95" s="32" t="s">
        <v>961</v>
      </c>
      <c r="X95" s="45" t="s">
        <v>628</v>
      </c>
      <c r="Y95" s="45" t="s">
        <v>470</v>
      </c>
      <c r="Z95" s="45"/>
      <c r="AA95" s="45" t="s">
        <v>469</v>
      </c>
      <c r="AB95" s="45" t="s">
        <v>470</v>
      </c>
      <c r="AC95" s="45"/>
      <c r="AD95" s="32"/>
      <c r="AE95" s="45" t="s">
        <v>469</v>
      </c>
      <c r="AF95" s="45" t="s">
        <v>470</v>
      </c>
      <c r="AG95" s="45"/>
      <c r="AH95" s="45" t="s">
        <v>473</v>
      </c>
      <c r="AI95" s="45" t="s">
        <v>473</v>
      </c>
      <c r="AJ95" s="32" t="s">
        <v>1108</v>
      </c>
      <c r="AK95" s="22"/>
      <c r="AL95" s="42" t="s">
        <v>963</v>
      </c>
      <c r="AM95" s="61" t="s">
        <v>473</v>
      </c>
    </row>
    <row r="96" ht="145.2" spans="1:39">
      <c r="A96" s="79"/>
      <c r="B96" s="79"/>
      <c r="C96" s="45"/>
      <c r="D96" s="45"/>
      <c r="E96" s="32"/>
      <c r="F96" s="32"/>
      <c r="G96" s="45"/>
      <c r="H96" s="45"/>
      <c r="I96" s="83" t="s">
        <v>965</v>
      </c>
      <c r="J96" s="45" t="s">
        <v>966</v>
      </c>
      <c r="K96" s="45"/>
      <c r="L96" s="91"/>
      <c r="M96" s="45"/>
      <c r="N96" s="45"/>
      <c r="O96" s="45"/>
      <c r="P96" s="45" t="s">
        <v>36</v>
      </c>
      <c r="Q96" s="45" t="s">
        <v>36</v>
      </c>
      <c r="R96" s="91"/>
      <c r="S96" s="91"/>
      <c r="T96" s="45" t="s">
        <v>516</v>
      </c>
      <c r="U96" s="46"/>
      <c r="V96" s="32" t="s">
        <v>960</v>
      </c>
      <c r="W96" s="32" t="s">
        <v>1109</v>
      </c>
      <c r="X96" s="45" t="s">
        <v>628</v>
      </c>
      <c r="Y96" s="45" t="s">
        <v>470</v>
      </c>
      <c r="Z96" s="45"/>
      <c r="AA96" s="45" t="s">
        <v>469</v>
      </c>
      <c r="AB96" s="45" t="s">
        <v>470</v>
      </c>
      <c r="AC96" s="45"/>
      <c r="AD96" s="32"/>
      <c r="AE96" s="45" t="s">
        <v>469</v>
      </c>
      <c r="AF96" s="45" t="s">
        <v>470</v>
      </c>
      <c r="AG96" s="45"/>
      <c r="AH96" s="45" t="s">
        <v>473</v>
      </c>
      <c r="AI96" s="45" t="s">
        <v>473</v>
      </c>
      <c r="AJ96" s="32" t="s">
        <v>1108</v>
      </c>
      <c r="AK96" s="22"/>
      <c r="AL96" s="42" t="s">
        <v>968</v>
      </c>
      <c r="AM96" s="61" t="s">
        <v>473</v>
      </c>
    </row>
    <row r="97" s="49" customFormat="1" ht="158.4" spans="1:39">
      <c r="A97" s="79" t="s">
        <v>453</v>
      </c>
      <c r="B97" s="79" t="s">
        <v>644</v>
      </c>
      <c r="C97" s="45" t="s">
        <v>935</v>
      </c>
      <c r="D97" s="45" t="s">
        <v>969</v>
      </c>
      <c r="E97" s="32" t="s">
        <v>970</v>
      </c>
      <c r="F97" s="89" t="s">
        <v>971</v>
      </c>
      <c r="G97" s="45" t="s">
        <v>972</v>
      </c>
      <c r="H97" s="45" t="s">
        <v>973</v>
      </c>
      <c r="I97" s="45" t="s">
        <v>974</v>
      </c>
      <c r="J97" s="45" t="s">
        <v>1006</v>
      </c>
      <c r="K97" s="45"/>
      <c r="L97" s="45"/>
      <c r="M97" s="45" t="s">
        <v>36</v>
      </c>
      <c r="N97" s="45" t="s">
        <v>36</v>
      </c>
      <c r="O97" s="45" t="s">
        <v>36</v>
      </c>
      <c r="P97" s="91"/>
      <c r="Q97" s="45"/>
      <c r="R97" s="91"/>
      <c r="S97" s="8"/>
      <c r="T97" s="45" t="s">
        <v>516</v>
      </c>
      <c r="U97" s="46"/>
      <c r="V97" s="32" t="s">
        <v>976</v>
      </c>
      <c r="W97" s="32" t="s">
        <v>961</v>
      </c>
      <c r="X97" s="45" t="s">
        <v>628</v>
      </c>
      <c r="Y97" s="45" t="s">
        <v>470</v>
      </c>
      <c r="Z97" s="45"/>
      <c r="AA97" s="45" t="s">
        <v>469</v>
      </c>
      <c r="AB97" s="45" t="s">
        <v>470</v>
      </c>
      <c r="AC97" s="45"/>
      <c r="AD97" s="32"/>
      <c r="AE97" s="45" t="s">
        <v>469</v>
      </c>
      <c r="AF97" s="45" t="s">
        <v>470</v>
      </c>
      <c r="AG97" s="45"/>
      <c r="AH97" s="45" t="s">
        <v>473</v>
      </c>
      <c r="AI97" s="45" t="s">
        <v>473</v>
      </c>
      <c r="AJ97" s="32" t="s">
        <v>978</v>
      </c>
      <c r="AK97" s="92"/>
      <c r="AL97" s="42" t="s">
        <v>963</v>
      </c>
      <c r="AM97" s="61" t="s">
        <v>473</v>
      </c>
    </row>
    <row r="98" s="49" customFormat="1" ht="158.4" spans="1:39">
      <c r="A98" s="79"/>
      <c r="B98" s="79"/>
      <c r="C98" s="45"/>
      <c r="D98" s="45"/>
      <c r="E98" s="32"/>
      <c r="F98" s="32"/>
      <c r="G98" s="45"/>
      <c r="H98" s="45"/>
      <c r="I98" s="45" t="s">
        <v>980</v>
      </c>
      <c r="J98" s="32" t="s">
        <v>1007</v>
      </c>
      <c r="K98" s="45"/>
      <c r="L98" s="45"/>
      <c r="M98" s="45" t="s">
        <v>36</v>
      </c>
      <c r="N98" s="45" t="s">
        <v>36</v>
      </c>
      <c r="O98" s="45" t="s">
        <v>36</v>
      </c>
      <c r="P98" s="91"/>
      <c r="Q98" s="45"/>
      <c r="R98" s="91"/>
      <c r="S98" s="8"/>
      <c r="T98" s="45" t="s">
        <v>516</v>
      </c>
      <c r="U98" s="46"/>
      <c r="V98" s="32" t="s">
        <v>976</v>
      </c>
      <c r="W98" s="32" t="s">
        <v>961</v>
      </c>
      <c r="X98" s="45" t="s">
        <v>628</v>
      </c>
      <c r="Y98" s="45" t="s">
        <v>470</v>
      </c>
      <c r="Z98" s="45"/>
      <c r="AA98" s="45" t="s">
        <v>469</v>
      </c>
      <c r="AB98" s="45" t="s">
        <v>470</v>
      </c>
      <c r="AC98" s="45"/>
      <c r="AD98" s="32"/>
      <c r="AE98" s="45" t="s">
        <v>469</v>
      </c>
      <c r="AF98" s="45" t="s">
        <v>470</v>
      </c>
      <c r="AG98" s="45"/>
      <c r="AH98" s="45" t="s">
        <v>473</v>
      </c>
      <c r="AI98" s="45" t="s">
        <v>473</v>
      </c>
      <c r="AJ98" s="32" t="s">
        <v>1108</v>
      </c>
      <c r="AK98" s="92"/>
      <c r="AL98" s="42" t="s">
        <v>963</v>
      </c>
      <c r="AM98" s="61" t="s">
        <v>473</v>
      </c>
    </row>
    <row r="99" s="49" customFormat="1" ht="158.4" spans="1:39">
      <c r="A99" s="79"/>
      <c r="B99" s="79"/>
      <c r="C99" s="45"/>
      <c r="D99" s="45"/>
      <c r="E99" s="32"/>
      <c r="F99" s="32"/>
      <c r="G99" s="45"/>
      <c r="H99" s="45"/>
      <c r="I99" s="45" t="s">
        <v>1008</v>
      </c>
      <c r="J99" s="32" t="s">
        <v>981</v>
      </c>
      <c r="K99" s="45"/>
      <c r="L99" s="91"/>
      <c r="M99" s="91"/>
      <c r="N99" s="45" t="s">
        <v>36</v>
      </c>
      <c r="O99" s="91"/>
      <c r="P99" s="91"/>
      <c r="Q99" s="45" t="s">
        <v>36</v>
      </c>
      <c r="R99" s="91"/>
      <c r="S99" s="8"/>
      <c r="T99" s="45" t="s">
        <v>516</v>
      </c>
      <c r="U99" s="46"/>
      <c r="V99" s="32" t="s">
        <v>976</v>
      </c>
      <c r="W99" s="93" t="s">
        <v>1110</v>
      </c>
      <c r="X99" s="45" t="s">
        <v>628</v>
      </c>
      <c r="Y99" s="45" t="s">
        <v>470</v>
      </c>
      <c r="Z99" s="45"/>
      <c r="AA99" s="45" t="s">
        <v>469</v>
      </c>
      <c r="AB99" s="45" t="s">
        <v>470</v>
      </c>
      <c r="AC99" s="45"/>
      <c r="AD99" s="32"/>
      <c r="AE99" s="45" t="s">
        <v>469</v>
      </c>
      <c r="AF99" s="45" t="s">
        <v>470</v>
      </c>
      <c r="AG99" s="45"/>
      <c r="AH99" s="45" t="s">
        <v>473</v>
      </c>
      <c r="AI99" s="45" t="s">
        <v>473</v>
      </c>
      <c r="AJ99" s="32" t="s">
        <v>1108</v>
      </c>
      <c r="AK99" s="92"/>
      <c r="AL99" s="42" t="s">
        <v>968</v>
      </c>
      <c r="AM99" s="61" t="s">
        <v>473</v>
      </c>
    </row>
    <row r="100" ht="145.2" spans="1:39">
      <c r="A100" s="79" t="s">
        <v>453</v>
      </c>
      <c r="B100" s="79" t="s">
        <v>644</v>
      </c>
      <c r="C100" s="45" t="s">
        <v>935</v>
      </c>
      <c r="D100" s="45" t="s">
        <v>982</v>
      </c>
      <c r="E100" s="32" t="s">
        <v>983</v>
      </c>
      <c r="F100" s="89" t="s">
        <v>1009</v>
      </c>
      <c r="G100" s="45" t="s">
        <v>985</v>
      </c>
      <c r="H100" s="45" t="s">
        <v>986</v>
      </c>
      <c r="I100" s="45" t="s">
        <v>987</v>
      </c>
      <c r="J100" s="45" t="s">
        <v>1010</v>
      </c>
      <c r="K100" s="45"/>
      <c r="L100" s="91"/>
      <c r="M100" s="91"/>
      <c r="N100" s="45" t="s">
        <v>36</v>
      </c>
      <c r="O100" s="45" t="s">
        <v>36</v>
      </c>
      <c r="P100" s="91"/>
      <c r="Q100" s="45" t="s">
        <v>36</v>
      </c>
      <c r="R100" s="91"/>
      <c r="S100" s="91"/>
      <c r="T100" s="45" t="s">
        <v>516</v>
      </c>
      <c r="U100" s="46"/>
      <c r="V100" s="32" t="s">
        <v>1011</v>
      </c>
      <c r="W100" s="32" t="s">
        <v>990</v>
      </c>
      <c r="X100" s="45" t="s">
        <v>628</v>
      </c>
      <c r="Y100" s="45" t="s">
        <v>470</v>
      </c>
      <c r="Z100" s="45"/>
      <c r="AA100" s="45" t="s">
        <v>469</v>
      </c>
      <c r="AB100" s="45" t="s">
        <v>470</v>
      </c>
      <c r="AC100" s="45"/>
      <c r="AD100" s="32"/>
      <c r="AE100" s="45" t="s">
        <v>469</v>
      </c>
      <c r="AF100" s="45" t="s">
        <v>470</v>
      </c>
      <c r="AG100" s="45"/>
      <c r="AH100" s="45" t="s">
        <v>473</v>
      </c>
      <c r="AI100" s="45" t="s">
        <v>473</v>
      </c>
      <c r="AJ100" s="32" t="s">
        <v>1111</v>
      </c>
      <c r="AK100" s="22"/>
      <c r="AL100" s="42" t="s">
        <v>1013</v>
      </c>
      <c r="AM100" s="61" t="s">
        <v>473</v>
      </c>
    </row>
    <row r="101" ht="171.6" spans="1:39">
      <c r="A101" s="79"/>
      <c r="B101" s="79"/>
      <c r="C101" s="45"/>
      <c r="D101" s="45"/>
      <c r="E101" s="32"/>
      <c r="F101" s="32"/>
      <c r="G101" s="45"/>
      <c r="H101" s="45"/>
      <c r="I101" s="45" t="s">
        <v>995</v>
      </c>
      <c r="J101" s="45" t="s">
        <v>1014</v>
      </c>
      <c r="K101" s="45"/>
      <c r="L101" s="91"/>
      <c r="M101" s="91"/>
      <c r="N101" s="45" t="s">
        <v>36</v>
      </c>
      <c r="O101" s="91"/>
      <c r="P101" s="91"/>
      <c r="Q101" s="45" t="s">
        <v>36</v>
      </c>
      <c r="R101" s="91"/>
      <c r="S101" s="91"/>
      <c r="T101" s="45" t="s">
        <v>463</v>
      </c>
      <c r="U101" s="46" t="s">
        <v>635</v>
      </c>
      <c r="V101" s="32" t="s">
        <v>1015</v>
      </c>
      <c r="W101" s="45" t="s">
        <v>1016</v>
      </c>
      <c r="X101" s="45" t="s">
        <v>628</v>
      </c>
      <c r="Y101" s="45" t="s">
        <v>470</v>
      </c>
      <c r="Z101" s="45"/>
      <c r="AA101" s="45" t="s">
        <v>469</v>
      </c>
      <c r="AB101" s="45" t="s">
        <v>470</v>
      </c>
      <c r="AC101" s="45"/>
      <c r="AD101" s="32" t="s">
        <v>1017</v>
      </c>
      <c r="AE101" s="45" t="s">
        <v>469</v>
      </c>
      <c r="AF101" s="45" t="s">
        <v>470</v>
      </c>
      <c r="AG101" s="45"/>
      <c r="AH101" s="45" t="s">
        <v>473</v>
      </c>
      <c r="AI101" s="45" t="s">
        <v>473</v>
      </c>
      <c r="AJ101" s="32" t="s">
        <v>1018</v>
      </c>
      <c r="AK101" s="22"/>
      <c r="AL101" s="42" t="s">
        <v>993</v>
      </c>
      <c r="AM101" s="61" t="s">
        <v>473</v>
      </c>
    </row>
    <row r="102" ht="198" spans="1:39">
      <c r="A102" s="79"/>
      <c r="B102" s="79"/>
      <c r="C102" s="45"/>
      <c r="D102" s="45"/>
      <c r="E102" s="32"/>
      <c r="F102" s="32"/>
      <c r="G102" s="45"/>
      <c r="H102" s="45"/>
      <c r="I102" s="45" t="s">
        <v>1019</v>
      </c>
      <c r="J102" s="45" t="s">
        <v>996</v>
      </c>
      <c r="K102" s="45"/>
      <c r="L102" s="91"/>
      <c r="M102" s="91"/>
      <c r="N102" s="45" t="s">
        <v>36</v>
      </c>
      <c r="O102" s="91"/>
      <c r="P102" s="91"/>
      <c r="Q102" s="45" t="s">
        <v>36</v>
      </c>
      <c r="R102" s="91"/>
      <c r="S102" s="91"/>
      <c r="T102" s="45" t="s">
        <v>516</v>
      </c>
      <c r="U102" s="46"/>
      <c r="V102" s="32" t="s">
        <v>989</v>
      </c>
      <c r="W102" s="94" t="s">
        <v>1112</v>
      </c>
      <c r="X102" s="45" t="s">
        <v>628</v>
      </c>
      <c r="Y102" s="45" t="s">
        <v>470</v>
      </c>
      <c r="Z102" s="45"/>
      <c r="AA102" s="45" t="s">
        <v>469</v>
      </c>
      <c r="AB102" s="45" t="s">
        <v>470</v>
      </c>
      <c r="AC102" s="45"/>
      <c r="AD102" s="32"/>
      <c r="AE102" s="45" t="s">
        <v>469</v>
      </c>
      <c r="AF102" s="45" t="s">
        <v>470</v>
      </c>
      <c r="AG102" s="45"/>
      <c r="AH102" s="45" t="s">
        <v>473</v>
      </c>
      <c r="AI102" s="45" t="s">
        <v>473</v>
      </c>
      <c r="AJ102" s="32" t="s">
        <v>1113</v>
      </c>
      <c r="AK102" s="22"/>
      <c r="AL102" s="42" t="s">
        <v>993</v>
      </c>
      <c r="AM102" s="61" t="s">
        <v>473</v>
      </c>
    </row>
    <row r="103" ht="87" customHeight="1" spans="1:39">
      <c r="A103" s="80" t="s">
        <v>453</v>
      </c>
      <c r="B103" s="80" t="s">
        <v>644</v>
      </c>
      <c r="C103" s="81" t="s">
        <v>935</v>
      </c>
      <c r="D103" s="81" t="s">
        <v>1020</v>
      </c>
      <c r="E103" s="81" t="s">
        <v>1021</v>
      </c>
      <c r="F103" s="81" t="s">
        <v>1022</v>
      </c>
      <c r="G103" s="81" t="s">
        <v>1023</v>
      </c>
      <c r="H103" s="81" t="s">
        <v>1024</v>
      </c>
      <c r="I103" s="32" t="s">
        <v>1114</v>
      </c>
      <c r="J103" s="32" t="s">
        <v>1026</v>
      </c>
      <c r="K103" s="45"/>
      <c r="L103" s="91"/>
      <c r="M103" s="91"/>
      <c r="N103" s="45" t="s">
        <v>36</v>
      </c>
      <c r="O103" s="45" t="s">
        <v>36</v>
      </c>
      <c r="P103" s="91"/>
      <c r="Q103" s="45"/>
      <c r="R103" s="45"/>
      <c r="S103" s="91"/>
      <c r="T103" s="45" t="s">
        <v>516</v>
      </c>
      <c r="U103" s="92"/>
      <c r="V103" s="32" t="s">
        <v>1027</v>
      </c>
      <c r="W103" s="32" t="s">
        <v>1028</v>
      </c>
      <c r="X103" s="45" t="s">
        <v>628</v>
      </c>
      <c r="Y103" s="45" t="s">
        <v>470</v>
      </c>
      <c r="Z103" s="45"/>
      <c r="AA103" s="45" t="s">
        <v>469</v>
      </c>
      <c r="AB103" s="45" t="s">
        <v>470</v>
      </c>
      <c r="AC103" s="45"/>
      <c r="AD103" s="32"/>
      <c r="AE103" s="45" t="s">
        <v>469</v>
      </c>
      <c r="AF103" s="45" t="s">
        <v>470</v>
      </c>
      <c r="AG103" s="45"/>
      <c r="AH103" s="45" t="s">
        <v>473</v>
      </c>
      <c r="AI103" s="45" t="s">
        <v>473</v>
      </c>
      <c r="AJ103" s="32" t="s">
        <v>1115</v>
      </c>
      <c r="AK103" s="22"/>
      <c r="AL103" s="42" t="s">
        <v>1030</v>
      </c>
      <c r="AM103" s="61" t="s">
        <v>473</v>
      </c>
    </row>
    <row r="104" ht="171.6" spans="1:39">
      <c r="A104" s="84"/>
      <c r="B104" s="84"/>
      <c r="C104" s="85"/>
      <c r="D104" s="85"/>
      <c r="E104" s="85"/>
      <c r="F104" s="85"/>
      <c r="G104" s="85"/>
      <c r="H104" s="85"/>
      <c r="I104" s="32" t="s">
        <v>1116</v>
      </c>
      <c r="J104" s="32" t="s">
        <v>1033</v>
      </c>
      <c r="K104" s="45"/>
      <c r="L104" s="91"/>
      <c r="M104" s="91"/>
      <c r="N104" s="45" t="s">
        <v>36</v>
      </c>
      <c r="O104" s="45" t="s">
        <v>36</v>
      </c>
      <c r="P104" s="91"/>
      <c r="Q104" s="45"/>
      <c r="R104" s="45"/>
      <c r="S104" s="91"/>
      <c r="T104" s="45" t="s">
        <v>516</v>
      </c>
      <c r="U104" s="92"/>
      <c r="V104" s="32" t="s">
        <v>1034</v>
      </c>
      <c r="W104" s="32" t="s">
        <v>1028</v>
      </c>
      <c r="X104" s="45" t="s">
        <v>628</v>
      </c>
      <c r="Y104" s="45" t="s">
        <v>470</v>
      </c>
      <c r="Z104" s="45"/>
      <c r="AA104" s="45" t="s">
        <v>469</v>
      </c>
      <c r="AB104" s="45" t="s">
        <v>470</v>
      </c>
      <c r="AC104" s="45"/>
      <c r="AD104" s="32"/>
      <c r="AE104" s="45" t="s">
        <v>469</v>
      </c>
      <c r="AF104" s="45" t="s">
        <v>470</v>
      </c>
      <c r="AG104" s="45"/>
      <c r="AH104" s="45" t="s">
        <v>473</v>
      </c>
      <c r="AI104" s="45" t="s">
        <v>473</v>
      </c>
      <c r="AJ104" s="32" t="s">
        <v>1115</v>
      </c>
      <c r="AK104" s="22"/>
      <c r="AL104" s="42" t="s">
        <v>1030</v>
      </c>
      <c r="AM104" s="61" t="s">
        <v>473</v>
      </c>
    </row>
    <row r="105" ht="87" customHeight="1" spans="1:39">
      <c r="A105" s="88"/>
      <c r="B105" s="88"/>
      <c r="C105" s="83"/>
      <c r="D105" s="83"/>
      <c r="E105" s="83"/>
      <c r="F105" s="83"/>
      <c r="G105" s="83"/>
      <c r="H105" s="83"/>
      <c r="I105" s="32" t="s">
        <v>1117</v>
      </c>
      <c r="J105" s="32" t="s">
        <v>1036</v>
      </c>
      <c r="K105" s="45"/>
      <c r="L105" s="91"/>
      <c r="M105" s="91"/>
      <c r="N105" s="45" t="s">
        <v>36</v>
      </c>
      <c r="O105" s="45" t="s">
        <v>36</v>
      </c>
      <c r="P105" s="91"/>
      <c r="Q105" s="45" t="s">
        <v>36</v>
      </c>
      <c r="R105" s="45"/>
      <c r="S105" s="91"/>
      <c r="T105" s="45" t="s">
        <v>516</v>
      </c>
      <c r="U105" s="92"/>
      <c r="V105" s="32" t="s">
        <v>1027</v>
      </c>
      <c r="W105" s="93" t="s">
        <v>1118</v>
      </c>
      <c r="X105" s="45" t="s">
        <v>628</v>
      </c>
      <c r="Y105" s="45" t="s">
        <v>470</v>
      </c>
      <c r="Z105" s="45"/>
      <c r="AA105" s="45" t="s">
        <v>469</v>
      </c>
      <c r="AB105" s="45" t="s">
        <v>470</v>
      </c>
      <c r="AC105" s="45"/>
      <c r="AD105" s="32"/>
      <c r="AE105" s="45" t="s">
        <v>469</v>
      </c>
      <c r="AF105" s="45" t="s">
        <v>470</v>
      </c>
      <c r="AG105" s="45"/>
      <c r="AH105" s="45" t="s">
        <v>473</v>
      </c>
      <c r="AI105" s="45" t="s">
        <v>473</v>
      </c>
      <c r="AJ105" s="32" t="s">
        <v>1115</v>
      </c>
      <c r="AK105" s="22"/>
      <c r="AL105" s="42" t="s">
        <v>1038</v>
      </c>
      <c r="AM105" s="61" t="s">
        <v>473</v>
      </c>
    </row>
  </sheetData>
  <sheetProtection formatCells="0" formatColumns="0" formatRows="0" insertRows="0" insertColumns="0" insertHyperlinks="0" deleteColumns="0" deleteRows="0" sort="0" autoFilter="0" pivotTables="0"/>
  <autoFilter xmlns:etc="http://www.wps.cn/officeDocument/2017/etCustomData" ref="A3:AM105" etc:filterBottomFollowUsedRange="0">
    <extLst/>
  </autoFilter>
  <mergeCells count="266">
    <mergeCell ref="A1:AK1"/>
    <mergeCell ref="K2:S2"/>
    <mergeCell ref="X2:Z2"/>
    <mergeCell ref="AA2:AC2"/>
    <mergeCell ref="AD2:AG2"/>
    <mergeCell ref="AH2:AJ2"/>
    <mergeCell ref="A2:A3"/>
    <mergeCell ref="A4:A9"/>
    <mergeCell ref="A10:A18"/>
    <mergeCell ref="A19:A25"/>
    <mergeCell ref="A26:A29"/>
    <mergeCell ref="A30:A34"/>
    <mergeCell ref="A35:A40"/>
    <mergeCell ref="A41:A44"/>
    <mergeCell ref="A45:A48"/>
    <mergeCell ref="A49:A52"/>
    <mergeCell ref="A53:A55"/>
    <mergeCell ref="A56:A60"/>
    <mergeCell ref="A61:A66"/>
    <mergeCell ref="A67:A68"/>
    <mergeCell ref="A69:A73"/>
    <mergeCell ref="A74:A78"/>
    <mergeCell ref="A79:A80"/>
    <mergeCell ref="A81:A84"/>
    <mergeCell ref="A85:A88"/>
    <mergeCell ref="A89:A91"/>
    <mergeCell ref="A92:A94"/>
    <mergeCell ref="A95:A96"/>
    <mergeCell ref="A97:A99"/>
    <mergeCell ref="A100:A102"/>
    <mergeCell ref="A103:A105"/>
    <mergeCell ref="B2:B3"/>
    <mergeCell ref="B4:B9"/>
    <mergeCell ref="B10:B18"/>
    <mergeCell ref="B19:B25"/>
    <mergeCell ref="B26:B29"/>
    <mergeCell ref="B30:B34"/>
    <mergeCell ref="B35:B38"/>
    <mergeCell ref="B39:B40"/>
    <mergeCell ref="B41:B44"/>
    <mergeCell ref="B45:B48"/>
    <mergeCell ref="B49:B52"/>
    <mergeCell ref="B53:B55"/>
    <mergeCell ref="B56:B60"/>
    <mergeCell ref="B61:B66"/>
    <mergeCell ref="B67:B68"/>
    <mergeCell ref="B69:B73"/>
    <mergeCell ref="B74:B78"/>
    <mergeCell ref="B79:B80"/>
    <mergeCell ref="B81:B84"/>
    <mergeCell ref="B85:B88"/>
    <mergeCell ref="B89:B91"/>
    <mergeCell ref="B92:B94"/>
    <mergeCell ref="B95:B96"/>
    <mergeCell ref="B97:B99"/>
    <mergeCell ref="B100:B102"/>
    <mergeCell ref="B103:B105"/>
    <mergeCell ref="C2:C3"/>
    <mergeCell ref="C4:C9"/>
    <mergeCell ref="C10:C12"/>
    <mergeCell ref="C13:C15"/>
    <mergeCell ref="C16:C18"/>
    <mergeCell ref="C19:C22"/>
    <mergeCell ref="C23:C25"/>
    <mergeCell ref="C26:C29"/>
    <mergeCell ref="C30:C34"/>
    <mergeCell ref="C35:C38"/>
    <mergeCell ref="C39:C40"/>
    <mergeCell ref="C41:C44"/>
    <mergeCell ref="C45:C46"/>
    <mergeCell ref="C47:C48"/>
    <mergeCell ref="C50:C52"/>
    <mergeCell ref="C53:C55"/>
    <mergeCell ref="C56:C57"/>
    <mergeCell ref="C58:C60"/>
    <mergeCell ref="C62:C63"/>
    <mergeCell ref="C64:C66"/>
    <mergeCell ref="C67:C68"/>
    <mergeCell ref="C69:C71"/>
    <mergeCell ref="C72:C73"/>
    <mergeCell ref="C74:C78"/>
    <mergeCell ref="C79:C80"/>
    <mergeCell ref="C81:C84"/>
    <mergeCell ref="C85:C88"/>
    <mergeCell ref="C89:C91"/>
    <mergeCell ref="C92:C94"/>
    <mergeCell ref="C95:C96"/>
    <mergeCell ref="C97:C99"/>
    <mergeCell ref="C100:C102"/>
    <mergeCell ref="C103:C105"/>
    <mergeCell ref="D2:D3"/>
    <mergeCell ref="D4:D9"/>
    <mergeCell ref="D10:D12"/>
    <mergeCell ref="D13:D15"/>
    <mergeCell ref="D16:D18"/>
    <mergeCell ref="D20:D22"/>
    <mergeCell ref="D23:D25"/>
    <mergeCell ref="D26:D29"/>
    <mergeCell ref="D30:D34"/>
    <mergeCell ref="D35:D38"/>
    <mergeCell ref="D39:D40"/>
    <mergeCell ref="D41:D43"/>
    <mergeCell ref="D45:D46"/>
    <mergeCell ref="D47:D48"/>
    <mergeCell ref="D50:D52"/>
    <mergeCell ref="D53:D55"/>
    <mergeCell ref="D56:D57"/>
    <mergeCell ref="D58:D60"/>
    <mergeCell ref="D62:D63"/>
    <mergeCell ref="D64:D66"/>
    <mergeCell ref="D67:D68"/>
    <mergeCell ref="D69:D71"/>
    <mergeCell ref="D72:D73"/>
    <mergeCell ref="D74:D78"/>
    <mergeCell ref="D79:D80"/>
    <mergeCell ref="D81:D84"/>
    <mergeCell ref="D85:D88"/>
    <mergeCell ref="D89:D91"/>
    <mergeCell ref="D92:D94"/>
    <mergeCell ref="D95:D96"/>
    <mergeCell ref="D97:D99"/>
    <mergeCell ref="D100:D102"/>
    <mergeCell ref="D103:D105"/>
    <mergeCell ref="E2:E3"/>
    <mergeCell ref="E4:E9"/>
    <mergeCell ref="E10:E12"/>
    <mergeCell ref="E13:E15"/>
    <mergeCell ref="E16:E18"/>
    <mergeCell ref="E20:E22"/>
    <mergeCell ref="E23:E25"/>
    <mergeCell ref="E26:E29"/>
    <mergeCell ref="E31:E34"/>
    <mergeCell ref="E35:E38"/>
    <mergeCell ref="E39:E40"/>
    <mergeCell ref="E41:E43"/>
    <mergeCell ref="E45:E46"/>
    <mergeCell ref="E47:E48"/>
    <mergeCell ref="E50:E52"/>
    <mergeCell ref="E53:E55"/>
    <mergeCell ref="E56:E57"/>
    <mergeCell ref="E58:E60"/>
    <mergeCell ref="E62:E63"/>
    <mergeCell ref="E64:E66"/>
    <mergeCell ref="E67:E68"/>
    <mergeCell ref="E69:E71"/>
    <mergeCell ref="E72:E73"/>
    <mergeCell ref="E74:E78"/>
    <mergeCell ref="E79:E80"/>
    <mergeCell ref="E81:E84"/>
    <mergeCell ref="E85:E88"/>
    <mergeCell ref="E89:E91"/>
    <mergeCell ref="E92:E94"/>
    <mergeCell ref="E95:E96"/>
    <mergeCell ref="E97:E99"/>
    <mergeCell ref="E100:E102"/>
    <mergeCell ref="E103:E105"/>
    <mergeCell ref="F2:F3"/>
    <mergeCell ref="F4:F9"/>
    <mergeCell ref="F10:F12"/>
    <mergeCell ref="F13:F15"/>
    <mergeCell ref="F16:F18"/>
    <mergeCell ref="F20:F22"/>
    <mergeCell ref="F23:F25"/>
    <mergeCell ref="F26:F29"/>
    <mergeCell ref="F30:F34"/>
    <mergeCell ref="F35:F38"/>
    <mergeCell ref="F39:F40"/>
    <mergeCell ref="F41:F43"/>
    <mergeCell ref="F45:F46"/>
    <mergeCell ref="F47:F48"/>
    <mergeCell ref="F50:F52"/>
    <mergeCell ref="F53:F55"/>
    <mergeCell ref="F56:F57"/>
    <mergeCell ref="F58:F60"/>
    <mergeCell ref="F62:F63"/>
    <mergeCell ref="F64:F66"/>
    <mergeCell ref="F67:F68"/>
    <mergeCell ref="F69:F71"/>
    <mergeCell ref="F72:F73"/>
    <mergeCell ref="F74:F78"/>
    <mergeCell ref="F79:F80"/>
    <mergeCell ref="F81:F84"/>
    <mergeCell ref="F85:F88"/>
    <mergeCell ref="F89:F91"/>
    <mergeCell ref="F92:F94"/>
    <mergeCell ref="F95:F96"/>
    <mergeCell ref="F97:F99"/>
    <mergeCell ref="F100:F102"/>
    <mergeCell ref="F103:F105"/>
    <mergeCell ref="G2:G3"/>
    <mergeCell ref="G4:G6"/>
    <mergeCell ref="G7:G9"/>
    <mergeCell ref="G10:G12"/>
    <mergeCell ref="G13:G15"/>
    <mergeCell ref="G16:G18"/>
    <mergeCell ref="G20:G22"/>
    <mergeCell ref="G23:G25"/>
    <mergeCell ref="G26:G29"/>
    <mergeCell ref="G31:G34"/>
    <mergeCell ref="G35:G38"/>
    <mergeCell ref="G39:G40"/>
    <mergeCell ref="G41:G43"/>
    <mergeCell ref="G45:G46"/>
    <mergeCell ref="G47:G48"/>
    <mergeCell ref="G50:G52"/>
    <mergeCell ref="G53:G55"/>
    <mergeCell ref="G56:G57"/>
    <mergeCell ref="G58:G60"/>
    <mergeCell ref="G62:G63"/>
    <mergeCell ref="G64:G66"/>
    <mergeCell ref="G67:G68"/>
    <mergeCell ref="G69:G71"/>
    <mergeCell ref="G72:G73"/>
    <mergeCell ref="G74:G78"/>
    <mergeCell ref="G79:G80"/>
    <mergeCell ref="G81:G84"/>
    <mergeCell ref="G85:G88"/>
    <mergeCell ref="G89:G91"/>
    <mergeCell ref="G92:G94"/>
    <mergeCell ref="G95:G96"/>
    <mergeCell ref="G97:G99"/>
    <mergeCell ref="G100:G102"/>
    <mergeCell ref="G103:G105"/>
    <mergeCell ref="H2:H3"/>
    <mergeCell ref="H4:H6"/>
    <mergeCell ref="H7:H9"/>
    <mergeCell ref="H10:H12"/>
    <mergeCell ref="H13:H15"/>
    <mergeCell ref="H16:H18"/>
    <mergeCell ref="H20:H22"/>
    <mergeCell ref="H23:H25"/>
    <mergeCell ref="H26:H29"/>
    <mergeCell ref="H31:H34"/>
    <mergeCell ref="H35:H38"/>
    <mergeCell ref="H39:H40"/>
    <mergeCell ref="H41:H43"/>
    <mergeCell ref="H45:H46"/>
    <mergeCell ref="H47:H48"/>
    <mergeCell ref="H50:H52"/>
    <mergeCell ref="H53:H55"/>
    <mergeCell ref="H56:H57"/>
    <mergeCell ref="H58:H60"/>
    <mergeCell ref="H62:H63"/>
    <mergeCell ref="H64:H66"/>
    <mergeCell ref="H67:H68"/>
    <mergeCell ref="H69:H71"/>
    <mergeCell ref="H72:H73"/>
    <mergeCell ref="H74:H78"/>
    <mergeCell ref="H79:H80"/>
    <mergeCell ref="H81:H84"/>
    <mergeCell ref="H85:H88"/>
    <mergeCell ref="H89:H91"/>
    <mergeCell ref="H92:H94"/>
    <mergeCell ref="H95:H96"/>
    <mergeCell ref="H97:H99"/>
    <mergeCell ref="H100:H102"/>
    <mergeCell ref="H103:H105"/>
    <mergeCell ref="I2:I3"/>
    <mergeCell ref="J2:J3"/>
    <mergeCell ref="T2:T3"/>
    <mergeCell ref="U2:U3"/>
    <mergeCell ref="V2:V3"/>
    <mergeCell ref="W2:W3"/>
    <mergeCell ref="AK2:AK3"/>
    <mergeCell ref="AL2:AL3"/>
    <mergeCell ref="AM2:AM3"/>
  </mergeCells>
  <dataValidations count="3">
    <dataValidation type="list" allowBlank="1" showInputMessage="1" sqref="T76 T92:T102">
      <formula1>#REF!</formula1>
    </dataValidation>
    <dataValidation allowBlank="1" showInputMessage="1" showErrorMessage="1" sqref="J4:J78 V3:V78"/>
    <dataValidation type="list" allowBlank="1" showInputMessage="1" showErrorMessage="1" sqref="T2:T40 T68:T75 T77:T91 T103:T1048576">
      <formula1>#REF!</formula1>
    </dataValidation>
  </dataValidations>
  <pageMargins left="0.444444444444444" right="0.236111111111111" top="0.354166666666667" bottom="0.393055555555556" header="0.298611111111111" footer="0.298611111111111"/>
  <pageSetup paperSize="8" scale="10" fitToHeight="0" orientation="landscape" horizontalDpi="600"/>
  <headerFooter/>
  <rowBreaks count="14" manualBreakCount="14">
    <brk id="9" max="38" man="1"/>
    <brk id="18" max="38" man="1"/>
    <brk id="25" max="38" man="1"/>
    <brk id="29" max="38" man="1"/>
    <brk id="34" max="38" man="1"/>
    <brk id="40" max="36" man="1"/>
    <brk id="44" max="38" man="1"/>
    <brk id="48" max="36" man="1"/>
    <brk id="52" max="36" man="1"/>
    <brk id="55" max="36" man="1"/>
    <brk id="60" max="36" man="1"/>
    <brk id="66" max="38" man="1"/>
    <brk id="73" max="38" man="1"/>
    <brk id="80"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topLeftCell="A35" workbookViewId="0">
      <selection activeCell="I45" sqref="I45"/>
    </sheetView>
  </sheetViews>
  <sheetFormatPr defaultColWidth="8.66666666666667" defaultRowHeight="13.8" outlineLevelCol="6"/>
  <cols>
    <col min="1" max="1" width="8.33333333333333" customWidth="1"/>
  </cols>
  <sheetData>
    <row r="1" ht="79.2" spans="1:7">
      <c r="A1" s="35" t="s">
        <v>461</v>
      </c>
      <c r="B1" s="43" t="s">
        <v>463</v>
      </c>
      <c r="C1" s="35" t="s">
        <v>464</v>
      </c>
      <c r="D1" t="e">
        <f>VLOOKUP(A1,[3]系统控制规则清单!$G:$G,2,0)</f>
        <v>#REF!</v>
      </c>
      <c r="E1" t="e">
        <f>VLOOKUP(A1,[3]系统控制规则清单!$G:$G,3,0)</f>
        <v>#REF!</v>
      </c>
      <c r="F1" t="e">
        <f>D1=C1</f>
        <v>#REF!</v>
      </c>
      <c r="G1" t="e">
        <f>E1=B1</f>
        <v>#REF!</v>
      </c>
    </row>
    <row r="2" ht="79.2" spans="1:7">
      <c r="A2" s="35" t="s">
        <v>478</v>
      </c>
      <c r="B2" s="43" t="s">
        <v>463</v>
      </c>
      <c r="C2" s="35" t="s">
        <v>464</v>
      </c>
      <c r="D2" t="e">
        <f>VLOOKUP(A2,[3]系统控制规则清单!$G:$G,2,0)</f>
        <v>#REF!</v>
      </c>
      <c r="E2" t="e">
        <f>VLOOKUP(A2,[3]系统控制规则清单!$G:$G,3,0)</f>
        <v>#REF!</v>
      </c>
      <c r="F2" t="e">
        <f t="shared" ref="F2:F35" si="0">D2=C2</f>
        <v>#REF!</v>
      </c>
      <c r="G2" t="e">
        <f t="shared" ref="G2:G35" si="1">E2=B2</f>
        <v>#REF!</v>
      </c>
    </row>
    <row r="3" ht="79.2" spans="1:7">
      <c r="A3" s="35" t="s">
        <v>482</v>
      </c>
      <c r="B3" s="43" t="s">
        <v>463</v>
      </c>
      <c r="C3" s="35" t="s">
        <v>464</v>
      </c>
      <c r="D3" t="e">
        <f>VLOOKUP(A3,[3]系统控制规则清单!$G:$G,2,0)</f>
        <v>#REF!</v>
      </c>
      <c r="E3" t="e">
        <f>VLOOKUP(A3,[3]系统控制规则清单!$G:$G,3,0)</f>
        <v>#REF!</v>
      </c>
      <c r="F3" t="e">
        <f t="shared" si="0"/>
        <v>#REF!</v>
      </c>
      <c r="G3" t="e">
        <f t="shared" si="1"/>
        <v>#REF!</v>
      </c>
    </row>
    <row r="4" ht="79.2" spans="1:7">
      <c r="A4" s="35" t="s">
        <v>487</v>
      </c>
      <c r="B4" s="43" t="s">
        <v>463</v>
      </c>
      <c r="C4" s="35" t="s">
        <v>464</v>
      </c>
      <c r="D4" t="e">
        <f>VLOOKUP(A4,[3]系统控制规则清单!$G:$G,2,0)</f>
        <v>#REF!</v>
      </c>
      <c r="E4" t="e">
        <f>VLOOKUP(A4,[3]系统控制规则清单!$G:$G,3,0)</f>
        <v>#REF!</v>
      </c>
      <c r="F4" t="e">
        <f t="shared" si="0"/>
        <v>#REF!</v>
      </c>
      <c r="G4" t="e">
        <f t="shared" si="1"/>
        <v>#REF!</v>
      </c>
    </row>
    <row r="5" ht="79.2" spans="1:7">
      <c r="A5" s="35" t="s">
        <v>491</v>
      </c>
      <c r="B5" s="43" t="s">
        <v>463</v>
      </c>
      <c r="C5" s="35" t="s">
        <v>464</v>
      </c>
      <c r="D5" t="e">
        <f>VLOOKUP(A5,[3]系统控制规则清单!$G:$G,2,0)</f>
        <v>#REF!</v>
      </c>
      <c r="E5" t="e">
        <f>VLOOKUP(A5,[3]系统控制规则清单!$G:$G,3,0)</f>
        <v>#REF!</v>
      </c>
      <c r="F5" t="e">
        <f t="shared" si="0"/>
        <v>#REF!</v>
      </c>
      <c r="G5" t="e">
        <f t="shared" si="1"/>
        <v>#REF!</v>
      </c>
    </row>
    <row r="6" ht="79.2" spans="1:7">
      <c r="A6" s="35" t="s">
        <v>495</v>
      </c>
      <c r="B6" s="35" t="s">
        <v>497</v>
      </c>
      <c r="C6" s="35" t="s">
        <v>464</v>
      </c>
      <c r="D6" t="e">
        <f>VLOOKUP(A6,[3]系统控制规则清单!$G:$G,2,0)</f>
        <v>#REF!</v>
      </c>
      <c r="E6" t="e">
        <f>VLOOKUP(A6,[3]系统控制规则清单!$G:$G,3,0)</f>
        <v>#REF!</v>
      </c>
      <c r="F6" t="e">
        <f t="shared" si="0"/>
        <v>#REF!</v>
      </c>
      <c r="G6" t="e">
        <f t="shared" si="1"/>
        <v>#REF!</v>
      </c>
    </row>
    <row r="7" ht="92.4" spans="1:7">
      <c r="A7" s="35" t="s">
        <v>503</v>
      </c>
      <c r="B7" s="43" t="s">
        <v>463</v>
      </c>
      <c r="C7" s="35" t="s">
        <v>464</v>
      </c>
      <c r="D7" t="e">
        <f>VLOOKUP(A7,[3]系统控制规则清单!$G:$G,2,0)</f>
        <v>#REF!</v>
      </c>
      <c r="E7" t="e">
        <f>VLOOKUP(A7,[3]系统控制规则清单!$G:$G,3,0)</f>
        <v>#REF!</v>
      </c>
      <c r="F7" t="e">
        <f t="shared" si="0"/>
        <v>#REF!</v>
      </c>
      <c r="G7" t="e">
        <f t="shared" si="1"/>
        <v>#REF!</v>
      </c>
    </row>
    <row r="8" ht="92.4" spans="1:7">
      <c r="A8" s="35" t="s">
        <v>510</v>
      </c>
      <c r="B8" s="43" t="s">
        <v>463</v>
      </c>
      <c r="C8" s="35" t="s">
        <v>464</v>
      </c>
      <c r="D8" t="e">
        <f>VLOOKUP(A8,[3]系统控制规则清单!$G:$G,2,0)</f>
        <v>#REF!</v>
      </c>
      <c r="E8" t="e">
        <f>VLOOKUP(A8,[3]系统控制规则清单!$G:$G,3,0)</f>
        <v>#REF!</v>
      </c>
      <c r="F8" t="e">
        <f t="shared" si="0"/>
        <v>#REF!</v>
      </c>
      <c r="G8" t="e">
        <f t="shared" si="1"/>
        <v>#REF!</v>
      </c>
    </row>
    <row r="9" ht="92.4" spans="1:7">
      <c r="A9" s="35" t="s">
        <v>522</v>
      </c>
      <c r="B9" s="35" t="s">
        <v>497</v>
      </c>
      <c r="C9" s="35" t="s">
        <v>464</v>
      </c>
      <c r="D9" t="e">
        <f>VLOOKUP(A9,[3]系统控制规则清单!$G:$G,2,0)</f>
        <v>#REF!</v>
      </c>
      <c r="E9" t="e">
        <f>VLOOKUP(A9,[3]系统控制规则清单!$G:$G,3,0)</f>
        <v>#REF!</v>
      </c>
      <c r="F9" t="e">
        <f t="shared" si="0"/>
        <v>#REF!</v>
      </c>
      <c r="G9" t="e">
        <f t="shared" si="1"/>
        <v>#REF!</v>
      </c>
    </row>
    <row r="10" ht="92.4" spans="1:7">
      <c r="A10" s="35" t="s">
        <v>527</v>
      </c>
      <c r="B10" s="35" t="s">
        <v>497</v>
      </c>
      <c r="C10" s="35" t="s">
        <v>464</v>
      </c>
      <c r="D10" t="e">
        <f>VLOOKUP(A10,[3]系统控制规则清单!$G:$G,2,0)</f>
        <v>#REF!</v>
      </c>
      <c r="E10" t="e">
        <f>VLOOKUP(A10,[3]系统控制规则清单!$G:$G,3,0)</f>
        <v>#REF!</v>
      </c>
      <c r="F10" t="e">
        <f t="shared" si="0"/>
        <v>#REF!</v>
      </c>
      <c r="G10" t="e">
        <f t="shared" si="1"/>
        <v>#REF!</v>
      </c>
    </row>
    <row r="11" ht="105.6" spans="1:7">
      <c r="A11" s="35" t="s">
        <v>536</v>
      </c>
      <c r="B11" s="43" t="s">
        <v>463</v>
      </c>
      <c r="C11" s="35" t="s">
        <v>464</v>
      </c>
      <c r="D11" t="e">
        <f>VLOOKUP(A11,[3]系统控制规则清单!$G:$G,2,0)</f>
        <v>#REF!</v>
      </c>
      <c r="E11" t="e">
        <f>VLOOKUP(A11,[3]系统控制规则清单!$G:$G,3,0)</f>
        <v>#REF!</v>
      </c>
      <c r="F11" t="e">
        <f t="shared" si="0"/>
        <v>#REF!</v>
      </c>
      <c r="G11" t="e">
        <f t="shared" si="1"/>
        <v>#REF!</v>
      </c>
    </row>
    <row r="12" ht="105.6" spans="1:7">
      <c r="A12" s="35" t="s">
        <v>540</v>
      </c>
      <c r="B12" s="43" t="s">
        <v>463</v>
      </c>
      <c r="C12" s="35" t="s">
        <v>464</v>
      </c>
      <c r="D12" t="e">
        <f>VLOOKUP(A12,[3]系统控制规则清单!$G:$G,2,0)</f>
        <v>#REF!</v>
      </c>
      <c r="E12" t="e">
        <f>VLOOKUP(A12,[3]系统控制规则清单!$G:$G,3,0)</f>
        <v>#REF!</v>
      </c>
      <c r="F12" t="e">
        <f t="shared" si="0"/>
        <v>#REF!</v>
      </c>
      <c r="G12" t="e">
        <f t="shared" si="1"/>
        <v>#REF!</v>
      </c>
    </row>
    <row r="13" ht="105.6" spans="1:7">
      <c r="A13" s="35" t="s">
        <v>543</v>
      </c>
      <c r="B13" s="43" t="s">
        <v>463</v>
      </c>
      <c r="C13" s="35" t="s">
        <v>464</v>
      </c>
      <c r="D13" t="e">
        <f>VLOOKUP(A13,[3]系统控制规则清单!$G:$G,2,0)</f>
        <v>#REF!</v>
      </c>
      <c r="E13" t="e">
        <f>VLOOKUP(A13,[3]系统控制规则清单!$G:$G,3,0)</f>
        <v>#REF!</v>
      </c>
      <c r="F13" t="e">
        <f t="shared" si="0"/>
        <v>#REF!</v>
      </c>
      <c r="G13" t="e">
        <f t="shared" si="1"/>
        <v>#REF!</v>
      </c>
    </row>
    <row r="14" ht="66" spans="1:7">
      <c r="A14" s="35" t="s">
        <v>552</v>
      </c>
      <c r="B14" s="43" t="s">
        <v>463</v>
      </c>
      <c r="C14" s="35" t="s">
        <v>464</v>
      </c>
      <c r="D14" t="e">
        <f>VLOOKUP(A14,[3]系统控制规则清单!$G:$G,2,0)</f>
        <v>#REF!</v>
      </c>
      <c r="E14" t="e">
        <f>VLOOKUP(A14,[3]系统控制规则清单!$G:$G,3,0)</f>
        <v>#REF!</v>
      </c>
      <c r="F14" t="e">
        <f t="shared" si="0"/>
        <v>#REF!</v>
      </c>
      <c r="G14" t="e">
        <f t="shared" si="1"/>
        <v>#REF!</v>
      </c>
    </row>
    <row r="15" ht="66" spans="1:7">
      <c r="A15" s="35" t="s">
        <v>556</v>
      </c>
      <c r="B15" s="43" t="s">
        <v>463</v>
      </c>
      <c r="C15" s="35" t="s">
        <v>464</v>
      </c>
      <c r="D15" t="e">
        <f>VLOOKUP(A15,[3]系统控制规则清单!$G:$G,2,0)</f>
        <v>#REF!</v>
      </c>
      <c r="E15" t="e">
        <f>VLOOKUP(A15,[3]系统控制规则清单!$G:$G,3,0)</f>
        <v>#REF!</v>
      </c>
      <c r="F15" t="e">
        <f t="shared" si="0"/>
        <v>#REF!</v>
      </c>
      <c r="G15" t="e">
        <f t="shared" si="1"/>
        <v>#REF!</v>
      </c>
    </row>
    <row r="16" ht="66" spans="1:7">
      <c r="A16" s="35" t="s">
        <v>559</v>
      </c>
      <c r="B16" s="43" t="s">
        <v>463</v>
      </c>
      <c r="C16" s="35" t="s">
        <v>464</v>
      </c>
      <c r="D16" t="e">
        <f>VLOOKUP(A16,[3]系统控制规则清单!$G:$G,2,0)</f>
        <v>#REF!</v>
      </c>
      <c r="E16" t="e">
        <f>VLOOKUP(A16,[3]系统控制规则清单!$G:$G,3,0)</f>
        <v>#REF!</v>
      </c>
      <c r="F16" t="e">
        <f t="shared" si="0"/>
        <v>#REF!</v>
      </c>
      <c r="G16" t="e">
        <f t="shared" si="1"/>
        <v>#REF!</v>
      </c>
    </row>
    <row r="17" ht="79.2" spans="1:7">
      <c r="A17" s="35" t="s">
        <v>567</v>
      </c>
      <c r="B17" s="43" t="s">
        <v>463</v>
      </c>
      <c r="C17" s="35" t="s">
        <v>464</v>
      </c>
      <c r="D17" t="e">
        <f>VLOOKUP(A17,[3]系统控制规则清单!$G:$G,2,0)</f>
        <v>#REF!</v>
      </c>
      <c r="E17" t="e">
        <f>VLOOKUP(A17,[3]系统控制规则清单!$G:$G,3,0)</f>
        <v>#REF!</v>
      </c>
      <c r="F17" t="e">
        <f t="shared" si="0"/>
        <v>#REF!</v>
      </c>
      <c r="G17" t="e">
        <f t="shared" si="1"/>
        <v>#REF!</v>
      </c>
    </row>
    <row r="18" ht="79.2" spans="1:7">
      <c r="A18" s="35" t="s">
        <v>573</v>
      </c>
      <c r="B18" s="43" t="s">
        <v>463</v>
      </c>
      <c r="C18" s="35" t="s">
        <v>464</v>
      </c>
      <c r="D18" t="e">
        <f>VLOOKUP(A18,[3]系统控制规则清单!$G:$G,2,0)</f>
        <v>#REF!</v>
      </c>
      <c r="E18" t="e">
        <f>VLOOKUP(A18,[3]系统控制规则清单!$G:$G,3,0)</f>
        <v>#REF!</v>
      </c>
      <c r="F18" t="e">
        <f t="shared" si="0"/>
        <v>#REF!</v>
      </c>
      <c r="G18" t="e">
        <f t="shared" si="1"/>
        <v>#REF!</v>
      </c>
    </row>
    <row r="19" ht="92.4" spans="1:7">
      <c r="A19" s="35" t="s">
        <v>583</v>
      </c>
      <c r="B19" s="43" t="s">
        <v>463</v>
      </c>
      <c r="C19" s="35" t="s">
        <v>464</v>
      </c>
      <c r="D19" t="e">
        <f>VLOOKUP(A19,[3]系统控制规则清单!$G:$G,2,0)</f>
        <v>#REF!</v>
      </c>
      <c r="E19" t="e">
        <f>VLOOKUP(A19,[3]系统控制规则清单!$G:$G,3,0)</f>
        <v>#REF!</v>
      </c>
      <c r="F19" t="e">
        <f t="shared" si="0"/>
        <v>#REF!</v>
      </c>
      <c r="G19" t="e">
        <f t="shared" si="1"/>
        <v>#REF!</v>
      </c>
    </row>
    <row r="20" ht="92.4" spans="1:7">
      <c r="A20" s="35" t="s">
        <v>589</v>
      </c>
      <c r="B20" s="43" t="s">
        <v>463</v>
      </c>
      <c r="C20" s="35" t="s">
        <v>464</v>
      </c>
      <c r="D20" t="e">
        <f>VLOOKUP(A20,[3]系统控制规则清单!$G:$G,2,0)</f>
        <v>#REF!</v>
      </c>
      <c r="E20" t="e">
        <f>VLOOKUP(A20,[3]系统控制规则清单!$G:$G,3,0)</f>
        <v>#REF!</v>
      </c>
      <c r="F20" t="e">
        <f t="shared" si="0"/>
        <v>#REF!</v>
      </c>
      <c r="G20" t="e">
        <f t="shared" si="1"/>
        <v>#REF!</v>
      </c>
    </row>
    <row r="21" ht="92.4" spans="1:7">
      <c r="A21" s="35" t="s">
        <v>592</v>
      </c>
      <c r="B21" s="43" t="s">
        <v>463</v>
      </c>
      <c r="C21" s="35" t="s">
        <v>464</v>
      </c>
      <c r="D21" t="e">
        <f>VLOOKUP(A21,[3]系统控制规则清单!$G:$G,2,0)</f>
        <v>#REF!</v>
      </c>
      <c r="E21" t="e">
        <f>VLOOKUP(A21,[3]系统控制规则清单!$G:$G,3,0)</f>
        <v>#REF!</v>
      </c>
      <c r="F21" t="e">
        <f t="shared" si="0"/>
        <v>#REF!</v>
      </c>
      <c r="G21" t="e">
        <f t="shared" si="1"/>
        <v>#REF!</v>
      </c>
    </row>
    <row r="22" ht="92.4" spans="1:7">
      <c r="A22" s="35" t="s">
        <v>595</v>
      </c>
      <c r="B22" s="43" t="s">
        <v>463</v>
      </c>
      <c r="C22" s="35" t="s">
        <v>464</v>
      </c>
      <c r="D22" t="e">
        <f>VLOOKUP(A22,[3]系统控制规则清单!$G:$G,2,0)</f>
        <v>#REF!</v>
      </c>
      <c r="E22" t="e">
        <f>VLOOKUP(A22,[3]系统控制规则清单!$G:$G,3,0)</f>
        <v>#REF!</v>
      </c>
      <c r="F22" t="e">
        <f t="shared" si="0"/>
        <v>#REF!</v>
      </c>
      <c r="G22" t="e">
        <f t="shared" si="1"/>
        <v>#REF!</v>
      </c>
    </row>
    <row r="23" ht="79.2" spans="1:7">
      <c r="A23" s="35" t="s">
        <v>604</v>
      </c>
      <c r="B23" s="35" t="s">
        <v>497</v>
      </c>
      <c r="C23" s="35" t="s">
        <v>464</v>
      </c>
      <c r="D23" t="e">
        <f>VLOOKUP(A23,[3]系统控制规则清单!$G:$G,2,0)</f>
        <v>#REF!</v>
      </c>
      <c r="E23" t="e">
        <f>VLOOKUP(A23,[3]系统控制规则清单!$G:$G,3,0)</f>
        <v>#REF!</v>
      </c>
      <c r="F23" t="e">
        <f t="shared" si="0"/>
        <v>#REF!</v>
      </c>
      <c r="G23" t="e">
        <f t="shared" si="1"/>
        <v>#REF!</v>
      </c>
    </row>
    <row r="24" ht="79.2" spans="1:7">
      <c r="A24" s="35" t="s">
        <v>611</v>
      </c>
      <c r="B24" s="43" t="s">
        <v>463</v>
      </c>
      <c r="C24" s="35" t="s">
        <v>464</v>
      </c>
      <c r="D24" t="e">
        <f>VLOOKUP(A24,[3]系统控制规则清单!$G:$G,2,0)</f>
        <v>#REF!</v>
      </c>
      <c r="E24" t="e">
        <f>VLOOKUP(A24,[3]系统控制规则清单!$G:$G,3,0)</f>
        <v>#REF!</v>
      </c>
      <c r="F24" t="e">
        <f t="shared" si="0"/>
        <v>#REF!</v>
      </c>
      <c r="G24" t="e">
        <f t="shared" si="1"/>
        <v>#REF!</v>
      </c>
    </row>
    <row r="25" ht="92.4" spans="1:7">
      <c r="A25" s="35" t="s">
        <v>633</v>
      </c>
      <c r="B25" s="43" t="s">
        <v>463</v>
      </c>
      <c r="C25" s="35" t="s">
        <v>635</v>
      </c>
      <c r="D25" t="e">
        <f>VLOOKUP(A25,[3]系统控制规则清单!$G:$G,2,0)</f>
        <v>#REF!</v>
      </c>
      <c r="E25" t="e">
        <f>VLOOKUP(A25,[3]系统控制规则清单!$G:$G,3,0)</f>
        <v>#REF!</v>
      </c>
      <c r="F25" t="e">
        <f t="shared" si="0"/>
        <v>#REF!</v>
      </c>
      <c r="G25" t="e">
        <f t="shared" si="1"/>
        <v>#REF!</v>
      </c>
    </row>
    <row r="26" ht="92.4" spans="1:7">
      <c r="A26" s="35" t="s">
        <v>637</v>
      </c>
      <c r="B26" s="43" t="s">
        <v>463</v>
      </c>
      <c r="C26" s="35" t="s">
        <v>635</v>
      </c>
      <c r="D26" t="e">
        <f>VLOOKUP(A26,[3]系统控制规则清单!$G:$G,2,0)</f>
        <v>#REF!</v>
      </c>
      <c r="E26" t="e">
        <f>VLOOKUP(A26,[3]系统控制规则清单!$G:$G,3,0)</f>
        <v>#REF!</v>
      </c>
      <c r="F26" t="e">
        <f t="shared" si="0"/>
        <v>#REF!</v>
      </c>
      <c r="G26" t="e">
        <f t="shared" si="1"/>
        <v>#REF!</v>
      </c>
    </row>
    <row r="27" ht="79.2" spans="1:7">
      <c r="A27" s="38" t="s">
        <v>649</v>
      </c>
      <c r="B27" s="43" t="s">
        <v>463</v>
      </c>
      <c r="C27" s="35" t="s">
        <v>635</v>
      </c>
      <c r="D27" t="e">
        <f>VLOOKUP(A27,[3]系统控制规则清单!$G:$G,2,0)</f>
        <v>#REF!</v>
      </c>
      <c r="E27" t="e">
        <f>VLOOKUP(A27,[3]系统控制规则清单!$G:$G,3,0)</f>
        <v>#REF!</v>
      </c>
      <c r="F27" t="e">
        <f t="shared" si="0"/>
        <v>#REF!</v>
      </c>
      <c r="G27" t="e">
        <f t="shared" si="1"/>
        <v>#REF!</v>
      </c>
    </row>
    <row r="28" ht="79.2" spans="1:7">
      <c r="A28" s="35" t="s">
        <v>654</v>
      </c>
      <c r="B28" s="43" t="s">
        <v>463</v>
      </c>
      <c r="C28" s="35" t="s">
        <v>635</v>
      </c>
      <c r="D28" t="e">
        <f>VLOOKUP(A28,[3]系统控制规则清单!$G:$G,2,0)</f>
        <v>#REF!</v>
      </c>
      <c r="E28" t="e">
        <f>VLOOKUP(A28,[3]系统控制规则清单!$G:$G,3,0)</f>
        <v>#REF!</v>
      </c>
      <c r="F28" t="e">
        <f t="shared" si="0"/>
        <v>#REF!</v>
      </c>
      <c r="G28" t="e">
        <f t="shared" si="1"/>
        <v>#REF!</v>
      </c>
    </row>
    <row r="29" ht="79.2" spans="1:7">
      <c r="A29" s="35" t="s">
        <v>659</v>
      </c>
      <c r="B29" s="43" t="s">
        <v>463</v>
      </c>
      <c r="C29" s="35" t="s">
        <v>635</v>
      </c>
      <c r="D29" t="e">
        <f>VLOOKUP(A29,[3]系统控制规则清单!$G:$G,2,0)</f>
        <v>#REF!</v>
      </c>
      <c r="E29" t="e">
        <f>VLOOKUP(A29,[3]系统控制规则清单!$G:$G,3,0)</f>
        <v>#REF!</v>
      </c>
      <c r="F29" t="e">
        <f t="shared" si="0"/>
        <v>#REF!</v>
      </c>
      <c r="G29" t="e">
        <f t="shared" si="1"/>
        <v>#REF!</v>
      </c>
    </row>
    <row r="30" ht="105.6" spans="1:7">
      <c r="A30" s="35" t="s">
        <v>691</v>
      </c>
      <c r="B30" s="35" t="s">
        <v>497</v>
      </c>
      <c r="C30" s="35" t="s">
        <v>693</v>
      </c>
      <c r="D30" t="e">
        <f>VLOOKUP(A30,[3]系统控制规则清单!$G:$G,2,0)</f>
        <v>#N/A</v>
      </c>
      <c r="E30" t="e">
        <f>VLOOKUP(A30,[3]系统控制规则清单!$G:$G,3,0)</f>
        <v>#N/A</v>
      </c>
      <c r="F30" t="e">
        <f t="shared" si="0"/>
        <v>#N/A</v>
      </c>
      <c r="G30" t="e">
        <f t="shared" si="1"/>
        <v>#N/A</v>
      </c>
    </row>
    <row r="31" ht="105.6" spans="1:7">
      <c r="A31" s="35" t="s">
        <v>700</v>
      </c>
      <c r="B31" s="35" t="s">
        <v>497</v>
      </c>
      <c r="C31" s="35" t="s">
        <v>635</v>
      </c>
      <c r="D31" t="e">
        <f>VLOOKUP(A31,[3]系统控制规则清单!$G:$G,2,0)</f>
        <v>#N/A</v>
      </c>
      <c r="E31" t="e">
        <f>VLOOKUP(A31,[3]系统控制规则清单!$G:$G,3,0)</f>
        <v>#N/A</v>
      </c>
      <c r="F31" t="e">
        <f t="shared" si="0"/>
        <v>#N/A</v>
      </c>
      <c r="G31" t="e">
        <f t="shared" si="1"/>
        <v>#N/A</v>
      </c>
    </row>
    <row r="32" ht="79.2" spans="1:7">
      <c r="A32" s="35" t="s">
        <v>788</v>
      </c>
      <c r="B32" s="43" t="s">
        <v>463</v>
      </c>
      <c r="C32" s="35" t="s">
        <v>790</v>
      </c>
      <c r="D32" t="e">
        <f>VLOOKUP(A32,[3]系统控制规则清单!$G:$G,2,0)</f>
        <v>#REF!</v>
      </c>
      <c r="E32" t="e">
        <f>VLOOKUP(A32,[3]系统控制规则清单!$G:$G,3,0)</f>
        <v>#REF!</v>
      </c>
      <c r="F32" t="e">
        <f t="shared" si="0"/>
        <v>#REF!</v>
      </c>
      <c r="G32" t="e">
        <f t="shared" si="1"/>
        <v>#REF!</v>
      </c>
    </row>
    <row r="33" ht="79.2" spans="1:7">
      <c r="A33" s="38" t="s">
        <v>802</v>
      </c>
      <c r="B33" s="39" t="s">
        <v>804</v>
      </c>
      <c r="C33" s="32" t="s">
        <v>805</v>
      </c>
      <c r="D33" s="44" t="e">
        <f>VLOOKUP(A33,[3]系统控制规则清单!$G:$G,2,0)</f>
        <v>#REF!</v>
      </c>
      <c r="E33" s="44" t="e">
        <f>VLOOKUP(A33,[3]系统控制规则清单!$G:$G,3,0)</f>
        <v>#REF!</v>
      </c>
      <c r="F33" t="e">
        <f t="shared" si="0"/>
        <v>#REF!</v>
      </c>
      <c r="G33" t="e">
        <f t="shared" si="1"/>
        <v>#REF!</v>
      </c>
    </row>
    <row r="34" ht="79.2" spans="1:7">
      <c r="A34" s="35" t="s">
        <v>846</v>
      </c>
      <c r="B34" s="35" t="s">
        <v>463</v>
      </c>
      <c r="C34" s="35" t="s">
        <v>635</v>
      </c>
      <c r="D34" t="e">
        <f>VLOOKUP(A34,[3]系统控制规则清单!$G:$G,2,0)</f>
        <v>#REF!</v>
      </c>
      <c r="E34" t="e">
        <f>VLOOKUP(A34,[3]系统控制规则清单!$G:$G,3,0)</f>
        <v>#REF!</v>
      </c>
      <c r="F34" t="e">
        <f t="shared" si="0"/>
        <v>#REF!</v>
      </c>
      <c r="G34" t="e">
        <f t="shared" si="1"/>
        <v>#REF!</v>
      </c>
    </row>
    <row r="35" ht="79.2" spans="1:7">
      <c r="A35" s="45" t="s">
        <v>995</v>
      </c>
      <c r="B35" s="45" t="s">
        <v>463</v>
      </c>
      <c r="C35" s="46" t="s">
        <v>635</v>
      </c>
      <c r="D35" t="e">
        <f>VLOOKUP(A35,[3]系统控制规则清单!$G:$G,2,0)</f>
        <v>#N/A</v>
      </c>
      <c r="E35" t="e">
        <f>VLOOKUP(A35,[3]系统控制规则清单!$G:$G,3,0)</f>
        <v>#N/A</v>
      </c>
      <c r="F35" t="e">
        <f t="shared" si="0"/>
        <v>#N/A</v>
      </c>
      <c r="G35" t="e">
        <f t="shared" si="1"/>
        <v>#N/A</v>
      </c>
    </row>
  </sheetData>
  <dataValidations count="2">
    <dataValidation type="list" allowBlank="1" showInputMessage="1" showErrorMessage="1" sqref="B1:B28">
      <formula1>#REF!</formula1>
    </dataValidation>
    <dataValidation type="list" allowBlank="1" showInputMessage="1" sqref="B34:B35">
      <formula1>#REF!</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
  <sheetViews>
    <sheetView topLeftCell="A41" workbookViewId="0">
      <selection activeCell="C52" sqref="C52"/>
    </sheetView>
  </sheetViews>
  <sheetFormatPr defaultColWidth="8.66666666666667" defaultRowHeight="13.8" outlineLevelCol="5"/>
  <cols>
    <col min="1" max="1" width="8.66666666666667" style="31"/>
    <col min="2" max="2" width="26.3333333333333" style="31" customWidth="1"/>
    <col min="3" max="3" width="59" style="31" customWidth="1"/>
    <col min="4" max="16384" width="8.66666666666667" style="31"/>
  </cols>
  <sheetData>
    <row r="1" ht="26.4" spans="1:6">
      <c r="A1" s="31" t="s">
        <v>1119</v>
      </c>
      <c r="B1" s="32" t="s">
        <v>873</v>
      </c>
      <c r="C1" s="33" t="s">
        <v>874</v>
      </c>
      <c r="D1" s="31" t="str">
        <f>A1&amp;B1&amp;C1</f>
        <v>1、员工报账业务-25.生产车辆使用费管控-控制措施01生产车辆加油执行“一车一卡”，一张油卡固定一个车牌号码。</v>
      </c>
      <c r="F1" s="34" t="s">
        <v>1120</v>
      </c>
    </row>
    <row r="2" ht="26.4" spans="1:6">
      <c r="A2" s="31" t="s">
        <v>1121</v>
      </c>
      <c r="B2" s="32" t="s">
        <v>879</v>
      </c>
      <c r="C2" s="33" t="s">
        <v>880</v>
      </c>
      <c r="D2" s="31" t="str">
        <f t="shared" ref="D2:D19" si="0">A2&amp;B2&amp;C2</f>
        <v>2、员工报账业务-25.生产车辆使用费管控-控制措施02各单位车辆运行管理部门应加强车辆维修真实性控制，按照维修申请、审批、验收结算分离原则控制车辆维修。</v>
      </c>
    </row>
    <row r="3" ht="52.8" spans="1:6">
      <c r="A3" s="31" t="s">
        <v>1122</v>
      </c>
      <c r="B3" s="32" t="s">
        <v>883</v>
      </c>
      <c r="C3" s="33" t="s">
        <v>884</v>
      </c>
      <c r="D3" s="31" t="str">
        <f t="shared" si="0"/>
        <v>3、员工报账业务-25.生产车辆使用费管控-控制措施03各单位车辆运行管理部门应加强车辆使用费台账管理，对单车费用明细（油费、过路费、停车费、维修费等）与用车申请单（事前提交，注明用车时间、事由、目的地）、车辆行驶里程记录（行车记录、起止日期）进行复核，严禁套取费用。</v>
      </c>
    </row>
    <row r="4" ht="39.6" spans="1:6">
      <c r="A4" s="31" t="s">
        <v>1123</v>
      </c>
      <c r="B4" s="32" t="s">
        <v>887</v>
      </c>
      <c r="C4" s="33" t="s">
        <v>888</v>
      </c>
      <c r="D4" s="31" t="str">
        <f t="shared" si="0"/>
        <v>4、员工报账业务-25.生产车辆使用费管控-控制措施04各单位财务部门应严格审核车辆使用费用各类发票与明细清单的一致性、审核合同折扣率、合同税率的执行情况，车辆保险费应归口核算至财产保险费。</v>
      </c>
    </row>
    <row r="5" ht="26.4" spans="1:6">
      <c r="A5" s="31" t="s">
        <v>1124</v>
      </c>
      <c r="B5" s="33" t="s">
        <v>898</v>
      </c>
      <c r="C5" s="33" t="s">
        <v>899</v>
      </c>
      <c r="D5" s="31" t="str">
        <f t="shared" si="0"/>
        <v>5、员工报账业务-26.零星租车与运输服务报销-控制措施01零星车辆租赁（运输服务）需求，按照就近响应、统筹优化原则，实施车辆运输服务框架采购。</v>
      </c>
    </row>
    <row r="6" ht="52.8" spans="1:6">
      <c r="A6" s="31" t="s">
        <v>1125</v>
      </c>
      <c r="B6" s="33" t="s">
        <v>904</v>
      </c>
      <c r="C6" s="33" t="s">
        <v>905</v>
      </c>
      <c r="D6" s="31" t="str">
        <f t="shared" si="0"/>
        <v>6、员工报账业务-26.零星租车与运输服务报销-控制措施02各单位有关部门（班组）提出零星租车申请后，需经本单位后勤管理部门审批，后勤管理部门结合本单位现有车辆情况判断是否同意租赁，审批租赁车辆的必要性。自营项目租用吊车等特种车辆应经本单位电网技术部等生产管理部门审批。</v>
      </c>
    </row>
    <row r="7" ht="52.8" spans="1:6">
      <c r="A7" s="31" t="s">
        <v>1126</v>
      </c>
      <c r="B7" s="33" t="s">
        <v>909</v>
      </c>
      <c r="C7" s="33" t="s">
        <v>910</v>
      </c>
      <c r="D7" s="31" t="str">
        <f t="shared" si="0"/>
        <v>7、员工报账业务-26.零星租车与运输服务-控制措施03各单位后勤管理部门应加强租车结算管理，建立租赁车辆运行费用台账，严格按照实际次数、里程和合同价格结算。自营项目租用吊车、挖机等机械由生产管理部门建立台账，严格按照实际作业台班和合同价格结算。</v>
      </c>
    </row>
    <row r="8" ht="26.4" spans="1:6">
      <c r="A8" s="31" t="s">
        <v>1127</v>
      </c>
      <c r="B8" s="33" t="s">
        <v>914</v>
      </c>
      <c r="C8" s="33" t="s">
        <v>915</v>
      </c>
      <c r="D8" s="31" t="str">
        <f t="shared" si="0"/>
        <v>8、员工报账业务-26.零星租车与运输服务-控制措施04各单位财务部门审核零星租车报销发票金额与租车明细的一致性，审核合同折扣率、合同税率的执行情况。</v>
      </c>
    </row>
    <row r="9" ht="52.8" spans="1:6">
      <c r="A9" s="31" t="s">
        <v>1128</v>
      </c>
      <c r="B9" s="33" t="s">
        <v>922</v>
      </c>
      <c r="C9" s="33" t="s">
        <v>923</v>
      </c>
      <c r="D9" s="31" t="str">
        <f t="shared" si="0"/>
        <v>9、员工报账业务-27.零星劳务管控-控制措施01自营项目的专业主管部门明确采取劳务外包的范围，不得从事核心业务或涉密工作。零星劳务人员应通过合规的招标方式，确定固定的服务商，实际需要用工时从签订合同的服务商范围内选用不得直接与个人签订用工协议。</v>
      </c>
    </row>
    <row r="10" ht="39.6" spans="1:6">
      <c r="A10" s="31" t="s">
        <v>1129</v>
      </c>
      <c r="B10" s="33" t="s">
        <v>929</v>
      </c>
      <c r="C10" s="33" t="s">
        <v>930</v>
      </c>
      <c r="D10" s="31" t="str">
        <f t="shared" si="0"/>
        <v>10、员工报账业务-27.零星劳务管控-控制措施02各单位自营项目主管部门制定零星用指导价，用工指导价包含服务商税费、管理费、食宿费、交通费、劳务人员工资等费用。各单位与服务商签订的劳务合同不得超过最高限价。</v>
      </c>
    </row>
    <row r="11" ht="39.6" spans="1:6">
      <c r="A11" s="31" t="s">
        <v>1130</v>
      </c>
      <c r="B11" s="33" t="s">
        <v>931</v>
      </c>
      <c r="C11" s="33" t="s">
        <v>932</v>
      </c>
      <c r="D11" s="31" t="str">
        <f t="shared" si="0"/>
        <v>11、员工报账业务-27.零星劳务管控-控制措施03各单位零星劳务使用部门、财务部门要严格审核用工的真实性、合理性，对同一身份证号码在同一时段不同班组或供电所用工的不予结算。</v>
      </c>
    </row>
    <row r="12" ht="26.4" spans="1:6">
      <c r="A12" s="31" t="s">
        <v>1131</v>
      </c>
      <c r="B12" s="33" t="s">
        <v>941</v>
      </c>
      <c r="C12" s="32" t="s">
        <v>942</v>
      </c>
      <c r="D12" s="31" t="str">
        <f t="shared" si="0"/>
        <v>12、员工报账业务-28.物业管理费管控-控制措施01归口管理部门对物业管理费用的数量、质量进行复核评价；核对计费周期、收费标准后再发起报销流程。</v>
      </c>
    </row>
    <row r="13" ht="39.6" spans="1:6">
      <c r="A13" s="31" t="s">
        <v>1132</v>
      </c>
      <c r="B13" s="33" t="s">
        <v>950</v>
      </c>
      <c r="C13" s="32" t="s">
        <v>951</v>
      </c>
      <c r="D13" s="31" t="str">
        <f t="shared" si="0"/>
        <v>13、员工报账业务-28.物业管理费管控-控制措施02财务审核环节核查票据、附件完整度，校验申报金额、缴费周期与合同条款一致性；对无依据、超额、超前和重复支付物业费予以驳回。</v>
      </c>
    </row>
    <row r="14" ht="26.4" spans="1:6">
      <c r="A14" s="31" t="s">
        <v>1133</v>
      </c>
      <c r="B14" s="33" t="s">
        <v>958</v>
      </c>
      <c r="C14" s="32" t="s">
        <v>959</v>
      </c>
      <c r="D14" s="31" t="str">
        <f t="shared" si="0"/>
        <v>14、员工报账业务-29.水电费管控-控制措施01归口部门把控费用真实、合规性，按期及时报销，留存水电费抄表台账，全过程监管支出真实性。</v>
      </c>
    </row>
    <row r="15" ht="26.4" spans="1:6">
      <c r="A15" s="31" t="s">
        <v>1134</v>
      </c>
      <c r="B15" s="33" t="s">
        <v>965</v>
      </c>
      <c r="C15" s="32" t="s">
        <v>966</v>
      </c>
      <c r="D15" s="31" t="str">
        <f t="shared" si="0"/>
        <v>15、员工报账业务-29.水电费管控-控制措施02财务部门审核发票、收据金额的准确性，按实际发生据实报账，提供垫付支付凭证。</v>
      </c>
    </row>
    <row r="16" ht="66" spans="1:6">
      <c r="A16" s="31" t="s">
        <v>1135</v>
      </c>
      <c r="B16" s="32" t="s">
        <v>974</v>
      </c>
      <c r="C16" s="32" t="s">
        <v>975</v>
      </c>
      <c r="D16" s="31" t="str">
        <f t="shared" si="0"/>
        <v>16、员工报账业务-30.房屋修理费管控-控制措施01归口部门对工程施行全过程过程结果监督。 1.房屋维修立项前执行多方比价机制，严格建材、人工单价，杜绝高于市场价签约；2.项目负责人对工程实际用量，留存现场照片，施工台账进行合规审核；3.完工后对工程量签单、竣工验收报告真实性进行把控，无验收资料不允发起报账。</v>
      </c>
    </row>
    <row r="17" ht="52.8" spans="1:4">
      <c r="A17" s="31" t="s">
        <v>1136</v>
      </c>
      <c r="B17" s="32" t="s">
        <v>980</v>
      </c>
      <c r="C17" s="32" t="s">
        <v>981</v>
      </c>
      <c r="D17" s="31" t="str">
        <f t="shared" si="0"/>
        <v>17、员工报账业务-30.房屋修理费管控-控制措施02财务审核对合理性和资金安全做把控1.着重审核发票、结算清单金额 ，核对计价标准、工程量与验收资料是否匹配。2.严格规范报销附件要求，工程结算清单，施工合同和签证单缺一不可，对资料不全、单价异常的单据驳回，不予付款。</v>
      </c>
    </row>
    <row r="18" ht="39.6" spans="1:4">
      <c r="A18" s="31" t="s">
        <v>1137</v>
      </c>
      <c r="B18" s="32" t="s">
        <v>987</v>
      </c>
      <c r="C18" s="32" t="s">
        <v>988</v>
      </c>
      <c r="D18" s="31" t="str">
        <f t="shared" si="0"/>
        <v>18、员工报账业务-31.租赁费管控-控制措施01落实租赁事前审批、合同管控、财务多层复核，规范租赁费保险全流程，业务端建立合同分级审批机制，大额的租赁签订要全流程监控</v>
      </c>
    </row>
    <row r="19" ht="39.6" spans="1:4">
      <c r="A19" s="31" t="s">
        <v>1138</v>
      </c>
      <c r="B19" s="32" t="s">
        <v>995</v>
      </c>
      <c r="C19" s="32" t="s">
        <v>996</v>
      </c>
      <c r="D19" s="31" t="str">
        <f t="shared" si="0"/>
        <v>19、员工报账业务-31.租赁费管控-控制措施02财务审核时核验附件完整性和合规性，需有产权证明和个税完税证明；租赁个人房屋时，根据合同签订时间判断租赁类别，严格确保开票金额、租期与租赁合同保持一致，资料不符不允报销付款。</v>
      </c>
    </row>
    <row r="23" ht="26.4" spans="1:4">
      <c r="A23" s="31" t="s">
        <v>1119</v>
      </c>
      <c r="B23" s="35" t="s">
        <v>461</v>
      </c>
      <c r="C23" s="36" t="s">
        <v>1139</v>
      </c>
    </row>
    <row r="24" ht="26.4" spans="1:4">
      <c r="A24" s="31" t="s">
        <v>1121</v>
      </c>
      <c r="B24" s="35" t="s">
        <v>478</v>
      </c>
      <c r="C24" s="36" t="s">
        <v>1139</v>
      </c>
    </row>
    <row r="25" ht="26.4" spans="1:4">
      <c r="A25" s="31" t="s">
        <v>1122</v>
      </c>
      <c r="B25" s="35" t="s">
        <v>482</v>
      </c>
      <c r="C25" s="36" t="s">
        <v>1139</v>
      </c>
    </row>
    <row r="26" ht="26.4" spans="1:4">
      <c r="A26" s="31" t="s">
        <v>1123</v>
      </c>
      <c r="B26" s="35" t="s">
        <v>576</v>
      </c>
      <c r="C26" s="36" t="s">
        <v>1140</v>
      </c>
    </row>
    <row r="27" ht="26.4" spans="1:4">
      <c r="A27" s="31" t="s">
        <v>1124</v>
      </c>
      <c r="B27" s="35" t="s">
        <v>597</v>
      </c>
      <c r="C27" s="32" t="s">
        <v>1140</v>
      </c>
    </row>
    <row r="28" ht="26.4" spans="1:4">
      <c r="A28" s="31" t="s">
        <v>1125</v>
      </c>
      <c r="B28" s="35" t="s">
        <v>614</v>
      </c>
      <c r="C28" s="32" t="s">
        <v>1140</v>
      </c>
    </row>
    <row r="29" ht="26.4" spans="1:4">
      <c r="A29" s="31" t="s">
        <v>1126</v>
      </c>
      <c r="B29" s="35" t="s">
        <v>624</v>
      </c>
      <c r="C29" s="32" t="s">
        <v>1140</v>
      </c>
    </row>
    <row r="30" ht="26.4" spans="1:4">
      <c r="A30" s="31" t="s">
        <v>1127</v>
      </c>
      <c r="B30" s="35" t="s">
        <v>633</v>
      </c>
      <c r="C30" s="32" t="s">
        <v>1141</v>
      </c>
    </row>
    <row r="37" ht="26.4" spans="1:6">
      <c r="A37" s="31" t="s">
        <v>1119</v>
      </c>
      <c r="B37" s="35" t="s">
        <v>659</v>
      </c>
      <c r="C37" s="37" t="s">
        <v>661</v>
      </c>
      <c r="D37" s="31" t="str">
        <f t="shared" ref="D37:D42" si="1">A37&amp;B37&amp;C37</f>
        <v>1、员工报账业务-11.报销发票审核-控制措施03系统已建
线下管控</v>
      </c>
      <c r="F37" s="34" t="s">
        <v>1142</v>
      </c>
    </row>
    <row r="38" ht="26.4" spans="1:6">
      <c r="A38" s="31" t="s">
        <v>1121</v>
      </c>
      <c r="B38" s="38" t="s">
        <v>802</v>
      </c>
      <c r="C38" s="39" t="s">
        <v>804</v>
      </c>
      <c r="D38" s="31" t="str">
        <f t="shared" si="1"/>
        <v>2、员工报账业务-19.安全费报销-控制措施04线下管控
系统已建</v>
      </c>
    </row>
    <row r="41" ht="26.4" spans="1:6">
      <c r="A41" s="31" t="s">
        <v>1119</v>
      </c>
      <c r="B41" s="35" t="s">
        <v>659</v>
      </c>
      <c r="C41" s="40" t="s">
        <v>635</v>
      </c>
      <c r="D41" s="31" t="str">
        <f t="shared" si="1"/>
        <v>1、员工报账业务-11.报销发票审核-控制措施03智慧共享财务平台</v>
      </c>
      <c r="F41" s="34" t="s">
        <v>1143</v>
      </c>
    </row>
    <row r="42" ht="26.4" spans="1:6">
      <c r="A42" s="31" t="s">
        <v>1121</v>
      </c>
      <c r="B42" s="38" t="s">
        <v>802</v>
      </c>
      <c r="C42" s="32" t="s">
        <v>805</v>
      </c>
      <c r="D42" s="31" t="str">
        <f t="shared" si="1"/>
        <v>2、员工报账业务-19.安全费报销-控制措施04安全风险管控监督平台</v>
      </c>
    </row>
    <row r="48" ht="26.4" spans="1:6">
      <c r="A48" s="31" t="s">
        <v>1119</v>
      </c>
      <c r="B48" s="35" t="s">
        <v>503</v>
      </c>
      <c r="C48" s="36" t="s">
        <v>506</v>
      </c>
      <c r="D48" s="31" t="str">
        <f t="shared" ref="D48:D53" si="2">A48&amp;B48&amp;C48</f>
        <v>1、员工报账业务-3.出差申请流程控制-控制措施01各级单位-各部门-出差人员、各级单位-各部门-负责人、商旅云公司</v>
      </c>
      <c r="F48" s="34" t="s">
        <v>1144</v>
      </c>
    </row>
    <row r="49" ht="26.4" spans="1:4">
      <c r="A49" s="31" t="s">
        <v>1121</v>
      </c>
      <c r="B49" s="35" t="s">
        <v>514</v>
      </c>
      <c r="C49" s="41" t="s">
        <v>517</v>
      </c>
      <c r="D49" s="31" t="str">
        <f t="shared" si="2"/>
        <v>2、员工报账业务-3.出差申请流程控制-控制措施03商旅云公司、各级单位-审计部门、纪检部门等监督部门-监督、纪检管理人员</v>
      </c>
    </row>
    <row r="50" ht="39.6" spans="1:4">
      <c r="A50" s="31" t="s">
        <v>1122</v>
      </c>
      <c r="B50" s="35" t="s">
        <v>536</v>
      </c>
      <c r="C50" s="41" t="s">
        <v>539</v>
      </c>
      <c r="D50" s="31" t="str">
        <f t="shared" si="2"/>
        <v>3、员工报账业务-5.单体酒店上架及价格定价管控-控制措施01商旅云公司、各级单位-办公室财务部</v>
      </c>
    </row>
    <row r="51" ht="26.4" spans="1:4">
      <c r="A51" s="31" t="s">
        <v>1123</v>
      </c>
      <c r="B51" s="35" t="s">
        <v>559</v>
      </c>
      <c r="C51" s="41" t="s">
        <v>562</v>
      </c>
      <c r="D51" s="31" t="str">
        <f t="shared" si="2"/>
        <v>4、员工报账业务-6.酒店预订-控制措施03各级单位-各部门-出差人员、各级单位-财务部门-成本管理人员、商旅云公司</v>
      </c>
    </row>
    <row r="52" ht="26.4" spans="1:4">
      <c r="A52" s="31" t="s">
        <v>1124</v>
      </c>
      <c r="B52" s="35" t="s">
        <v>608</v>
      </c>
      <c r="C52" s="42" t="s">
        <v>610</v>
      </c>
      <c r="D52" s="31" t="str">
        <f t="shared" si="2"/>
        <v>5、员工报账业务-9.自付单据审核-控制措施02各级单位-各部门-出差人员、各级单位-各部门-负责人、商旅云公司</v>
      </c>
    </row>
    <row r="53" ht="26.4" spans="1:4">
      <c r="A53" s="31" t="s">
        <v>1125</v>
      </c>
      <c r="B53" s="35" t="s">
        <v>665</v>
      </c>
      <c r="C53" s="42" t="s">
        <v>667</v>
      </c>
      <c r="D53" s="31" t="str">
        <f t="shared" si="2"/>
        <v>6、员工报账业务-11.报销发票审核-控制措施05各级单位-各部门-报账人员、各级单位-各部门-负责人、各级单位-财务部门-成本管理人员、各级单位-财务部门-税务管理人员</v>
      </c>
    </row>
  </sheetData>
  <mergeCells count="4">
    <mergeCell ref="F1:F19"/>
    <mergeCell ref="F37:F38"/>
    <mergeCell ref="F41:F42"/>
    <mergeCell ref="F48:F5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9166666666667" style="1" customWidth="1"/>
    <col min="5" max="5" width="18.9166666666667" style="4" customWidth="1"/>
    <col min="6" max="6" width="33.5833333333333" style="4" customWidth="1"/>
    <col min="7" max="19" width="12.3333333333333" style="2" customWidth="1"/>
    <col min="20" max="21" width="27.0833333333333" style="5" customWidth="1"/>
    <col min="22" max="25" width="9.08333333333333" style="1" customWidth="1"/>
    <col min="26" max="26" width="16.25" style="6" customWidth="1"/>
    <col min="27" max="27" width="5.91666666666667" style="6" customWidth="1"/>
    <col min="28" max="28" width="6.25" style="3" customWidth="1"/>
    <col min="29" max="29" width="4.75" style="3" customWidth="1"/>
    <col min="30" max="30" width="7" style="3" customWidth="1"/>
    <col min="31" max="31" width="5" style="4" customWidth="1"/>
    <col min="32" max="32" width="4.75" style="3" customWidth="1"/>
    <col min="33" max="33" width="10.1666666666667" style="3" customWidth="1"/>
    <col min="34" max="35" width="6.58333333333333" style="3" customWidth="1"/>
    <col min="36" max="36" width="4.75" style="3" customWidth="1"/>
    <col min="37" max="37" width="8" style="3" customWidth="1"/>
    <col min="38" max="38" width="4.58333333333333" style="4" customWidth="1"/>
    <col min="39" max="39" width="25.4166666666667" style="3" customWidth="1"/>
    <col min="40" max="40" width="11.5833333333333"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416</v>
      </c>
      <c r="B1" s="8" t="s">
        <v>417</v>
      </c>
      <c r="C1" s="8" t="s">
        <v>418</v>
      </c>
      <c r="D1" s="8" t="s">
        <v>419</v>
      </c>
      <c r="E1" s="8" t="s">
        <v>420</v>
      </c>
      <c r="F1" s="8" t="s">
        <v>1145</v>
      </c>
      <c r="G1" s="8" t="s">
        <v>422</v>
      </c>
      <c r="H1" s="9" t="s">
        <v>423</v>
      </c>
      <c r="I1" s="9" t="s">
        <v>425</v>
      </c>
      <c r="J1" s="10" t="s">
        <v>1146</v>
      </c>
      <c r="K1" s="11" t="s">
        <v>426</v>
      </c>
      <c r="L1" s="11"/>
      <c r="M1" s="11"/>
      <c r="N1" s="11"/>
      <c r="O1" s="11"/>
      <c r="P1" s="11"/>
      <c r="Q1" s="11"/>
      <c r="R1" s="11"/>
      <c r="S1" s="12"/>
      <c r="T1" s="9" t="s">
        <v>1147</v>
      </c>
      <c r="U1" s="10" t="s">
        <v>1148</v>
      </c>
      <c r="V1" s="10" t="s">
        <v>428</v>
      </c>
      <c r="W1" s="13" t="s">
        <v>1149</v>
      </c>
      <c r="X1" s="14"/>
      <c r="Y1" s="15"/>
      <c r="Z1" s="10" t="s">
        <v>430</v>
      </c>
      <c r="AA1" s="8" t="s">
        <v>431</v>
      </c>
      <c r="AB1" s="8"/>
      <c r="AC1" s="8"/>
      <c r="AD1" s="8" t="s">
        <v>1150</v>
      </c>
      <c r="AE1" s="8"/>
      <c r="AF1" s="8"/>
      <c r="AG1" s="8" t="s">
        <v>433</v>
      </c>
      <c r="AH1" s="8"/>
      <c r="AI1" s="8"/>
      <c r="AJ1" s="8"/>
      <c r="AK1" s="10" t="s">
        <v>434</v>
      </c>
      <c r="AL1" s="10"/>
      <c r="AM1" s="10"/>
      <c r="AN1" s="8" t="s">
        <v>435</v>
      </c>
      <c r="AR1" s="16" t="s">
        <v>1151</v>
      </c>
    </row>
    <row r="2" ht="157" customHeight="1" spans="1:44">
      <c r="A2" s="8"/>
      <c r="B2" s="8"/>
      <c r="C2" s="8"/>
      <c r="D2" s="8"/>
      <c r="E2" s="8"/>
      <c r="F2" s="8"/>
      <c r="G2" s="8"/>
      <c r="H2" s="17"/>
      <c r="I2" s="17"/>
      <c r="J2" s="10"/>
      <c r="K2" s="15" t="s">
        <v>438</v>
      </c>
      <c r="L2" s="10" t="s">
        <v>439</v>
      </c>
      <c r="M2" s="10" t="s">
        <v>1152</v>
      </c>
      <c r="N2" s="10" t="s">
        <v>441</v>
      </c>
      <c r="O2" s="10" t="s">
        <v>442</v>
      </c>
      <c r="P2" s="10" t="s">
        <v>443</v>
      </c>
      <c r="Q2" s="10" t="s">
        <v>444</v>
      </c>
      <c r="R2" s="10" t="s">
        <v>445</v>
      </c>
      <c r="S2" s="10" t="s">
        <v>446</v>
      </c>
      <c r="T2" s="17"/>
      <c r="U2" s="10"/>
      <c r="V2" s="10"/>
      <c r="W2" s="18" t="s">
        <v>1153</v>
      </c>
      <c r="X2" s="18" t="s">
        <v>1154</v>
      </c>
      <c r="Y2" s="18" t="s">
        <v>1155</v>
      </c>
      <c r="Z2" s="10"/>
      <c r="AA2" s="8" t="s">
        <v>447</v>
      </c>
      <c r="AB2" s="8" t="s">
        <v>448</v>
      </c>
      <c r="AC2" s="8" t="s">
        <v>449</v>
      </c>
      <c r="AD2" s="8" t="s">
        <v>447</v>
      </c>
      <c r="AE2" s="8" t="s">
        <v>448</v>
      </c>
      <c r="AF2" s="8" t="s">
        <v>449</v>
      </c>
      <c r="AG2" s="8" t="s">
        <v>433</v>
      </c>
      <c r="AH2" s="8" t="s">
        <v>447</v>
      </c>
      <c r="AI2" s="8" t="s">
        <v>448</v>
      </c>
      <c r="AJ2" s="8" t="s">
        <v>449</v>
      </c>
      <c r="AK2" s="10" t="s">
        <v>450</v>
      </c>
      <c r="AL2" s="10" t="s">
        <v>451</v>
      </c>
      <c r="AM2" s="10" t="s">
        <v>452</v>
      </c>
      <c r="AN2" s="8"/>
      <c r="AR2" s="19"/>
    </row>
    <row r="3" ht="316" customHeight="1" spans="1:44">
      <c r="A3" s="20" t="s">
        <v>1156</v>
      </c>
      <c r="B3" s="20" t="s">
        <v>644</v>
      </c>
      <c r="C3" s="21" t="s">
        <v>498</v>
      </c>
      <c r="D3" s="22" t="s">
        <v>825</v>
      </c>
      <c r="E3" s="23" t="s">
        <v>826</v>
      </c>
      <c r="F3" s="22" t="s">
        <v>1157</v>
      </c>
      <c r="G3" s="22" t="s">
        <v>827</v>
      </c>
      <c r="H3" s="22" t="s">
        <v>828</v>
      </c>
      <c r="I3" s="22" t="s">
        <v>1158</v>
      </c>
      <c r="J3" s="22" t="s">
        <v>1159</v>
      </c>
      <c r="K3" s="24" t="s">
        <v>36</v>
      </c>
      <c r="L3" s="24"/>
      <c r="M3" s="24" t="s">
        <v>36</v>
      </c>
      <c r="N3" s="24"/>
      <c r="O3" s="24" t="s">
        <v>36</v>
      </c>
      <c r="P3" s="24" t="s">
        <v>36</v>
      </c>
      <c r="Q3" s="24" t="s">
        <v>36</v>
      </c>
      <c r="R3" s="24" t="s">
        <v>36</v>
      </c>
      <c r="S3" s="25"/>
      <c r="T3" s="26" t="s">
        <v>463</v>
      </c>
      <c r="U3" s="26" t="s">
        <v>1160</v>
      </c>
      <c r="V3" s="24" t="s">
        <v>635</v>
      </c>
      <c r="W3" s="27" t="s">
        <v>1161</v>
      </c>
      <c r="X3" s="27" t="s">
        <v>1162</v>
      </c>
      <c r="Y3" s="27" t="s">
        <v>1163</v>
      </c>
      <c r="Z3" s="24" t="s">
        <v>1164</v>
      </c>
      <c r="AA3" s="24" t="s">
        <v>628</v>
      </c>
      <c r="AB3" s="24" t="s">
        <v>470</v>
      </c>
      <c r="AC3" s="28"/>
      <c r="AD3" s="24" t="s">
        <v>469</v>
      </c>
      <c r="AE3" s="24" t="s">
        <v>470</v>
      </c>
      <c r="AF3" s="28"/>
      <c r="AG3" s="24" t="s">
        <v>818</v>
      </c>
      <c r="AH3" s="29" t="s">
        <v>469</v>
      </c>
      <c r="AI3" s="24" t="s">
        <v>470</v>
      </c>
      <c r="AJ3" s="28"/>
      <c r="AK3" s="24" t="s">
        <v>473</v>
      </c>
      <c r="AL3" s="24" t="s">
        <v>473</v>
      </c>
      <c r="AM3" s="30" t="s">
        <v>819</v>
      </c>
      <c r="AN3" s="28" t="s">
        <v>1163</v>
      </c>
      <c r="AR3" s="24"/>
    </row>
    <row r="4" spans="1:44">
      <c r="AA4" s="3"/>
      <c r="AD4" s="4"/>
      <c r="AE4" s="3"/>
      <c r="AK4" s="4"/>
      <c r="AL4" s="3"/>
    </row>
    <row r="5" spans="1:44">
      <c r="AA5" s="3"/>
      <c r="AD5" s="4"/>
      <c r="AE5" s="3"/>
      <c r="AK5" s="4"/>
      <c r="AL5" s="3"/>
    </row>
    <row r="6" spans="1:44">
      <c r="AA6" s="3"/>
      <c r="AD6" s="4"/>
      <c r="AE6" s="3"/>
      <c r="AK6" s="4"/>
      <c r="AL6" s="3"/>
    </row>
    <row r="7" spans="1:44">
      <c r="AA7" s="3"/>
      <c r="AD7" s="4"/>
      <c r="AE7" s="3"/>
      <c r="AK7" s="4"/>
      <c r="AL7" s="3"/>
    </row>
    <row r="8" spans="1:44">
      <c r="AA8" s="3"/>
      <c r="AD8" s="4"/>
      <c r="AE8" s="3"/>
      <c r="AK8" s="4"/>
      <c r="AL8" s="3"/>
    </row>
    <row r="9" spans="1:44">
      <c r="AA9" s="3"/>
      <c r="AD9" s="4"/>
      <c r="AE9" s="3"/>
      <c r="AK9" s="4"/>
      <c r="AL9" s="3"/>
    </row>
    <row r="10" spans="1:44">
      <c r="AA10" s="3"/>
      <c r="AD10" s="4"/>
      <c r="AE10" s="3"/>
      <c r="AK10" s="4"/>
      <c r="AL10" s="3"/>
    </row>
    <row r="11" spans="1:44">
      <c r="AA11" s="3"/>
      <c r="AD11" s="4"/>
      <c r="AE11" s="3"/>
      <c r="AK11" s="4"/>
      <c r="AL11" s="3"/>
    </row>
    <row r="12" spans="1:44">
      <c r="AA12" s="3"/>
      <c r="AD12" s="4"/>
      <c r="AE12" s="3"/>
      <c r="AK12" s="4"/>
      <c r="AL12" s="3"/>
    </row>
    <row r="13" spans="1:44">
      <c r="AA13" s="3"/>
      <c r="AD13" s="4"/>
      <c r="AE13" s="3"/>
      <c r="AK13" s="4"/>
      <c r="AL13" s="3"/>
    </row>
    <row r="14" spans="1:44">
      <c r="AA14" s="3"/>
      <c r="AD14" s="4"/>
      <c r="AE14" s="3"/>
      <c r="AK14" s="4"/>
      <c r="AL14" s="3"/>
    </row>
    <row r="15" spans="1:44">
      <c r="AA15" s="3"/>
      <c r="AD15" s="4"/>
      <c r="AE15" s="3"/>
      <c r="AK15" s="4"/>
      <c r="AL15" s="3"/>
    </row>
    <row r="16" spans="1:44">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A1" sqref="A1"/>
    </sheetView>
  </sheetViews>
  <sheetFormatPr defaultColWidth="9" defaultRowHeight="13.8"/>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业务流程</vt:lpstr>
      <vt:lpstr>流程图</vt:lpstr>
      <vt:lpstr>员工报账（核对过程7.23）</vt:lpstr>
      <vt:lpstr>员工报账（确认三清单版本核对过程7.30）</vt:lpstr>
      <vt:lpstr>员工报账（9.2）</vt:lpstr>
      <vt:lpstr>Sheet2</vt:lpstr>
      <vt:lpstr>Sheet1</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fxzsb</cp:lastModifiedBy>
  <dcterms:created xsi:type="dcterms:W3CDTF">2015-06-09T10:19:00Z</dcterms:created>
  <cp:lastPrinted>2025-11-07T00:56:00Z</cp:lastPrinted>
  <dcterms:modified xsi:type="dcterms:W3CDTF">2026-09-14T03:54:54Z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77619C03EED944EEA3C79849028AF131</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